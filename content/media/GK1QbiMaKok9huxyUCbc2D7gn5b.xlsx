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0" windowHeight="0" activeTab="9"/>
  </bookViews>
  <sheets>
    <sheet name="分段分析" sheetId="5" r:id="rId1"/>
    <sheet name="softmax_pingpong" sheetId="10" r:id="rId2"/>
    <sheet name="NUMA_UMA" sheetId="7" r:id="rId3"/>
    <sheet name="score_GMB_HBM" sheetId="8" r:id="rId4"/>
    <sheet name="unroll" sheetId="9" r:id="rId5"/>
    <sheet name="vcore" sheetId="11" r:id="rId6"/>
    <sheet name="模型性能1113" sheetId="13" r:id="rId7"/>
    <sheet name="exp" sheetId="14" r:id="rId8"/>
    <sheet name="decoder" sheetId="15" r:id="rId9"/>
    <sheet name="decoder理论计算" sheetId="12" r:id="rId10"/>
    <sheet name="encoder理论计算" sheetId="16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3" i="12" l="1"/>
  <c r="R14" i="12"/>
  <c r="R15" i="12"/>
  <c r="R12" i="12"/>
  <c r="J13" i="12"/>
  <c r="J14" i="12"/>
  <c r="J15" i="12"/>
  <c r="J12" i="12"/>
  <c r="I53" i="12"/>
  <c r="I54" i="12"/>
  <c r="I55" i="12"/>
  <c r="I52" i="12"/>
  <c r="L12" i="12"/>
  <c r="K12" i="12"/>
  <c r="L34" i="12"/>
  <c r="L35" i="12"/>
  <c r="L36" i="12"/>
  <c r="L33" i="12"/>
  <c r="O15" i="16"/>
  <c r="N15" i="16"/>
  <c r="L15" i="16"/>
  <c r="K15" i="16"/>
  <c r="M15" i="16" s="1"/>
  <c r="J15" i="16"/>
  <c r="H15" i="16"/>
  <c r="G15" i="16"/>
  <c r="I15" i="16" s="1"/>
  <c r="F15" i="16"/>
  <c r="O14" i="16"/>
  <c r="L14" i="16"/>
  <c r="N14" i="16" s="1"/>
  <c r="K14" i="16"/>
  <c r="M14" i="16" s="1"/>
  <c r="J14" i="16"/>
  <c r="I14" i="16"/>
  <c r="H14" i="16"/>
  <c r="G14" i="16"/>
  <c r="F14" i="16"/>
  <c r="O13" i="16"/>
  <c r="L13" i="16"/>
  <c r="N13" i="16" s="1"/>
  <c r="K13" i="16"/>
  <c r="M13" i="16" s="1"/>
  <c r="J13" i="16"/>
  <c r="G13" i="16"/>
  <c r="I13" i="16" s="1"/>
  <c r="F13" i="16"/>
  <c r="H13" i="16" s="1"/>
  <c r="O12" i="16"/>
  <c r="N12" i="16"/>
  <c r="M12" i="16"/>
  <c r="L12" i="16"/>
  <c r="K12" i="16"/>
  <c r="J12" i="16"/>
  <c r="G12" i="16"/>
  <c r="I12" i="16" s="1"/>
  <c r="F12" i="16"/>
  <c r="H12" i="16" s="1"/>
  <c r="J35" i="12"/>
  <c r="I47" i="12"/>
  <c r="I48" i="12"/>
  <c r="I49" i="12"/>
  <c r="I46" i="12"/>
  <c r="O43" i="12"/>
  <c r="N43" i="12"/>
  <c r="M43" i="12"/>
  <c r="L43" i="12"/>
  <c r="O42" i="12"/>
  <c r="N42" i="12"/>
  <c r="M42" i="12"/>
  <c r="L42" i="12"/>
  <c r="O41" i="12"/>
  <c r="N41" i="12"/>
  <c r="M41" i="12"/>
  <c r="L41" i="12"/>
  <c r="O40" i="12"/>
  <c r="N40" i="12"/>
  <c r="M40" i="12"/>
  <c r="L40" i="12"/>
  <c r="O29" i="12"/>
  <c r="N29" i="12"/>
  <c r="M29" i="12"/>
  <c r="L29" i="12"/>
  <c r="O28" i="12"/>
  <c r="N28" i="12"/>
  <c r="M28" i="12"/>
  <c r="L28" i="12"/>
  <c r="O27" i="12"/>
  <c r="N27" i="12"/>
  <c r="M27" i="12"/>
  <c r="L27" i="12"/>
  <c r="O26" i="12"/>
  <c r="N26" i="12"/>
  <c r="M26" i="12"/>
  <c r="L26" i="12"/>
  <c r="M15" i="12"/>
  <c r="M14" i="12"/>
  <c r="M13" i="12"/>
  <c r="M12" i="12"/>
  <c r="L15" i="12"/>
  <c r="K15" i="12" s="1"/>
  <c r="J36" i="12" s="1"/>
  <c r="L14" i="12"/>
  <c r="K14" i="12" s="1"/>
  <c r="L13" i="12"/>
  <c r="K13" i="12" s="1"/>
  <c r="J34" i="12" s="1"/>
  <c r="J33" i="12"/>
  <c r="H19" i="12"/>
  <c r="H20" i="12"/>
  <c r="H21" i="12"/>
  <c r="H18" i="12"/>
  <c r="G12" i="12"/>
  <c r="I12" i="12" s="1"/>
  <c r="I33" i="12" s="1"/>
  <c r="F12" i="12"/>
  <c r="H12" i="12" s="1"/>
  <c r="N13" i="12"/>
  <c r="N14" i="12"/>
  <c r="P14" i="12" s="1"/>
  <c r="N15" i="12"/>
  <c r="P15" i="12" s="1"/>
  <c r="N12" i="12"/>
  <c r="F13" i="12"/>
  <c r="H13" i="12" s="1"/>
  <c r="F14" i="12"/>
  <c r="H14" i="12" s="1"/>
  <c r="F15" i="12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4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S59" i="14"/>
  <c r="S60" i="14"/>
  <c r="S61" i="14"/>
  <c r="S62" i="14"/>
  <c r="S63" i="14"/>
  <c r="S64" i="14"/>
  <c r="S65" i="14"/>
  <c r="S66" i="14"/>
  <c r="S67" i="14"/>
  <c r="S68" i="14"/>
  <c r="S69" i="14"/>
  <c r="S70" i="14"/>
  <c r="S71" i="14"/>
  <c r="S72" i="14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S110" i="14"/>
  <c r="S111" i="14"/>
  <c r="S58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4" i="14"/>
  <c r="O14" i="12"/>
  <c r="Q14" i="12" s="1"/>
  <c r="K35" i="12" s="1"/>
  <c r="O15" i="12"/>
  <c r="Q15" i="12" s="1"/>
  <c r="K36" i="12" s="1"/>
  <c r="H15" i="12"/>
  <c r="G15" i="12"/>
  <c r="I15" i="12" s="1"/>
  <c r="I36" i="12" s="1"/>
  <c r="G14" i="12"/>
  <c r="I14" i="12" s="1"/>
  <c r="I35" i="12" s="1"/>
  <c r="P12" i="12"/>
  <c r="O13" i="12"/>
  <c r="Q13" i="12" s="1"/>
  <c r="K34" i="12" s="1"/>
  <c r="P13" i="12"/>
  <c r="G13" i="12"/>
  <c r="I13" i="12" s="1"/>
  <c r="I34" i="12" s="1"/>
  <c r="O12" i="12"/>
  <c r="Q12" i="12" s="1"/>
  <c r="K33" i="12" s="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5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T14" i="12" l="1"/>
  <c r="U14" i="12" s="1"/>
  <c r="T12" i="12"/>
  <c r="U12" i="12" s="1"/>
  <c r="T15" i="12"/>
  <c r="U15" i="12" s="1"/>
  <c r="T13" i="12"/>
  <c r="U13" i="12" s="1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M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J6" i="9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7" i="8"/>
  <c r="J6" i="8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6" i="5"/>
</calcChain>
</file>

<file path=xl/sharedStrings.xml><?xml version="1.0" encoding="utf-8"?>
<sst xmlns="http://schemas.openxmlformats.org/spreadsheetml/2006/main" count="1326" uniqueCount="915">
  <si>
    <t>W</t>
    <phoneticPr fontId="1" type="noConversion"/>
  </si>
  <si>
    <t>N</t>
    <phoneticPr fontId="1" type="noConversion"/>
  </si>
  <si>
    <t>H</t>
    <phoneticPr fontId="1" type="noConversion"/>
  </si>
  <si>
    <t>spc_num</t>
    <phoneticPr fontId="1" type="noConversion"/>
  </si>
  <si>
    <t>N</t>
  </si>
  <si>
    <t>decoder</t>
    <phoneticPr fontId="1" type="noConversion"/>
  </si>
  <si>
    <t>encoder</t>
  </si>
  <si>
    <t>encoder</t>
    <phoneticPr fontId="1" type="noConversion"/>
  </si>
  <si>
    <t>seq_idx</t>
    <phoneticPr fontId="1" type="noConversion"/>
  </si>
  <si>
    <t>优化前ms</t>
    <phoneticPr fontId="1" type="noConversion"/>
  </si>
  <si>
    <t>优化后ms</t>
    <phoneticPr fontId="1" type="noConversion"/>
  </si>
  <si>
    <t>收益</t>
    <phoneticPr fontId="1" type="noConversion"/>
  </si>
  <si>
    <t>brsw: 1680</t>
    <phoneticPr fontId="1" type="noConversion"/>
  </si>
  <si>
    <t>0.032736ms.</t>
  </si>
  <si>
    <t>0.181792ms.</t>
  </si>
  <si>
    <t>0.031917ms.</t>
  </si>
  <si>
    <t>0.034739ms.</t>
  </si>
  <si>
    <t>0.057088ms.</t>
  </si>
  <si>
    <t>0.085254ms.</t>
  </si>
  <si>
    <t>0.137907ms.</t>
  </si>
  <si>
    <t>0.245056ms.</t>
  </si>
  <si>
    <t>0.053203ms.</t>
  </si>
  <si>
    <t>0.062342ms.</t>
  </si>
  <si>
    <t>0.142854ms.</t>
  </si>
  <si>
    <t>0.257728ms.</t>
  </si>
  <si>
    <t>0.482682ms.</t>
  </si>
  <si>
    <t>0.915962ms.</t>
  </si>
  <si>
    <t>0.082067ms.</t>
  </si>
  <si>
    <t>0.099994ms.</t>
  </si>
  <si>
    <t>0.265075ms.</t>
  </si>
  <si>
    <t>0.496134ms.</t>
  </si>
  <si>
    <t>0.938067ms.</t>
  </si>
  <si>
    <t>1.790656ms.</t>
  </si>
  <si>
    <t>0.140582ms.</t>
  </si>
  <si>
    <t>0.176192ms.</t>
  </si>
  <si>
    <t>0.495002ms.</t>
  </si>
  <si>
    <t>0.950867ms.</t>
  </si>
  <si>
    <t>1.831296ms.</t>
  </si>
  <si>
    <t>3.567072ms.</t>
  </si>
  <si>
    <t>0.169907ms.</t>
  </si>
  <si>
    <t>0.214541ms.</t>
  </si>
  <si>
    <t>0.612128ms.</t>
  </si>
  <si>
    <t>1.185606ms.</t>
  </si>
  <si>
    <t>2.288634ms.</t>
  </si>
  <si>
    <t>4.453709ms.</t>
  </si>
  <si>
    <t>0.032282ms.</t>
  </si>
  <si>
    <t>0.042208ms.</t>
  </si>
  <si>
    <t>0.255238ms.</t>
  </si>
  <si>
    <t>1.164186ms.</t>
  </si>
  <si>
    <t>4.666547ms.</t>
  </si>
  <si>
    <t>18.486540ms.</t>
  </si>
  <si>
    <t>0.053446ms.</t>
  </si>
  <si>
    <t>0.096179ms.</t>
  </si>
  <si>
    <t>1.087296ms.</t>
  </si>
  <si>
    <t>4.818643ms.</t>
  </si>
  <si>
    <t>19.148134ms.</t>
  </si>
  <si>
    <t>75.595406ms.</t>
  </si>
  <si>
    <t>0.081926ms.</t>
  </si>
  <si>
    <t>0.181395ms.</t>
  </si>
  <si>
    <t>2.272743ms.</t>
  </si>
  <si>
    <t>9.859820ms.</t>
  </si>
  <si>
    <t>39.582195ms.</t>
  </si>
  <si>
    <t>0.140992ms.</t>
  </si>
  <si>
    <t>0.340595ms.</t>
  </si>
  <si>
    <t>4.256819ms.</t>
  </si>
  <si>
    <t>0.170336ms.</t>
  </si>
  <si>
    <t>0.420371ms.</t>
  </si>
  <si>
    <t>除去最后reorder</t>
    <phoneticPr fontId="1" type="noConversion"/>
  </si>
  <si>
    <t>0.021933ms.</t>
  </si>
  <si>
    <t>0.023757ms.</t>
  </si>
  <si>
    <t>0.046086ms.</t>
  </si>
  <si>
    <t>0.067443ms.</t>
  </si>
  <si>
    <t>0.102906ms.</t>
  </si>
  <si>
    <t>0.174470ms.</t>
  </si>
  <si>
    <t>0.039565ms.</t>
  </si>
  <si>
    <t>0.048493ms.</t>
  </si>
  <si>
    <t>0.109894ms.</t>
  </si>
  <si>
    <t>0.194586ms.</t>
  </si>
  <si>
    <t>0.347264ms.</t>
  </si>
  <si>
    <t>0.649466ms.</t>
  </si>
  <si>
    <t>0.055546ms.</t>
  </si>
  <si>
    <t>0.073709ms.</t>
  </si>
  <si>
    <t>0.188928ms.</t>
  </si>
  <si>
    <t>0.348045ms.</t>
  </si>
  <si>
    <t>0.653824ms.</t>
  </si>
  <si>
    <t>1.535437ms.</t>
  </si>
  <si>
    <t>0.088486ms.</t>
  </si>
  <si>
    <t>0.124806ms.</t>
  </si>
  <si>
    <t>0.356352ms.</t>
  </si>
  <si>
    <t>0.670330ms.</t>
  </si>
  <si>
    <t>1.285434ms.</t>
  </si>
  <si>
    <t>2.486611ms.</t>
  </si>
  <si>
    <t>0.105414ms.</t>
  </si>
  <si>
    <t>0.151418ms.</t>
  </si>
  <si>
    <t>0.440717ms.</t>
  </si>
  <si>
    <t>0.831392ms.</t>
  </si>
  <si>
    <t>1.592691ms.</t>
  </si>
  <si>
    <t>3.055866ms.</t>
  </si>
  <si>
    <t>0.027859ms.</t>
  </si>
  <si>
    <t>0.037811ms.</t>
  </si>
  <si>
    <t>0.222061ms.</t>
  </si>
  <si>
    <t>0.963898ms.</t>
  </si>
  <si>
    <t>4.059770ms.</t>
  </si>
  <si>
    <t>16.407988ms.</t>
  </si>
  <si>
    <t>0.032896ms.</t>
  </si>
  <si>
    <t>0.081472ms.</t>
  </si>
  <si>
    <t>0.921030ms.</t>
  </si>
  <si>
    <t>4.220409ms.</t>
  </si>
  <si>
    <t>16.772448ms.</t>
  </si>
  <si>
    <t>66.503952ms.</t>
  </si>
  <si>
    <t>0.055699ms.</t>
  </si>
  <si>
    <t>0.147162ms.</t>
  </si>
  <si>
    <t>1.944877ms.</t>
  </si>
  <si>
    <t>8.499770ms.</t>
  </si>
  <si>
    <t>35.256710ms.</t>
  </si>
  <si>
    <t>0.088877ms.</t>
  </si>
  <si>
    <t>0.273216ms.</t>
  </si>
  <si>
    <t>3.671955ms.</t>
  </si>
  <si>
    <t>0.105331ms.</t>
  </si>
  <si>
    <t>0.338304ms.</t>
  </si>
  <si>
    <t>去掉score*value和reorder</t>
    <phoneticPr fontId="1" type="noConversion"/>
  </si>
  <si>
    <t>0.025286ms.</t>
  </si>
  <si>
    <t>0.024730ms.</t>
  </si>
  <si>
    <t>0.101830ms.</t>
  </si>
  <si>
    <t>0.047891ms.</t>
  </si>
  <si>
    <t>0.065786ms.</t>
  </si>
  <si>
    <t>0.165638ms.</t>
  </si>
  <si>
    <t>0.040499ms.</t>
  </si>
  <si>
    <t>0.040256ms.</t>
  </si>
  <si>
    <t>0.068141ms.</t>
  </si>
  <si>
    <t>0.106490ms.</t>
  </si>
  <si>
    <t>0.522835ms.</t>
  </si>
  <si>
    <t>0.053498ms.</t>
  </si>
  <si>
    <t>0.052858ms.</t>
  </si>
  <si>
    <t>0.135808ms.</t>
  </si>
  <si>
    <t>0.187866ms.</t>
  </si>
  <si>
    <t>0.331091ms.</t>
  </si>
  <si>
    <t>0.617434ms.</t>
  </si>
  <si>
    <t>0.080570ms.</t>
  </si>
  <si>
    <t>0.080307ms.</t>
  </si>
  <si>
    <t>0.176595ms.</t>
  </si>
  <si>
    <t>0.339590ms.</t>
  </si>
  <si>
    <t>0.623514ms.</t>
  </si>
  <si>
    <t>1.217338ms.</t>
  </si>
  <si>
    <t>0.094150ms.</t>
  </si>
  <si>
    <t>0.095315ms.</t>
  </si>
  <si>
    <t>0.213600ms.</t>
  </si>
  <si>
    <t>0.418886ms.</t>
  </si>
  <si>
    <t>0.784595ms.</t>
  </si>
  <si>
    <t>1.520499ms.</t>
  </si>
  <si>
    <t>0.031398ms.</t>
  </si>
  <si>
    <t>0.042874ms.</t>
  </si>
  <si>
    <t>0.109990ms.</t>
  </si>
  <si>
    <t>0.251840ms.</t>
  </si>
  <si>
    <t>0.896339ms.</t>
  </si>
  <si>
    <t>2.973773ms.</t>
  </si>
  <si>
    <t>0.041082ms.</t>
  </si>
  <si>
    <t>0.089037ms.</t>
  </si>
  <si>
    <t>0.342432ms.</t>
  </si>
  <si>
    <t>1.198298ms.</t>
  </si>
  <si>
    <t>3.630887ms.</t>
  </si>
  <si>
    <t>13.173266ms.</t>
  </si>
  <si>
    <t>0.053299ms.</t>
  </si>
  <si>
    <t>0.151590ms.</t>
  </si>
  <si>
    <t>0.864570ms.</t>
  </si>
  <si>
    <t>2.492755ms.</t>
  </si>
  <si>
    <t>8.443949ms.</t>
  </si>
  <si>
    <t>0.081037ms.</t>
  </si>
  <si>
    <t>0.333293ms.</t>
  </si>
  <si>
    <t>1.842515ms.</t>
  </si>
  <si>
    <t>0.093709ms.</t>
  </si>
  <si>
    <t>0.765056ms.</t>
  </si>
  <si>
    <t>去掉Q*KT和softmax</t>
    <phoneticPr fontId="1" type="noConversion"/>
  </si>
  <si>
    <t>0.035078ms.</t>
  </si>
  <si>
    <t>0.024851ms.</t>
  </si>
  <si>
    <t>0.026720ms.</t>
  </si>
  <si>
    <t>0.029075ms.</t>
  </si>
  <si>
    <t>0.030899ms.</t>
  </si>
  <si>
    <t>0.041555ms.</t>
  </si>
  <si>
    <t>0.072653ms.</t>
  </si>
  <si>
    <t>0.107078ms.</t>
  </si>
  <si>
    <t>0.171789ms.</t>
  </si>
  <si>
    <t>0.295789ms.</t>
  </si>
  <si>
    <t>0.056326ms.</t>
  </si>
  <si>
    <t>0.073242ms.</t>
  </si>
  <si>
    <t>0.182541ms.</t>
  </si>
  <si>
    <t>0.336070ms.</t>
  </si>
  <si>
    <t>0.548390ms.</t>
  </si>
  <si>
    <t>1.029197ms.</t>
  </si>
  <si>
    <t>0.082707ms.</t>
  </si>
  <si>
    <t>0.115264ms.</t>
  </si>
  <si>
    <t>0.315379ms.</t>
  </si>
  <si>
    <t>0.558067ms.</t>
  </si>
  <si>
    <t>1.039066ms.</t>
  </si>
  <si>
    <t>2.000070ms.</t>
  </si>
  <si>
    <t>0.134970ms.</t>
  </si>
  <si>
    <t>0.203443ms.</t>
  </si>
  <si>
    <t>0.578035ms.</t>
  </si>
  <si>
    <t>1.062765ms.</t>
  </si>
  <si>
    <t>2.028019ms.</t>
  </si>
  <si>
    <t>3.962438ms.</t>
  </si>
  <si>
    <t>0.162867ms.</t>
  </si>
  <si>
    <t>0.246182ms.</t>
  </si>
  <si>
    <t>0.707526ms.</t>
  </si>
  <si>
    <t>1.311104ms.</t>
  </si>
  <si>
    <t>2.516410ms.</t>
  </si>
  <si>
    <t>4.928282ms.</t>
  </si>
  <si>
    <t>0.037517ms.</t>
  </si>
  <si>
    <t>0.071968ms.</t>
  </si>
  <si>
    <t>0.455770ms.</t>
  </si>
  <si>
    <t>1.540845ms.</t>
  </si>
  <si>
    <t>5.599322ms.</t>
  </si>
  <si>
    <t>21.169781ms.</t>
  </si>
  <si>
    <t>0.056506ms.</t>
  </si>
  <si>
    <t>0.194214ms.</t>
  </si>
  <si>
    <t>1.714016ms.</t>
  </si>
  <si>
    <t>6.367853ms.</t>
  </si>
  <si>
    <t>24.088562ms.</t>
  </si>
  <si>
    <t>90.212372ms.</t>
  </si>
  <si>
    <t>0.082227ms.</t>
  </si>
  <si>
    <t>0.359334ms.</t>
  </si>
  <si>
    <t>3.801536ms.</t>
  </si>
  <si>
    <t>13.989536ms.</t>
  </si>
  <si>
    <t>50.256630ms.</t>
  </si>
  <si>
    <t>0.135322ms.</t>
  </si>
  <si>
    <t>0.694099ms.</t>
  </si>
  <si>
    <t>7.773837ms.</t>
  </si>
  <si>
    <t>0.162912ms.</t>
  </si>
  <si>
    <t>0.917434ms.</t>
  </si>
  <si>
    <t>flash attention</t>
    <phoneticPr fontId="1" type="noConversion"/>
  </si>
  <si>
    <t>0.027450ms.</t>
  </si>
  <si>
    <t>0.066163ms.</t>
  </si>
  <si>
    <t>0.099206ms.</t>
  </si>
  <si>
    <t>0.164333ms.</t>
  </si>
  <si>
    <t>0.289056ms.</t>
  </si>
  <si>
    <t>0.046714ms.</t>
  </si>
  <si>
    <t>0.064224ms.</t>
  </si>
  <si>
    <t>0.173114ms.</t>
  </si>
  <si>
    <t>0.328269ms.</t>
  </si>
  <si>
    <t>0.538413ms.</t>
  </si>
  <si>
    <t>1.018982ms.</t>
  </si>
  <si>
    <t>0.069062ms.</t>
  </si>
  <si>
    <t>0.101664ms.</t>
  </si>
  <si>
    <t>0.302554ms.</t>
  </si>
  <si>
    <t>0.545549ms.</t>
  </si>
  <si>
    <t>1.018598ms.</t>
  </si>
  <si>
    <t>1.984614ms.</t>
  </si>
  <si>
    <t>0.115418ms.</t>
  </si>
  <si>
    <t>0.182278ms.</t>
  </si>
  <si>
    <t>0.556710ms.</t>
  </si>
  <si>
    <t>1.040006ms.</t>
  </si>
  <si>
    <t>2.003507ms.</t>
  </si>
  <si>
    <t>3.928454ms.</t>
  </si>
  <si>
    <t>0.139533ms.</t>
  </si>
  <si>
    <t>0.214950ms.</t>
  </si>
  <si>
    <t>0.684410ms.</t>
  </si>
  <si>
    <t>1.287834ms.</t>
  </si>
  <si>
    <t>2.492154ms.</t>
  </si>
  <si>
    <t>4.900038ms.</t>
  </si>
  <si>
    <t>0.022893ms.</t>
  </si>
  <si>
    <t>0.044205ms.</t>
  </si>
  <si>
    <t>0.361267ms.</t>
  </si>
  <si>
    <t>1.347008ms.</t>
  </si>
  <si>
    <t>5.198368ms.</t>
  </si>
  <si>
    <t>20.177620ms.</t>
  </si>
  <si>
    <t>0.046336ms.</t>
  </si>
  <si>
    <t>0.097811ms.</t>
  </si>
  <si>
    <t>1.344122ms.</t>
  </si>
  <si>
    <t>5.322662ms.</t>
  </si>
  <si>
    <t>21.579674ms.</t>
  </si>
  <si>
    <t>86.015778ms.</t>
  </si>
  <si>
    <t>0.069165ms.</t>
  </si>
  <si>
    <t>0.174170ms.</t>
  </si>
  <si>
    <t>2.713466ms.</t>
  </si>
  <si>
    <t>11.466150ms.</t>
  </si>
  <si>
    <t>46.240623ms.</t>
  </si>
  <si>
    <t>0.115398ms.</t>
  </si>
  <si>
    <t>0.340192ms.</t>
  </si>
  <si>
    <t>5.401971ms.</t>
  </si>
  <si>
    <t>0.138387ms.</t>
  </si>
  <si>
    <t>0.415558ms.</t>
  </si>
  <si>
    <t>0.024538ms.</t>
  </si>
  <si>
    <t>0.025056ms.</t>
  </si>
  <si>
    <t>0.051008ms.</t>
  </si>
  <si>
    <t>0.073146ms.</t>
  </si>
  <si>
    <t>0.117254ms.</t>
  </si>
  <si>
    <t>0.205184ms.</t>
  </si>
  <si>
    <t>0.027258ms.</t>
  </si>
  <si>
    <t>0.027174ms.</t>
  </si>
  <si>
    <t>0.121107ms.</t>
  </si>
  <si>
    <t>0.120640ms.</t>
  </si>
  <si>
    <t>0.381702ms.</t>
  </si>
  <si>
    <t>0.727930ms.</t>
  </si>
  <si>
    <t>0.030336ms.</t>
  </si>
  <si>
    <t>0.030374ms.</t>
  </si>
  <si>
    <t>0.212730ms.</t>
  </si>
  <si>
    <t>0.385997ms.</t>
  </si>
  <si>
    <t>0.732659ms.</t>
  </si>
  <si>
    <t>1.423360ms.</t>
  </si>
  <si>
    <t>0.036294ms.</t>
  </si>
  <si>
    <t>0.036474ms.</t>
  </si>
  <si>
    <t>0.393318ms.</t>
  </si>
  <si>
    <t>0.739584ms.</t>
  </si>
  <si>
    <t>1.430554ms.</t>
  </si>
  <si>
    <t>2.812384ms.</t>
  </si>
  <si>
    <t>0.039302ms.</t>
  </si>
  <si>
    <t>0.039597ms.</t>
  </si>
  <si>
    <t>0.483238ms.</t>
  </si>
  <si>
    <t>0.915200ms.</t>
  </si>
  <si>
    <t>1.779104ms.</t>
  </si>
  <si>
    <t>3.505472ms.</t>
  </si>
  <si>
    <t>0.024909ms.</t>
  </si>
  <si>
    <t>0.024928ms.</t>
  </si>
  <si>
    <t>0.256307ms.</t>
  </si>
  <si>
    <t>0.963117ms.</t>
  </si>
  <si>
    <t>3.908851ms.</t>
  </si>
  <si>
    <t>14.518964ms.</t>
  </si>
  <si>
    <t>0.027104ms.</t>
  </si>
  <si>
    <t>0.028045ms.</t>
  </si>
  <si>
    <t>0.952614ms.</t>
  </si>
  <si>
    <t>3.847501ms.</t>
  </si>
  <si>
    <t>15.461626ms.</t>
  </si>
  <si>
    <t>62.874111ms.</t>
  </si>
  <si>
    <t>0.030246ms.</t>
  </si>
  <si>
    <t>0.032154ms.</t>
  </si>
  <si>
    <t>1.886803ms.</t>
  </si>
  <si>
    <t>7.947923ms.</t>
  </si>
  <si>
    <t>34.580006ms.</t>
  </si>
  <si>
    <t>0.036230ms.</t>
  </si>
  <si>
    <t>0.040320ms.</t>
  </si>
  <si>
    <t>3.752346ms.</t>
  </si>
  <si>
    <t>0.039584ms.</t>
  </si>
  <si>
    <t>0.044358ms.</t>
  </si>
  <si>
    <t>0.018394ms.</t>
  </si>
  <si>
    <t>0.018054ms.</t>
  </si>
  <si>
    <t>0.023872ms.</t>
  </si>
  <si>
    <t>0.030682ms.</t>
  </si>
  <si>
    <t>0.044122ms.</t>
  </si>
  <si>
    <t>0.070995ms.</t>
  </si>
  <si>
    <t>0.026554ms.</t>
  </si>
  <si>
    <t>0.053312ms.</t>
  </si>
  <si>
    <t>0.053274ms.</t>
  </si>
  <si>
    <t>0.133843ms.</t>
  </si>
  <si>
    <t>0.241894ms.</t>
  </si>
  <si>
    <t>0.029811ms.</t>
  </si>
  <si>
    <t>0.029856ms.</t>
  </si>
  <si>
    <t>0.083200ms.</t>
  </si>
  <si>
    <t>0.137107ms.</t>
  </si>
  <si>
    <t>0.244819ms.</t>
  </si>
  <si>
    <t>0.460141ms.</t>
  </si>
  <si>
    <t>0.035949ms.</t>
  </si>
  <si>
    <t>0.036122ms.</t>
  </si>
  <si>
    <t>0.143059ms.</t>
  </si>
  <si>
    <t>0.250694ms.</t>
  </si>
  <si>
    <t>0.465939ms.</t>
  </si>
  <si>
    <t>0.896902ms.</t>
  </si>
  <si>
    <t>0.039130ms.</t>
  </si>
  <si>
    <t>0.039334ms.</t>
  </si>
  <si>
    <t>0.172794ms.</t>
  </si>
  <si>
    <t>0.307565ms.</t>
  </si>
  <si>
    <t>0.576947ms.</t>
  </si>
  <si>
    <t>1.115213ms.</t>
  </si>
  <si>
    <t>0.025030ms.</t>
  </si>
  <si>
    <t>0.025075ms.</t>
  </si>
  <si>
    <t>0.102682ms.</t>
  </si>
  <si>
    <t>0.351034ms.</t>
  </si>
  <si>
    <t>1.543424ms.</t>
  </si>
  <si>
    <t>7.014912ms.</t>
  </si>
  <si>
    <t>0.026029ms.</t>
  </si>
  <si>
    <t>0.027616ms.</t>
  </si>
  <si>
    <t>0.351930ms.</t>
  </si>
  <si>
    <t>1.408262ms.</t>
  </si>
  <si>
    <t>7.366112ms.</t>
  </si>
  <si>
    <t>29.642654ms.</t>
  </si>
  <si>
    <t>0.029914ms.</t>
  </si>
  <si>
    <t>0.035283ms.</t>
  </si>
  <si>
    <t>0.722637ms.</t>
  </si>
  <si>
    <t>3.673959ms.</t>
  </si>
  <si>
    <t>14.883130ms.</t>
  </si>
  <si>
    <t>0.036019ms.</t>
  </si>
  <si>
    <t>0.043718ms.</t>
  </si>
  <si>
    <t>1.609818ms.</t>
  </si>
  <si>
    <t>0.039251ms.</t>
  </si>
  <si>
    <t>0.048922ms.</t>
  </si>
  <si>
    <t>去除mma reorder，只有关于softmax的计算</t>
    <phoneticPr fontId="1" type="noConversion"/>
  </si>
  <si>
    <t>0.019994ms.</t>
  </si>
  <si>
    <t>0.020346ms.</t>
  </si>
  <si>
    <t>0.025645ms.</t>
  </si>
  <si>
    <t>0.037766ms.</t>
  </si>
  <si>
    <t>0.057254ms.</t>
  </si>
  <si>
    <t>0.095981ms.</t>
  </si>
  <si>
    <t>0.033702ms.</t>
  </si>
  <si>
    <t>0.037114ms.</t>
  </si>
  <si>
    <t>0.058067ms.</t>
  </si>
  <si>
    <t>0.091008ms.</t>
  </si>
  <si>
    <t>0.184525ms.</t>
  </si>
  <si>
    <t>0.339648ms.</t>
  </si>
  <si>
    <t>0.043571ms.</t>
  </si>
  <si>
    <t>0.051078ms.</t>
  </si>
  <si>
    <t>0.094662ms.</t>
  </si>
  <si>
    <t>0.191104ms.</t>
  </si>
  <si>
    <t>0.344864ms.</t>
  </si>
  <si>
    <t>0.651411ms.</t>
  </si>
  <si>
    <t>0.069171ms.</t>
  </si>
  <si>
    <t>0.088806ms.</t>
  </si>
  <si>
    <t>0.209210ms.</t>
  </si>
  <si>
    <t>0.360160ms.</t>
  </si>
  <si>
    <t>0.742912ms.</t>
  </si>
  <si>
    <t>1.573024ms.</t>
  </si>
  <si>
    <t>0.080512ms.</t>
  </si>
  <si>
    <t>0.105837ms.</t>
  </si>
  <si>
    <t>0.267501ms.</t>
  </si>
  <si>
    <t>0.459610ms.</t>
  </si>
  <si>
    <t>0.935757ms.</t>
  </si>
  <si>
    <t>1.958470ms.</t>
  </si>
  <si>
    <t>0.031328ms.</t>
  </si>
  <si>
    <t>0.092186ms.</t>
  </si>
  <si>
    <t>0.706938ms.</t>
  </si>
  <si>
    <t>3.203181ms.</t>
  </si>
  <si>
    <t>12.584890ms.</t>
  </si>
  <si>
    <t>0.033862ms.</t>
  </si>
  <si>
    <t>0.053242ms.</t>
  </si>
  <si>
    <t>0.473747ms.</t>
  </si>
  <si>
    <t>3.086912ms.</t>
  </si>
  <si>
    <t>13.279226ms.</t>
  </si>
  <si>
    <t>52.432949ms.</t>
  </si>
  <si>
    <t>0.043098ms.</t>
  </si>
  <si>
    <t>0.089018ms.</t>
  </si>
  <si>
    <t>0.915699ms.</t>
  </si>
  <si>
    <t>6.163302ms.</t>
  </si>
  <si>
    <t>26.598635ms.</t>
  </si>
  <si>
    <t>0.068851ms.</t>
  </si>
  <si>
    <t>0.154592ms.</t>
  </si>
  <si>
    <t>1.765894ms.</t>
  </si>
  <si>
    <t>0.080563ms.</t>
  </si>
  <si>
    <t>0.188659ms.</t>
  </si>
  <si>
    <t>只有softmax</t>
    <phoneticPr fontId="1" type="noConversion"/>
  </si>
  <si>
    <t>0.024634ms.</t>
  </si>
  <si>
    <t>0.025094ms.</t>
  </si>
  <si>
    <t>0.024979ms.</t>
  </si>
  <si>
    <t>0.040154ms.</t>
  </si>
  <si>
    <t>0.054432ms.</t>
  </si>
  <si>
    <t>0.082624ms.</t>
  </si>
  <si>
    <t>0.026458ms.</t>
  </si>
  <si>
    <t>0.026701ms.</t>
  </si>
  <si>
    <t>0.026650ms.</t>
  </si>
  <si>
    <t>0.026566ms.</t>
  </si>
  <si>
    <t>0.145197ms.</t>
  </si>
  <si>
    <t>0.257197ms.</t>
  </si>
  <si>
    <t>0.029587ms.</t>
  </si>
  <si>
    <t>0.029491ms.</t>
  </si>
  <si>
    <t>0.029389ms.</t>
  </si>
  <si>
    <t>0.152128ms.</t>
  </si>
  <si>
    <t>0.264602ms.</t>
  </si>
  <si>
    <t>0.487526ms.</t>
  </si>
  <si>
    <t>0.035206ms.</t>
  </si>
  <si>
    <t>0.035469ms.</t>
  </si>
  <si>
    <t>0.035462ms.</t>
  </si>
  <si>
    <t>0.277491ms.</t>
  </si>
  <si>
    <t>0.502502ms.</t>
  </si>
  <si>
    <t>0.947296ms.</t>
  </si>
  <si>
    <t>0.038445ms.</t>
  </si>
  <si>
    <t>0.038400ms.</t>
  </si>
  <si>
    <t>0.038541ms.</t>
  </si>
  <si>
    <t>0.335667ms.</t>
  </si>
  <si>
    <t>0.618778ms.</t>
  </si>
  <si>
    <t>1.177734ms.</t>
  </si>
  <si>
    <t>0.024774ms.</t>
  </si>
  <si>
    <t>0.025805ms.</t>
  </si>
  <si>
    <t>0.287085ms.</t>
  </si>
  <si>
    <t>1.030464ms.</t>
  </si>
  <si>
    <t>3.922137ms.</t>
  </si>
  <si>
    <t>0.026496ms.</t>
  </si>
  <si>
    <t>0.027533ms.</t>
  </si>
  <si>
    <t>0.032870ms.</t>
  </si>
  <si>
    <t>1.058355ms.</t>
  </si>
  <si>
    <t>3.949293ms.</t>
  </si>
  <si>
    <t>15.171636ms.</t>
  </si>
  <si>
    <t>0.029197ms.</t>
  </si>
  <si>
    <t>0.031482ms.</t>
  </si>
  <si>
    <t>0.042381ms.</t>
  </si>
  <si>
    <t>2.009312ms.</t>
  </si>
  <si>
    <t>7.622208ms.</t>
  </si>
  <si>
    <t>0.035238ms.</t>
  </si>
  <si>
    <t>Q*KT</t>
    <phoneticPr fontId="1" type="noConversion"/>
  </si>
  <si>
    <t>0.018861ms.</t>
  </si>
  <si>
    <t>0.024205ms.</t>
  </si>
  <si>
    <t>0.018298ms.</t>
  </si>
  <si>
    <t>0.026918ms.</t>
  </si>
  <si>
    <t>0.030368ms.</t>
  </si>
  <si>
    <t>0.030310ms.</t>
  </si>
  <si>
    <t>0.018848ms.</t>
  </si>
  <si>
    <t>0.018829ms.</t>
  </si>
  <si>
    <t>0.025114ms.</t>
  </si>
  <si>
    <t>0.018771ms.</t>
  </si>
  <si>
    <t>0.045638ms.</t>
  </si>
  <si>
    <t>0.072134ms.</t>
  </si>
  <si>
    <t>0.027584ms.</t>
  </si>
  <si>
    <t>0.027552ms.</t>
  </si>
  <si>
    <t>0.027546ms.</t>
  </si>
  <si>
    <t>0.054643ms.</t>
  </si>
  <si>
    <t>0.080179ms.</t>
  </si>
  <si>
    <t>0.127482ms.</t>
  </si>
  <si>
    <t>0.032480ms.</t>
  </si>
  <si>
    <t>0.032550ms.</t>
  </si>
  <si>
    <t>0.086259ms.</t>
  </si>
  <si>
    <t>0.139290ms.</t>
  </si>
  <si>
    <t>0.245747ms.</t>
  </si>
  <si>
    <t>0.035232ms.</t>
  </si>
  <si>
    <t>0.102534ms.</t>
  </si>
  <si>
    <t>0.168774ms.</t>
  </si>
  <si>
    <t>0.301133ms.</t>
  </si>
  <si>
    <t>0.024595ms.</t>
  </si>
  <si>
    <t>0.024154ms.</t>
  </si>
  <si>
    <t>0.243539ms.</t>
  </si>
  <si>
    <t>1.254989ms.</t>
  </si>
  <si>
    <t>5.054906ms.</t>
  </si>
  <si>
    <t>0.025107ms.</t>
  </si>
  <si>
    <t>0.025670ms.</t>
  </si>
  <si>
    <t>0.027782ms.</t>
  </si>
  <si>
    <t>1.384390ms.</t>
  </si>
  <si>
    <t>5.583040ms.</t>
  </si>
  <si>
    <t>22.689312ms.</t>
  </si>
  <si>
    <t>0.028090ms.</t>
  </si>
  <si>
    <t>0.028051ms.</t>
  </si>
  <si>
    <t>0.032486ms.</t>
  </si>
  <si>
    <t>2.868928ms.</t>
  </si>
  <si>
    <t>11.537267ms.</t>
  </si>
  <si>
    <t>0.031360ms.</t>
  </si>
  <si>
    <t>0.034131ms.</t>
  </si>
  <si>
    <t>0.042656ms.</t>
  </si>
  <si>
    <t>0.035014ms.</t>
  </si>
  <si>
    <t>0.037011ms.</t>
  </si>
  <si>
    <t>softmax前半部分</t>
    <phoneticPr fontId="1" type="noConversion"/>
  </si>
  <si>
    <t>0.024896ms.</t>
  </si>
  <si>
    <t>0.025766ms.</t>
  </si>
  <si>
    <t>0.030938ms.</t>
  </si>
  <si>
    <t>0.037619ms.</t>
  </si>
  <si>
    <t>0.084787ms.</t>
  </si>
  <si>
    <t>0.079398ms.</t>
  </si>
  <si>
    <t>0.031181ms.</t>
  </si>
  <si>
    <t>0.034458ms.</t>
  </si>
  <si>
    <t>0.055290ms.</t>
  </si>
  <si>
    <t>0.082611ms.</t>
  </si>
  <si>
    <t>0.145062ms.</t>
  </si>
  <si>
    <t>0.263526ms.</t>
  </si>
  <si>
    <t>0.038074ms.</t>
  </si>
  <si>
    <t>0.038406ms.</t>
  </si>
  <si>
    <t>0.086406ms.</t>
  </si>
  <si>
    <t>0.140506ms.</t>
  </si>
  <si>
    <t>0.259021ms.</t>
  </si>
  <si>
    <t>0.488845ms.</t>
  </si>
  <si>
    <t>0.058931ms.</t>
  </si>
  <si>
    <t>0.077626ms.</t>
  </si>
  <si>
    <t>0.197197ms.</t>
  </si>
  <si>
    <t>0.358662ms.</t>
  </si>
  <si>
    <t>0.681357ms.</t>
  </si>
  <si>
    <t>1.329389ms.</t>
  </si>
  <si>
    <t>0.067622ms.</t>
  </si>
  <si>
    <t>0.093453ms.</t>
  </si>
  <si>
    <t>0.254803ms.</t>
  </si>
  <si>
    <t>0.466157ms.</t>
  </si>
  <si>
    <t>0.891078ms.</t>
  </si>
  <si>
    <t>1.740570ms.</t>
  </si>
  <si>
    <t>0.025158ms.</t>
  </si>
  <si>
    <t>0.029069ms.</t>
  </si>
  <si>
    <t>0.083277ms.</t>
  </si>
  <si>
    <t>0.465888ms.</t>
  </si>
  <si>
    <t>1.807136ms.</t>
  </si>
  <si>
    <t>6.864173ms.</t>
  </si>
  <si>
    <t>0.030912ms.</t>
  </si>
  <si>
    <t>0.046995ms.</t>
  </si>
  <si>
    <t>0.461536ms.</t>
  </si>
  <si>
    <t>1.738528ms.</t>
  </si>
  <si>
    <t>6.786304ms.</t>
  </si>
  <si>
    <t>26.255894ms.</t>
  </si>
  <si>
    <t>0.072672ms.</t>
  </si>
  <si>
    <t>0.883757ms.</t>
  </si>
  <si>
    <t>3.353523ms.</t>
  </si>
  <si>
    <t>13.344069ms.</t>
  </si>
  <si>
    <t>0.053139ms.</t>
  </si>
  <si>
    <t>0.143290ms.</t>
  </si>
  <si>
    <t>1.708723ms.</t>
  </si>
  <si>
    <t>0.094234ms.</t>
  </si>
  <si>
    <t>0.177056ms.</t>
  </si>
  <si>
    <t>softmax后半部分</t>
    <phoneticPr fontId="1" type="noConversion"/>
  </si>
  <si>
    <t>0.018362ms.</t>
  </si>
  <si>
    <t>0.018010ms.</t>
  </si>
  <si>
    <t>0.018003ms.</t>
  </si>
  <si>
    <t>0.020294ms.</t>
  </si>
  <si>
    <t>0.023603ms.</t>
  </si>
  <si>
    <t>0.030208ms.</t>
  </si>
  <si>
    <t>0.025574ms.</t>
  </si>
  <si>
    <t>0.025773ms.</t>
  </si>
  <si>
    <t>0.025741ms.</t>
  </si>
  <si>
    <t>0.025850ms.</t>
  </si>
  <si>
    <t>0.052506ms.</t>
  </si>
  <si>
    <t>0.079104ms.</t>
  </si>
  <si>
    <t>0.028154ms.</t>
  </si>
  <si>
    <t>0.028083ms.</t>
  </si>
  <si>
    <t>0.054803ms.</t>
  </si>
  <si>
    <t>0.081318ms.</t>
  </si>
  <si>
    <t>0.134291ms.</t>
  </si>
  <si>
    <t>0.032730ms.</t>
  </si>
  <si>
    <t>0.033248ms.</t>
  </si>
  <si>
    <t>0.032640ms.</t>
  </si>
  <si>
    <t>0.086138ms.</t>
  </si>
  <si>
    <t>0.139501ms.</t>
  </si>
  <si>
    <t>0.245638ms.</t>
  </si>
  <si>
    <t>0.035091ms.</t>
  </si>
  <si>
    <t>0.035366ms.</t>
  </si>
  <si>
    <t>0.035482ms.</t>
  </si>
  <si>
    <t>0.102406ms.</t>
  </si>
  <si>
    <t>0.169152ms.</t>
  </si>
  <si>
    <t>0.301779ms.</t>
  </si>
  <si>
    <t>0.024954ms.</t>
  </si>
  <si>
    <t>0.025082ms.</t>
  </si>
  <si>
    <t>0.025101ms.</t>
  </si>
  <si>
    <t>0.316205ms.</t>
  </si>
  <si>
    <t>1.257555ms.</t>
  </si>
  <si>
    <t>5.148980ms.</t>
  </si>
  <si>
    <t>0.025498ms.</t>
  </si>
  <si>
    <t>0.025869ms.</t>
  </si>
  <si>
    <t>0.028282ms.</t>
  </si>
  <si>
    <t>1.389082ms.</t>
  </si>
  <si>
    <t>5.626048ms.</t>
  </si>
  <si>
    <t>22.315418ms.</t>
  </si>
  <si>
    <t>0.027968ms.</t>
  </si>
  <si>
    <t>0.028621ms.</t>
  </si>
  <si>
    <t>0.032973ms.</t>
  </si>
  <si>
    <t>2.873152ms.</t>
  </si>
  <si>
    <t>11.586252ms.</t>
  </si>
  <si>
    <t>0.032627ms.</t>
  </si>
  <si>
    <t>0.034368ms.</t>
  </si>
  <si>
    <t>0.042714ms.</t>
  </si>
  <si>
    <t>0.035315ms.</t>
  </si>
  <si>
    <t>0.037158ms.</t>
  </si>
  <si>
    <t>0.033094ms.</t>
  </si>
  <si>
    <t>0.056730ms.</t>
  </si>
  <si>
    <t>0.088416ms.</t>
  </si>
  <si>
    <t>0.138163ms.</t>
  </si>
  <si>
    <t>0.239514ms.</t>
  </si>
  <si>
    <t>0.064013ms.</t>
  </si>
  <si>
    <t>0.068557ms.</t>
  </si>
  <si>
    <t>0.147962ms.</t>
  </si>
  <si>
    <t>0.264109ms.</t>
  </si>
  <si>
    <t>0.473696ms.</t>
  </si>
  <si>
    <t>0.888128ms.</t>
  </si>
  <si>
    <t>0.095424ms.</t>
  </si>
  <si>
    <t>0.105664ms.</t>
  </si>
  <si>
    <t>0.259501ms.</t>
  </si>
  <si>
    <t>0.480992ms.</t>
  </si>
  <si>
    <t>0.905376ms.</t>
  </si>
  <si>
    <t>1.743219ms.</t>
  </si>
  <si>
    <t>0.161498ms.</t>
  </si>
  <si>
    <t>0.182496ms.</t>
  </si>
  <si>
    <t>0.485126ms.</t>
  </si>
  <si>
    <t>0.923904ms.</t>
  </si>
  <si>
    <t>1.758112ms.</t>
  </si>
  <si>
    <t>3.428448ms.</t>
  </si>
  <si>
    <t>0.194688ms.</t>
  </si>
  <si>
    <t>0.221536ms.</t>
  </si>
  <si>
    <t>0.599437ms.</t>
  </si>
  <si>
    <t>1.150579ms.</t>
  </si>
  <si>
    <t>2.201107ms.</t>
  </si>
  <si>
    <t>4.270522ms.</t>
  </si>
  <si>
    <t>0.039341ms.</t>
  </si>
  <si>
    <t>0.060589ms.</t>
  </si>
  <si>
    <t>0.305402ms.</t>
  </si>
  <si>
    <t>1.258400ms.</t>
  </si>
  <si>
    <t>4.770982ms.</t>
  </si>
  <si>
    <t>18.079775ms.</t>
  </si>
  <si>
    <t>0.063814ms.</t>
  </si>
  <si>
    <t>0.147603ms.</t>
  </si>
  <si>
    <t>1.290810ms.</t>
  </si>
  <si>
    <t>5.312794ms.</t>
  </si>
  <si>
    <t>20.119520ms.</t>
  </si>
  <si>
    <t>76.858009ms.</t>
  </si>
  <si>
    <t>0.095610ms.</t>
  </si>
  <si>
    <t>0.301222ms.</t>
  </si>
  <si>
    <t>2.757715ms.</t>
  </si>
  <si>
    <t>10.844256ms.</t>
  </si>
  <si>
    <t>42.832935ms.</t>
  </si>
  <si>
    <t>0.162426ms.</t>
  </si>
  <si>
    <t>0.582726ms.</t>
  </si>
  <si>
    <t>5.402893ms.</t>
  </si>
  <si>
    <t>0.193958ms.</t>
  </si>
  <si>
    <t>0.710720ms.</t>
  </si>
  <si>
    <t>0.032621ms.</t>
  </si>
  <si>
    <t>0.033715ms.</t>
  </si>
  <si>
    <t>0.056314ms.</t>
  </si>
  <si>
    <t>0.086266ms.</t>
  </si>
  <si>
    <t>0.133856ms.</t>
  </si>
  <si>
    <t>0.229197ms.</t>
  </si>
  <si>
    <t>0.063584ms.</t>
  </si>
  <si>
    <t>0.068781ms.</t>
  </si>
  <si>
    <t>0.149152ms.</t>
  </si>
  <si>
    <t>0.263302ms.</t>
  </si>
  <si>
    <t>0.456736ms.</t>
  </si>
  <si>
    <t>0.847558ms.</t>
  </si>
  <si>
    <t>0.095846ms.</t>
  </si>
  <si>
    <t>0.105523ms.</t>
  </si>
  <si>
    <t>0.258240ms.</t>
  </si>
  <si>
    <t>0.464013ms.</t>
  </si>
  <si>
    <t>0.874957ms.</t>
  </si>
  <si>
    <t>1.679648ms.</t>
  </si>
  <si>
    <t>0.160909ms.</t>
  </si>
  <si>
    <t>0.182355ms.</t>
  </si>
  <si>
    <t>0.483955ms.</t>
  </si>
  <si>
    <t>0.891354ms.</t>
  </si>
  <si>
    <t>1.693254ms.</t>
  </si>
  <si>
    <t>3.293235ms.</t>
  </si>
  <si>
    <t>0.193722ms.</t>
  </si>
  <si>
    <t>0.221459ms.</t>
  </si>
  <si>
    <t>0.597773ms.</t>
  </si>
  <si>
    <t>1.105754ms.</t>
  </si>
  <si>
    <t>2.113376ms.</t>
  </si>
  <si>
    <t>4.092717ms.</t>
  </si>
  <si>
    <t>0.039194ms.</t>
  </si>
  <si>
    <t>0.060410ms.</t>
  </si>
  <si>
    <t>0.304634ms.</t>
  </si>
  <si>
    <t>1.236493ms.</t>
  </si>
  <si>
    <t>4.676480ms.</t>
  </si>
  <si>
    <t>17.783495ms.</t>
  </si>
  <si>
    <t>0.062362ms.</t>
  </si>
  <si>
    <t>0.149056ms.</t>
  </si>
  <si>
    <t>1.292730ms.</t>
  </si>
  <si>
    <t>5.169024ms.</t>
  </si>
  <si>
    <t>19.527054ms.</t>
  </si>
  <si>
    <t>74.825989ms.</t>
  </si>
  <si>
    <t>0.095878ms.</t>
  </si>
  <si>
    <t>0.301408ms.</t>
  </si>
  <si>
    <t>2.756749ms.</t>
  </si>
  <si>
    <t>10.631770ms.</t>
  </si>
  <si>
    <t>41.824284ms.</t>
  </si>
  <si>
    <t>0.161299ms.</t>
  </si>
  <si>
    <t>0.588083ms.</t>
  </si>
  <si>
    <t>5.375616ms.</t>
  </si>
  <si>
    <t>0.194182ms.</t>
  </si>
  <si>
    <t>0.723827ms.</t>
  </si>
  <si>
    <t>uma_gmb</t>
    <phoneticPr fontId="1" type="noConversion"/>
  </si>
  <si>
    <t>uma_hbm</t>
    <phoneticPr fontId="1" type="noConversion"/>
  </si>
  <si>
    <t>NUMA</t>
    <phoneticPr fontId="1" type="noConversion"/>
  </si>
  <si>
    <t>UMA</t>
    <phoneticPr fontId="1" type="noConversion"/>
  </si>
  <si>
    <t>unroll前ms</t>
    <phoneticPr fontId="1" type="noConversion"/>
  </si>
  <si>
    <t>unroll后ms</t>
    <phoneticPr fontId="1" type="noConversion"/>
  </si>
  <si>
    <t>UMA FP32</t>
    <phoneticPr fontId="1" type="noConversion"/>
  </si>
  <si>
    <t>NUMAFP32</t>
    <phoneticPr fontId="1" type="noConversion"/>
  </si>
  <si>
    <t>UMAFP32</t>
    <phoneticPr fontId="1" type="noConversion"/>
  </si>
  <si>
    <t>numa_hbm</t>
    <phoneticPr fontId="1" type="noConversion"/>
  </si>
  <si>
    <t>numa_gmb</t>
    <phoneticPr fontId="1" type="noConversion"/>
  </si>
  <si>
    <t>brsw: 1718</t>
    <phoneticPr fontId="1" type="noConversion"/>
  </si>
  <si>
    <t>tcore</t>
    <phoneticPr fontId="1" type="noConversion"/>
  </si>
  <si>
    <t>vcore实现1</t>
    <phoneticPr fontId="1" type="noConversion"/>
  </si>
  <si>
    <t>vcore实现2</t>
    <phoneticPr fontId="1" type="noConversion"/>
  </si>
  <si>
    <t>0.132826ms.</t>
  </si>
  <si>
    <t>0.116333ms.</t>
  </si>
  <si>
    <t>0.085389ms.</t>
  </si>
  <si>
    <t>0.157830ms.</t>
  </si>
  <si>
    <t>0.112602ms.</t>
  </si>
  <si>
    <t>0.071091ms.</t>
  </si>
  <si>
    <t>0.656934ms.</t>
  </si>
  <si>
    <t>0.561632ms.</t>
  </si>
  <si>
    <t>0.366118ms.</t>
  </si>
  <si>
    <t>0.819328ms.</t>
  </si>
  <si>
    <t>0.529101ms.</t>
  </si>
  <si>
    <t>0.303091ms.</t>
  </si>
  <si>
    <t>2.794745ms.</t>
  </si>
  <si>
    <t>2.144640ms.</t>
  </si>
  <si>
    <t>1.169664ms.</t>
  </si>
  <si>
    <t>2.948582ms.</t>
  </si>
  <si>
    <t>1.882822ms.</t>
  </si>
  <si>
    <t>1.038515ms.</t>
  </si>
  <si>
    <t>0.527482ms.</t>
  </si>
  <si>
    <t>0.510483ms.</t>
  </si>
  <si>
    <t>0.292755ms.</t>
  </si>
  <si>
    <t>0.626541ms.</t>
  </si>
  <si>
    <t>0.362003ms.</t>
  </si>
  <si>
    <t>0.282010ms.</t>
  </si>
  <si>
    <t>6.101946ms.</t>
  </si>
  <si>
    <t>5.041754ms.</t>
  </si>
  <si>
    <t>3.161159ms.</t>
  </si>
  <si>
    <t>6.300409ms.</t>
  </si>
  <si>
    <t>3.438854ms.</t>
  </si>
  <si>
    <t>2.627808ms.</t>
  </si>
  <si>
    <t>0.889613ms.</t>
  </si>
  <si>
    <t>0.862624ms.</t>
  </si>
  <si>
    <t>0.513939ms.</t>
  </si>
  <si>
    <t>1.074118ms.</t>
  </si>
  <si>
    <t>0.631072ms.</t>
  </si>
  <si>
    <t>0.493971ms.</t>
  </si>
  <si>
    <t>11.995206ms.</t>
  </si>
  <si>
    <t>10.153869ms.</t>
  </si>
  <si>
    <t>6.187680ms.</t>
  </si>
  <si>
    <t>12.572576ms.</t>
  </si>
  <si>
    <t>6.757863ms.</t>
  </si>
  <si>
    <t>5.234009ms.</t>
  </si>
  <si>
    <t>45.067394ms.</t>
  </si>
  <si>
    <t>35.196632ms.</t>
  </si>
  <si>
    <t>23.243385ms.</t>
  </si>
  <si>
    <t>43.565853ms.</t>
  </si>
  <si>
    <t>23.220608ms.</t>
  </si>
  <si>
    <t>18.289715ms.</t>
  </si>
  <si>
    <t>14.849958ms.</t>
  </si>
  <si>
    <t>12.658137ms.</t>
  </si>
  <si>
    <t>7.957120ms.</t>
  </si>
  <si>
    <t>15.942143ms.</t>
  </si>
  <si>
    <t>8.922106ms.</t>
  </si>
  <si>
    <t>6.834259ms.</t>
  </si>
  <si>
    <t>0.062470ms.</t>
  </si>
  <si>
    <t>0.055552ms.</t>
  </si>
  <si>
    <t>0.046726ms.</t>
  </si>
  <si>
    <t>0.066074ms.</t>
  </si>
  <si>
    <t>0.051456ms.</t>
  </si>
  <si>
    <t>0.035987ms.</t>
  </si>
  <si>
    <t>0.097638ms.</t>
  </si>
  <si>
    <t>0.085363ms.</t>
  </si>
  <si>
    <t>0.061901ms.</t>
  </si>
  <si>
    <t>0.105018ms.</t>
  </si>
  <si>
    <t>0.078074ms.</t>
  </si>
  <si>
    <t>0.049562ms.</t>
  </si>
  <si>
    <t>0.168781ms.</t>
  </si>
  <si>
    <t>0.137427ms.</t>
  </si>
  <si>
    <t>0.098566ms.</t>
  </si>
  <si>
    <t>0.181094ms.</t>
  </si>
  <si>
    <t>0.126669ms.</t>
  </si>
  <si>
    <t>0.073517ms.</t>
  </si>
  <si>
    <t>0.301984ms.</t>
  </si>
  <si>
    <t>0.242438ms.</t>
  </si>
  <si>
    <t>0.165325ms.</t>
  </si>
  <si>
    <t>0.295974ms.</t>
  </si>
  <si>
    <t>0.159987ms.</t>
  </si>
  <si>
    <t>0.134355ms.</t>
  </si>
  <si>
    <t>0.570470ms.</t>
  </si>
  <si>
    <t>0.427232ms.</t>
  </si>
  <si>
    <t>0.299322ms.</t>
  </si>
  <si>
    <t>0.518746ms.</t>
  </si>
  <si>
    <t>0.273376ms.</t>
  </si>
  <si>
    <t>0.227514ms.</t>
  </si>
  <si>
    <t>0.388646ms.</t>
  </si>
  <si>
    <t>0.344570ms.</t>
  </si>
  <si>
    <t>0.205549ms.</t>
  </si>
  <si>
    <t>0.424691ms.</t>
  </si>
  <si>
    <t>0.221811ms.</t>
  </si>
  <si>
    <t>0.185190ms.</t>
  </si>
  <si>
    <t>1.107373ms.</t>
  </si>
  <si>
    <t>0.811232ms.</t>
  </si>
  <si>
    <t>0.578912ms.</t>
  </si>
  <si>
    <t>1.000602ms.</t>
  </si>
  <si>
    <t>0.516346ms.</t>
  </si>
  <si>
    <t>0.419533ms.</t>
  </si>
  <si>
    <t>2.326374ms.</t>
  </si>
  <si>
    <t>1.668493ms.</t>
  </si>
  <si>
    <t>1.191040ms.</t>
  </si>
  <si>
    <t>2.080134ms.</t>
  </si>
  <si>
    <t>1.045536ms.</t>
  </si>
  <si>
    <t>0.840902ms.</t>
  </si>
  <si>
    <t>1.698368ms.</t>
  </si>
  <si>
    <t>1.236429ms.</t>
  </si>
  <si>
    <t>0.869587ms.</t>
  </si>
  <si>
    <t>1.531552ms.</t>
  </si>
  <si>
    <t>0.779942ms.</t>
  </si>
  <si>
    <t>0.620781ms.</t>
  </si>
  <si>
    <t>时间</t>
    <phoneticPr fontId="1" type="noConversion"/>
  </si>
  <si>
    <t>模型</t>
    <phoneticPr fontId="1" type="noConversion"/>
  </si>
  <si>
    <t>llama1_7B/baichuan1_7B</t>
  </si>
  <si>
    <t>llama2_70B(4卡)</t>
  </si>
  <si>
    <t>llama1_13B</t>
  </si>
  <si>
    <t>llama1_13B/baichuan1_13B(2卡)</t>
  </si>
  <si>
    <t>chatglm2 6B</t>
    <phoneticPr fontId="1" type="noConversion"/>
  </si>
  <si>
    <t>Q: N*1*128</t>
    <phoneticPr fontId="1" type="noConversion"/>
  </si>
  <si>
    <t>K:  N*H*128</t>
    <phoneticPr fontId="1" type="noConversion"/>
  </si>
  <si>
    <t>score: N*1*H</t>
    <phoneticPr fontId="1" type="noConversion"/>
  </si>
  <si>
    <t>a_size</t>
    <phoneticPr fontId="1" type="noConversion"/>
  </si>
  <si>
    <t>FP32</t>
    <phoneticPr fontId="1" type="noConversion"/>
  </si>
  <si>
    <t>bbuf_size</t>
    <phoneticPr fontId="1" type="noConversion"/>
  </si>
  <si>
    <t>acycle</t>
    <phoneticPr fontId="1" type="noConversion"/>
  </si>
  <si>
    <t>b cycle</t>
    <phoneticPr fontId="1" type="noConversion"/>
  </si>
  <si>
    <t>mmacycle</t>
    <phoneticPr fontId="1" type="noConversion"/>
  </si>
  <si>
    <t>Q*K</t>
    <phoneticPr fontId="1" type="noConversion"/>
  </si>
  <si>
    <t>V： N*H*128</t>
    <phoneticPr fontId="1" type="noConversion"/>
  </si>
  <si>
    <t>score*vcache</t>
    <phoneticPr fontId="1" type="noConversion"/>
  </si>
  <si>
    <t>ldmma HBM带宽</t>
    <phoneticPr fontId="1" type="noConversion"/>
  </si>
  <si>
    <t>优化前</t>
    <phoneticPr fontId="1" type="noConversion"/>
  </si>
  <si>
    <t>exp优化</t>
    <phoneticPr fontId="1" type="noConversion"/>
  </si>
  <si>
    <t>float4改float1</t>
    <phoneticPr fontId="1" type="noConversion"/>
  </si>
  <si>
    <t>提前load vcache</t>
    <phoneticPr fontId="1" type="noConversion"/>
  </si>
  <si>
    <t>DECODER</t>
    <phoneticPr fontId="1" type="noConversion"/>
  </si>
  <si>
    <t>ENCODER</t>
    <phoneticPr fontId="1" type="noConversion"/>
  </si>
  <si>
    <t>Q: N*H*128</t>
    <phoneticPr fontId="1" type="noConversion"/>
  </si>
  <si>
    <t>score: N*H*H</t>
    <phoneticPr fontId="1" type="noConversion"/>
  </si>
  <si>
    <t>softmax</t>
    <phoneticPr fontId="1" type="noConversion"/>
  </si>
  <si>
    <t>scorefp32 ld/st</t>
    <phoneticPr fontId="1" type="noConversion"/>
  </si>
  <si>
    <t xml:space="preserve">load mask </t>
    <phoneticPr fontId="1" type="noConversion"/>
  </si>
  <si>
    <t>score stm</t>
    <phoneticPr fontId="1" type="noConversion"/>
  </si>
  <si>
    <t>N=1 cycle计算</t>
    <phoneticPr fontId="1" type="noConversion"/>
  </si>
  <si>
    <t>理论</t>
    <phoneticPr fontId="1" type="noConversion"/>
  </si>
  <si>
    <t>N=1,head=32
 for 16spc</t>
    <phoneticPr fontId="1" type="noConversion"/>
  </si>
  <si>
    <t>br利用率</t>
    <phoneticPr fontId="1" type="noConversion"/>
  </si>
  <si>
    <t>HBM实测</t>
    <phoneticPr fontId="1" type="noConversion"/>
  </si>
  <si>
    <t>总</t>
    <phoneticPr fontId="1" type="noConversion"/>
  </si>
  <si>
    <t>reorder</t>
    <phoneticPr fontId="1" type="noConversion"/>
  </si>
  <si>
    <t>S*V</t>
    <phoneticPr fontId="1" type="noConversion"/>
  </si>
  <si>
    <t>单spcshape：Q[2,1,128],因为总的cycle较小，launch kernel的时间影响太大，测试的各部分cycle不具有参考性</t>
    <phoneticPr fontId="1" type="noConversion"/>
  </si>
  <si>
    <t>增大batch数，N=100, head=32（单spc[200,1,128]）理论性能以及测试结果：</t>
    <phoneticPr fontId="1" type="noConversion"/>
  </si>
  <si>
    <t>理论性能</t>
    <phoneticPr fontId="1" type="noConversion"/>
  </si>
  <si>
    <t>H=128</t>
    <phoneticPr fontId="1" type="noConversion"/>
  </si>
  <si>
    <t>H=512</t>
    <phoneticPr fontId="1" type="noConversion"/>
  </si>
  <si>
    <t>H=256</t>
    <phoneticPr fontId="1" type="noConversion"/>
  </si>
  <si>
    <t>H=1024</t>
    <phoneticPr fontId="1" type="noConversion"/>
  </si>
  <si>
    <t>total</t>
    <phoneticPr fontId="1" type="noConversion"/>
  </si>
  <si>
    <t>实测性能性能</t>
    <phoneticPr fontId="1" type="noConversion"/>
  </si>
  <si>
    <t>总时间us</t>
    <phoneticPr fontId="1" type="noConversion"/>
  </si>
  <si>
    <t>各部分时间之和与总时间相差400~500cycle, 可以认为是提前load了一次vcache</t>
    <phoneticPr fontId="1" type="noConversion"/>
  </si>
  <si>
    <t>将score_fp32配置为GMB时的性能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</si>
</sst>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20" xfId="0" applyBorder="1"/>
    <xf numFmtId="0" fontId="0" fillId="0" borderId="24" xfId="0" applyBorder="1"/>
    <xf numFmtId="0" fontId="0" fillId="0" borderId="2" xfId="0" applyBorder="1"/>
    <xf numFmtId="0" fontId="0" fillId="0" borderId="25" xfId="0" applyBorder="1"/>
    <xf numFmtId="0" fontId="0" fillId="0" borderId="26" xfId="0" applyBorder="1"/>
    <xf numFmtId="0" fontId="0" fillId="0" borderId="1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10" fontId="0" fillId="0" borderId="8" xfId="0" applyNumberFormat="1" applyBorder="1"/>
    <xf numFmtId="10" fontId="0" fillId="0" borderId="11" xfId="0" applyNumberFormat="1" applyBorder="1"/>
    <xf numFmtId="0" fontId="0" fillId="0" borderId="17" xfId="0" applyFill="1" applyBorder="1"/>
    <xf numFmtId="0" fontId="0" fillId="0" borderId="18" xfId="0" applyFill="1" applyBorder="1"/>
    <xf numFmtId="0" fontId="0" fillId="0" borderId="22" xfId="0" applyBorder="1"/>
    <xf numFmtId="10" fontId="0" fillId="0" borderId="23" xfId="0" applyNumberFormat="1" applyBorder="1"/>
    <xf numFmtId="10" fontId="0" fillId="0" borderId="6" xfId="0" applyNumberFormat="1" applyBorder="1"/>
    <xf numFmtId="0" fontId="0" fillId="0" borderId="16" xfId="0" applyBorder="1"/>
    <xf numFmtId="0" fontId="0" fillId="0" borderId="17" xfId="0" applyBorder="1"/>
    <xf numFmtId="0" fontId="0" fillId="0" borderId="31" xfId="0" applyBorder="1"/>
    <xf numFmtId="10" fontId="0" fillId="0" borderId="32" xfId="0" applyNumberFormat="1" applyBorder="1"/>
    <xf numFmtId="10" fontId="0" fillId="0" borderId="33" xfId="0" applyNumberFormat="1" applyBorder="1"/>
    <xf numFmtId="10" fontId="0" fillId="0" borderId="34" xfId="0" applyNumberFormat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2" xfId="0" applyFill="1" applyBorder="1"/>
    <xf numFmtId="10" fontId="0" fillId="2" borderId="33" xfId="0" applyNumberFormat="1" applyFill="1" applyBorder="1"/>
    <xf numFmtId="0" fontId="0" fillId="2" borderId="0" xfId="0" applyFill="1"/>
    <xf numFmtId="0" fontId="0" fillId="3" borderId="0" xfId="0" applyFill="1"/>
    <xf numFmtId="10" fontId="0" fillId="0" borderId="35" xfId="0" applyNumberFormat="1" applyBorder="1"/>
    <xf numFmtId="10" fontId="0" fillId="0" borderId="36" xfId="0" applyNumberFormat="1" applyBorder="1"/>
    <xf numFmtId="10" fontId="0" fillId="0" borderId="37" xfId="0" applyNumberFormat="1" applyBorder="1"/>
    <xf numFmtId="0" fontId="0" fillId="0" borderId="24" xfId="0" applyFill="1" applyBorder="1"/>
    <xf numFmtId="10" fontId="0" fillId="0" borderId="35" xfId="0" applyNumberFormat="1" applyFill="1" applyBorder="1"/>
    <xf numFmtId="0" fontId="0" fillId="0" borderId="7" xfId="0" applyFill="1" applyBorder="1"/>
    <xf numFmtId="0" fontId="0" fillId="0" borderId="2" xfId="0" applyFill="1" applyBorder="1"/>
    <xf numFmtId="10" fontId="0" fillId="0" borderId="36" xfId="0" applyNumberFormat="1" applyFill="1" applyBorder="1"/>
    <xf numFmtId="0" fontId="0" fillId="0" borderId="42" xfId="0" applyBorder="1"/>
    <xf numFmtId="10" fontId="0" fillId="0" borderId="24" xfId="0" applyNumberFormat="1" applyBorder="1"/>
    <xf numFmtId="10" fontId="0" fillId="0" borderId="2" xfId="0" applyNumberFormat="1" applyBorder="1"/>
    <xf numFmtId="0" fontId="0" fillId="0" borderId="21" xfId="0" applyBorder="1"/>
    <xf numFmtId="0" fontId="0" fillId="0" borderId="19" xfId="0" applyBorder="1"/>
    <xf numFmtId="10" fontId="0" fillId="0" borderId="41" xfId="0" applyNumberFormat="1" applyBorder="1"/>
    <xf numFmtId="10" fontId="0" fillId="0" borderId="26" xfId="0" applyNumberFormat="1" applyBorder="1"/>
    <xf numFmtId="10" fontId="0" fillId="0" borderId="25" xfId="0" applyNumberFormat="1" applyBorder="1"/>
    <xf numFmtId="10" fontId="0" fillId="0" borderId="43" xfId="0" applyNumberFormat="1" applyBorder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10" fontId="0" fillId="0" borderId="1" xfId="0" applyNumberFormat="1" applyBorder="1"/>
    <xf numFmtId="0" fontId="0" fillId="0" borderId="44" xfId="0" applyBorder="1"/>
    <xf numFmtId="0" fontId="0" fillId="0" borderId="45" xfId="0" applyBorder="1"/>
    <xf numFmtId="0" fontId="0" fillId="0" borderId="46" xfId="0" applyFill="1" applyBorder="1"/>
    <xf numFmtId="0" fontId="0" fillId="0" borderId="47" xfId="0" applyFill="1" applyBorder="1"/>
    <xf numFmtId="10" fontId="0" fillId="0" borderId="10" xfId="0" applyNumberFormat="1" applyBorder="1"/>
    <xf numFmtId="0" fontId="0" fillId="0" borderId="0" xfId="0" applyAlignment="1">
      <alignment wrapText="1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1" xfId="0" applyBorder="1" applyAlignment="1">
      <alignment horizontal="center" vertical="center"/>
    </xf>
    <xf numFmtId="0" fontId="0" fillId="0" borderId="0" xfId="0" applyBorder="1"/>
    <xf numFmtId="0" fontId="0" fillId="0" borderId="52" xfId="0" applyBorder="1"/>
    <xf numFmtId="0" fontId="0" fillId="0" borderId="23" xfId="0" applyBorder="1"/>
    <xf numFmtId="10" fontId="0" fillId="0" borderId="0" xfId="0" applyNumberFormat="1"/>
    <xf numFmtId="0" fontId="0" fillId="0" borderId="14" xfId="0" applyBorder="1" applyAlignment="1">
      <alignment vertical="center"/>
    </xf>
    <xf numFmtId="0" fontId="0" fillId="0" borderId="5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15" xfId="0" applyBorder="1"/>
    <xf numFmtId="0" fontId="0" fillId="0" borderId="51" xfId="0" applyBorder="1"/>
    <xf numFmtId="0" fontId="2" fillId="0" borderId="0" xfId="0" applyFont="1" applyBorder="1"/>
    <xf numFmtId="0" fontId="0" fillId="0" borderId="53" xfId="0" applyBorder="1"/>
    <xf numFmtId="0" fontId="2" fillId="0" borderId="52" xfId="0" applyFont="1" applyBorder="1"/>
    <xf numFmtId="0" fontId="0" fillId="0" borderId="56" xfId="0" applyBorder="1"/>
    <xf numFmtId="0" fontId="0" fillId="0" borderId="14" xfId="0" applyBorder="1"/>
    <xf numFmtId="0" fontId="0" fillId="0" borderId="54" xfId="0" applyBorder="1"/>
    <xf numFmtId="0" fontId="0" fillId="0" borderId="55" xfId="0" applyBorder="1"/>
    <xf numFmtId="0" fontId="2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9" xfId="0" applyFont="1" applyBorder="1"/>
    <xf numFmtId="0" fontId="0" fillId="2" borderId="0" xfId="0" applyFill="1" applyBorder="1"/>
    <xf numFmtId="0" fontId="3" fillId="0" borderId="0" xfId="0" applyFont="1" applyBorder="1"/>
    <xf numFmtId="10" fontId="3" fillId="0" borderId="0" xfId="0" applyNumberFormat="1" applyFont="1"/>
    <xf numFmtId="0" fontId="0" fillId="0" borderId="0" xfId="0" applyAlignment="1">
      <alignment horizontal="center" wrapText="1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3" fillId="0" borderId="14" xfId="0" applyFont="1" applyBorder="1"/>
    <xf numFmtId="0" fontId="3" fillId="0" borderId="54" xfId="0" applyFont="1" applyBorder="1"/>
    <xf numFmtId="10" fontId="3" fillId="0" borderId="55" xfId="0" applyNumberFormat="1" applyFont="1" applyBorder="1"/>
    <xf numFmtId="0" fontId="3" fillId="0" borderId="15" xfId="0" applyFont="1" applyBorder="1"/>
    <xf numFmtId="0" fontId="3" fillId="2" borderId="0" xfId="0" applyFont="1" applyFill="1" applyBorder="1"/>
    <xf numFmtId="0" fontId="3" fillId="3" borderId="0" xfId="0" applyFont="1" applyFill="1" applyBorder="1"/>
    <xf numFmtId="0" fontId="3" fillId="4" borderId="0" xfId="0" applyFont="1" applyFill="1" applyBorder="1"/>
    <xf numFmtId="180" fontId="3" fillId="0" borderId="51" xfId="0" applyNumberFormat="1" applyFont="1" applyBorder="1"/>
    <xf numFmtId="0" fontId="3" fillId="0" borderId="53" xfId="0" applyFont="1" applyBorder="1"/>
    <xf numFmtId="0" fontId="3" fillId="2" borderId="52" xfId="0" applyFont="1" applyFill="1" applyBorder="1"/>
    <xf numFmtId="0" fontId="3" fillId="3" borderId="52" xfId="0" applyFont="1" applyFill="1" applyBorder="1"/>
    <xf numFmtId="0" fontId="3" fillId="4" borderId="52" xfId="0" applyFont="1" applyFill="1" applyBorder="1"/>
    <xf numFmtId="180" fontId="3" fillId="0" borderId="56" xfId="0" applyNumberFormat="1" applyFont="1" applyBorder="1"/>
    <xf numFmtId="0" fontId="3" fillId="0" borderId="55" xfId="0" applyFont="1" applyBorder="1"/>
    <xf numFmtId="10" fontId="3" fillId="0" borderId="0" xfId="0" applyNumberFormat="1" applyFont="1" applyBorder="1"/>
    <xf numFmtId="10" fontId="3" fillId="0" borderId="51" xfId="0" applyNumberFormat="1" applyFont="1" applyBorder="1"/>
    <xf numFmtId="0" fontId="3" fillId="0" borderId="52" xfId="0" applyFont="1" applyBorder="1"/>
    <xf numFmtId="10" fontId="3" fillId="0" borderId="52" xfId="0" applyNumberFormat="1" applyFont="1" applyBorder="1"/>
    <xf numFmtId="10" fontId="3" fillId="0" borderId="56" xfId="0" applyNumberFormat="1" applyFont="1" applyBorder="1"/>
    <xf numFmtId="0" fontId="0" fillId="0" borderId="38" xfId="0" applyBorder="1"/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10" fontId="2" fillId="0" borderId="51" xfId="0" applyNumberFormat="1" applyFont="1" applyBorder="1"/>
    <xf numFmtId="10" fontId="2" fillId="0" borderId="56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G57"/>
  <sheetViews>
    <sheetView workbookViewId="0">
      <selection activeCell="O17" sqref="O17"/>
    </sheetView>
  </sheetViews>
  <sheetFormatPr defaultRowHeight="14" x14ac:dyDescent="0.3"/>
  <cols>
    <col min="12" max="12" width="14.58203125" bestFit="1" customWidth="1"/>
    <col min="13" max="13" width="22.25" bestFit="1" customWidth="1"/>
    <col min="14" max="14" width="17.5" bestFit="1" customWidth="1"/>
    <col min="15" max="16" width="12.5" bestFit="1" customWidth="1"/>
    <col min="17" max="18" width="15.08203125" bestFit="1" customWidth="1"/>
    <col min="19" max="19" width="12.5" bestFit="1" customWidth="1"/>
    <col min="20" max="20" width="8.6640625" style="42"/>
    <col min="21" max="21" width="12.5" bestFit="1" customWidth="1"/>
    <col min="22" max="22" width="14.58203125" bestFit="1" customWidth="1"/>
    <col min="23" max="23" width="22.25" bestFit="1" customWidth="1"/>
    <col min="24" max="24" width="18.1640625" customWidth="1"/>
    <col min="26" max="26" width="12.5" bestFit="1" customWidth="1"/>
    <col min="27" max="27" width="12.5" customWidth="1"/>
  </cols>
  <sheetData>
    <row r="3" spans="2:33" x14ac:dyDescent="0.3">
      <c r="B3" t="s">
        <v>12</v>
      </c>
    </row>
    <row r="4" spans="2:33" ht="14.5" thickBot="1" x14ac:dyDescent="0.35"/>
    <row r="5" spans="2:33" ht="14.5" thickBot="1" x14ac:dyDescent="0.35">
      <c r="B5" s="29"/>
      <c r="C5" s="30" t="s">
        <v>1</v>
      </c>
      <c r="D5" s="30" t="s">
        <v>2</v>
      </c>
      <c r="E5" s="30" t="s">
        <v>0</v>
      </c>
      <c r="F5" s="30" t="s">
        <v>3</v>
      </c>
      <c r="G5" s="30" t="s">
        <v>8</v>
      </c>
      <c r="H5" s="24" t="s">
        <v>9</v>
      </c>
      <c r="I5" s="24" t="s">
        <v>10</v>
      </c>
      <c r="J5" s="25" t="s">
        <v>11</v>
      </c>
      <c r="L5" t="s">
        <v>67</v>
      </c>
      <c r="M5" t="s">
        <v>120</v>
      </c>
      <c r="N5" t="s">
        <v>172</v>
      </c>
      <c r="O5" t="s">
        <v>484</v>
      </c>
      <c r="P5" t="s">
        <v>436</v>
      </c>
      <c r="Q5" t="s">
        <v>533</v>
      </c>
      <c r="R5" t="s">
        <v>585</v>
      </c>
      <c r="U5" t="s">
        <v>229</v>
      </c>
      <c r="V5" t="s">
        <v>67</v>
      </c>
      <c r="W5" t="s">
        <v>120</v>
      </c>
      <c r="X5" t="s">
        <v>384</v>
      </c>
      <c r="AB5" s="24" t="s">
        <v>9</v>
      </c>
      <c r="AC5" s="24" t="s">
        <v>10</v>
      </c>
    </row>
    <row r="6" spans="2:33" x14ac:dyDescent="0.3">
      <c r="B6" s="60" t="s">
        <v>5</v>
      </c>
      <c r="C6" s="4">
        <v>1</v>
      </c>
      <c r="D6" s="5">
        <v>1</v>
      </c>
      <c r="E6" s="5">
        <v>2048</v>
      </c>
      <c r="F6" s="5">
        <v>16</v>
      </c>
      <c r="G6" s="6">
        <v>1</v>
      </c>
      <c r="H6" s="10">
        <v>3.1123000000000001E-2</v>
      </c>
      <c r="I6" s="14">
        <v>3.6768000000000002E-2</v>
      </c>
      <c r="J6" s="32">
        <f>(H6-I6)/H6</f>
        <v>-0.18137711660187</v>
      </c>
      <c r="L6" t="s">
        <v>15</v>
      </c>
      <c r="M6" t="s">
        <v>68</v>
      </c>
      <c r="N6" t="s">
        <v>121</v>
      </c>
      <c r="O6" t="s">
        <v>437</v>
      </c>
      <c r="P6" t="s">
        <v>385</v>
      </c>
      <c r="Q6" t="s">
        <v>485</v>
      </c>
      <c r="R6" t="s">
        <v>534</v>
      </c>
      <c r="U6" t="s">
        <v>177</v>
      </c>
      <c r="V6" t="s">
        <v>176</v>
      </c>
      <c r="W6" t="s">
        <v>281</v>
      </c>
      <c r="X6" t="s">
        <v>333</v>
      </c>
      <c r="Z6" t="s">
        <v>586</v>
      </c>
      <c r="AB6" s="10">
        <v>3.1123000000000001E-2</v>
      </c>
      <c r="AC6" s="14">
        <v>3.6768000000000002E-2</v>
      </c>
      <c r="AE6" t="s">
        <v>637</v>
      </c>
      <c r="AG6" t="s">
        <v>688</v>
      </c>
    </row>
    <row r="7" spans="2:33" x14ac:dyDescent="0.3">
      <c r="B7" s="61"/>
      <c r="C7" s="2">
        <v>1</v>
      </c>
      <c r="D7" s="1">
        <v>1</v>
      </c>
      <c r="E7" s="1">
        <v>2048</v>
      </c>
      <c r="F7" s="1">
        <v>16</v>
      </c>
      <c r="G7" s="3">
        <v>127</v>
      </c>
      <c r="H7" s="11">
        <v>3.2736000000000001E-2</v>
      </c>
      <c r="I7" s="15">
        <v>4.0530999999999998E-2</v>
      </c>
      <c r="J7" s="33">
        <f t="shared" ref="J7:J57" si="0">(H7-I7)/H7</f>
        <v>-0.23811705767350916</v>
      </c>
      <c r="L7" t="s">
        <v>16</v>
      </c>
      <c r="M7" t="s">
        <v>69</v>
      </c>
      <c r="N7" t="s">
        <v>122</v>
      </c>
      <c r="O7" t="s">
        <v>438</v>
      </c>
      <c r="P7" t="s">
        <v>386</v>
      </c>
      <c r="Q7" t="s">
        <v>486</v>
      </c>
      <c r="R7" t="s">
        <v>535</v>
      </c>
      <c r="U7" t="s">
        <v>178</v>
      </c>
      <c r="V7" t="s">
        <v>230</v>
      </c>
      <c r="W7" t="s">
        <v>282</v>
      </c>
      <c r="X7" t="s">
        <v>334</v>
      </c>
      <c r="Z7" t="s">
        <v>587</v>
      </c>
      <c r="AB7" s="11">
        <v>3.2736000000000001E-2</v>
      </c>
      <c r="AC7" s="15">
        <v>4.0530999999999998E-2</v>
      </c>
      <c r="AE7" t="s">
        <v>391</v>
      </c>
      <c r="AG7" t="s">
        <v>689</v>
      </c>
    </row>
    <row r="8" spans="2:33" x14ac:dyDescent="0.3">
      <c r="B8" s="61"/>
      <c r="C8" s="2">
        <v>1</v>
      </c>
      <c r="D8" s="1">
        <v>1</v>
      </c>
      <c r="E8" s="1">
        <v>2048</v>
      </c>
      <c r="F8" s="1">
        <v>16</v>
      </c>
      <c r="G8" s="3">
        <v>511</v>
      </c>
      <c r="H8" s="11">
        <v>5.4489999999999997E-2</v>
      </c>
      <c r="I8" s="15">
        <v>6.2604999999999994E-2</v>
      </c>
      <c r="J8" s="33">
        <f t="shared" si="0"/>
        <v>-0.14892640851532388</v>
      </c>
      <c r="L8" t="s">
        <v>17</v>
      </c>
      <c r="M8" t="s">
        <v>70</v>
      </c>
      <c r="N8" t="s">
        <v>123</v>
      </c>
      <c r="O8" t="s">
        <v>439</v>
      </c>
      <c r="P8" t="s">
        <v>387</v>
      </c>
      <c r="Q8" t="s">
        <v>487</v>
      </c>
      <c r="R8" t="s">
        <v>536</v>
      </c>
      <c r="U8" t="s">
        <v>179</v>
      </c>
      <c r="V8" t="s">
        <v>231</v>
      </c>
      <c r="W8" t="s">
        <v>283</v>
      </c>
      <c r="X8" t="s">
        <v>335</v>
      </c>
      <c r="Z8" t="s">
        <v>588</v>
      </c>
      <c r="AB8" s="11">
        <v>5.4489999999999997E-2</v>
      </c>
      <c r="AC8" s="15">
        <v>6.2604999999999994E-2</v>
      </c>
      <c r="AE8" t="s">
        <v>638</v>
      </c>
      <c r="AG8" t="s">
        <v>690</v>
      </c>
    </row>
    <row r="9" spans="2:33" x14ac:dyDescent="0.3">
      <c r="B9" s="61"/>
      <c r="C9" s="2">
        <v>1</v>
      </c>
      <c r="D9" s="1">
        <v>1</v>
      </c>
      <c r="E9" s="1">
        <v>2048</v>
      </c>
      <c r="F9" s="1">
        <v>16</v>
      </c>
      <c r="G9" s="3">
        <v>1023</v>
      </c>
      <c r="H9" s="11">
        <v>8.1914000000000001E-2</v>
      </c>
      <c r="I9" s="15">
        <v>9.1162000000000007E-2</v>
      </c>
      <c r="J9" s="33">
        <f t="shared" si="0"/>
        <v>-0.11289889396196018</v>
      </c>
      <c r="L9" t="s">
        <v>18</v>
      </c>
      <c r="M9" t="s">
        <v>71</v>
      </c>
      <c r="N9" t="s">
        <v>124</v>
      </c>
      <c r="O9" t="s">
        <v>440</v>
      </c>
      <c r="P9" t="s">
        <v>388</v>
      </c>
      <c r="Q9" t="s">
        <v>488</v>
      </c>
      <c r="R9" t="s">
        <v>537</v>
      </c>
      <c r="U9" t="s">
        <v>180</v>
      </c>
      <c r="V9" t="s">
        <v>232</v>
      </c>
      <c r="W9" t="s">
        <v>284</v>
      </c>
      <c r="X9" t="s">
        <v>336</v>
      </c>
      <c r="Z9" t="s">
        <v>589</v>
      </c>
      <c r="AB9" s="11">
        <v>8.1914000000000001E-2</v>
      </c>
      <c r="AC9" s="15">
        <v>9.1162000000000007E-2</v>
      </c>
      <c r="AE9" t="s">
        <v>639</v>
      </c>
      <c r="AG9" t="s">
        <v>691</v>
      </c>
    </row>
    <row r="10" spans="2:33" x14ac:dyDescent="0.3">
      <c r="B10" s="61"/>
      <c r="C10" s="2">
        <v>1</v>
      </c>
      <c r="D10" s="1">
        <v>1</v>
      </c>
      <c r="E10" s="1">
        <v>2048</v>
      </c>
      <c r="F10" s="1">
        <v>16</v>
      </c>
      <c r="G10" s="3">
        <v>2047</v>
      </c>
      <c r="H10" s="11">
        <v>0.13676199999999999</v>
      </c>
      <c r="I10" s="15">
        <v>0.14463999999999999</v>
      </c>
      <c r="J10" s="33">
        <f t="shared" si="0"/>
        <v>-5.7603720331671049E-2</v>
      </c>
      <c r="L10" t="s">
        <v>19</v>
      </c>
      <c r="M10" t="s">
        <v>72</v>
      </c>
      <c r="N10" t="s">
        <v>125</v>
      </c>
      <c r="O10" t="s">
        <v>441</v>
      </c>
      <c r="P10" t="s">
        <v>389</v>
      </c>
      <c r="Q10" t="s">
        <v>489</v>
      </c>
      <c r="R10" t="s">
        <v>538</v>
      </c>
      <c r="U10" t="s">
        <v>181</v>
      </c>
      <c r="V10" t="s">
        <v>233</v>
      </c>
      <c r="W10" t="s">
        <v>285</v>
      </c>
      <c r="X10" t="s">
        <v>337</v>
      </c>
      <c r="Z10" t="s">
        <v>590</v>
      </c>
      <c r="AB10" s="11">
        <v>0.13676199999999999</v>
      </c>
      <c r="AC10" s="15">
        <v>0.14463999999999999</v>
      </c>
      <c r="AE10" t="s">
        <v>640</v>
      </c>
      <c r="AG10" t="s">
        <v>692</v>
      </c>
    </row>
    <row r="11" spans="2:33" x14ac:dyDescent="0.3">
      <c r="B11" s="61"/>
      <c r="C11" s="2">
        <v>1</v>
      </c>
      <c r="D11" s="1">
        <v>1</v>
      </c>
      <c r="E11" s="1">
        <v>2048</v>
      </c>
      <c r="F11" s="1">
        <v>16</v>
      </c>
      <c r="G11" s="3">
        <v>4095</v>
      </c>
      <c r="H11" s="11">
        <v>0.24784</v>
      </c>
      <c r="I11" s="15">
        <v>0.25333800000000001</v>
      </c>
      <c r="J11" s="33">
        <f t="shared" si="0"/>
        <v>-2.2183666881859274E-2</v>
      </c>
      <c r="L11" t="s">
        <v>20</v>
      </c>
      <c r="M11" t="s">
        <v>73</v>
      </c>
      <c r="N11" t="s">
        <v>126</v>
      </c>
      <c r="O11" t="s">
        <v>442</v>
      </c>
      <c r="P11" t="s">
        <v>390</v>
      </c>
      <c r="Q11" t="s">
        <v>490</v>
      </c>
      <c r="R11" t="s">
        <v>539</v>
      </c>
      <c r="U11" t="s">
        <v>182</v>
      </c>
      <c r="V11" t="s">
        <v>234</v>
      </c>
      <c r="W11" t="s">
        <v>286</v>
      </c>
      <c r="X11" t="s">
        <v>338</v>
      </c>
      <c r="Z11" t="s">
        <v>591</v>
      </c>
      <c r="AB11" s="11">
        <v>0.24784</v>
      </c>
      <c r="AC11" s="15">
        <v>0.25333800000000001</v>
      </c>
      <c r="AE11" t="s">
        <v>641</v>
      </c>
      <c r="AG11" t="s">
        <v>693</v>
      </c>
    </row>
    <row r="12" spans="2:33" x14ac:dyDescent="0.3">
      <c r="B12" s="61"/>
      <c r="C12" s="2">
        <v>4</v>
      </c>
      <c r="D12" s="1">
        <v>1</v>
      </c>
      <c r="E12" s="1">
        <v>2048</v>
      </c>
      <c r="F12" s="1">
        <v>16</v>
      </c>
      <c r="G12" s="3">
        <v>1</v>
      </c>
      <c r="H12" s="11">
        <v>5.9059E-2</v>
      </c>
      <c r="I12" s="15">
        <v>5.9386000000000001E-2</v>
      </c>
      <c r="J12" s="33">
        <f t="shared" si="0"/>
        <v>-5.536836045310637E-3</v>
      </c>
      <c r="L12" t="s">
        <v>21</v>
      </c>
      <c r="M12" t="s">
        <v>74</v>
      </c>
      <c r="N12" t="s">
        <v>127</v>
      </c>
      <c r="O12" t="s">
        <v>443</v>
      </c>
      <c r="P12" t="s">
        <v>391</v>
      </c>
      <c r="Q12" t="s">
        <v>491</v>
      </c>
      <c r="R12" t="s">
        <v>540</v>
      </c>
      <c r="U12" t="s">
        <v>183</v>
      </c>
      <c r="V12" t="s">
        <v>235</v>
      </c>
      <c r="W12" t="s">
        <v>287</v>
      </c>
      <c r="X12" t="s">
        <v>175</v>
      </c>
      <c r="Z12" t="s">
        <v>592</v>
      </c>
      <c r="AB12" s="11">
        <v>5.9059E-2</v>
      </c>
      <c r="AC12" s="15">
        <v>5.9386000000000001E-2</v>
      </c>
      <c r="AE12" t="s">
        <v>642</v>
      </c>
      <c r="AG12" t="s">
        <v>694</v>
      </c>
    </row>
    <row r="13" spans="2:33" x14ac:dyDescent="0.3">
      <c r="B13" s="61"/>
      <c r="C13" s="2">
        <v>4</v>
      </c>
      <c r="D13" s="1">
        <v>1</v>
      </c>
      <c r="E13" s="1">
        <v>2048</v>
      </c>
      <c r="F13" s="1">
        <v>16</v>
      </c>
      <c r="G13" s="3">
        <v>127</v>
      </c>
      <c r="H13" s="11">
        <v>6.8819000000000005E-2</v>
      </c>
      <c r="I13" s="15">
        <v>6.8307000000000007E-2</v>
      </c>
      <c r="J13" s="33">
        <f t="shared" si="0"/>
        <v>7.4398058675656216E-3</v>
      </c>
      <c r="L13" t="s">
        <v>22</v>
      </c>
      <c r="M13" t="s">
        <v>75</v>
      </c>
      <c r="N13" t="s">
        <v>128</v>
      </c>
      <c r="O13" t="s">
        <v>444</v>
      </c>
      <c r="P13" t="s">
        <v>392</v>
      </c>
      <c r="Q13" t="s">
        <v>492</v>
      </c>
      <c r="R13" t="s">
        <v>541</v>
      </c>
      <c r="U13" t="s">
        <v>184</v>
      </c>
      <c r="V13" t="s">
        <v>236</v>
      </c>
      <c r="W13" t="s">
        <v>288</v>
      </c>
      <c r="X13" t="s">
        <v>339</v>
      </c>
      <c r="Z13" t="s">
        <v>593</v>
      </c>
      <c r="AB13" s="11">
        <v>6.8819000000000005E-2</v>
      </c>
      <c r="AC13" s="15">
        <v>6.8307000000000007E-2</v>
      </c>
      <c r="AE13" t="s">
        <v>643</v>
      </c>
      <c r="AG13" t="s">
        <v>695</v>
      </c>
    </row>
    <row r="14" spans="2:33" s="41" customFormat="1" x14ac:dyDescent="0.3">
      <c r="B14" s="61"/>
      <c r="C14" s="35">
        <v>4</v>
      </c>
      <c r="D14" s="36">
        <v>1</v>
      </c>
      <c r="E14" s="36">
        <v>2048</v>
      </c>
      <c r="F14" s="36">
        <v>16</v>
      </c>
      <c r="G14" s="37">
        <v>511</v>
      </c>
      <c r="H14" s="38">
        <v>0.14799999999999999</v>
      </c>
      <c r="I14" s="39">
        <v>0.15088599999999999</v>
      </c>
      <c r="J14" s="40">
        <f t="shared" si="0"/>
        <v>-1.95E-2</v>
      </c>
      <c r="L14" s="41" t="s">
        <v>23</v>
      </c>
      <c r="M14" s="41" t="s">
        <v>76</v>
      </c>
      <c r="N14" s="41" t="s">
        <v>129</v>
      </c>
      <c r="O14" s="41" t="s">
        <v>445</v>
      </c>
      <c r="P14" s="41" t="s">
        <v>393</v>
      </c>
      <c r="Q14" s="41" t="s">
        <v>493</v>
      </c>
      <c r="R14" s="41" t="s">
        <v>542</v>
      </c>
      <c r="U14" s="41" t="s">
        <v>185</v>
      </c>
      <c r="V14" s="41" t="s">
        <v>237</v>
      </c>
      <c r="W14" s="41" t="s">
        <v>289</v>
      </c>
      <c r="X14" s="41" t="s">
        <v>340</v>
      </c>
      <c r="Z14" s="41" t="s">
        <v>594</v>
      </c>
      <c r="AB14" s="38">
        <v>0.14799999999999999</v>
      </c>
      <c r="AC14" s="39">
        <v>0.15088599999999999</v>
      </c>
      <c r="AE14" s="41" t="s">
        <v>644</v>
      </c>
      <c r="AG14" s="41" t="s">
        <v>696</v>
      </c>
    </row>
    <row r="15" spans="2:33" s="41" customFormat="1" x14ac:dyDescent="0.3">
      <c r="B15" s="61"/>
      <c r="C15" s="35">
        <v>4</v>
      </c>
      <c r="D15" s="36">
        <v>1</v>
      </c>
      <c r="E15" s="36">
        <v>2048</v>
      </c>
      <c r="F15" s="36">
        <v>16</v>
      </c>
      <c r="G15" s="37">
        <v>1022</v>
      </c>
      <c r="H15" s="38">
        <v>0.26558700000000002</v>
      </c>
      <c r="I15" s="39">
        <v>0.27207700000000001</v>
      </c>
      <c r="J15" s="40">
        <f t="shared" si="0"/>
        <v>-2.4436437024402534E-2</v>
      </c>
      <c r="L15" s="41" t="s">
        <v>24</v>
      </c>
      <c r="M15" s="41" t="s">
        <v>77</v>
      </c>
      <c r="N15" s="41" t="s">
        <v>130</v>
      </c>
      <c r="O15" s="41" t="s">
        <v>446</v>
      </c>
      <c r="P15" s="41" t="s">
        <v>394</v>
      </c>
      <c r="Q15" s="41" t="s">
        <v>494</v>
      </c>
      <c r="R15" s="41" t="s">
        <v>543</v>
      </c>
      <c r="U15" s="41" t="s">
        <v>186</v>
      </c>
      <c r="V15" s="41" t="s">
        <v>238</v>
      </c>
      <c r="W15" s="41" t="s">
        <v>290</v>
      </c>
      <c r="X15" s="41" t="s">
        <v>341</v>
      </c>
      <c r="Z15" s="41" t="s">
        <v>595</v>
      </c>
      <c r="AB15" s="38">
        <v>0.26558700000000002</v>
      </c>
      <c r="AC15" s="39">
        <v>0.27207700000000001</v>
      </c>
      <c r="AE15" s="41" t="s">
        <v>645</v>
      </c>
      <c r="AG15" s="41" t="s">
        <v>697</v>
      </c>
    </row>
    <row r="16" spans="2:33" s="41" customFormat="1" x14ac:dyDescent="0.3">
      <c r="B16" s="61"/>
      <c r="C16" s="35">
        <v>4</v>
      </c>
      <c r="D16" s="36">
        <v>1</v>
      </c>
      <c r="E16" s="36">
        <v>2048</v>
      </c>
      <c r="F16" s="36">
        <v>16</v>
      </c>
      <c r="G16" s="37">
        <v>2047</v>
      </c>
      <c r="H16" s="38">
        <v>0.492288</v>
      </c>
      <c r="I16" s="39">
        <v>0.48703999999999997</v>
      </c>
      <c r="J16" s="40">
        <f t="shared" si="0"/>
        <v>1.0660426417056744E-2</v>
      </c>
      <c r="L16" s="41" t="s">
        <v>25</v>
      </c>
      <c r="M16" s="41" t="s">
        <v>78</v>
      </c>
      <c r="N16" s="41" t="s">
        <v>14</v>
      </c>
      <c r="O16" s="41" t="s">
        <v>447</v>
      </c>
      <c r="P16" s="41" t="s">
        <v>395</v>
      </c>
      <c r="Q16" s="41" t="s">
        <v>495</v>
      </c>
      <c r="R16" s="41" t="s">
        <v>544</v>
      </c>
      <c r="U16" s="41" t="s">
        <v>187</v>
      </c>
      <c r="V16" s="41" t="s">
        <v>239</v>
      </c>
      <c r="W16" s="41" t="s">
        <v>291</v>
      </c>
      <c r="X16" s="41" t="s">
        <v>342</v>
      </c>
      <c r="Z16" s="41" t="s">
        <v>596</v>
      </c>
      <c r="AB16" s="38">
        <v>0.492288</v>
      </c>
      <c r="AC16" s="39">
        <v>0.48703999999999997</v>
      </c>
      <c r="AE16" s="41" t="s">
        <v>646</v>
      </c>
      <c r="AG16" s="41" t="s">
        <v>698</v>
      </c>
    </row>
    <row r="17" spans="2:33" s="41" customFormat="1" x14ac:dyDescent="0.3">
      <c r="B17" s="61"/>
      <c r="C17" s="35">
        <v>4</v>
      </c>
      <c r="D17" s="36">
        <v>1</v>
      </c>
      <c r="E17" s="36">
        <v>2048</v>
      </c>
      <c r="F17" s="36">
        <v>16</v>
      </c>
      <c r="G17" s="37">
        <v>4095</v>
      </c>
      <c r="H17" s="38">
        <v>0.94257299999999999</v>
      </c>
      <c r="I17" s="39">
        <v>0.92238699999999996</v>
      </c>
      <c r="J17" s="40">
        <f t="shared" si="0"/>
        <v>2.1415847897192086E-2</v>
      </c>
      <c r="L17" s="41" t="s">
        <v>26</v>
      </c>
      <c r="M17" s="41" t="s">
        <v>79</v>
      </c>
      <c r="N17" s="41" t="s">
        <v>131</v>
      </c>
      <c r="O17" s="41" t="s">
        <v>448</v>
      </c>
      <c r="P17" s="41" t="s">
        <v>396</v>
      </c>
      <c r="Q17" s="41" t="s">
        <v>496</v>
      </c>
      <c r="R17" s="41" t="s">
        <v>545</v>
      </c>
      <c r="U17" s="41" t="s">
        <v>188</v>
      </c>
      <c r="V17" s="41" t="s">
        <v>240</v>
      </c>
      <c r="W17" s="41" t="s">
        <v>292</v>
      </c>
      <c r="X17" s="41" t="s">
        <v>343</v>
      </c>
      <c r="Z17" s="41" t="s">
        <v>597</v>
      </c>
      <c r="AB17" s="38">
        <v>0.94257299999999999</v>
      </c>
      <c r="AC17" s="39">
        <v>0.92238699999999996</v>
      </c>
      <c r="AE17" s="41" t="s">
        <v>647</v>
      </c>
      <c r="AG17" s="41" t="s">
        <v>699</v>
      </c>
    </row>
    <row r="18" spans="2:33" x14ac:dyDescent="0.3">
      <c r="B18" s="61"/>
      <c r="C18" s="2">
        <v>8</v>
      </c>
      <c r="D18" s="1">
        <v>1</v>
      </c>
      <c r="E18" s="1">
        <v>2048</v>
      </c>
      <c r="F18" s="1">
        <v>16</v>
      </c>
      <c r="G18" s="3">
        <v>1</v>
      </c>
      <c r="H18" s="11">
        <v>8.5984000000000005E-2</v>
      </c>
      <c r="I18" s="15">
        <v>8.6975999999999998E-2</v>
      </c>
      <c r="J18" s="33">
        <f t="shared" si="0"/>
        <v>-1.15370301451432E-2</v>
      </c>
      <c r="L18" t="s">
        <v>27</v>
      </c>
      <c r="M18" t="s">
        <v>80</v>
      </c>
      <c r="N18" t="s">
        <v>132</v>
      </c>
      <c r="O18" t="s">
        <v>449</v>
      </c>
      <c r="P18" t="s">
        <v>397</v>
      </c>
      <c r="Q18" t="s">
        <v>497</v>
      </c>
      <c r="R18" t="s">
        <v>546</v>
      </c>
      <c r="U18" t="s">
        <v>189</v>
      </c>
      <c r="V18" t="s">
        <v>241</v>
      </c>
      <c r="W18" t="s">
        <v>293</v>
      </c>
      <c r="X18" t="s">
        <v>344</v>
      </c>
      <c r="Z18" t="s">
        <v>598</v>
      </c>
      <c r="AB18" s="11">
        <v>8.5984000000000005E-2</v>
      </c>
      <c r="AC18" s="15">
        <v>8.6975999999999998E-2</v>
      </c>
      <c r="AE18" t="s">
        <v>648</v>
      </c>
      <c r="AG18" t="s">
        <v>700</v>
      </c>
    </row>
    <row r="19" spans="2:33" x14ac:dyDescent="0.3">
      <c r="B19" s="61"/>
      <c r="C19" s="2">
        <v>8</v>
      </c>
      <c r="D19" s="1">
        <v>1</v>
      </c>
      <c r="E19" s="1">
        <v>2048</v>
      </c>
      <c r="F19" s="1">
        <v>16</v>
      </c>
      <c r="G19" s="3">
        <v>127</v>
      </c>
      <c r="H19" s="11">
        <v>0.10478700000000001</v>
      </c>
      <c r="I19" s="15">
        <v>0.105862</v>
      </c>
      <c r="J19" s="33">
        <f t="shared" si="0"/>
        <v>-1.0258906162023844E-2</v>
      </c>
      <c r="L19" t="s">
        <v>28</v>
      </c>
      <c r="M19" t="s">
        <v>81</v>
      </c>
      <c r="N19" t="s">
        <v>133</v>
      </c>
      <c r="O19" t="s">
        <v>450</v>
      </c>
      <c r="P19" t="s">
        <v>398</v>
      </c>
      <c r="Q19" t="s">
        <v>498</v>
      </c>
      <c r="R19" t="s">
        <v>547</v>
      </c>
      <c r="U19" t="s">
        <v>190</v>
      </c>
      <c r="V19" t="s">
        <v>242</v>
      </c>
      <c r="W19" t="s">
        <v>294</v>
      </c>
      <c r="X19" t="s">
        <v>345</v>
      </c>
      <c r="Z19" t="s">
        <v>599</v>
      </c>
      <c r="AB19" s="11">
        <v>0.10478700000000001</v>
      </c>
      <c r="AC19" s="15">
        <v>0.105862</v>
      </c>
      <c r="AE19" t="s">
        <v>649</v>
      </c>
      <c r="AG19" t="s">
        <v>701</v>
      </c>
    </row>
    <row r="20" spans="2:33" s="41" customFormat="1" x14ac:dyDescent="0.3">
      <c r="B20" s="61"/>
      <c r="C20" s="35">
        <v>8</v>
      </c>
      <c r="D20" s="36">
        <v>1</v>
      </c>
      <c r="E20" s="36">
        <v>2048</v>
      </c>
      <c r="F20" s="36">
        <v>16</v>
      </c>
      <c r="G20" s="37">
        <v>511</v>
      </c>
      <c r="H20" s="38">
        <v>0.26327699999999998</v>
      </c>
      <c r="I20" s="39">
        <v>0.27057300000000001</v>
      </c>
      <c r="J20" s="40">
        <f t="shared" si="0"/>
        <v>-2.7712257432286242E-2</v>
      </c>
      <c r="L20" s="41" t="s">
        <v>29</v>
      </c>
      <c r="M20" s="41" t="s">
        <v>82</v>
      </c>
      <c r="N20" s="41" t="s">
        <v>134</v>
      </c>
      <c r="O20" s="41" t="s">
        <v>451</v>
      </c>
      <c r="P20" s="41" t="s">
        <v>399</v>
      </c>
      <c r="Q20" s="41" t="s">
        <v>499</v>
      </c>
      <c r="R20" s="41" t="s">
        <v>548</v>
      </c>
      <c r="U20" s="41" t="s">
        <v>191</v>
      </c>
      <c r="V20" s="41" t="s">
        <v>243</v>
      </c>
      <c r="W20" s="41" t="s">
        <v>295</v>
      </c>
      <c r="X20" s="41" t="s">
        <v>346</v>
      </c>
      <c r="Z20" s="41" t="s">
        <v>599</v>
      </c>
      <c r="AB20" s="38">
        <v>0.26327699999999998</v>
      </c>
      <c r="AC20" s="39">
        <v>0.27057300000000001</v>
      </c>
      <c r="AE20" s="41" t="s">
        <v>650</v>
      </c>
      <c r="AG20" s="41" t="s">
        <v>702</v>
      </c>
    </row>
    <row r="21" spans="2:33" s="41" customFormat="1" x14ac:dyDescent="0.3">
      <c r="B21" s="61"/>
      <c r="C21" s="35">
        <v>8</v>
      </c>
      <c r="D21" s="36">
        <v>1</v>
      </c>
      <c r="E21" s="36">
        <v>2048</v>
      </c>
      <c r="F21" s="36">
        <v>16</v>
      </c>
      <c r="G21" s="37">
        <v>1023</v>
      </c>
      <c r="H21" s="38">
        <v>0.49159000000000003</v>
      </c>
      <c r="I21" s="39">
        <v>0.50378900000000004</v>
      </c>
      <c r="J21" s="40">
        <f t="shared" si="0"/>
        <v>-2.4815394942940286E-2</v>
      </c>
      <c r="L21" s="41" t="s">
        <v>30</v>
      </c>
      <c r="M21" s="41" t="s">
        <v>83</v>
      </c>
      <c r="N21" s="41" t="s">
        <v>135</v>
      </c>
      <c r="O21" s="41" t="s">
        <v>452</v>
      </c>
      <c r="P21" s="41" t="s">
        <v>400</v>
      </c>
      <c r="Q21" s="41" t="s">
        <v>500</v>
      </c>
      <c r="R21" s="41" t="s">
        <v>549</v>
      </c>
      <c r="U21" s="41" t="s">
        <v>192</v>
      </c>
      <c r="V21" s="41" t="s">
        <v>244</v>
      </c>
      <c r="W21" s="41" t="s">
        <v>296</v>
      </c>
      <c r="X21" s="41" t="s">
        <v>347</v>
      </c>
      <c r="Z21" s="41" t="s">
        <v>600</v>
      </c>
      <c r="AB21" s="38">
        <v>0.49159000000000003</v>
      </c>
      <c r="AC21" s="39">
        <v>0.50378900000000004</v>
      </c>
      <c r="AE21" s="41" t="s">
        <v>651</v>
      </c>
      <c r="AG21" s="41" t="s">
        <v>703</v>
      </c>
    </row>
    <row r="22" spans="2:33" s="41" customFormat="1" x14ac:dyDescent="0.3">
      <c r="B22" s="61"/>
      <c r="C22" s="35">
        <v>8</v>
      </c>
      <c r="D22" s="36">
        <v>1</v>
      </c>
      <c r="E22" s="36">
        <v>2048</v>
      </c>
      <c r="F22" s="36">
        <v>16</v>
      </c>
      <c r="G22" s="37">
        <v>2047</v>
      </c>
      <c r="H22" s="38">
        <v>0.94067199999999995</v>
      </c>
      <c r="I22" s="39">
        <v>0.93823400000000001</v>
      </c>
      <c r="J22" s="40">
        <f t="shared" si="0"/>
        <v>2.5917641856034201E-3</v>
      </c>
      <c r="L22" s="41" t="s">
        <v>31</v>
      </c>
      <c r="M22" s="41" t="s">
        <v>84</v>
      </c>
      <c r="N22" s="41" t="s">
        <v>136</v>
      </c>
      <c r="O22" s="41" t="s">
        <v>453</v>
      </c>
      <c r="P22" s="41" t="s">
        <v>401</v>
      </c>
      <c r="Q22" s="41" t="s">
        <v>501</v>
      </c>
      <c r="R22" s="41" t="s">
        <v>550</v>
      </c>
      <c r="U22" s="41" t="s">
        <v>193</v>
      </c>
      <c r="V22" s="41" t="s">
        <v>245</v>
      </c>
      <c r="W22" s="41" t="s">
        <v>297</v>
      </c>
      <c r="X22" s="41" t="s">
        <v>348</v>
      </c>
      <c r="Z22" s="41" t="s">
        <v>601</v>
      </c>
      <c r="AB22" s="38">
        <v>0.94067199999999995</v>
      </c>
      <c r="AC22" s="39">
        <v>0.93823400000000001</v>
      </c>
      <c r="AE22" s="41" t="s">
        <v>652</v>
      </c>
      <c r="AG22" s="41" t="s">
        <v>704</v>
      </c>
    </row>
    <row r="23" spans="2:33" s="41" customFormat="1" x14ac:dyDescent="0.3">
      <c r="B23" s="61"/>
      <c r="C23" s="35">
        <v>8</v>
      </c>
      <c r="D23" s="36">
        <v>1</v>
      </c>
      <c r="E23" s="36">
        <v>2048</v>
      </c>
      <c r="F23" s="36">
        <v>16</v>
      </c>
      <c r="G23" s="37">
        <v>4095</v>
      </c>
      <c r="H23" s="38">
        <v>1.8193919999999999</v>
      </c>
      <c r="I23" s="39">
        <v>1.794675</v>
      </c>
      <c r="J23" s="40">
        <f t="shared" si="0"/>
        <v>1.3585307619248562E-2</v>
      </c>
      <c r="L23" s="41" t="s">
        <v>32</v>
      </c>
      <c r="M23" s="41" t="s">
        <v>85</v>
      </c>
      <c r="N23" s="41" t="s">
        <v>137</v>
      </c>
      <c r="O23" s="41" t="s">
        <v>454</v>
      </c>
      <c r="P23" s="41" t="s">
        <v>402</v>
      </c>
      <c r="Q23" s="41" t="s">
        <v>502</v>
      </c>
      <c r="R23" s="41" t="s">
        <v>551</v>
      </c>
      <c r="U23" s="41" t="s">
        <v>194</v>
      </c>
      <c r="V23" s="41" t="s">
        <v>246</v>
      </c>
      <c r="W23" s="41" t="s">
        <v>298</v>
      </c>
      <c r="X23" s="41" t="s">
        <v>349</v>
      </c>
      <c r="Z23" s="41" t="s">
        <v>602</v>
      </c>
      <c r="AB23" s="38">
        <v>1.8193919999999999</v>
      </c>
      <c r="AC23" s="39">
        <v>1.794675</v>
      </c>
      <c r="AE23" s="41" t="s">
        <v>653</v>
      </c>
      <c r="AG23" s="41" t="s">
        <v>705</v>
      </c>
    </row>
    <row r="24" spans="2:33" x14ac:dyDescent="0.3">
      <c r="B24" s="61"/>
      <c r="C24" s="2">
        <v>16</v>
      </c>
      <c r="D24" s="1">
        <v>1</v>
      </c>
      <c r="E24" s="1">
        <v>2048</v>
      </c>
      <c r="F24" s="1">
        <v>16</v>
      </c>
      <c r="G24" s="3">
        <v>1</v>
      </c>
      <c r="H24" s="11">
        <v>0.14444199999999999</v>
      </c>
      <c r="I24" s="15">
        <v>0.14847399999999999</v>
      </c>
      <c r="J24" s="33">
        <f t="shared" si="0"/>
        <v>-2.7914318550006288E-2</v>
      </c>
      <c r="L24" t="s">
        <v>33</v>
      </c>
      <c r="M24" t="s">
        <v>86</v>
      </c>
      <c r="N24" t="s">
        <v>138</v>
      </c>
      <c r="O24" t="s">
        <v>455</v>
      </c>
      <c r="P24" t="s">
        <v>403</v>
      </c>
      <c r="Q24" t="s">
        <v>503</v>
      </c>
      <c r="R24" t="s">
        <v>552</v>
      </c>
      <c r="U24" t="s">
        <v>195</v>
      </c>
      <c r="V24" t="s">
        <v>247</v>
      </c>
      <c r="W24" t="s">
        <v>299</v>
      </c>
      <c r="X24" t="s">
        <v>350</v>
      </c>
      <c r="Z24" t="s">
        <v>603</v>
      </c>
      <c r="AB24" s="11">
        <v>0.14444199999999999</v>
      </c>
      <c r="AC24" s="15">
        <v>0.14847399999999999</v>
      </c>
      <c r="AE24" t="s">
        <v>654</v>
      </c>
      <c r="AG24" t="s">
        <v>706</v>
      </c>
    </row>
    <row r="25" spans="2:33" x14ac:dyDescent="0.3">
      <c r="B25" s="61"/>
      <c r="C25" s="2">
        <v>16</v>
      </c>
      <c r="D25" s="1">
        <v>1</v>
      </c>
      <c r="E25" s="1">
        <v>2048</v>
      </c>
      <c r="F25" s="1">
        <v>16</v>
      </c>
      <c r="G25" s="3">
        <v>127</v>
      </c>
      <c r="H25" s="11">
        <v>0.18179200000000001</v>
      </c>
      <c r="I25" s="15">
        <v>0.185082</v>
      </c>
      <c r="J25" s="33">
        <f t="shared" si="0"/>
        <v>-1.809760605527189E-2</v>
      </c>
      <c r="L25" t="s">
        <v>34</v>
      </c>
      <c r="M25" t="s">
        <v>87</v>
      </c>
      <c r="N25" t="s">
        <v>139</v>
      </c>
      <c r="O25" t="s">
        <v>456</v>
      </c>
      <c r="P25" t="s">
        <v>404</v>
      </c>
      <c r="Q25" t="s">
        <v>504</v>
      </c>
      <c r="R25" t="s">
        <v>553</v>
      </c>
      <c r="U25" t="s">
        <v>196</v>
      </c>
      <c r="V25" t="s">
        <v>248</v>
      </c>
      <c r="W25" t="s">
        <v>300</v>
      </c>
      <c r="X25" t="s">
        <v>351</v>
      </c>
      <c r="Z25" t="s">
        <v>604</v>
      </c>
      <c r="AB25" s="11">
        <v>0.18179200000000001</v>
      </c>
      <c r="AC25" s="15">
        <v>0.185082</v>
      </c>
      <c r="AE25" t="s">
        <v>655</v>
      </c>
      <c r="AG25" t="s">
        <v>707</v>
      </c>
    </row>
    <row r="26" spans="2:33" x14ac:dyDescent="0.3">
      <c r="B26" s="61"/>
      <c r="C26" s="2">
        <v>16</v>
      </c>
      <c r="D26" s="1">
        <v>1</v>
      </c>
      <c r="E26" s="1">
        <v>2048</v>
      </c>
      <c r="F26" s="1">
        <v>16</v>
      </c>
      <c r="G26" s="3">
        <v>511</v>
      </c>
      <c r="H26" s="11">
        <v>0.50042900000000001</v>
      </c>
      <c r="I26" s="15">
        <v>0.50589399999999995</v>
      </c>
      <c r="J26" s="33">
        <f t="shared" si="0"/>
        <v>-1.092063009937462E-2</v>
      </c>
      <c r="L26" t="s">
        <v>35</v>
      </c>
      <c r="M26" t="s">
        <v>88</v>
      </c>
      <c r="N26" t="s">
        <v>140</v>
      </c>
      <c r="O26" t="s">
        <v>457</v>
      </c>
      <c r="P26" t="s">
        <v>405</v>
      </c>
      <c r="Q26" t="s">
        <v>13</v>
      </c>
      <c r="R26" t="s">
        <v>554</v>
      </c>
      <c r="U26" t="s">
        <v>197</v>
      </c>
      <c r="V26" t="s">
        <v>249</v>
      </c>
      <c r="W26" t="s">
        <v>301</v>
      </c>
      <c r="X26" t="s">
        <v>352</v>
      </c>
      <c r="Z26" t="s">
        <v>605</v>
      </c>
      <c r="AB26" s="11">
        <v>0.50042900000000001</v>
      </c>
      <c r="AC26" s="15">
        <v>0.50589399999999995</v>
      </c>
      <c r="AE26" t="s">
        <v>656</v>
      </c>
      <c r="AG26" t="s">
        <v>708</v>
      </c>
    </row>
    <row r="27" spans="2:33" x14ac:dyDescent="0.3">
      <c r="B27" s="61"/>
      <c r="C27" s="2">
        <v>16</v>
      </c>
      <c r="D27" s="1">
        <v>1</v>
      </c>
      <c r="E27" s="1">
        <v>2048</v>
      </c>
      <c r="F27" s="1">
        <v>16</v>
      </c>
      <c r="G27" s="3">
        <v>1023</v>
      </c>
      <c r="H27" s="11">
        <v>0.960538</v>
      </c>
      <c r="I27" s="15">
        <v>0.96387199999999995</v>
      </c>
      <c r="J27" s="33">
        <f t="shared" si="0"/>
        <v>-3.4709714764017126E-3</v>
      </c>
      <c r="L27" t="s">
        <v>36</v>
      </c>
      <c r="M27" t="s">
        <v>89</v>
      </c>
      <c r="N27" t="s">
        <v>141</v>
      </c>
      <c r="O27" t="s">
        <v>458</v>
      </c>
      <c r="P27" t="s">
        <v>406</v>
      </c>
      <c r="Q27" t="s">
        <v>505</v>
      </c>
      <c r="R27" t="s">
        <v>555</v>
      </c>
      <c r="U27" t="s">
        <v>198</v>
      </c>
      <c r="V27" t="s">
        <v>250</v>
      </c>
      <c r="W27" t="s">
        <v>302</v>
      </c>
      <c r="X27" t="s">
        <v>353</v>
      </c>
      <c r="Z27" t="s">
        <v>606</v>
      </c>
      <c r="AB27" s="11">
        <v>0.960538</v>
      </c>
      <c r="AC27" s="15">
        <v>0.96387199999999995</v>
      </c>
      <c r="AE27" t="s">
        <v>657</v>
      </c>
      <c r="AG27" t="s">
        <v>709</v>
      </c>
    </row>
    <row r="28" spans="2:33" x14ac:dyDescent="0.3">
      <c r="B28" s="61"/>
      <c r="C28" s="2">
        <v>16</v>
      </c>
      <c r="D28" s="1">
        <v>1</v>
      </c>
      <c r="E28" s="1">
        <v>2048</v>
      </c>
      <c r="F28" s="1">
        <v>16</v>
      </c>
      <c r="G28" s="3">
        <v>2047</v>
      </c>
      <c r="H28" s="11">
        <v>1.8573440000000001</v>
      </c>
      <c r="I28" s="15">
        <v>1.8434820000000001</v>
      </c>
      <c r="J28" s="33">
        <f t="shared" si="0"/>
        <v>7.4633455084249555E-3</v>
      </c>
      <c r="L28" t="s">
        <v>37</v>
      </c>
      <c r="M28" t="s">
        <v>90</v>
      </c>
      <c r="N28" t="s">
        <v>142</v>
      </c>
      <c r="O28" t="s">
        <v>459</v>
      </c>
      <c r="P28" t="s">
        <v>407</v>
      </c>
      <c r="Q28" t="s">
        <v>506</v>
      </c>
      <c r="R28" t="s">
        <v>556</v>
      </c>
      <c r="U28" t="s">
        <v>199</v>
      </c>
      <c r="V28" t="s">
        <v>251</v>
      </c>
      <c r="W28" t="s">
        <v>303</v>
      </c>
      <c r="X28" t="s">
        <v>354</v>
      </c>
      <c r="Z28" t="s">
        <v>607</v>
      </c>
      <c r="AB28" s="11">
        <v>1.8573440000000001</v>
      </c>
      <c r="AC28" s="15">
        <v>1.8434820000000001</v>
      </c>
      <c r="AE28" t="s">
        <v>658</v>
      </c>
      <c r="AG28" t="s">
        <v>710</v>
      </c>
    </row>
    <row r="29" spans="2:33" x14ac:dyDescent="0.3">
      <c r="B29" s="61"/>
      <c r="C29" s="2">
        <v>16</v>
      </c>
      <c r="D29" s="1">
        <v>1</v>
      </c>
      <c r="E29" s="1">
        <v>2048</v>
      </c>
      <c r="F29" s="1">
        <v>16</v>
      </c>
      <c r="G29" s="3">
        <v>4095</v>
      </c>
      <c r="H29" s="11">
        <v>3.642547</v>
      </c>
      <c r="I29" s="15">
        <v>3.5775939999999999</v>
      </c>
      <c r="J29" s="33">
        <f t="shared" si="0"/>
        <v>1.7831753440655684E-2</v>
      </c>
      <c r="L29" t="s">
        <v>38</v>
      </c>
      <c r="M29" t="s">
        <v>91</v>
      </c>
      <c r="N29" t="s">
        <v>143</v>
      </c>
      <c r="O29" t="s">
        <v>460</v>
      </c>
      <c r="P29" t="s">
        <v>408</v>
      </c>
      <c r="Q29" t="s">
        <v>507</v>
      </c>
      <c r="R29" t="s">
        <v>557</v>
      </c>
      <c r="U29" t="s">
        <v>200</v>
      </c>
      <c r="V29" t="s">
        <v>252</v>
      </c>
      <c r="W29" t="s">
        <v>304</v>
      </c>
      <c r="X29" t="s">
        <v>355</v>
      </c>
      <c r="Z29" t="s">
        <v>608</v>
      </c>
      <c r="AB29" s="11">
        <v>3.642547</v>
      </c>
      <c r="AC29" s="15">
        <v>3.5775939999999999</v>
      </c>
      <c r="AE29" t="s">
        <v>659</v>
      </c>
      <c r="AG29" t="s">
        <v>711</v>
      </c>
    </row>
    <row r="30" spans="2:33" x14ac:dyDescent="0.3">
      <c r="B30" s="61"/>
      <c r="C30" s="2">
        <v>20</v>
      </c>
      <c r="D30" s="1">
        <v>1</v>
      </c>
      <c r="E30" s="1">
        <v>2048</v>
      </c>
      <c r="F30" s="1">
        <v>16</v>
      </c>
      <c r="G30" s="3">
        <v>1</v>
      </c>
      <c r="H30" s="11">
        <v>0.173101</v>
      </c>
      <c r="I30" s="15">
        <v>0.17762600000000001</v>
      </c>
      <c r="J30" s="33">
        <f t="shared" si="0"/>
        <v>-2.6140807967602736E-2</v>
      </c>
      <c r="L30" t="s">
        <v>39</v>
      </c>
      <c r="M30" t="s">
        <v>92</v>
      </c>
      <c r="N30" t="s">
        <v>144</v>
      </c>
      <c r="O30" t="s">
        <v>461</v>
      </c>
      <c r="P30" t="s">
        <v>409</v>
      </c>
      <c r="Q30" t="s">
        <v>173</v>
      </c>
      <c r="R30" t="s">
        <v>558</v>
      </c>
      <c r="U30" t="s">
        <v>201</v>
      </c>
      <c r="V30" t="s">
        <v>253</v>
      </c>
      <c r="W30" t="s">
        <v>305</v>
      </c>
      <c r="X30" t="s">
        <v>356</v>
      </c>
      <c r="Z30" t="s">
        <v>609</v>
      </c>
      <c r="AB30" s="11">
        <v>0.173101</v>
      </c>
      <c r="AC30" s="15">
        <v>0.17762600000000001</v>
      </c>
      <c r="AE30" t="s">
        <v>660</v>
      </c>
      <c r="AG30" t="s">
        <v>712</v>
      </c>
    </row>
    <row r="31" spans="2:33" x14ac:dyDescent="0.3">
      <c r="B31" s="61"/>
      <c r="C31" s="2">
        <v>20</v>
      </c>
      <c r="D31" s="1">
        <v>1</v>
      </c>
      <c r="E31" s="1">
        <v>2048</v>
      </c>
      <c r="F31" s="1">
        <v>16</v>
      </c>
      <c r="G31" s="3">
        <v>127</v>
      </c>
      <c r="H31" s="11">
        <v>0.22034599999999999</v>
      </c>
      <c r="I31" s="15">
        <v>0.22329599999999999</v>
      </c>
      <c r="J31" s="33">
        <f t="shared" si="0"/>
        <v>-1.3388035181033504E-2</v>
      </c>
      <c r="L31" t="s">
        <v>40</v>
      </c>
      <c r="M31" t="s">
        <v>93</v>
      </c>
      <c r="N31" t="s">
        <v>145</v>
      </c>
      <c r="O31" t="s">
        <v>462</v>
      </c>
      <c r="P31" t="s">
        <v>410</v>
      </c>
      <c r="Q31" t="s">
        <v>508</v>
      </c>
      <c r="R31" t="s">
        <v>559</v>
      </c>
      <c r="U31" t="s">
        <v>202</v>
      </c>
      <c r="V31" t="s">
        <v>254</v>
      </c>
      <c r="W31" t="s">
        <v>306</v>
      </c>
      <c r="X31" t="s">
        <v>357</v>
      </c>
      <c r="Z31" t="s">
        <v>610</v>
      </c>
      <c r="AB31" s="11">
        <v>0.22034599999999999</v>
      </c>
      <c r="AC31" s="15">
        <v>0.22329599999999999</v>
      </c>
      <c r="AE31" t="s">
        <v>661</v>
      </c>
      <c r="AG31" t="s">
        <v>713</v>
      </c>
    </row>
    <row r="32" spans="2:33" x14ac:dyDescent="0.3">
      <c r="B32" s="61"/>
      <c r="C32" s="2">
        <v>20</v>
      </c>
      <c r="D32" s="1">
        <v>1</v>
      </c>
      <c r="E32" s="1">
        <v>2048</v>
      </c>
      <c r="F32" s="1">
        <v>16</v>
      </c>
      <c r="G32" s="3">
        <v>511</v>
      </c>
      <c r="H32" s="11">
        <v>0.61878999999999995</v>
      </c>
      <c r="I32" s="15">
        <v>0.62704599999999999</v>
      </c>
      <c r="J32" s="33">
        <f t="shared" si="0"/>
        <v>-1.3342167779052734E-2</v>
      </c>
      <c r="L32" t="s">
        <v>41</v>
      </c>
      <c r="M32" t="s">
        <v>94</v>
      </c>
      <c r="N32" t="s">
        <v>146</v>
      </c>
      <c r="O32" t="s">
        <v>463</v>
      </c>
      <c r="P32" t="s">
        <v>411</v>
      </c>
      <c r="Q32" t="s">
        <v>173</v>
      </c>
      <c r="R32" t="s">
        <v>560</v>
      </c>
      <c r="U32" t="s">
        <v>203</v>
      </c>
      <c r="V32" t="s">
        <v>255</v>
      </c>
      <c r="W32" t="s">
        <v>307</v>
      </c>
      <c r="X32" t="s">
        <v>358</v>
      </c>
      <c r="Z32" t="s">
        <v>611</v>
      </c>
      <c r="AB32" s="11">
        <v>0.61878999999999995</v>
      </c>
      <c r="AC32" s="15">
        <v>0.62704599999999999</v>
      </c>
      <c r="AE32" t="s">
        <v>662</v>
      </c>
      <c r="AG32" t="s">
        <v>714</v>
      </c>
    </row>
    <row r="33" spans="2:33" x14ac:dyDescent="0.3">
      <c r="B33" s="61"/>
      <c r="C33" s="2">
        <v>20</v>
      </c>
      <c r="D33" s="1">
        <v>1</v>
      </c>
      <c r="E33" s="1">
        <v>2048</v>
      </c>
      <c r="F33" s="1">
        <v>16</v>
      </c>
      <c r="G33" s="3">
        <v>1023</v>
      </c>
      <c r="H33" s="11">
        <v>1.1985790000000001</v>
      </c>
      <c r="I33" s="15">
        <v>1.2022459999999999</v>
      </c>
      <c r="J33" s="33">
        <f t="shared" si="0"/>
        <v>-3.059456239430079E-3</v>
      </c>
      <c r="L33" t="s">
        <v>42</v>
      </c>
      <c r="M33" t="s">
        <v>95</v>
      </c>
      <c r="N33" t="s">
        <v>147</v>
      </c>
      <c r="O33" t="s">
        <v>464</v>
      </c>
      <c r="P33" t="s">
        <v>412</v>
      </c>
      <c r="Q33" t="s">
        <v>509</v>
      </c>
      <c r="R33" t="s">
        <v>561</v>
      </c>
      <c r="U33" t="s">
        <v>204</v>
      </c>
      <c r="V33" t="s">
        <v>256</v>
      </c>
      <c r="W33" t="s">
        <v>308</v>
      </c>
      <c r="X33" t="s">
        <v>359</v>
      </c>
      <c r="Z33" t="s">
        <v>612</v>
      </c>
      <c r="AB33" s="11">
        <v>1.1985790000000001</v>
      </c>
      <c r="AC33" s="15">
        <v>1.2022459999999999</v>
      </c>
      <c r="AE33" t="s">
        <v>663</v>
      </c>
      <c r="AG33" t="s">
        <v>715</v>
      </c>
    </row>
    <row r="34" spans="2:33" x14ac:dyDescent="0.3">
      <c r="B34" s="61"/>
      <c r="C34" s="2">
        <v>20</v>
      </c>
      <c r="D34" s="1">
        <v>1</v>
      </c>
      <c r="E34" s="1">
        <v>2048</v>
      </c>
      <c r="F34" s="1">
        <v>16</v>
      </c>
      <c r="G34" s="3">
        <v>2047</v>
      </c>
      <c r="H34" s="11">
        <v>2.317952</v>
      </c>
      <c r="I34" s="15">
        <v>2.3088510000000002</v>
      </c>
      <c r="J34" s="33">
        <f t="shared" si="0"/>
        <v>3.9263108123031897E-3</v>
      </c>
      <c r="L34" t="s">
        <v>43</v>
      </c>
      <c r="M34" t="s">
        <v>96</v>
      </c>
      <c r="N34" t="s">
        <v>148</v>
      </c>
      <c r="O34" t="s">
        <v>465</v>
      </c>
      <c r="P34" t="s">
        <v>413</v>
      </c>
      <c r="Q34" t="s">
        <v>510</v>
      </c>
      <c r="R34" t="s">
        <v>562</v>
      </c>
      <c r="U34" t="s">
        <v>205</v>
      </c>
      <c r="V34" t="s">
        <v>257</v>
      </c>
      <c r="W34" t="s">
        <v>309</v>
      </c>
      <c r="X34" t="s">
        <v>360</v>
      </c>
      <c r="Z34" t="s">
        <v>613</v>
      </c>
      <c r="AB34" s="11">
        <v>2.317952</v>
      </c>
      <c r="AC34" s="15">
        <v>2.3088510000000002</v>
      </c>
      <c r="AE34" t="s">
        <v>664</v>
      </c>
      <c r="AG34" t="s">
        <v>716</v>
      </c>
    </row>
    <row r="35" spans="2:33" ht="14.5" thickBot="1" x14ac:dyDescent="0.35">
      <c r="B35" s="62"/>
      <c r="C35" s="7">
        <v>20</v>
      </c>
      <c r="D35" s="8">
        <v>1</v>
      </c>
      <c r="E35" s="8">
        <v>2048</v>
      </c>
      <c r="F35" s="8">
        <v>16</v>
      </c>
      <c r="G35" s="9">
        <v>4095</v>
      </c>
      <c r="H35" s="12">
        <v>4.5551810000000001</v>
      </c>
      <c r="I35" s="16">
        <v>4.4788930000000002</v>
      </c>
      <c r="J35" s="34">
        <f t="shared" si="0"/>
        <v>1.6747523314660801E-2</v>
      </c>
      <c r="L35" t="s">
        <v>44</v>
      </c>
      <c r="M35" t="s">
        <v>97</v>
      </c>
      <c r="N35" t="s">
        <v>149</v>
      </c>
      <c r="O35" t="s">
        <v>466</v>
      </c>
      <c r="P35" t="s">
        <v>414</v>
      </c>
      <c r="Q35" t="s">
        <v>511</v>
      </c>
      <c r="R35" t="s">
        <v>563</v>
      </c>
      <c r="U35" t="s">
        <v>206</v>
      </c>
      <c r="V35" t="s">
        <v>258</v>
      </c>
      <c r="W35" t="s">
        <v>310</v>
      </c>
      <c r="X35" t="s">
        <v>361</v>
      </c>
      <c r="Z35" t="s">
        <v>614</v>
      </c>
      <c r="AB35" s="12">
        <v>4.5551810000000001</v>
      </c>
      <c r="AC35" s="16">
        <v>4.4788930000000002</v>
      </c>
      <c r="AE35" t="s">
        <v>665</v>
      </c>
      <c r="AG35" t="s">
        <v>717</v>
      </c>
    </row>
    <row r="36" spans="2:33" x14ac:dyDescent="0.3">
      <c r="B36" s="63" t="s">
        <v>7</v>
      </c>
      <c r="C36" s="4">
        <v>1</v>
      </c>
      <c r="D36" s="5">
        <v>1</v>
      </c>
      <c r="E36" s="5">
        <v>2048</v>
      </c>
      <c r="F36" s="5">
        <v>16</v>
      </c>
      <c r="G36" s="6">
        <v>0</v>
      </c>
      <c r="H36" s="31">
        <v>3.7541999999999999E-2</v>
      </c>
      <c r="I36" s="17">
        <v>3.7619E-2</v>
      </c>
      <c r="J36" s="32">
        <f t="shared" si="0"/>
        <v>-2.0510361728197932E-3</v>
      </c>
      <c r="L36" t="s">
        <v>45</v>
      </c>
      <c r="M36" t="s">
        <v>98</v>
      </c>
      <c r="N36" t="s">
        <v>150</v>
      </c>
      <c r="O36" t="s">
        <v>467</v>
      </c>
      <c r="P36" t="s">
        <v>339</v>
      </c>
      <c r="Q36" t="s">
        <v>512</v>
      </c>
      <c r="R36" t="s">
        <v>564</v>
      </c>
      <c r="U36" t="s">
        <v>207</v>
      </c>
      <c r="V36" t="s">
        <v>259</v>
      </c>
      <c r="W36" t="s">
        <v>311</v>
      </c>
      <c r="X36" t="s">
        <v>362</v>
      </c>
      <c r="Z36" t="s">
        <v>615</v>
      </c>
      <c r="AB36" s="31">
        <v>3.7541999999999999E-2</v>
      </c>
      <c r="AC36" s="17">
        <v>3.7619E-2</v>
      </c>
      <c r="AE36" t="s">
        <v>666</v>
      </c>
      <c r="AG36" t="s">
        <v>718</v>
      </c>
    </row>
    <row r="37" spans="2:33" x14ac:dyDescent="0.3">
      <c r="B37" s="61"/>
      <c r="C37" s="2">
        <v>1</v>
      </c>
      <c r="D37" s="1">
        <v>128</v>
      </c>
      <c r="E37" s="1">
        <v>2048</v>
      </c>
      <c r="F37" s="1">
        <v>16</v>
      </c>
      <c r="G37" s="3">
        <v>0</v>
      </c>
      <c r="H37" s="11">
        <v>5.9846000000000003E-2</v>
      </c>
      <c r="I37" s="15">
        <v>5.9513999999999997E-2</v>
      </c>
      <c r="J37" s="33">
        <f t="shared" si="0"/>
        <v>5.5475721017278663E-3</v>
      </c>
      <c r="L37" t="s">
        <v>46</v>
      </c>
      <c r="M37" t="s">
        <v>99</v>
      </c>
      <c r="N37" t="s">
        <v>151</v>
      </c>
      <c r="O37" t="s">
        <v>174</v>
      </c>
      <c r="P37" t="s">
        <v>415</v>
      </c>
      <c r="Q37" t="s">
        <v>513</v>
      </c>
      <c r="R37" t="s">
        <v>565</v>
      </c>
      <c r="U37" t="s">
        <v>208</v>
      </c>
      <c r="V37" t="s">
        <v>260</v>
      </c>
      <c r="W37" t="s">
        <v>312</v>
      </c>
      <c r="X37" t="s">
        <v>363</v>
      </c>
      <c r="Z37" t="s">
        <v>616</v>
      </c>
      <c r="AB37" s="11">
        <v>5.9846000000000003E-2</v>
      </c>
      <c r="AC37" s="15">
        <v>5.9513999999999997E-2</v>
      </c>
      <c r="AE37" t="s">
        <v>667</v>
      </c>
      <c r="AG37" t="s">
        <v>719</v>
      </c>
    </row>
    <row r="38" spans="2:33" x14ac:dyDescent="0.3">
      <c r="B38" s="61"/>
      <c r="C38" s="2">
        <v>1</v>
      </c>
      <c r="D38" s="1">
        <v>512</v>
      </c>
      <c r="E38" s="1">
        <v>2048</v>
      </c>
      <c r="F38" s="1">
        <v>16</v>
      </c>
      <c r="G38" s="3">
        <v>0</v>
      </c>
      <c r="H38" s="11">
        <v>0.31186599999999998</v>
      </c>
      <c r="I38" s="15">
        <v>0.31329299999999999</v>
      </c>
      <c r="J38" s="33">
        <f t="shared" si="0"/>
        <v>-4.5756831459665744E-3</v>
      </c>
      <c r="L38" t="s">
        <v>47</v>
      </c>
      <c r="M38" t="s">
        <v>100</v>
      </c>
      <c r="N38" t="s">
        <v>152</v>
      </c>
      <c r="O38" t="s">
        <v>468</v>
      </c>
      <c r="P38" t="s">
        <v>416</v>
      </c>
      <c r="Q38" t="s">
        <v>467</v>
      </c>
      <c r="R38" t="s">
        <v>566</v>
      </c>
      <c r="U38" t="s">
        <v>209</v>
      </c>
      <c r="V38" t="s">
        <v>261</v>
      </c>
      <c r="W38" t="s">
        <v>313</v>
      </c>
      <c r="X38" t="s">
        <v>364</v>
      </c>
      <c r="Z38" t="s">
        <v>617</v>
      </c>
      <c r="AB38" s="11">
        <v>0.31186599999999998</v>
      </c>
      <c r="AC38" s="15">
        <v>0.31329299999999999</v>
      </c>
      <c r="AE38" t="s">
        <v>668</v>
      </c>
      <c r="AG38" t="s">
        <v>720</v>
      </c>
    </row>
    <row r="39" spans="2:33" s="41" customFormat="1" x14ac:dyDescent="0.3">
      <c r="B39" s="61"/>
      <c r="C39" s="35">
        <v>1</v>
      </c>
      <c r="D39" s="36">
        <v>1024</v>
      </c>
      <c r="E39" s="36">
        <v>2048</v>
      </c>
      <c r="F39" s="36">
        <v>16</v>
      </c>
      <c r="G39" s="37">
        <v>0</v>
      </c>
      <c r="H39" s="38">
        <v>1.37001</v>
      </c>
      <c r="I39" s="39">
        <v>1.2862530000000001</v>
      </c>
      <c r="J39" s="40">
        <f t="shared" si="0"/>
        <v>6.1136050101823977E-2</v>
      </c>
      <c r="L39" s="41" t="s">
        <v>48</v>
      </c>
      <c r="M39" s="41" t="s">
        <v>101</v>
      </c>
      <c r="N39" s="41" t="s">
        <v>153</v>
      </c>
      <c r="O39" s="41" t="s">
        <v>469</v>
      </c>
      <c r="P39" s="41" t="s">
        <v>417</v>
      </c>
      <c r="Q39" s="41" t="s">
        <v>514</v>
      </c>
      <c r="R39" s="41" t="s">
        <v>567</v>
      </c>
      <c r="T39" s="42"/>
      <c r="U39" s="41" t="s">
        <v>210</v>
      </c>
      <c r="V39" s="41" t="s">
        <v>262</v>
      </c>
      <c r="W39" s="41" t="s">
        <v>314</v>
      </c>
      <c r="X39" s="41" t="s">
        <v>365</v>
      </c>
      <c r="Z39" s="41" t="s">
        <v>618</v>
      </c>
      <c r="AB39" s="38">
        <v>1.37001</v>
      </c>
      <c r="AC39" s="39">
        <v>1.2862530000000001</v>
      </c>
      <c r="AE39" s="41" t="s">
        <v>669</v>
      </c>
      <c r="AG39" s="41" t="s">
        <v>721</v>
      </c>
    </row>
    <row r="40" spans="2:33" s="41" customFormat="1" x14ac:dyDescent="0.3">
      <c r="B40" s="61"/>
      <c r="C40" s="35">
        <v>1</v>
      </c>
      <c r="D40" s="36">
        <v>2048</v>
      </c>
      <c r="E40" s="36">
        <v>2048</v>
      </c>
      <c r="F40" s="36">
        <v>16</v>
      </c>
      <c r="G40" s="37">
        <v>0</v>
      </c>
      <c r="H40" s="38">
        <v>5.1576639999999996</v>
      </c>
      <c r="I40" s="39">
        <v>4.9531970000000003</v>
      </c>
      <c r="J40" s="40">
        <f t="shared" si="0"/>
        <v>3.9643334656929825E-2</v>
      </c>
      <c r="L40" s="41" t="s">
        <v>49</v>
      </c>
      <c r="M40" s="41" t="s">
        <v>102</v>
      </c>
      <c r="N40" s="41" t="s">
        <v>154</v>
      </c>
      <c r="O40" s="41" t="s">
        <v>470</v>
      </c>
      <c r="P40" s="41" t="s">
        <v>418</v>
      </c>
      <c r="Q40" s="41" t="s">
        <v>515</v>
      </c>
      <c r="R40" s="41" t="s">
        <v>568</v>
      </c>
      <c r="T40" s="42"/>
      <c r="U40" s="41" t="s">
        <v>211</v>
      </c>
      <c r="V40" s="41" t="s">
        <v>263</v>
      </c>
      <c r="W40" s="41" t="s">
        <v>315</v>
      </c>
      <c r="X40" s="41" t="s">
        <v>366</v>
      </c>
      <c r="Z40" s="41" t="s">
        <v>619</v>
      </c>
      <c r="AB40" s="38">
        <v>5.1576639999999996</v>
      </c>
      <c r="AC40" s="39">
        <v>4.9531970000000003</v>
      </c>
      <c r="AE40" s="41" t="s">
        <v>670</v>
      </c>
      <c r="AG40" s="41" t="s">
        <v>722</v>
      </c>
    </row>
    <row r="41" spans="2:33" s="41" customFormat="1" x14ac:dyDescent="0.3">
      <c r="B41" s="61"/>
      <c r="C41" s="35">
        <v>1</v>
      </c>
      <c r="D41" s="36">
        <v>4096</v>
      </c>
      <c r="E41" s="36">
        <v>2048</v>
      </c>
      <c r="F41" s="36">
        <v>16</v>
      </c>
      <c r="G41" s="37">
        <v>0</v>
      </c>
      <c r="H41" s="38">
        <v>19.437569</v>
      </c>
      <c r="I41" s="39">
        <v>19.061765999999999</v>
      </c>
      <c r="J41" s="40">
        <f t="shared" si="0"/>
        <v>1.9333847766662655E-2</v>
      </c>
      <c r="L41" s="41" t="s">
        <v>50</v>
      </c>
      <c r="M41" s="41" t="s">
        <v>103</v>
      </c>
      <c r="N41" s="41" t="s">
        <v>155</v>
      </c>
      <c r="O41" s="41" t="s">
        <v>471</v>
      </c>
      <c r="P41" s="41" t="s">
        <v>419</v>
      </c>
      <c r="Q41" s="41" t="s">
        <v>516</v>
      </c>
      <c r="R41" s="41" t="s">
        <v>569</v>
      </c>
      <c r="T41" s="42"/>
      <c r="U41" s="41" t="s">
        <v>212</v>
      </c>
      <c r="V41" s="41" t="s">
        <v>264</v>
      </c>
      <c r="W41" s="41" t="s">
        <v>316</v>
      </c>
      <c r="X41" s="41" t="s">
        <v>367</v>
      </c>
      <c r="Z41" s="41" t="s">
        <v>620</v>
      </c>
      <c r="AB41" s="38">
        <v>19.437569</v>
      </c>
      <c r="AC41" s="39">
        <v>19.061765999999999</v>
      </c>
      <c r="AE41" s="41" t="s">
        <v>671</v>
      </c>
      <c r="AG41" s="41" t="s">
        <v>723</v>
      </c>
    </row>
    <row r="42" spans="2:33" x14ac:dyDescent="0.3">
      <c r="B42" s="61"/>
      <c r="C42" s="2">
        <v>4</v>
      </c>
      <c r="D42" s="1">
        <v>1</v>
      </c>
      <c r="E42" s="1">
        <v>2048</v>
      </c>
      <c r="F42" s="1">
        <v>16</v>
      </c>
      <c r="G42" s="3">
        <v>0</v>
      </c>
      <c r="H42" s="11">
        <v>5.8298000000000003E-2</v>
      </c>
      <c r="I42" s="15">
        <v>5.8860999999999997E-2</v>
      </c>
      <c r="J42" s="33">
        <f t="shared" si="0"/>
        <v>-9.6572781227485336E-3</v>
      </c>
      <c r="L42" t="s">
        <v>51</v>
      </c>
      <c r="M42" t="s">
        <v>104</v>
      </c>
      <c r="N42" t="s">
        <v>156</v>
      </c>
      <c r="O42" t="s">
        <v>472</v>
      </c>
      <c r="P42" t="s">
        <v>420</v>
      </c>
      <c r="Q42" t="s">
        <v>517</v>
      </c>
      <c r="R42" t="s">
        <v>570</v>
      </c>
      <c r="U42" t="s">
        <v>213</v>
      </c>
      <c r="V42" t="s">
        <v>265</v>
      </c>
      <c r="W42" t="s">
        <v>317</v>
      </c>
      <c r="X42" t="s">
        <v>368</v>
      </c>
      <c r="Z42" t="s">
        <v>621</v>
      </c>
      <c r="AB42" s="11">
        <v>5.8298000000000003E-2</v>
      </c>
      <c r="AC42" s="15">
        <v>5.8860999999999997E-2</v>
      </c>
      <c r="AE42" t="s">
        <v>672</v>
      </c>
      <c r="AG42" t="s">
        <v>724</v>
      </c>
    </row>
    <row r="43" spans="2:33" x14ac:dyDescent="0.3">
      <c r="B43" s="61"/>
      <c r="C43" s="2">
        <v>4</v>
      </c>
      <c r="D43" s="1">
        <v>128</v>
      </c>
      <c r="E43" s="1">
        <v>2048</v>
      </c>
      <c r="F43" s="1">
        <v>16</v>
      </c>
      <c r="G43" s="3">
        <v>0</v>
      </c>
      <c r="H43" s="11">
        <v>0.15390699999999999</v>
      </c>
      <c r="I43" s="15">
        <v>0.15976299999999999</v>
      </c>
      <c r="J43" s="33">
        <f t="shared" si="0"/>
        <v>-3.804895163962653E-2</v>
      </c>
      <c r="L43" t="s">
        <v>52</v>
      </c>
      <c r="M43" t="s">
        <v>105</v>
      </c>
      <c r="N43" t="s">
        <v>157</v>
      </c>
      <c r="O43" t="s">
        <v>473</v>
      </c>
      <c r="P43" t="s">
        <v>421</v>
      </c>
      <c r="Q43" t="s">
        <v>518</v>
      </c>
      <c r="R43" t="s">
        <v>571</v>
      </c>
      <c r="U43" t="s">
        <v>214</v>
      </c>
      <c r="V43" t="s">
        <v>266</v>
      </c>
      <c r="W43" t="s">
        <v>318</v>
      </c>
      <c r="X43" t="s">
        <v>369</v>
      </c>
      <c r="Z43" t="s">
        <v>622</v>
      </c>
      <c r="AB43" s="11">
        <v>0.15390699999999999</v>
      </c>
      <c r="AC43" s="15">
        <v>0.15976299999999999</v>
      </c>
      <c r="AE43" t="s">
        <v>673</v>
      </c>
      <c r="AG43" t="s">
        <v>725</v>
      </c>
    </row>
    <row r="44" spans="2:33" x14ac:dyDescent="0.3">
      <c r="B44" s="61"/>
      <c r="C44" s="2">
        <v>4</v>
      </c>
      <c r="D44" s="1">
        <v>512</v>
      </c>
      <c r="E44" s="1">
        <v>2048</v>
      </c>
      <c r="F44" s="1">
        <v>16</v>
      </c>
      <c r="G44" s="3">
        <v>0</v>
      </c>
      <c r="H44" s="11">
        <v>1.4123460000000001</v>
      </c>
      <c r="I44" s="15">
        <v>1.3474299999999999</v>
      </c>
      <c r="J44" s="33">
        <f t="shared" si="0"/>
        <v>4.5963241302060677E-2</v>
      </c>
      <c r="L44" t="s">
        <v>53</v>
      </c>
      <c r="M44" t="s">
        <v>106</v>
      </c>
      <c r="N44" t="s">
        <v>158</v>
      </c>
      <c r="O44" t="s">
        <v>474</v>
      </c>
      <c r="P44" t="s">
        <v>422</v>
      </c>
      <c r="Q44" t="s">
        <v>519</v>
      </c>
      <c r="R44" t="s">
        <v>572</v>
      </c>
      <c r="U44" t="s">
        <v>215</v>
      </c>
      <c r="V44" t="s">
        <v>267</v>
      </c>
      <c r="W44" t="s">
        <v>319</v>
      </c>
      <c r="X44" t="s">
        <v>370</v>
      </c>
      <c r="Z44" t="s">
        <v>623</v>
      </c>
      <c r="AB44" s="11">
        <v>1.4123460000000001</v>
      </c>
      <c r="AC44" s="15">
        <v>1.3474299999999999</v>
      </c>
      <c r="AE44" t="s">
        <v>674</v>
      </c>
      <c r="AG44" t="s">
        <v>726</v>
      </c>
    </row>
    <row r="45" spans="2:33" s="41" customFormat="1" x14ac:dyDescent="0.3">
      <c r="B45" s="61"/>
      <c r="C45" s="35">
        <v>4</v>
      </c>
      <c r="D45" s="36">
        <v>1024</v>
      </c>
      <c r="E45" s="36">
        <v>2048</v>
      </c>
      <c r="F45" s="36">
        <v>16</v>
      </c>
      <c r="G45" s="37">
        <v>0</v>
      </c>
      <c r="H45" s="38">
        <v>5.6626180000000002</v>
      </c>
      <c r="I45" s="39">
        <v>5.3889339999999999</v>
      </c>
      <c r="J45" s="40">
        <f t="shared" si="0"/>
        <v>4.8331708054472372E-2</v>
      </c>
      <c r="L45" s="41" t="s">
        <v>54</v>
      </c>
      <c r="M45" s="41" t="s">
        <v>107</v>
      </c>
      <c r="N45" s="41" t="s">
        <v>159</v>
      </c>
      <c r="O45" s="41" t="s">
        <v>475</v>
      </c>
      <c r="P45" s="41" t="s">
        <v>423</v>
      </c>
      <c r="Q45" s="41" t="s">
        <v>520</v>
      </c>
      <c r="R45" s="41" t="s">
        <v>573</v>
      </c>
      <c r="T45" s="42"/>
      <c r="U45" s="41" t="s">
        <v>216</v>
      </c>
      <c r="V45" s="41" t="s">
        <v>268</v>
      </c>
      <c r="W45" s="41" t="s">
        <v>320</v>
      </c>
      <c r="X45" s="41" t="s">
        <v>371</v>
      </c>
      <c r="Z45" s="41" t="s">
        <v>624</v>
      </c>
      <c r="AB45" s="38">
        <v>5.6626180000000002</v>
      </c>
      <c r="AC45" s="39">
        <v>5.3889339999999999</v>
      </c>
      <c r="AE45" s="41" t="s">
        <v>675</v>
      </c>
      <c r="AG45" s="41" t="s">
        <v>727</v>
      </c>
    </row>
    <row r="46" spans="2:33" s="41" customFormat="1" x14ac:dyDescent="0.3">
      <c r="B46" s="61"/>
      <c r="C46" s="35">
        <v>4</v>
      </c>
      <c r="D46" s="36">
        <v>2048</v>
      </c>
      <c r="E46" s="36">
        <v>2048</v>
      </c>
      <c r="F46" s="36">
        <v>16</v>
      </c>
      <c r="G46" s="37">
        <v>0</v>
      </c>
      <c r="H46" s="38">
        <v>20.983694</v>
      </c>
      <c r="I46" s="39">
        <v>20.394573000000001</v>
      </c>
      <c r="J46" s="40">
        <f t="shared" si="0"/>
        <v>2.8075180661708023E-2</v>
      </c>
      <c r="L46" s="41" t="s">
        <v>55</v>
      </c>
      <c r="M46" s="41" t="s">
        <v>108</v>
      </c>
      <c r="N46" s="41" t="s">
        <v>160</v>
      </c>
      <c r="O46" s="41" t="s">
        <v>476</v>
      </c>
      <c r="P46" s="41" t="s">
        <v>424</v>
      </c>
      <c r="Q46" s="41" t="s">
        <v>521</v>
      </c>
      <c r="R46" s="41" t="s">
        <v>574</v>
      </c>
      <c r="T46" s="42"/>
      <c r="U46" s="41" t="s">
        <v>217</v>
      </c>
      <c r="V46" s="41" t="s">
        <v>269</v>
      </c>
      <c r="W46" s="41" t="s">
        <v>321</v>
      </c>
      <c r="X46" s="41" t="s">
        <v>372</v>
      </c>
      <c r="Z46" s="41" t="s">
        <v>625</v>
      </c>
      <c r="AB46" s="38">
        <v>20.983694</v>
      </c>
      <c r="AC46" s="39">
        <v>20.394573000000001</v>
      </c>
      <c r="AE46" s="41" t="s">
        <v>676</v>
      </c>
      <c r="AG46" s="41" t="s">
        <v>728</v>
      </c>
    </row>
    <row r="47" spans="2:33" s="41" customFormat="1" x14ac:dyDescent="0.3">
      <c r="B47" s="61"/>
      <c r="C47" s="35">
        <v>4</v>
      </c>
      <c r="D47" s="36">
        <v>4096</v>
      </c>
      <c r="E47" s="36">
        <v>2048</v>
      </c>
      <c r="F47" s="36">
        <v>16</v>
      </c>
      <c r="G47" s="37">
        <v>0</v>
      </c>
      <c r="H47" s="38">
        <v>80.462173000000007</v>
      </c>
      <c r="I47" s="39">
        <v>79.3536</v>
      </c>
      <c r="J47" s="40">
        <f t="shared" si="0"/>
        <v>1.3777567255112621E-2</v>
      </c>
      <c r="L47" s="41" t="s">
        <v>56</v>
      </c>
      <c r="M47" s="41" t="s">
        <v>109</v>
      </c>
      <c r="N47" s="41" t="s">
        <v>161</v>
      </c>
      <c r="O47" s="41" t="s">
        <v>477</v>
      </c>
      <c r="P47" s="41" t="s">
        <v>425</v>
      </c>
      <c r="Q47" s="41" t="s">
        <v>522</v>
      </c>
      <c r="R47" s="41" t="s">
        <v>575</v>
      </c>
      <c r="T47" s="42"/>
      <c r="U47" s="41" t="s">
        <v>218</v>
      </c>
      <c r="V47" s="41" t="s">
        <v>270</v>
      </c>
      <c r="W47" s="41" t="s">
        <v>322</v>
      </c>
      <c r="X47" s="41" t="s">
        <v>373</v>
      </c>
      <c r="Z47" s="41" t="s">
        <v>626</v>
      </c>
      <c r="AB47" s="38">
        <v>80.462173000000007</v>
      </c>
      <c r="AC47" s="39">
        <v>79.3536</v>
      </c>
      <c r="AE47" s="41" t="s">
        <v>677</v>
      </c>
      <c r="AG47" s="41" t="s">
        <v>729</v>
      </c>
    </row>
    <row r="48" spans="2:33" x14ac:dyDescent="0.3">
      <c r="B48" s="61"/>
      <c r="C48" s="2">
        <v>8</v>
      </c>
      <c r="D48" s="1">
        <v>1</v>
      </c>
      <c r="E48" s="1">
        <v>2048</v>
      </c>
      <c r="F48" s="1">
        <v>16</v>
      </c>
      <c r="G48" s="3">
        <v>0</v>
      </c>
      <c r="H48" s="11">
        <v>8.6291000000000007E-2</v>
      </c>
      <c r="I48" s="15">
        <v>8.7333999999999995E-2</v>
      </c>
      <c r="J48" s="33">
        <f t="shared" si="0"/>
        <v>-1.2087007915077915E-2</v>
      </c>
      <c r="L48" t="s">
        <v>57</v>
      </c>
      <c r="M48" t="s">
        <v>110</v>
      </c>
      <c r="N48" t="s">
        <v>162</v>
      </c>
      <c r="O48" t="s">
        <v>478</v>
      </c>
      <c r="P48" t="s">
        <v>426</v>
      </c>
      <c r="Q48" t="s">
        <v>523</v>
      </c>
      <c r="R48" t="s">
        <v>537</v>
      </c>
      <c r="U48" t="s">
        <v>219</v>
      </c>
      <c r="V48" t="s">
        <v>271</v>
      </c>
      <c r="W48" t="s">
        <v>323</v>
      </c>
      <c r="X48" t="s">
        <v>374</v>
      </c>
      <c r="Z48" t="s">
        <v>627</v>
      </c>
      <c r="AB48" s="11">
        <v>8.6291000000000007E-2</v>
      </c>
      <c r="AC48" s="15">
        <v>8.7333999999999995E-2</v>
      </c>
      <c r="AE48" t="s">
        <v>678</v>
      </c>
      <c r="AG48" t="s">
        <v>730</v>
      </c>
    </row>
    <row r="49" spans="2:33" x14ac:dyDescent="0.3">
      <c r="B49" s="61"/>
      <c r="C49" s="2">
        <v>8</v>
      </c>
      <c r="D49" s="1">
        <v>128</v>
      </c>
      <c r="E49" s="1">
        <v>2048</v>
      </c>
      <c r="F49" s="1">
        <v>16</v>
      </c>
      <c r="G49" s="3">
        <v>0</v>
      </c>
      <c r="H49" s="11">
        <v>0.311776</v>
      </c>
      <c r="I49" s="15">
        <v>0.30315500000000001</v>
      </c>
      <c r="J49" s="33">
        <f t="shared" si="0"/>
        <v>2.7651262444832153E-2</v>
      </c>
      <c r="L49" t="s">
        <v>58</v>
      </c>
      <c r="M49" t="s">
        <v>111</v>
      </c>
      <c r="N49" t="s">
        <v>163</v>
      </c>
      <c r="O49" t="s">
        <v>479</v>
      </c>
      <c r="P49" t="s">
        <v>427</v>
      </c>
      <c r="Q49" t="s">
        <v>524</v>
      </c>
      <c r="R49" t="s">
        <v>576</v>
      </c>
      <c r="U49" t="s">
        <v>220</v>
      </c>
      <c r="V49" t="s">
        <v>272</v>
      </c>
      <c r="W49" t="s">
        <v>324</v>
      </c>
      <c r="X49" t="s">
        <v>375</v>
      </c>
      <c r="Z49" t="s">
        <v>628</v>
      </c>
      <c r="AB49" s="11">
        <v>0.311776</v>
      </c>
      <c r="AC49" s="15">
        <v>0.30315500000000001</v>
      </c>
      <c r="AE49" t="s">
        <v>679</v>
      </c>
      <c r="AG49" t="s">
        <v>731</v>
      </c>
    </row>
    <row r="50" spans="2:33" x14ac:dyDescent="0.3">
      <c r="B50" s="61"/>
      <c r="C50" s="2">
        <v>8</v>
      </c>
      <c r="D50" s="1">
        <v>512</v>
      </c>
      <c r="E50" s="1">
        <v>2048</v>
      </c>
      <c r="F50" s="1">
        <v>16</v>
      </c>
      <c r="G50" s="3">
        <v>0</v>
      </c>
      <c r="H50" s="11">
        <v>2.9463680000000001</v>
      </c>
      <c r="I50" s="15">
        <v>2.8292030000000001</v>
      </c>
      <c r="J50" s="33">
        <f t="shared" si="0"/>
        <v>3.976590839976539E-2</v>
      </c>
      <c r="L50" t="s">
        <v>59</v>
      </c>
      <c r="M50" t="s">
        <v>112</v>
      </c>
      <c r="N50" t="s">
        <v>164</v>
      </c>
      <c r="O50" t="s">
        <v>480</v>
      </c>
      <c r="P50" t="s">
        <v>428</v>
      </c>
      <c r="Q50" t="s">
        <v>525</v>
      </c>
      <c r="R50" t="s">
        <v>577</v>
      </c>
      <c r="U50" t="s">
        <v>221</v>
      </c>
      <c r="V50" t="s">
        <v>273</v>
      </c>
      <c r="W50" t="s">
        <v>325</v>
      </c>
      <c r="X50" t="s">
        <v>376</v>
      </c>
      <c r="Z50" t="s">
        <v>629</v>
      </c>
      <c r="AB50" s="11">
        <v>2.9463680000000001</v>
      </c>
      <c r="AC50" s="15">
        <v>2.8292030000000001</v>
      </c>
      <c r="AE50" t="s">
        <v>680</v>
      </c>
      <c r="AG50" t="s">
        <v>732</v>
      </c>
    </row>
    <row r="51" spans="2:33" s="41" customFormat="1" x14ac:dyDescent="0.3">
      <c r="B51" s="61"/>
      <c r="C51" s="35">
        <v>8</v>
      </c>
      <c r="D51" s="36">
        <v>1024</v>
      </c>
      <c r="E51" s="36">
        <v>2048</v>
      </c>
      <c r="F51" s="36">
        <v>16</v>
      </c>
      <c r="G51" s="37">
        <v>0</v>
      </c>
      <c r="H51" s="38">
        <v>11.219481</v>
      </c>
      <c r="I51" s="39">
        <v>11.094797</v>
      </c>
      <c r="J51" s="40">
        <f t="shared" si="0"/>
        <v>1.1113170029879301E-2</v>
      </c>
      <c r="L51" s="41" t="s">
        <v>60</v>
      </c>
      <c r="M51" s="41" t="s">
        <v>113</v>
      </c>
      <c r="N51" s="41" t="s">
        <v>165</v>
      </c>
      <c r="O51" s="41" t="s">
        <v>481</v>
      </c>
      <c r="P51" s="41" t="s">
        <v>429</v>
      </c>
      <c r="Q51" s="41" t="s">
        <v>526</v>
      </c>
      <c r="R51" s="41" t="s">
        <v>578</v>
      </c>
      <c r="T51" s="42"/>
      <c r="U51" s="41" t="s">
        <v>222</v>
      </c>
      <c r="V51" s="41" t="s">
        <v>274</v>
      </c>
      <c r="W51" s="41" t="s">
        <v>326</v>
      </c>
      <c r="X51" s="41" t="s">
        <v>377</v>
      </c>
      <c r="Z51" s="41" t="s">
        <v>630</v>
      </c>
      <c r="AB51" s="38">
        <v>11.219481</v>
      </c>
      <c r="AC51" s="39">
        <v>11.094797</v>
      </c>
      <c r="AE51" s="41" t="s">
        <v>681</v>
      </c>
      <c r="AG51" s="41" t="s">
        <v>733</v>
      </c>
    </row>
    <row r="52" spans="2:33" s="41" customFormat="1" x14ac:dyDescent="0.3">
      <c r="B52" s="61"/>
      <c r="C52" s="35">
        <v>8</v>
      </c>
      <c r="D52" s="36">
        <v>2048</v>
      </c>
      <c r="E52" s="36">
        <v>2048</v>
      </c>
      <c r="F52" s="36">
        <v>16</v>
      </c>
      <c r="G52" s="37">
        <v>0</v>
      </c>
      <c r="H52" s="38">
        <v>42.764961</v>
      </c>
      <c r="I52" s="39">
        <v>43.265594</v>
      </c>
      <c r="J52" s="40">
        <f t="shared" si="0"/>
        <v>-1.1706616545260045E-2</v>
      </c>
      <c r="L52" s="41" t="s">
        <v>61</v>
      </c>
      <c r="M52" s="41" t="s">
        <v>114</v>
      </c>
      <c r="N52" s="41" t="s">
        <v>166</v>
      </c>
      <c r="O52" s="41" t="s">
        <v>482</v>
      </c>
      <c r="P52" s="41" t="s">
        <v>430</v>
      </c>
      <c r="Q52" s="41" t="s">
        <v>527</v>
      </c>
      <c r="R52" s="41" t="s">
        <v>579</v>
      </c>
      <c r="T52" s="42"/>
      <c r="U52" s="41" t="s">
        <v>223</v>
      </c>
      <c r="V52" s="41" t="s">
        <v>275</v>
      </c>
      <c r="W52" s="41" t="s">
        <v>327</v>
      </c>
      <c r="X52" s="41" t="s">
        <v>378</v>
      </c>
      <c r="Z52" s="41" t="s">
        <v>631</v>
      </c>
      <c r="AB52" s="38">
        <v>42.764961</v>
      </c>
      <c r="AC52" s="39">
        <v>43.265594</v>
      </c>
      <c r="AE52" s="41" t="s">
        <v>682</v>
      </c>
      <c r="AG52" s="41" t="s">
        <v>734</v>
      </c>
    </row>
    <row r="53" spans="2:33" x14ac:dyDescent="0.3">
      <c r="B53" s="61"/>
      <c r="C53" s="2">
        <v>16</v>
      </c>
      <c r="D53" s="1">
        <v>1</v>
      </c>
      <c r="E53" s="1">
        <v>2048</v>
      </c>
      <c r="F53" s="1">
        <v>16</v>
      </c>
      <c r="G53" s="3">
        <v>0</v>
      </c>
      <c r="H53" s="11">
        <v>0.144704</v>
      </c>
      <c r="I53" s="15">
        <v>0.147706</v>
      </c>
      <c r="J53" s="33">
        <f t="shared" si="0"/>
        <v>-2.0745798319327765E-2</v>
      </c>
      <c r="L53" t="s">
        <v>62</v>
      </c>
      <c r="M53" t="s">
        <v>115</v>
      </c>
      <c r="N53" t="s">
        <v>167</v>
      </c>
      <c r="O53" t="s">
        <v>483</v>
      </c>
      <c r="P53" t="s">
        <v>431</v>
      </c>
      <c r="Q53" t="s">
        <v>528</v>
      </c>
      <c r="R53" t="s">
        <v>580</v>
      </c>
      <c r="U53" t="s">
        <v>224</v>
      </c>
      <c r="V53" t="s">
        <v>276</v>
      </c>
      <c r="W53" t="s">
        <v>328</v>
      </c>
      <c r="X53" t="s">
        <v>379</v>
      </c>
      <c r="Z53" t="s">
        <v>632</v>
      </c>
      <c r="AB53" s="11">
        <v>0.144704</v>
      </c>
      <c r="AC53" s="15">
        <v>0.147706</v>
      </c>
      <c r="AE53" t="s">
        <v>683</v>
      </c>
      <c r="AG53" t="s">
        <v>735</v>
      </c>
    </row>
    <row r="54" spans="2:33" x14ac:dyDescent="0.3">
      <c r="B54" s="61"/>
      <c r="C54" s="2">
        <v>16</v>
      </c>
      <c r="D54" s="1">
        <v>128</v>
      </c>
      <c r="E54" s="1">
        <v>2048</v>
      </c>
      <c r="F54" s="1">
        <v>16</v>
      </c>
      <c r="G54" s="3">
        <v>0</v>
      </c>
      <c r="H54" s="11">
        <v>0.61977000000000004</v>
      </c>
      <c r="I54" s="15">
        <v>0.59578200000000003</v>
      </c>
      <c r="J54" s="33">
        <f t="shared" si="0"/>
        <v>3.8704680768672263E-2</v>
      </c>
      <c r="L54" t="s">
        <v>63</v>
      </c>
      <c r="M54" t="s">
        <v>116</v>
      </c>
      <c r="N54" t="s">
        <v>168</v>
      </c>
      <c r="P54" t="s">
        <v>432</v>
      </c>
      <c r="Q54" t="s">
        <v>529</v>
      </c>
      <c r="R54" t="s">
        <v>581</v>
      </c>
      <c r="U54" t="s">
        <v>225</v>
      </c>
      <c r="V54" t="s">
        <v>277</v>
      </c>
      <c r="W54" t="s">
        <v>329</v>
      </c>
      <c r="X54" t="s">
        <v>380</v>
      </c>
      <c r="Z54" t="s">
        <v>633</v>
      </c>
      <c r="AB54" s="11">
        <v>0.61977000000000004</v>
      </c>
      <c r="AC54" s="15">
        <v>0.59578200000000003</v>
      </c>
      <c r="AE54" t="s">
        <v>684</v>
      </c>
      <c r="AG54" t="s">
        <v>736</v>
      </c>
    </row>
    <row r="55" spans="2:33" x14ac:dyDescent="0.3">
      <c r="B55" s="61"/>
      <c r="C55" s="2">
        <v>16</v>
      </c>
      <c r="D55" s="1">
        <v>512</v>
      </c>
      <c r="E55" s="1">
        <v>2048</v>
      </c>
      <c r="F55" s="1">
        <v>16</v>
      </c>
      <c r="G55" s="3">
        <v>0</v>
      </c>
      <c r="H55" s="11">
        <v>5.7128579999999998</v>
      </c>
      <c r="I55" s="15">
        <v>5.5512699999999997</v>
      </c>
      <c r="J55" s="33">
        <f t="shared" si="0"/>
        <v>2.8284966999004714E-2</v>
      </c>
      <c r="L55" t="s">
        <v>64</v>
      </c>
      <c r="M55" t="s">
        <v>117</v>
      </c>
      <c r="N55" t="s">
        <v>169</v>
      </c>
      <c r="P55" t="s">
        <v>433</v>
      </c>
      <c r="Q55" t="s">
        <v>530</v>
      </c>
      <c r="R55" t="s">
        <v>582</v>
      </c>
      <c r="U55" t="s">
        <v>226</v>
      </c>
      <c r="V55" t="s">
        <v>278</v>
      </c>
      <c r="W55" t="s">
        <v>330</v>
      </c>
      <c r="X55" t="s">
        <v>381</v>
      </c>
      <c r="Z55" t="s">
        <v>634</v>
      </c>
      <c r="AB55" s="11">
        <v>5.7128579999999998</v>
      </c>
      <c r="AC55" s="15">
        <v>5.5512699999999997</v>
      </c>
      <c r="AE55" t="s">
        <v>685</v>
      </c>
      <c r="AG55" t="s">
        <v>737</v>
      </c>
    </row>
    <row r="56" spans="2:33" x14ac:dyDescent="0.3">
      <c r="B56" s="61"/>
      <c r="C56" s="2">
        <v>20</v>
      </c>
      <c r="D56" s="1">
        <v>1</v>
      </c>
      <c r="E56" s="1">
        <v>2048</v>
      </c>
      <c r="F56" s="1">
        <v>16</v>
      </c>
      <c r="G56" s="3">
        <v>0</v>
      </c>
      <c r="H56" s="11">
        <v>0.17317099999999999</v>
      </c>
      <c r="I56" s="15">
        <v>0.177734</v>
      </c>
      <c r="J56" s="33">
        <f t="shared" si="0"/>
        <v>-2.6349677486415229E-2</v>
      </c>
      <c r="L56" t="s">
        <v>65</v>
      </c>
      <c r="M56" t="s">
        <v>118</v>
      </c>
      <c r="N56" t="s">
        <v>170</v>
      </c>
      <c r="P56" t="s">
        <v>434</v>
      </c>
      <c r="Q56" t="s">
        <v>531</v>
      </c>
      <c r="R56" t="s">
        <v>583</v>
      </c>
      <c r="U56" t="s">
        <v>227</v>
      </c>
      <c r="V56" t="s">
        <v>279</v>
      </c>
      <c r="W56" t="s">
        <v>331</v>
      </c>
      <c r="X56" t="s">
        <v>382</v>
      </c>
      <c r="Z56" t="s">
        <v>635</v>
      </c>
      <c r="AB56" s="11">
        <v>0.17317099999999999</v>
      </c>
      <c r="AC56" s="15">
        <v>0.177734</v>
      </c>
      <c r="AE56" t="s">
        <v>686</v>
      </c>
      <c r="AG56" t="s">
        <v>738</v>
      </c>
    </row>
    <row r="57" spans="2:33" ht="14.5" thickBot="1" x14ac:dyDescent="0.35">
      <c r="B57" s="62"/>
      <c r="C57" s="7">
        <v>20</v>
      </c>
      <c r="D57" s="8">
        <v>128</v>
      </c>
      <c r="E57" s="8">
        <v>2048</v>
      </c>
      <c r="F57" s="8">
        <v>16</v>
      </c>
      <c r="G57" s="9">
        <v>0</v>
      </c>
      <c r="H57" s="12">
        <v>0.77210199999999996</v>
      </c>
      <c r="I57" s="16">
        <v>0.731213</v>
      </c>
      <c r="J57" s="34">
        <f t="shared" si="0"/>
        <v>5.2958028861471614E-2</v>
      </c>
      <c r="L57" t="s">
        <v>66</v>
      </c>
      <c r="M57" t="s">
        <v>119</v>
      </c>
      <c r="N57" t="s">
        <v>171</v>
      </c>
      <c r="P57" t="s">
        <v>435</v>
      </c>
      <c r="Q57" t="s">
        <v>532</v>
      </c>
      <c r="R57" t="s">
        <v>584</v>
      </c>
      <c r="U57" t="s">
        <v>228</v>
      </c>
      <c r="V57" t="s">
        <v>280</v>
      </c>
      <c r="W57" t="s">
        <v>332</v>
      </c>
      <c r="X57" t="s">
        <v>383</v>
      </c>
      <c r="Z57" t="s">
        <v>636</v>
      </c>
      <c r="AB57" s="12">
        <v>0.77210199999999996</v>
      </c>
      <c r="AC57" s="16">
        <v>0.731213</v>
      </c>
      <c r="AE57" t="s">
        <v>687</v>
      </c>
      <c r="AG57" t="s">
        <v>739</v>
      </c>
    </row>
  </sheetData>
  <mergeCells count="2">
    <mergeCell ref="B6:B35"/>
    <mergeCell ref="B36:B5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56"/>
  <sheetViews>
    <sheetView workbookViewId="0">
      <selection activeCell="N61" sqref="N61"/>
    </sheetView>
  </sheetViews>
  <sheetFormatPr defaultRowHeight="14" x14ac:dyDescent="0.3"/>
  <sheetData>
    <row r="3" spans="3:11" ht="14.5" thickBot="1" x14ac:dyDescent="0.35"/>
    <row r="4" spans="3:11" ht="14.5" thickBot="1" x14ac:dyDescent="0.35">
      <c r="C4" s="29" t="s">
        <v>4</v>
      </c>
      <c r="D4" s="30" t="s">
        <v>2</v>
      </c>
      <c r="E4" s="30" t="s">
        <v>0</v>
      </c>
      <c r="F4" s="30" t="s">
        <v>3</v>
      </c>
      <c r="G4" s="30" t="s">
        <v>8</v>
      </c>
      <c r="H4" s="30" t="s">
        <v>9</v>
      </c>
      <c r="I4" s="24" t="s">
        <v>10</v>
      </c>
      <c r="J4" s="24" t="s">
        <v>11</v>
      </c>
      <c r="K4" s="25"/>
    </row>
    <row r="5" spans="3:11" x14ac:dyDescent="0.3">
      <c r="C5" s="60" t="s">
        <v>5</v>
      </c>
      <c r="D5" s="4">
        <v>1</v>
      </c>
      <c r="E5" s="5">
        <v>1</v>
      </c>
      <c r="F5" s="5">
        <v>2048</v>
      </c>
      <c r="G5" s="5">
        <v>16</v>
      </c>
      <c r="H5" s="14">
        <v>1</v>
      </c>
      <c r="I5" s="4">
        <v>3.7317999999999997E-2</v>
      </c>
      <c r="J5" s="6">
        <v>3.8725999999999997E-2</v>
      </c>
      <c r="K5" s="43">
        <v>-3.7699999999999997E-2</v>
      </c>
    </row>
    <row r="6" spans="3:11" x14ac:dyDescent="0.3">
      <c r="C6" s="61"/>
      <c r="D6" s="2">
        <v>1</v>
      </c>
      <c r="E6" s="1">
        <v>1</v>
      </c>
      <c r="F6" s="1">
        <v>2048</v>
      </c>
      <c r="G6" s="1">
        <v>16</v>
      </c>
      <c r="H6" s="15">
        <v>127</v>
      </c>
      <c r="I6" s="2">
        <v>3.9641999999999997E-2</v>
      </c>
      <c r="J6" s="3">
        <v>4.1017999999999999E-2</v>
      </c>
      <c r="K6" s="44">
        <v>-3.4700000000000002E-2</v>
      </c>
    </row>
    <row r="7" spans="3:11" x14ac:dyDescent="0.3">
      <c r="C7" s="61"/>
      <c r="D7" s="2">
        <v>1</v>
      </c>
      <c r="E7" s="1">
        <v>1</v>
      </c>
      <c r="F7" s="1">
        <v>2048</v>
      </c>
      <c r="G7" s="1">
        <v>16</v>
      </c>
      <c r="H7" s="15">
        <v>511</v>
      </c>
      <c r="I7" s="2">
        <v>6.1466E-2</v>
      </c>
      <c r="J7" s="3">
        <v>6.3871999999999998E-2</v>
      </c>
      <c r="K7" s="44">
        <v>-3.9100000000000003E-2</v>
      </c>
    </row>
    <row r="8" spans="3:11" x14ac:dyDescent="0.3">
      <c r="C8" s="61"/>
      <c r="D8" s="2">
        <v>1</v>
      </c>
      <c r="E8" s="1">
        <v>1</v>
      </c>
      <c r="F8" s="1">
        <v>2048</v>
      </c>
      <c r="G8" s="1">
        <v>16</v>
      </c>
      <c r="H8" s="15">
        <v>1023</v>
      </c>
      <c r="I8" s="2">
        <v>8.9247999999999994E-2</v>
      </c>
      <c r="J8" s="3">
        <v>9.5462000000000005E-2</v>
      </c>
      <c r="K8" s="44">
        <v>-6.9599999999999995E-2</v>
      </c>
    </row>
    <row r="9" spans="3:11" x14ac:dyDescent="0.3">
      <c r="C9" s="61"/>
      <c r="D9" s="2">
        <v>1</v>
      </c>
      <c r="E9" s="1">
        <v>1</v>
      </c>
      <c r="F9" s="1">
        <v>2048</v>
      </c>
      <c r="G9" s="1">
        <v>16</v>
      </c>
      <c r="H9" s="15">
        <v>2047</v>
      </c>
      <c r="I9" s="2">
        <v>0.144064</v>
      </c>
      <c r="J9" s="3">
        <v>0.145792</v>
      </c>
      <c r="K9" s="44">
        <v>-1.2E-2</v>
      </c>
    </row>
    <row r="10" spans="3:11" x14ac:dyDescent="0.3">
      <c r="C10" s="61"/>
      <c r="D10" s="2">
        <v>1</v>
      </c>
      <c r="E10" s="1">
        <v>1</v>
      </c>
      <c r="F10" s="1">
        <v>2048</v>
      </c>
      <c r="G10" s="1">
        <v>16</v>
      </c>
      <c r="H10" s="15">
        <v>4095</v>
      </c>
      <c r="I10" s="2">
        <v>0.25591000000000003</v>
      </c>
      <c r="J10" s="3">
        <v>0.245869</v>
      </c>
      <c r="K10" s="44">
        <v>3.9199999999999999E-2</v>
      </c>
    </row>
    <row r="11" spans="3:11" x14ac:dyDescent="0.3">
      <c r="C11" s="61"/>
      <c r="D11" s="2">
        <v>4</v>
      </c>
      <c r="E11" s="1">
        <v>1</v>
      </c>
      <c r="F11" s="1">
        <v>2048</v>
      </c>
      <c r="G11" s="1">
        <v>16</v>
      </c>
      <c r="H11" s="15">
        <v>1</v>
      </c>
      <c r="I11" s="2">
        <v>5.9749999999999998E-2</v>
      </c>
      <c r="J11" s="3">
        <v>6.1990000000000003E-2</v>
      </c>
      <c r="K11" s="44">
        <v>-3.7499999999999999E-2</v>
      </c>
    </row>
    <row r="12" spans="3:11" x14ac:dyDescent="0.3">
      <c r="C12" s="61"/>
      <c r="D12" s="2">
        <v>4</v>
      </c>
      <c r="E12" s="1">
        <v>1</v>
      </c>
      <c r="F12" s="1">
        <v>2048</v>
      </c>
      <c r="G12" s="1">
        <v>16</v>
      </c>
      <c r="H12" s="15">
        <v>127</v>
      </c>
      <c r="I12" s="2">
        <v>7.0509000000000002E-2</v>
      </c>
      <c r="J12" s="3">
        <v>7.0239999999999997E-2</v>
      </c>
      <c r="K12" s="44">
        <v>3.8E-3</v>
      </c>
    </row>
    <row r="13" spans="3:11" x14ac:dyDescent="0.3">
      <c r="C13" s="61"/>
      <c r="D13" s="2">
        <v>4</v>
      </c>
      <c r="E13" s="1">
        <v>1</v>
      </c>
      <c r="F13" s="1">
        <v>2048</v>
      </c>
      <c r="G13" s="1">
        <v>16</v>
      </c>
      <c r="H13" s="15">
        <v>511</v>
      </c>
      <c r="I13" s="2">
        <v>0.15690899999999999</v>
      </c>
      <c r="J13" s="3">
        <v>0.149894</v>
      </c>
      <c r="K13" s="44">
        <v>4.4699999999999997E-2</v>
      </c>
    </row>
    <row r="14" spans="3:11" x14ac:dyDescent="0.3">
      <c r="C14" s="61"/>
      <c r="D14" s="2">
        <v>4</v>
      </c>
      <c r="E14" s="1">
        <v>1</v>
      </c>
      <c r="F14" s="1">
        <v>2048</v>
      </c>
      <c r="G14" s="1">
        <v>16</v>
      </c>
      <c r="H14" s="15">
        <v>1022</v>
      </c>
      <c r="I14" s="2">
        <v>0.27363199999999999</v>
      </c>
      <c r="J14" s="3">
        <v>0.26071</v>
      </c>
      <c r="K14" s="44">
        <v>4.7199999999999999E-2</v>
      </c>
    </row>
    <row r="15" spans="3:11" x14ac:dyDescent="0.3">
      <c r="C15" s="61"/>
      <c r="D15" s="2">
        <v>4</v>
      </c>
      <c r="E15" s="1">
        <v>1</v>
      </c>
      <c r="F15" s="1">
        <v>2048</v>
      </c>
      <c r="G15" s="1">
        <v>16</v>
      </c>
      <c r="H15" s="15">
        <v>2047</v>
      </c>
      <c r="I15" s="2">
        <v>0.50815399999999999</v>
      </c>
      <c r="J15" s="3">
        <v>0.46771200000000002</v>
      </c>
      <c r="K15" s="44">
        <v>7.9600000000000004E-2</v>
      </c>
    </row>
    <row r="16" spans="3:11" x14ac:dyDescent="0.3">
      <c r="C16" s="61"/>
      <c r="D16" s="2">
        <v>4</v>
      </c>
      <c r="E16" s="1">
        <v>1</v>
      </c>
      <c r="F16" s="1">
        <v>2048</v>
      </c>
      <c r="G16" s="1">
        <v>16</v>
      </c>
      <c r="H16" s="15">
        <v>4095</v>
      </c>
      <c r="I16" s="2">
        <v>0.98217600000000005</v>
      </c>
      <c r="J16" s="3">
        <v>0.87951999999999997</v>
      </c>
      <c r="K16" s="44">
        <v>0.1045</v>
      </c>
    </row>
    <row r="17" spans="3:11" x14ac:dyDescent="0.3">
      <c r="C17" s="61"/>
      <c r="D17" s="2">
        <v>8</v>
      </c>
      <c r="E17" s="1">
        <v>1</v>
      </c>
      <c r="F17" s="1">
        <v>2048</v>
      </c>
      <c r="G17" s="1">
        <v>16</v>
      </c>
      <c r="H17" s="15">
        <v>1</v>
      </c>
      <c r="I17" s="2">
        <v>8.9619000000000004E-2</v>
      </c>
      <c r="J17" s="3">
        <v>9.4298000000000007E-2</v>
      </c>
      <c r="K17" s="44">
        <v>-5.2200000000000003E-2</v>
      </c>
    </row>
    <row r="18" spans="3:11" x14ac:dyDescent="0.3">
      <c r="C18" s="61"/>
      <c r="D18" s="2">
        <v>8</v>
      </c>
      <c r="E18" s="1">
        <v>1</v>
      </c>
      <c r="F18" s="1">
        <v>2048</v>
      </c>
      <c r="G18" s="1">
        <v>16</v>
      </c>
      <c r="H18" s="15">
        <v>127</v>
      </c>
      <c r="I18" s="2">
        <v>0.110515</v>
      </c>
      <c r="J18" s="3">
        <v>0.108115</v>
      </c>
      <c r="K18" s="44">
        <v>2.1700000000000001E-2</v>
      </c>
    </row>
    <row r="19" spans="3:11" x14ac:dyDescent="0.3">
      <c r="C19" s="61"/>
      <c r="D19" s="2">
        <v>8</v>
      </c>
      <c r="E19" s="1">
        <v>1</v>
      </c>
      <c r="F19" s="1">
        <v>2048</v>
      </c>
      <c r="G19" s="1">
        <v>16</v>
      </c>
      <c r="H19" s="15">
        <v>511</v>
      </c>
      <c r="I19" s="2">
        <v>0.28101100000000001</v>
      </c>
      <c r="J19" s="3">
        <v>0.260102</v>
      </c>
      <c r="K19" s="44">
        <v>7.4399999999999994E-2</v>
      </c>
    </row>
    <row r="20" spans="3:11" x14ac:dyDescent="0.3">
      <c r="C20" s="61"/>
      <c r="D20" s="2">
        <v>8</v>
      </c>
      <c r="E20" s="1">
        <v>1</v>
      </c>
      <c r="F20" s="1">
        <v>2048</v>
      </c>
      <c r="G20" s="1">
        <v>16</v>
      </c>
      <c r="H20" s="15">
        <v>1023</v>
      </c>
      <c r="I20" s="2">
        <v>0.51451499999999994</v>
      </c>
      <c r="J20" s="3">
        <v>0.47626200000000002</v>
      </c>
      <c r="K20" s="44">
        <v>7.4300000000000005E-2</v>
      </c>
    </row>
    <row r="21" spans="3:11" x14ac:dyDescent="0.3">
      <c r="C21" s="61"/>
      <c r="D21" s="2">
        <v>8</v>
      </c>
      <c r="E21" s="1">
        <v>1</v>
      </c>
      <c r="F21" s="1">
        <v>2048</v>
      </c>
      <c r="G21" s="1">
        <v>16</v>
      </c>
      <c r="H21" s="15">
        <v>2047</v>
      </c>
      <c r="I21" s="2">
        <v>0.97570599999999996</v>
      </c>
      <c r="J21" s="3">
        <v>0.88469100000000001</v>
      </c>
      <c r="K21" s="44">
        <v>9.3299999999999994E-2</v>
      </c>
    </row>
    <row r="22" spans="3:11" x14ac:dyDescent="0.3">
      <c r="C22" s="61"/>
      <c r="D22" s="2">
        <v>8</v>
      </c>
      <c r="E22" s="1">
        <v>1</v>
      </c>
      <c r="F22" s="1">
        <v>2048</v>
      </c>
      <c r="G22" s="1">
        <v>16</v>
      </c>
      <c r="H22" s="15">
        <v>4095</v>
      </c>
      <c r="I22" s="2">
        <v>1.9038139999999999</v>
      </c>
      <c r="J22" s="3">
        <v>1.6922299999999999</v>
      </c>
      <c r="K22" s="44">
        <v>0.1111</v>
      </c>
    </row>
    <row r="23" spans="3:11" x14ac:dyDescent="0.3">
      <c r="C23" s="61"/>
      <c r="D23" s="2">
        <v>16</v>
      </c>
      <c r="E23" s="1">
        <v>1</v>
      </c>
      <c r="F23" s="1">
        <v>2048</v>
      </c>
      <c r="G23" s="1">
        <v>16</v>
      </c>
      <c r="H23" s="15">
        <v>1</v>
      </c>
      <c r="I23" s="2">
        <v>0.15237100000000001</v>
      </c>
      <c r="J23" s="3">
        <v>0.160333</v>
      </c>
      <c r="K23" s="44">
        <v>-5.2299999999999999E-2</v>
      </c>
    </row>
    <row r="24" spans="3:11" x14ac:dyDescent="0.3">
      <c r="C24" s="61"/>
      <c r="D24" s="2">
        <v>16</v>
      </c>
      <c r="E24" s="1">
        <v>1</v>
      </c>
      <c r="F24" s="1">
        <v>2048</v>
      </c>
      <c r="G24" s="1">
        <v>16</v>
      </c>
      <c r="H24" s="15">
        <v>127</v>
      </c>
      <c r="I24" s="2">
        <v>0.19310099999999999</v>
      </c>
      <c r="J24" s="3">
        <v>0.188358</v>
      </c>
      <c r="K24" s="44">
        <v>2.46E-2</v>
      </c>
    </row>
    <row r="25" spans="3:11" x14ac:dyDescent="0.3">
      <c r="C25" s="61"/>
      <c r="D25" s="2">
        <v>16</v>
      </c>
      <c r="E25" s="1">
        <v>1</v>
      </c>
      <c r="F25" s="1">
        <v>2048</v>
      </c>
      <c r="G25" s="1">
        <v>16</v>
      </c>
      <c r="H25" s="15">
        <v>511</v>
      </c>
      <c r="I25" s="2">
        <v>0.53566100000000005</v>
      </c>
      <c r="J25" s="3">
        <v>0.49221799999999999</v>
      </c>
      <c r="K25" s="44">
        <v>8.1100000000000005E-2</v>
      </c>
    </row>
    <row r="26" spans="3:11" x14ac:dyDescent="0.3">
      <c r="C26" s="61"/>
      <c r="D26" s="2">
        <v>16</v>
      </c>
      <c r="E26" s="1">
        <v>1</v>
      </c>
      <c r="F26" s="1">
        <v>2048</v>
      </c>
      <c r="G26" s="1">
        <v>16</v>
      </c>
      <c r="H26" s="15">
        <v>1023</v>
      </c>
      <c r="I26" s="2">
        <v>1.006445</v>
      </c>
      <c r="J26" s="3">
        <v>0.91634599999999999</v>
      </c>
      <c r="K26" s="44">
        <v>8.9499999999999996E-2</v>
      </c>
    </row>
    <row r="27" spans="3:11" x14ac:dyDescent="0.3">
      <c r="C27" s="61"/>
      <c r="D27" s="2">
        <v>16</v>
      </c>
      <c r="E27" s="1">
        <v>1</v>
      </c>
      <c r="F27" s="1">
        <v>2048</v>
      </c>
      <c r="G27" s="1">
        <v>16</v>
      </c>
      <c r="H27" s="15">
        <v>2047</v>
      </c>
      <c r="I27" s="2">
        <v>1.936666</v>
      </c>
      <c r="J27" s="3">
        <v>1.7397119999999999</v>
      </c>
      <c r="K27" s="44">
        <v>0.1017</v>
      </c>
    </row>
    <row r="28" spans="3:11" x14ac:dyDescent="0.3">
      <c r="C28" s="61"/>
      <c r="D28" s="2">
        <v>16</v>
      </c>
      <c r="E28" s="1">
        <v>1</v>
      </c>
      <c r="F28" s="1">
        <v>2048</v>
      </c>
      <c r="G28" s="1">
        <v>16</v>
      </c>
      <c r="H28" s="15">
        <v>4095</v>
      </c>
      <c r="I28" s="2">
        <v>3.7720250000000002</v>
      </c>
      <c r="J28" s="3">
        <v>3.3468100000000001</v>
      </c>
      <c r="K28" s="44">
        <v>0.11269999999999999</v>
      </c>
    </row>
    <row r="29" spans="3:11" x14ac:dyDescent="0.3">
      <c r="C29" s="61"/>
      <c r="D29" s="2">
        <v>20</v>
      </c>
      <c r="E29" s="1">
        <v>1</v>
      </c>
      <c r="F29" s="1">
        <v>2048</v>
      </c>
      <c r="G29" s="1">
        <v>16</v>
      </c>
      <c r="H29" s="15">
        <v>1</v>
      </c>
      <c r="I29" s="2">
        <v>0.18390999999999999</v>
      </c>
      <c r="J29" s="3">
        <v>0.19317799999999999</v>
      </c>
      <c r="K29" s="44">
        <v>-5.04E-2</v>
      </c>
    </row>
    <row r="30" spans="3:11" x14ac:dyDescent="0.3">
      <c r="C30" s="61"/>
      <c r="D30" s="2">
        <v>20</v>
      </c>
      <c r="E30" s="1">
        <v>1</v>
      </c>
      <c r="F30" s="1">
        <v>2048</v>
      </c>
      <c r="G30" s="1">
        <v>16</v>
      </c>
      <c r="H30" s="15">
        <v>127</v>
      </c>
      <c r="I30" s="2">
        <v>0.23738899999999999</v>
      </c>
      <c r="J30" s="3">
        <v>0.23078399999999999</v>
      </c>
      <c r="K30" s="44">
        <v>2.7799999999999998E-2</v>
      </c>
    </row>
    <row r="31" spans="3:11" x14ac:dyDescent="0.3">
      <c r="C31" s="61"/>
      <c r="D31" s="2">
        <v>20</v>
      </c>
      <c r="E31" s="1">
        <v>1</v>
      </c>
      <c r="F31" s="1">
        <v>2048</v>
      </c>
      <c r="G31" s="1">
        <v>16</v>
      </c>
      <c r="H31" s="15">
        <v>511</v>
      </c>
      <c r="I31" s="2">
        <v>0.66401299999999996</v>
      </c>
      <c r="J31" s="3">
        <v>0.60871699999999995</v>
      </c>
      <c r="K31" s="44">
        <v>8.3299999999999999E-2</v>
      </c>
    </row>
    <row r="32" spans="3:11" x14ac:dyDescent="0.3">
      <c r="C32" s="61"/>
      <c r="D32" s="2">
        <v>20</v>
      </c>
      <c r="E32" s="1">
        <v>1</v>
      </c>
      <c r="F32" s="1">
        <v>2048</v>
      </c>
      <c r="G32" s="1">
        <v>16</v>
      </c>
      <c r="H32" s="15">
        <v>1023</v>
      </c>
      <c r="I32" s="2">
        <v>1.25769</v>
      </c>
      <c r="J32" s="3">
        <v>1.1354880000000001</v>
      </c>
      <c r="K32" s="44">
        <v>9.7199999999999995E-2</v>
      </c>
    </row>
    <row r="33" spans="3:11" x14ac:dyDescent="0.3">
      <c r="C33" s="61"/>
      <c r="D33" s="2">
        <v>20</v>
      </c>
      <c r="E33" s="1">
        <v>1</v>
      </c>
      <c r="F33" s="1">
        <v>2048</v>
      </c>
      <c r="G33" s="1">
        <v>16</v>
      </c>
      <c r="H33" s="15">
        <v>2047</v>
      </c>
      <c r="I33" s="2">
        <v>2.4182779999999999</v>
      </c>
      <c r="J33" s="3">
        <v>2.1617470000000001</v>
      </c>
      <c r="K33" s="44">
        <v>0.1061</v>
      </c>
    </row>
    <row r="34" spans="3:11" ht="14.5" thickBot="1" x14ac:dyDescent="0.35">
      <c r="C34" s="62"/>
      <c r="D34" s="7">
        <v>20</v>
      </c>
      <c r="E34" s="8">
        <v>1</v>
      </c>
      <c r="F34" s="8">
        <v>2048</v>
      </c>
      <c r="G34" s="8">
        <v>16</v>
      </c>
      <c r="H34" s="16">
        <v>4095</v>
      </c>
      <c r="I34" s="2">
        <v>4.7187330000000003</v>
      </c>
      <c r="J34" s="3">
        <v>4.1860220000000004</v>
      </c>
      <c r="K34" s="45">
        <v>0.1129</v>
      </c>
    </row>
    <row r="35" spans="3:11" ht="14.5" thickBot="1" x14ac:dyDescent="0.35">
      <c r="C35" s="64" t="s">
        <v>6</v>
      </c>
      <c r="D35" s="30">
        <v>1</v>
      </c>
      <c r="E35" s="30">
        <v>1</v>
      </c>
      <c r="F35" s="30">
        <v>2048</v>
      </c>
      <c r="G35" s="30">
        <v>16</v>
      </c>
      <c r="H35" s="30">
        <v>0</v>
      </c>
      <c r="I35" s="24">
        <v>3.7600000000000001E-2</v>
      </c>
      <c r="J35" s="24">
        <v>3.9072000000000003E-2</v>
      </c>
      <c r="K35" s="25">
        <v>-3.9100000000000003E-2</v>
      </c>
    </row>
    <row r="36" spans="3:11" x14ac:dyDescent="0.3">
      <c r="C36" s="65"/>
      <c r="D36" s="4">
        <v>1</v>
      </c>
      <c r="E36" s="5">
        <v>128</v>
      </c>
      <c r="F36" s="5">
        <v>2048</v>
      </c>
      <c r="G36" s="5">
        <v>16</v>
      </c>
      <c r="H36" s="14">
        <v>0</v>
      </c>
      <c r="I36" s="4">
        <v>6.0038000000000001E-2</v>
      </c>
      <c r="J36" s="6">
        <v>6.0109000000000003E-2</v>
      </c>
      <c r="K36" s="43">
        <v>-1.1999999999999999E-3</v>
      </c>
    </row>
    <row r="37" spans="3:11" x14ac:dyDescent="0.3">
      <c r="C37" s="65"/>
      <c r="D37" s="2">
        <v>1</v>
      </c>
      <c r="E37" s="1">
        <v>512</v>
      </c>
      <c r="F37" s="1">
        <v>2048</v>
      </c>
      <c r="G37" s="1">
        <v>16</v>
      </c>
      <c r="H37" s="15">
        <v>0</v>
      </c>
      <c r="I37" s="2">
        <v>0.31167400000000001</v>
      </c>
      <c r="J37" s="3">
        <v>0.30587500000000001</v>
      </c>
      <c r="K37" s="44">
        <v>1.8599999999999998E-2</v>
      </c>
    </row>
    <row r="38" spans="3:11" x14ac:dyDescent="0.3">
      <c r="C38" s="65"/>
      <c r="D38" s="2">
        <v>1</v>
      </c>
      <c r="E38" s="1">
        <v>1024</v>
      </c>
      <c r="F38" s="1">
        <v>2048</v>
      </c>
      <c r="G38" s="1">
        <v>16</v>
      </c>
      <c r="H38" s="15">
        <v>0</v>
      </c>
      <c r="I38" s="2">
        <v>1.3407549999999999</v>
      </c>
      <c r="J38" s="3">
        <v>1.2951809999999999</v>
      </c>
      <c r="K38" s="44">
        <v>3.4000000000000002E-2</v>
      </c>
    </row>
    <row r="39" spans="3:11" x14ac:dyDescent="0.3">
      <c r="C39" s="65"/>
      <c r="D39" s="2">
        <v>1</v>
      </c>
      <c r="E39" s="1">
        <v>2048</v>
      </c>
      <c r="F39" s="1">
        <v>2048</v>
      </c>
      <c r="G39" s="1">
        <v>16</v>
      </c>
      <c r="H39" s="15">
        <v>0</v>
      </c>
      <c r="I39" s="2">
        <v>5.0572860000000004</v>
      </c>
      <c r="J39" s="3">
        <v>4.8051779999999997</v>
      </c>
      <c r="K39" s="44">
        <v>4.99E-2</v>
      </c>
    </row>
    <row r="40" spans="3:11" x14ac:dyDescent="0.3">
      <c r="C40" s="65"/>
      <c r="D40" s="2">
        <v>1</v>
      </c>
      <c r="E40" s="1">
        <v>4096</v>
      </c>
      <c r="F40" s="1">
        <v>2048</v>
      </c>
      <c r="G40" s="1">
        <v>16</v>
      </c>
      <c r="H40" s="15">
        <v>0</v>
      </c>
      <c r="I40" s="2">
        <v>18.93805</v>
      </c>
      <c r="J40" s="3">
        <v>18.170300000000001</v>
      </c>
      <c r="K40" s="44">
        <v>4.0500000000000001E-2</v>
      </c>
    </row>
    <row r="41" spans="3:11" x14ac:dyDescent="0.3">
      <c r="C41" s="65"/>
      <c r="D41" s="2">
        <v>4</v>
      </c>
      <c r="E41" s="1">
        <v>1</v>
      </c>
      <c r="F41" s="1">
        <v>2048</v>
      </c>
      <c r="G41" s="1">
        <v>16</v>
      </c>
      <c r="H41" s="15">
        <v>0</v>
      </c>
      <c r="I41" s="2">
        <v>5.9826999999999998E-2</v>
      </c>
      <c r="J41" s="3">
        <v>6.2521999999999994E-2</v>
      </c>
      <c r="K41" s="44">
        <v>-4.4999999999999998E-2</v>
      </c>
    </row>
    <row r="42" spans="3:11" x14ac:dyDescent="0.3">
      <c r="C42" s="65"/>
      <c r="D42" s="2">
        <v>4</v>
      </c>
      <c r="E42" s="1">
        <v>128</v>
      </c>
      <c r="F42" s="1">
        <v>2048</v>
      </c>
      <c r="G42" s="1">
        <v>16</v>
      </c>
      <c r="H42" s="15">
        <v>0</v>
      </c>
      <c r="I42" s="2">
        <v>0.15745300000000001</v>
      </c>
      <c r="J42" s="3">
        <v>0.15884200000000001</v>
      </c>
      <c r="K42" s="44">
        <v>-8.8000000000000005E-3</v>
      </c>
    </row>
    <row r="43" spans="3:11" x14ac:dyDescent="0.3">
      <c r="C43" s="65"/>
      <c r="D43" s="2">
        <v>4</v>
      </c>
      <c r="E43" s="1">
        <v>512</v>
      </c>
      <c r="F43" s="1">
        <v>2048</v>
      </c>
      <c r="G43" s="1">
        <v>16</v>
      </c>
      <c r="H43" s="15">
        <v>0</v>
      </c>
      <c r="I43" s="2">
        <v>1.4365699999999999</v>
      </c>
      <c r="J43" s="3">
        <v>1.31776</v>
      </c>
      <c r="K43" s="44">
        <v>8.2699999999999996E-2</v>
      </c>
    </row>
    <row r="44" spans="3:11" x14ac:dyDescent="0.3">
      <c r="C44" s="65"/>
      <c r="D44" s="2">
        <v>4</v>
      </c>
      <c r="E44" s="1">
        <v>1024</v>
      </c>
      <c r="F44" s="1">
        <v>2048</v>
      </c>
      <c r="G44" s="1">
        <v>16</v>
      </c>
      <c r="H44" s="15">
        <v>0</v>
      </c>
      <c r="I44" s="2">
        <v>5.6793339999999999</v>
      </c>
      <c r="J44" s="3">
        <v>5.3275389999999998</v>
      </c>
      <c r="K44" s="44">
        <v>6.1899999999999997E-2</v>
      </c>
    </row>
    <row r="45" spans="3:11" x14ac:dyDescent="0.3">
      <c r="C45" s="65"/>
      <c r="D45" s="2">
        <v>4</v>
      </c>
      <c r="E45" s="1">
        <v>2048</v>
      </c>
      <c r="F45" s="1">
        <v>2048</v>
      </c>
      <c r="G45" s="1">
        <v>16</v>
      </c>
      <c r="H45" s="15">
        <v>0</v>
      </c>
      <c r="I45" s="2">
        <v>21.207080000000001</v>
      </c>
      <c r="J45" s="3">
        <v>20.02506</v>
      </c>
      <c r="K45" s="44">
        <v>5.57E-2</v>
      </c>
    </row>
    <row r="46" spans="3:11" x14ac:dyDescent="0.3">
      <c r="C46" s="65"/>
      <c r="D46" s="2">
        <v>4</v>
      </c>
      <c r="E46" s="1">
        <v>4096</v>
      </c>
      <c r="F46" s="1">
        <v>2048</v>
      </c>
      <c r="G46" s="1">
        <v>16</v>
      </c>
      <c r="H46" s="15">
        <v>0</v>
      </c>
      <c r="I46" s="2">
        <v>79.608509999999995</v>
      </c>
      <c r="J46" s="3">
        <v>77.035250000000005</v>
      </c>
      <c r="K46" s="44">
        <v>3.2300000000000002E-2</v>
      </c>
    </row>
    <row r="47" spans="3:11" x14ac:dyDescent="0.3">
      <c r="C47" s="65"/>
      <c r="D47" s="2">
        <v>8</v>
      </c>
      <c r="E47" s="1">
        <v>1</v>
      </c>
      <c r="F47" s="1">
        <v>2048</v>
      </c>
      <c r="G47" s="1">
        <v>16</v>
      </c>
      <c r="H47" s="15">
        <v>0</v>
      </c>
      <c r="I47" s="2">
        <v>9.0355000000000005E-2</v>
      </c>
      <c r="J47" s="3">
        <v>9.3850000000000003E-2</v>
      </c>
      <c r="K47" s="44">
        <v>-3.8699999999999998E-2</v>
      </c>
    </row>
    <row r="48" spans="3:11" x14ac:dyDescent="0.3">
      <c r="C48" s="65"/>
      <c r="D48" s="2">
        <v>8</v>
      </c>
      <c r="E48" s="1">
        <v>128</v>
      </c>
      <c r="F48" s="1">
        <v>2048</v>
      </c>
      <c r="G48" s="1">
        <v>16</v>
      </c>
      <c r="H48" s="15">
        <v>0</v>
      </c>
      <c r="I48" s="2">
        <v>0.32560600000000001</v>
      </c>
      <c r="J48" s="3">
        <v>0.30519000000000002</v>
      </c>
      <c r="K48" s="44">
        <v>6.2700000000000006E-2</v>
      </c>
    </row>
    <row r="49" spans="3:11" x14ac:dyDescent="0.3">
      <c r="C49" s="65"/>
      <c r="D49" s="2">
        <v>8</v>
      </c>
      <c r="E49" s="1">
        <v>512</v>
      </c>
      <c r="F49" s="1">
        <v>2048</v>
      </c>
      <c r="G49" s="1">
        <v>16</v>
      </c>
      <c r="H49" s="15">
        <v>0</v>
      </c>
      <c r="I49" s="2">
        <v>3.048902</v>
      </c>
      <c r="J49" s="3">
        <v>2.8077570000000001</v>
      </c>
      <c r="K49" s="44">
        <v>7.9100000000000004E-2</v>
      </c>
    </row>
    <row r="50" spans="3:11" x14ac:dyDescent="0.3">
      <c r="C50" s="65"/>
      <c r="D50" s="2">
        <v>8</v>
      </c>
      <c r="E50" s="1">
        <v>1024</v>
      </c>
      <c r="F50" s="1">
        <v>2048</v>
      </c>
      <c r="G50" s="1">
        <v>16</v>
      </c>
      <c r="H50" s="15">
        <v>0</v>
      </c>
      <c r="I50" s="2">
        <v>11.77211</v>
      </c>
      <c r="J50" s="3">
        <v>11.092560000000001</v>
      </c>
      <c r="K50" s="44">
        <v>5.7700000000000001E-2</v>
      </c>
    </row>
    <row r="51" spans="3:11" x14ac:dyDescent="0.3">
      <c r="C51" s="65"/>
      <c r="D51" s="2">
        <v>8</v>
      </c>
      <c r="E51" s="1">
        <v>2048</v>
      </c>
      <c r="F51" s="1">
        <v>2048</v>
      </c>
      <c r="G51" s="1">
        <v>16</v>
      </c>
      <c r="H51" s="15">
        <v>0</v>
      </c>
      <c r="I51" s="2">
        <v>45.324440000000003</v>
      </c>
      <c r="J51" s="3">
        <v>40.65314</v>
      </c>
      <c r="K51" s="44">
        <v>0.1031</v>
      </c>
    </row>
    <row r="52" spans="3:11" x14ac:dyDescent="0.3">
      <c r="C52" s="65"/>
      <c r="D52" s="2">
        <v>16</v>
      </c>
      <c r="E52" s="1">
        <v>1</v>
      </c>
      <c r="F52" s="1">
        <v>2048</v>
      </c>
      <c r="G52" s="1">
        <v>16</v>
      </c>
      <c r="H52" s="15">
        <v>0</v>
      </c>
      <c r="I52" s="2">
        <v>0.15342700000000001</v>
      </c>
      <c r="J52" s="3">
        <v>0.16039700000000001</v>
      </c>
      <c r="K52" s="44">
        <v>-4.5400000000000003E-2</v>
      </c>
    </row>
    <row r="53" spans="3:11" x14ac:dyDescent="0.3">
      <c r="C53" s="65"/>
      <c r="D53" s="2">
        <v>16</v>
      </c>
      <c r="E53" s="1">
        <v>128</v>
      </c>
      <c r="F53" s="1">
        <v>2048</v>
      </c>
      <c r="G53" s="1">
        <v>16</v>
      </c>
      <c r="H53" s="15">
        <v>0</v>
      </c>
      <c r="I53" s="2">
        <v>0.64386600000000005</v>
      </c>
      <c r="J53" s="3">
        <v>0.58511400000000002</v>
      </c>
      <c r="K53" s="44">
        <v>9.1200000000000003E-2</v>
      </c>
    </row>
    <row r="54" spans="3:11" x14ac:dyDescent="0.3">
      <c r="C54" s="65"/>
      <c r="D54" s="2">
        <v>16</v>
      </c>
      <c r="E54" s="1">
        <v>512</v>
      </c>
      <c r="F54" s="1">
        <v>2048</v>
      </c>
      <c r="G54" s="1">
        <v>16</v>
      </c>
      <c r="H54" s="15">
        <v>0</v>
      </c>
      <c r="I54" s="2">
        <v>5.9264260000000002</v>
      </c>
      <c r="J54" s="3">
        <v>5.503603</v>
      </c>
      <c r="K54" s="44">
        <v>7.1300000000000002E-2</v>
      </c>
    </row>
    <row r="55" spans="3:11" x14ac:dyDescent="0.3">
      <c r="C55" s="65"/>
      <c r="D55" s="2">
        <v>20</v>
      </c>
      <c r="E55" s="1">
        <v>1</v>
      </c>
      <c r="F55" s="1">
        <v>2048</v>
      </c>
      <c r="G55" s="1">
        <v>16</v>
      </c>
      <c r="H55" s="15">
        <v>0</v>
      </c>
      <c r="I55" s="2">
        <v>0.184365</v>
      </c>
      <c r="J55" s="3">
        <v>0.19306899999999999</v>
      </c>
      <c r="K55" s="44">
        <v>-4.7199999999999999E-2</v>
      </c>
    </row>
    <row r="56" spans="3:11" x14ac:dyDescent="0.3">
      <c r="C56" s="63"/>
      <c r="D56" s="2">
        <v>20</v>
      </c>
      <c r="E56" s="1">
        <v>128</v>
      </c>
      <c r="F56" s="1">
        <v>2048</v>
      </c>
      <c r="G56" s="1">
        <v>16</v>
      </c>
      <c r="H56" s="15">
        <v>0</v>
      </c>
      <c r="I56" s="2">
        <v>0.78070399999999995</v>
      </c>
      <c r="J56" s="3">
        <v>0.72581099999999998</v>
      </c>
      <c r="K56" s="44">
        <v>7.0300000000000001E-2</v>
      </c>
    </row>
  </sheetData>
  <mergeCells count="2">
    <mergeCell ref="C5:C34"/>
    <mergeCell ref="C35:C5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57"/>
  <sheetViews>
    <sheetView workbookViewId="0">
      <selection activeCell="J36" sqref="J36"/>
    </sheetView>
  </sheetViews>
  <sheetFormatPr defaultRowHeight="14" x14ac:dyDescent="0.3"/>
  <sheetData>
    <row r="3" spans="2:10" x14ac:dyDescent="0.3">
      <c r="B3" t="s">
        <v>12</v>
      </c>
    </row>
    <row r="4" spans="2:10" ht="14.5" thickBot="1" x14ac:dyDescent="0.35">
      <c r="H4" t="s">
        <v>742</v>
      </c>
      <c r="I4" t="s">
        <v>743</v>
      </c>
    </row>
    <row r="5" spans="2:10" ht="14.5" thickBot="1" x14ac:dyDescent="0.35">
      <c r="B5" s="29"/>
      <c r="C5" s="30" t="s">
        <v>1</v>
      </c>
      <c r="D5" s="30" t="s">
        <v>2</v>
      </c>
      <c r="E5" s="30" t="s">
        <v>0</v>
      </c>
      <c r="F5" s="30" t="s">
        <v>3</v>
      </c>
      <c r="G5" s="30" t="s">
        <v>8</v>
      </c>
      <c r="H5" s="24" t="s">
        <v>9</v>
      </c>
      <c r="I5" s="24" t="s">
        <v>10</v>
      </c>
      <c r="J5" s="25" t="s">
        <v>11</v>
      </c>
    </row>
    <row r="6" spans="2:10" x14ac:dyDescent="0.3">
      <c r="B6" s="60" t="s">
        <v>5</v>
      </c>
      <c r="C6" s="4">
        <v>1</v>
      </c>
      <c r="D6" s="5">
        <v>1</v>
      </c>
      <c r="E6" s="5">
        <v>2048</v>
      </c>
      <c r="F6" s="5">
        <v>16</v>
      </c>
      <c r="G6" s="14">
        <v>1</v>
      </c>
      <c r="H6" s="4">
        <v>3.8725999999999997E-2</v>
      </c>
      <c r="I6" s="6">
        <v>3.6549999999999999E-2</v>
      </c>
      <c r="J6" s="43">
        <f>(H6-I6)/H6</f>
        <v>5.6189640035118463E-2</v>
      </c>
    </row>
    <row r="7" spans="2:10" x14ac:dyDescent="0.3">
      <c r="B7" s="61"/>
      <c r="C7" s="2">
        <v>1</v>
      </c>
      <c r="D7" s="1">
        <v>1</v>
      </c>
      <c r="E7" s="1">
        <v>2048</v>
      </c>
      <c r="F7" s="1">
        <v>16</v>
      </c>
      <c r="G7" s="15">
        <v>127</v>
      </c>
      <c r="H7" s="2">
        <v>4.1017999999999999E-2</v>
      </c>
      <c r="I7" s="3">
        <v>3.8636999999999998E-2</v>
      </c>
      <c r="J7" s="44">
        <f t="shared" ref="J7:J57" si="0">(H7-I7)/H7</f>
        <v>5.8047686381588602E-2</v>
      </c>
    </row>
    <row r="8" spans="2:10" x14ac:dyDescent="0.3">
      <c r="B8" s="61"/>
      <c r="C8" s="2">
        <v>1</v>
      </c>
      <c r="D8" s="1">
        <v>1</v>
      </c>
      <c r="E8" s="1">
        <v>2048</v>
      </c>
      <c r="F8" s="1">
        <v>16</v>
      </c>
      <c r="G8" s="15">
        <v>511</v>
      </c>
      <c r="H8" s="2">
        <v>6.3871999999999998E-2</v>
      </c>
      <c r="I8" s="3">
        <v>5.4969999999999998E-2</v>
      </c>
      <c r="J8" s="44">
        <f t="shared" si="0"/>
        <v>0.13937249498997997</v>
      </c>
    </row>
    <row r="9" spans="2:10" x14ac:dyDescent="0.3">
      <c r="B9" s="61"/>
      <c r="C9" s="2">
        <v>1</v>
      </c>
      <c r="D9" s="1">
        <v>1</v>
      </c>
      <c r="E9" s="1">
        <v>2048</v>
      </c>
      <c r="F9" s="1">
        <v>16</v>
      </c>
      <c r="G9" s="15">
        <v>1023</v>
      </c>
      <c r="H9" s="2">
        <v>9.5462000000000005E-2</v>
      </c>
      <c r="I9" s="3">
        <v>7.2621000000000005E-2</v>
      </c>
      <c r="J9" s="44">
        <f t="shared" si="0"/>
        <v>0.23926798097672372</v>
      </c>
    </row>
    <row r="10" spans="2:10" x14ac:dyDescent="0.3">
      <c r="B10" s="61"/>
      <c r="C10" s="2">
        <v>1</v>
      </c>
      <c r="D10" s="1">
        <v>1</v>
      </c>
      <c r="E10" s="1">
        <v>2048</v>
      </c>
      <c r="F10" s="1">
        <v>16</v>
      </c>
      <c r="G10" s="15">
        <v>2047</v>
      </c>
      <c r="H10" s="2">
        <v>0.145792</v>
      </c>
      <c r="I10" s="3">
        <v>0.110067</v>
      </c>
      <c r="J10" s="44">
        <f t="shared" si="0"/>
        <v>0.24504088015803341</v>
      </c>
    </row>
    <row r="11" spans="2:10" x14ac:dyDescent="0.3">
      <c r="B11" s="61"/>
      <c r="C11" s="2">
        <v>1</v>
      </c>
      <c r="D11" s="1">
        <v>1</v>
      </c>
      <c r="E11" s="1">
        <v>2048</v>
      </c>
      <c r="F11" s="1">
        <v>16</v>
      </c>
      <c r="G11" s="15">
        <v>4095</v>
      </c>
      <c r="H11" s="2">
        <v>0.245869</v>
      </c>
      <c r="I11" s="3">
        <v>0.18785299999999999</v>
      </c>
      <c r="J11" s="44">
        <f t="shared" si="0"/>
        <v>0.23596305349596741</v>
      </c>
    </row>
    <row r="12" spans="2:10" x14ac:dyDescent="0.3">
      <c r="B12" s="61"/>
      <c r="C12" s="2">
        <v>4</v>
      </c>
      <c r="D12" s="1">
        <v>1</v>
      </c>
      <c r="E12" s="1">
        <v>2048</v>
      </c>
      <c r="F12" s="1">
        <v>16</v>
      </c>
      <c r="G12" s="15">
        <v>1</v>
      </c>
      <c r="H12" s="2">
        <v>6.1990000000000003E-2</v>
      </c>
      <c r="I12" s="3">
        <v>5.7765999999999998E-2</v>
      </c>
      <c r="J12" s="44">
        <f t="shared" si="0"/>
        <v>6.8140022584287877E-2</v>
      </c>
    </row>
    <row r="13" spans="2:10" x14ac:dyDescent="0.3">
      <c r="B13" s="61"/>
      <c r="C13" s="2">
        <v>4</v>
      </c>
      <c r="D13" s="1">
        <v>1</v>
      </c>
      <c r="E13" s="1">
        <v>2048</v>
      </c>
      <c r="F13" s="1">
        <v>16</v>
      </c>
      <c r="G13" s="15">
        <v>127</v>
      </c>
      <c r="H13" s="2">
        <v>7.0239999999999997E-2</v>
      </c>
      <c r="I13" s="3">
        <v>6.6054000000000002E-2</v>
      </c>
      <c r="J13" s="44">
        <f t="shared" si="0"/>
        <v>5.9595671981776698E-2</v>
      </c>
    </row>
    <row r="14" spans="2:10" x14ac:dyDescent="0.3">
      <c r="B14" s="61"/>
      <c r="C14" s="2">
        <v>4</v>
      </c>
      <c r="D14" s="1">
        <v>1</v>
      </c>
      <c r="E14" s="1">
        <v>2048</v>
      </c>
      <c r="F14" s="1">
        <v>16</v>
      </c>
      <c r="G14" s="15">
        <v>511</v>
      </c>
      <c r="H14" s="2">
        <v>0.149894</v>
      </c>
      <c r="I14" s="3">
        <v>0.134246</v>
      </c>
      <c r="J14" s="44">
        <f t="shared" si="0"/>
        <v>0.10439377159859631</v>
      </c>
    </row>
    <row r="15" spans="2:10" x14ac:dyDescent="0.3">
      <c r="B15" s="61"/>
      <c r="C15" s="2">
        <v>4</v>
      </c>
      <c r="D15" s="1">
        <v>1</v>
      </c>
      <c r="E15" s="1">
        <v>2048</v>
      </c>
      <c r="F15" s="1">
        <v>16</v>
      </c>
      <c r="G15" s="15">
        <v>1022</v>
      </c>
      <c r="H15" s="2">
        <v>0.26071</v>
      </c>
      <c r="I15" s="3">
        <v>0.220333</v>
      </c>
      <c r="J15" s="44">
        <f t="shared" si="0"/>
        <v>0.15487323079283494</v>
      </c>
    </row>
    <row r="16" spans="2:10" x14ac:dyDescent="0.3">
      <c r="B16" s="61"/>
      <c r="C16" s="2">
        <v>4</v>
      </c>
      <c r="D16" s="1">
        <v>1</v>
      </c>
      <c r="E16" s="1">
        <v>2048</v>
      </c>
      <c r="F16" s="1">
        <v>16</v>
      </c>
      <c r="G16" s="15">
        <v>2047</v>
      </c>
      <c r="H16" s="2">
        <v>0.46771200000000002</v>
      </c>
      <c r="I16" s="3">
        <v>0.38807000000000003</v>
      </c>
      <c r="J16" s="44">
        <f t="shared" si="0"/>
        <v>0.17028000136836341</v>
      </c>
    </row>
    <row r="17" spans="2:10" x14ac:dyDescent="0.3">
      <c r="B17" s="61"/>
      <c r="C17" s="2">
        <v>4</v>
      </c>
      <c r="D17" s="1">
        <v>1</v>
      </c>
      <c r="E17" s="1">
        <v>2048</v>
      </c>
      <c r="F17" s="1">
        <v>16</v>
      </c>
      <c r="G17" s="15">
        <v>4095</v>
      </c>
      <c r="H17" s="2">
        <v>0.87951999999999997</v>
      </c>
      <c r="I17" s="3">
        <v>0.71881600000000001</v>
      </c>
      <c r="J17" s="44">
        <f t="shared" si="0"/>
        <v>0.18271784609787153</v>
      </c>
    </row>
    <row r="18" spans="2:10" x14ac:dyDescent="0.3">
      <c r="B18" s="61"/>
      <c r="C18" s="2">
        <v>8</v>
      </c>
      <c r="D18" s="1">
        <v>1</v>
      </c>
      <c r="E18" s="1">
        <v>2048</v>
      </c>
      <c r="F18" s="1">
        <v>16</v>
      </c>
      <c r="G18" s="15">
        <v>1</v>
      </c>
      <c r="H18" s="2">
        <v>9.4298000000000007E-2</v>
      </c>
      <c r="I18" s="3">
        <v>8.8422000000000001E-2</v>
      </c>
      <c r="J18" s="44">
        <f t="shared" si="0"/>
        <v>6.2313092536427132E-2</v>
      </c>
    </row>
    <row r="19" spans="2:10" x14ac:dyDescent="0.3">
      <c r="B19" s="61"/>
      <c r="C19" s="2">
        <v>8</v>
      </c>
      <c r="D19" s="1">
        <v>1</v>
      </c>
      <c r="E19" s="1">
        <v>2048</v>
      </c>
      <c r="F19" s="1">
        <v>16</v>
      </c>
      <c r="G19" s="15">
        <v>127</v>
      </c>
      <c r="H19" s="2">
        <v>0.108115</v>
      </c>
      <c r="I19" s="3">
        <v>0.102605</v>
      </c>
      <c r="J19" s="44">
        <f t="shared" si="0"/>
        <v>5.0964251028996911E-2</v>
      </c>
    </row>
    <row r="20" spans="2:10" x14ac:dyDescent="0.3">
      <c r="B20" s="61"/>
      <c r="C20" s="2">
        <v>8</v>
      </c>
      <c r="D20" s="1">
        <v>1</v>
      </c>
      <c r="E20" s="1">
        <v>2048</v>
      </c>
      <c r="F20" s="1">
        <v>16</v>
      </c>
      <c r="G20" s="15">
        <v>511</v>
      </c>
      <c r="H20" s="2">
        <v>0.260102</v>
      </c>
      <c r="I20" s="3">
        <v>0.237344</v>
      </c>
      <c r="J20" s="44">
        <f t="shared" si="0"/>
        <v>8.7496443702855031E-2</v>
      </c>
    </row>
    <row r="21" spans="2:10" x14ac:dyDescent="0.3">
      <c r="B21" s="61"/>
      <c r="C21" s="2">
        <v>8</v>
      </c>
      <c r="D21" s="1">
        <v>1</v>
      </c>
      <c r="E21" s="1">
        <v>2048</v>
      </c>
      <c r="F21" s="1">
        <v>16</v>
      </c>
      <c r="G21" s="15">
        <v>1023</v>
      </c>
      <c r="H21" s="2">
        <v>0.47626200000000002</v>
      </c>
      <c r="I21" s="3">
        <v>0.38625300000000001</v>
      </c>
      <c r="J21" s="44">
        <f t="shared" si="0"/>
        <v>0.18899051362485356</v>
      </c>
    </row>
    <row r="22" spans="2:10" x14ac:dyDescent="0.3">
      <c r="B22" s="61"/>
      <c r="C22" s="2">
        <v>8</v>
      </c>
      <c r="D22" s="1">
        <v>1</v>
      </c>
      <c r="E22" s="1">
        <v>2048</v>
      </c>
      <c r="F22" s="1">
        <v>16</v>
      </c>
      <c r="G22" s="15">
        <v>2047</v>
      </c>
      <c r="H22" s="2">
        <v>0.88469100000000001</v>
      </c>
      <c r="I22" s="3">
        <v>0.71406099999999995</v>
      </c>
      <c r="J22" s="44">
        <f t="shared" si="0"/>
        <v>0.19286960079847096</v>
      </c>
    </row>
    <row r="23" spans="2:10" x14ac:dyDescent="0.3">
      <c r="B23" s="61"/>
      <c r="C23" s="2">
        <v>8</v>
      </c>
      <c r="D23" s="1">
        <v>1</v>
      </c>
      <c r="E23" s="1">
        <v>2048</v>
      </c>
      <c r="F23" s="1">
        <v>16</v>
      </c>
      <c r="G23" s="15">
        <v>4095</v>
      </c>
      <c r="H23" s="2">
        <v>1.6922299999999999</v>
      </c>
      <c r="I23" s="3">
        <v>1.3646339999999999</v>
      </c>
      <c r="J23" s="44">
        <f t="shared" si="0"/>
        <v>0.19358834201024686</v>
      </c>
    </row>
    <row r="24" spans="2:10" x14ac:dyDescent="0.3">
      <c r="B24" s="61"/>
      <c r="C24" s="2">
        <v>16</v>
      </c>
      <c r="D24" s="1">
        <v>1</v>
      </c>
      <c r="E24" s="1">
        <v>2048</v>
      </c>
      <c r="F24" s="1">
        <v>16</v>
      </c>
      <c r="G24" s="15">
        <v>1</v>
      </c>
      <c r="H24" s="2">
        <v>0.160333</v>
      </c>
      <c r="I24" s="3">
        <v>0.14804500000000001</v>
      </c>
      <c r="J24" s="44">
        <f t="shared" si="0"/>
        <v>7.6640491976074754E-2</v>
      </c>
    </row>
    <row r="25" spans="2:10" x14ac:dyDescent="0.3">
      <c r="B25" s="61"/>
      <c r="C25" s="2">
        <v>16</v>
      </c>
      <c r="D25" s="1">
        <v>1</v>
      </c>
      <c r="E25" s="1">
        <v>2048</v>
      </c>
      <c r="F25" s="1">
        <v>16</v>
      </c>
      <c r="G25" s="15">
        <v>127</v>
      </c>
      <c r="H25" s="2">
        <v>0.188358</v>
      </c>
      <c r="I25" s="3">
        <v>0.17601900000000001</v>
      </c>
      <c r="J25" s="44">
        <f t="shared" si="0"/>
        <v>6.5508234319752751E-2</v>
      </c>
    </row>
    <row r="26" spans="2:10" x14ac:dyDescent="0.3">
      <c r="B26" s="61"/>
      <c r="C26" s="2">
        <v>16</v>
      </c>
      <c r="D26" s="1">
        <v>1</v>
      </c>
      <c r="E26" s="1">
        <v>2048</v>
      </c>
      <c r="F26" s="1">
        <v>16</v>
      </c>
      <c r="G26" s="15">
        <v>511</v>
      </c>
      <c r="H26" s="2">
        <v>0.49221799999999999</v>
      </c>
      <c r="I26" s="3">
        <v>0.43430999999999997</v>
      </c>
      <c r="J26" s="44">
        <f t="shared" si="0"/>
        <v>0.11764705882352945</v>
      </c>
    </row>
    <row r="27" spans="2:10" x14ac:dyDescent="0.3">
      <c r="B27" s="61"/>
      <c r="C27" s="2">
        <v>16</v>
      </c>
      <c r="D27" s="1">
        <v>1</v>
      </c>
      <c r="E27" s="1">
        <v>2048</v>
      </c>
      <c r="F27" s="1">
        <v>16</v>
      </c>
      <c r="G27" s="15">
        <v>1023</v>
      </c>
      <c r="H27" s="2">
        <v>0.91634599999999999</v>
      </c>
      <c r="I27" s="3">
        <v>0.73214100000000004</v>
      </c>
      <c r="J27" s="44">
        <f t="shared" si="0"/>
        <v>0.20102122997208474</v>
      </c>
    </row>
    <row r="28" spans="2:10" x14ac:dyDescent="0.3">
      <c r="B28" s="61"/>
      <c r="C28" s="2">
        <v>16</v>
      </c>
      <c r="D28" s="1">
        <v>1</v>
      </c>
      <c r="E28" s="1">
        <v>2048</v>
      </c>
      <c r="F28" s="1">
        <v>16</v>
      </c>
      <c r="G28" s="15">
        <v>2047</v>
      </c>
      <c r="H28" s="2">
        <v>1.7397119999999999</v>
      </c>
      <c r="I28" s="3">
        <v>1.3604540000000001</v>
      </c>
      <c r="J28" s="44">
        <f t="shared" si="0"/>
        <v>0.21800045064930282</v>
      </c>
    </row>
    <row r="29" spans="2:10" x14ac:dyDescent="0.3">
      <c r="B29" s="61"/>
      <c r="C29" s="2">
        <v>16</v>
      </c>
      <c r="D29" s="1">
        <v>1</v>
      </c>
      <c r="E29" s="1">
        <v>2048</v>
      </c>
      <c r="F29" s="1">
        <v>16</v>
      </c>
      <c r="G29" s="15">
        <v>4095</v>
      </c>
      <c r="H29" s="2">
        <v>3.3468100000000001</v>
      </c>
      <c r="I29" s="3">
        <v>2.6533890000000002</v>
      </c>
      <c r="J29" s="44">
        <f t="shared" si="0"/>
        <v>0.20718863634326412</v>
      </c>
    </row>
    <row r="30" spans="2:10" x14ac:dyDescent="0.3">
      <c r="B30" s="61"/>
      <c r="C30" s="2">
        <v>20</v>
      </c>
      <c r="D30" s="1">
        <v>1</v>
      </c>
      <c r="E30" s="1">
        <v>2048</v>
      </c>
      <c r="F30" s="1">
        <v>16</v>
      </c>
      <c r="G30" s="15">
        <v>1</v>
      </c>
      <c r="H30" s="2">
        <v>0.19317799999999999</v>
      </c>
      <c r="I30" s="3">
        <v>0.17916799999999999</v>
      </c>
      <c r="J30" s="44">
        <f t="shared" si="0"/>
        <v>7.2523786352483174E-2</v>
      </c>
    </row>
    <row r="31" spans="2:10" x14ac:dyDescent="0.3">
      <c r="B31" s="61"/>
      <c r="C31" s="2">
        <v>20</v>
      </c>
      <c r="D31" s="1">
        <v>1</v>
      </c>
      <c r="E31" s="1">
        <v>2048</v>
      </c>
      <c r="F31" s="1">
        <v>16</v>
      </c>
      <c r="G31" s="15">
        <v>127</v>
      </c>
      <c r="H31" s="2">
        <v>0.23078399999999999</v>
      </c>
      <c r="I31" s="3">
        <v>0.21491199999999999</v>
      </c>
      <c r="J31" s="44">
        <f t="shared" si="0"/>
        <v>6.8774265113699384E-2</v>
      </c>
    </row>
    <row r="32" spans="2:10" x14ac:dyDescent="0.3">
      <c r="B32" s="61"/>
      <c r="C32" s="2">
        <v>20</v>
      </c>
      <c r="D32" s="1">
        <v>1</v>
      </c>
      <c r="E32" s="1">
        <v>2048</v>
      </c>
      <c r="F32" s="1">
        <v>16</v>
      </c>
      <c r="G32" s="15">
        <v>511</v>
      </c>
      <c r="H32" s="2">
        <v>0.60871699999999995</v>
      </c>
      <c r="I32" s="3">
        <v>0.53234599999999999</v>
      </c>
      <c r="J32" s="44">
        <f t="shared" si="0"/>
        <v>0.12546224271705894</v>
      </c>
    </row>
    <row r="33" spans="2:10" x14ac:dyDescent="0.3">
      <c r="B33" s="61"/>
      <c r="C33" s="2">
        <v>20</v>
      </c>
      <c r="D33" s="1">
        <v>1</v>
      </c>
      <c r="E33" s="1">
        <v>2048</v>
      </c>
      <c r="F33" s="1">
        <v>16</v>
      </c>
      <c r="G33" s="15">
        <v>1023</v>
      </c>
      <c r="H33" s="2">
        <v>1.1354880000000001</v>
      </c>
      <c r="I33" s="3">
        <v>0.89358700000000002</v>
      </c>
      <c r="J33" s="44">
        <f t="shared" si="0"/>
        <v>0.2130370378198625</v>
      </c>
    </row>
    <row r="34" spans="2:10" x14ac:dyDescent="0.3">
      <c r="B34" s="61"/>
      <c r="C34" s="2">
        <v>20</v>
      </c>
      <c r="D34" s="1">
        <v>1</v>
      </c>
      <c r="E34" s="1">
        <v>2048</v>
      </c>
      <c r="F34" s="1">
        <v>16</v>
      </c>
      <c r="G34" s="15">
        <v>2047</v>
      </c>
      <c r="H34" s="2">
        <v>2.1617470000000001</v>
      </c>
      <c r="I34" s="3">
        <v>1.729363</v>
      </c>
      <c r="J34" s="44">
        <f t="shared" si="0"/>
        <v>0.20001600557327018</v>
      </c>
    </row>
    <row r="35" spans="2:10" ht="14.5" thickBot="1" x14ac:dyDescent="0.35">
      <c r="B35" s="62"/>
      <c r="C35" s="7">
        <v>20</v>
      </c>
      <c r="D35" s="8">
        <v>1</v>
      </c>
      <c r="E35" s="8">
        <v>2048</v>
      </c>
      <c r="F35" s="8">
        <v>16</v>
      </c>
      <c r="G35" s="16">
        <v>4095</v>
      </c>
      <c r="H35" s="2">
        <v>4.1860220000000004</v>
      </c>
      <c r="I35" s="3">
        <v>3.3181120000000002</v>
      </c>
      <c r="J35" s="45">
        <f t="shared" si="0"/>
        <v>0.20733526961874546</v>
      </c>
    </row>
    <row r="36" spans="2:10" x14ac:dyDescent="0.3">
      <c r="B36" s="63" t="s">
        <v>7</v>
      </c>
      <c r="C36" s="19">
        <v>1</v>
      </c>
      <c r="D36" s="20">
        <v>1</v>
      </c>
      <c r="E36" s="20">
        <v>2048</v>
      </c>
      <c r="F36" s="20">
        <v>16</v>
      </c>
      <c r="G36" s="46">
        <v>0</v>
      </c>
      <c r="H36" s="2">
        <v>3.9072000000000003E-2</v>
      </c>
      <c r="I36" s="3">
        <v>3.7248000000000003E-2</v>
      </c>
      <c r="J36" s="47">
        <f t="shared" si="0"/>
        <v>4.668304668304666E-2</v>
      </c>
    </row>
    <row r="37" spans="2:10" x14ac:dyDescent="0.3">
      <c r="B37" s="61"/>
      <c r="C37" s="48">
        <v>1</v>
      </c>
      <c r="D37" s="18">
        <v>128</v>
      </c>
      <c r="E37" s="18">
        <v>2048</v>
      </c>
      <c r="F37" s="18">
        <v>16</v>
      </c>
      <c r="G37" s="49">
        <v>0</v>
      </c>
      <c r="H37" s="2">
        <v>6.0109000000000003E-2</v>
      </c>
      <c r="I37" s="3">
        <v>5.7529999999999998E-2</v>
      </c>
      <c r="J37" s="50">
        <f t="shared" si="0"/>
        <v>4.2905388544144885E-2</v>
      </c>
    </row>
    <row r="38" spans="2:10" x14ac:dyDescent="0.3">
      <c r="B38" s="61"/>
      <c r="C38" s="48">
        <v>1</v>
      </c>
      <c r="D38" s="18">
        <v>512</v>
      </c>
      <c r="E38" s="18">
        <v>2048</v>
      </c>
      <c r="F38" s="18">
        <v>16</v>
      </c>
      <c r="G38" s="49">
        <v>0</v>
      </c>
      <c r="H38" s="2">
        <v>0.30587500000000001</v>
      </c>
      <c r="I38" s="3">
        <v>0.267731</v>
      </c>
      <c r="J38" s="50">
        <f t="shared" si="0"/>
        <v>0.12470453616673481</v>
      </c>
    </row>
    <row r="39" spans="2:10" x14ac:dyDescent="0.3">
      <c r="B39" s="61"/>
      <c r="C39" s="48">
        <v>1</v>
      </c>
      <c r="D39" s="18">
        <v>1024</v>
      </c>
      <c r="E39" s="18">
        <v>2048</v>
      </c>
      <c r="F39" s="18">
        <v>16</v>
      </c>
      <c r="G39" s="49">
        <v>0</v>
      </c>
      <c r="H39" s="2">
        <v>1.2951809999999999</v>
      </c>
      <c r="I39" s="3">
        <v>1.185568</v>
      </c>
      <c r="J39" s="50">
        <f t="shared" si="0"/>
        <v>8.4631414450953166E-2</v>
      </c>
    </row>
    <row r="40" spans="2:10" x14ac:dyDescent="0.3">
      <c r="B40" s="61"/>
      <c r="C40" s="48">
        <v>1</v>
      </c>
      <c r="D40" s="18">
        <v>2048</v>
      </c>
      <c r="E40" s="18">
        <v>2048</v>
      </c>
      <c r="F40" s="18">
        <v>16</v>
      </c>
      <c r="G40" s="49">
        <v>0</v>
      </c>
      <c r="H40" s="2">
        <v>4.8051779999999997</v>
      </c>
      <c r="I40" s="3">
        <v>4.4270839999999998</v>
      </c>
      <c r="J40" s="50">
        <f t="shared" si="0"/>
        <v>7.8684702210823396E-2</v>
      </c>
    </row>
    <row r="41" spans="2:10" x14ac:dyDescent="0.3">
      <c r="B41" s="61"/>
      <c r="C41" s="48">
        <v>1</v>
      </c>
      <c r="D41" s="18">
        <v>4096</v>
      </c>
      <c r="E41" s="18">
        <v>2048</v>
      </c>
      <c r="F41" s="18">
        <v>16</v>
      </c>
      <c r="G41" s="49">
        <v>0</v>
      </c>
      <c r="H41" s="2">
        <v>18.170297999999999</v>
      </c>
      <c r="I41" s="3">
        <v>16.684359000000001</v>
      </c>
      <c r="J41" s="50">
        <f t="shared" si="0"/>
        <v>8.1778460650452647E-2</v>
      </c>
    </row>
    <row r="42" spans="2:10" x14ac:dyDescent="0.3">
      <c r="B42" s="61"/>
      <c r="C42" s="48">
        <v>4</v>
      </c>
      <c r="D42" s="18">
        <v>1</v>
      </c>
      <c r="E42" s="18">
        <v>2048</v>
      </c>
      <c r="F42" s="18">
        <v>16</v>
      </c>
      <c r="G42" s="49">
        <v>0</v>
      </c>
      <c r="H42" s="2">
        <v>6.2521999999999994E-2</v>
      </c>
      <c r="I42" s="3">
        <v>5.8098999999999998E-2</v>
      </c>
      <c r="J42" s="50">
        <f t="shared" si="0"/>
        <v>7.0743098429352821E-2</v>
      </c>
    </row>
    <row r="43" spans="2:10" x14ac:dyDescent="0.3">
      <c r="B43" s="61"/>
      <c r="C43" s="48">
        <v>4</v>
      </c>
      <c r="D43" s="18">
        <v>128</v>
      </c>
      <c r="E43" s="18">
        <v>2048</v>
      </c>
      <c r="F43" s="18">
        <v>16</v>
      </c>
      <c r="G43" s="49">
        <v>0</v>
      </c>
      <c r="H43" s="2">
        <v>0.15884200000000001</v>
      </c>
      <c r="I43" s="3">
        <v>0.148506</v>
      </c>
      <c r="J43" s="50">
        <f t="shared" si="0"/>
        <v>6.5070951007919889E-2</v>
      </c>
    </row>
    <row r="44" spans="2:10" x14ac:dyDescent="0.3">
      <c r="B44" s="61"/>
      <c r="C44" s="48">
        <v>4</v>
      </c>
      <c r="D44" s="18">
        <v>512</v>
      </c>
      <c r="E44" s="18">
        <v>2048</v>
      </c>
      <c r="F44" s="18">
        <v>16</v>
      </c>
      <c r="G44" s="49">
        <v>0</v>
      </c>
      <c r="H44" s="2">
        <v>1.31776</v>
      </c>
      <c r="I44" s="3">
        <v>1.252032</v>
      </c>
      <c r="J44" s="50">
        <f t="shared" si="0"/>
        <v>4.987858183584265E-2</v>
      </c>
    </row>
    <row r="45" spans="2:10" x14ac:dyDescent="0.3">
      <c r="B45" s="61"/>
      <c r="C45" s="48">
        <v>4</v>
      </c>
      <c r="D45" s="18">
        <v>1024</v>
      </c>
      <c r="E45" s="18">
        <v>2048</v>
      </c>
      <c r="F45" s="18">
        <v>16</v>
      </c>
      <c r="G45" s="49">
        <v>0</v>
      </c>
      <c r="H45" s="2">
        <v>5.3275389999999998</v>
      </c>
      <c r="I45" s="3">
        <v>4.9372670000000003</v>
      </c>
      <c r="J45" s="50">
        <f t="shared" si="0"/>
        <v>7.325558761747207E-2</v>
      </c>
    </row>
    <row r="46" spans="2:10" x14ac:dyDescent="0.3">
      <c r="B46" s="61"/>
      <c r="C46" s="48">
        <v>4</v>
      </c>
      <c r="D46" s="18">
        <v>2048</v>
      </c>
      <c r="E46" s="18">
        <v>2048</v>
      </c>
      <c r="F46" s="18">
        <v>16</v>
      </c>
      <c r="G46" s="49">
        <v>0</v>
      </c>
      <c r="H46" s="2">
        <v>20.025062999999999</v>
      </c>
      <c r="I46" s="3">
        <v>19.285875000000001</v>
      </c>
      <c r="J46" s="50">
        <f t="shared" si="0"/>
        <v>3.6913142295732039E-2</v>
      </c>
    </row>
    <row r="47" spans="2:10" x14ac:dyDescent="0.3">
      <c r="B47" s="61"/>
      <c r="C47" s="48">
        <v>4</v>
      </c>
      <c r="D47" s="18">
        <v>4096</v>
      </c>
      <c r="E47" s="18">
        <v>2048</v>
      </c>
      <c r="F47" s="18">
        <v>16</v>
      </c>
      <c r="G47" s="49">
        <v>0</v>
      </c>
      <c r="H47" s="2">
        <v>77.035247999999996</v>
      </c>
      <c r="I47" s="3">
        <v>71.800728000000007</v>
      </c>
      <c r="J47" s="50">
        <f t="shared" si="0"/>
        <v>6.7949674154355807E-2</v>
      </c>
    </row>
    <row r="48" spans="2:10" x14ac:dyDescent="0.3">
      <c r="B48" s="61"/>
      <c r="C48" s="48">
        <v>8</v>
      </c>
      <c r="D48" s="18">
        <v>1</v>
      </c>
      <c r="E48" s="18">
        <v>2048</v>
      </c>
      <c r="F48" s="18">
        <v>16</v>
      </c>
      <c r="G48" s="49">
        <v>0</v>
      </c>
      <c r="H48" s="2">
        <v>9.3850000000000003E-2</v>
      </c>
      <c r="I48" s="3">
        <v>8.8377999999999998E-2</v>
      </c>
      <c r="J48" s="50">
        <f t="shared" si="0"/>
        <v>5.8305807139051723E-2</v>
      </c>
    </row>
    <row r="49" spans="2:10" x14ac:dyDescent="0.3">
      <c r="B49" s="61"/>
      <c r="C49" s="48">
        <v>8</v>
      </c>
      <c r="D49" s="18">
        <v>128</v>
      </c>
      <c r="E49" s="18">
        <v>2048</v>
      </c>
      <c r="F49" s="18">
        <v>16</v>
      </c>
      <c r="G49" s="49">
        <v>0</v>
      </c>
      <c r="H49" s="2">
        <v>0.30519000000000002</v>
      </c>
      <c r="I49" s="3">
        <v>0.29786200000000002</v>
      </c>
      <c r="J49" s="50">
        <f t="shared" si="0"/>
        <v>2.4011271666830501E-2</v>
      </c>
    </row>
    <row r="50" spans="2:10" x14ac:dyDescent="0.3">
      <c r="B50" s="61"/>
      <c r="C50" s="48">
        <v>8</v>
      </c>
      <c r="D50" s="18">
        <v>512</v>
      </c>
      <c r="E50" s="18">
        <v>2048</v>
      </c>
      <c r="F50" s="18">
        <v>16</v>
      </c>
      <c r="G50" s="49">
        <v>0</v>
      </c>
      <c r="H50" s="2">
        <v>2.8077570000000001</v>
      </c>
      <c r="I50" s="3">
        <v>2.5705469999999999</v>
      </c>
      <c r="J50" s="50">
        <f t="shared" si="0"/>
        <v>8.4483806825163335E-2</v>
      </c>
    </row>
    <row r="51" spans="2:10" x14ac:dyDescent="0.3">
      <c r="B51" s="61"/>
      <c r="C51" s="48">
        <v>8</v>
      </c>
      <c r="D51" s="18">
        <v>1024</v>
      </c>
      <c r="E51" s="18">
        <v>2048</v>
      </c>
      <c r="F51" s="18">
        <v>16</v>
      </c>
      <c r="G51" s="49">
        <v>0</v>
      </c>
      <c r="H51" s="2">
        <v>11.092556999999999</v>
      </c>
      <c r="I51" s="3">
        <v>10.03561</v>
      </c>
      <c r="J51" s="50">
        <f t="shared" si="0"/>
        <v>9.5284342464951877E-2</v>
      </c>
    </row>
    <row r="52" spans="2:10" x14ac:dyDescent="0.3">
      <c r="B52" s="61"/>
      <c r="C52" s="48">
        <v>8</v>
      </c>
      <c r="D52" s="18">
        <v>2048</v>
      </c>
      <c r="E52" s="18">
        <v>2048</v>
      </c>
      <c r="F52" s="18">
        <v>16</v>
      </c>
      <c r="G52" s="49">
        <v>0</v>
      </c>
      <c r="H52" s="2">
        <v>40.653137000000001</v>
      </c>
      <c r="I52" s="3">
        <v>37.749645000000001</v>
      </c>
      <c r="J52" s="50">
        <f t="shared" si="0"/>
        <v>7.1421105830037176E-2</v>
      </c>
    </row>
    <row r="53" spans="2:10" x14ac:dyDescent="0.3">
      <c r="B53" s="61"/>
      <c r="C53" s="48">
        <v>16</v>
      </c>
      <c r="D53" s="18">
        <v>1</v>
      </c>
      <c r="E53" s="18">
        <v>2048</v>
      </c>
      <c r="F53" s="18">
        <v>16</v>
      </c>
      <c r="G53" s="49">
        <v>0</v>
      </c>
      <c r="H53" s="2">
        <v>0.16039700000000001</v>
      </c>
      <c r="I53" s="3">
        <v>0.148115</v>
      </c>
      <c r="J53" s="50">
        <f t="shared" si="0"/>
        <v>7.6572504473275779E-2</v>
      </c>
    </row>
    <row r="54" spans="2:10" x14ac:dyDescent="0.3">
      <c r="B54" s="61"/>
      <c r="C54" s="48">
        <v>16</v>
      </c>
      <c r="D54" s="18">
        <v>128</v>
      </c>
      <c r="E54" s="18">
        <v>2048</v>
      </c>
      <c r="F54" s="18">
        <v>16</v>
      </c>
      <c r="G54" s="49">
        <v>0</v>
      </c>
      <c r="H54" s="2">
        <v>0.58511400000000002</v>
      </c>
      <c r="I54" s="3">
        <v>0.568998</v>
      </c>
      <c r="J54" s="50">
        <f t="shared" si="0"/>
        <v>2.7543350526564085E-2</v>
      </c>
    </row>
    <row r="55" spans="2:10" x14ac:dyDescent="0.3">
      <c r="B55" s="61"/>
      <c r="C55" s="2">
        <v>16</v>
      </c>
      <c r="D55" s="1">
        <v>512</v>
      </c>
      <c r="E55" s="1">
        <v>2048</v>
      </c>
      <c r="F55" s="1">
        <v>16</v>
      </c>
      <c r="G55" s="15">
        <v>0</v>
      </c>
      <c r="H55" s="2">
        <v>5.503603</v>
      </c>
      <c r="I55" s="3">
        <v>5.0172730000000003</v>
      </c>
      <c r="J55" s="44">
        <f t="shared" si="0"/>
        <v>8.8365748764945379E-2</v>
      </c>
    </row>
    <row r="56" spans="2:10" x14ac:dyDescent="0.3">
      <c r="B56" s="61"/>
      <c r="C56" s="2">
        <v>20</v>
      </c>
      <c r="D56" s="1">
        <v>1</v>
      </c>
      <c r="E56" s="1">
        <v>2048</v>
      </c>
      <c r="F56" s="1">
        <v>16</v>
      </c>
      <c r="G56" s="15">
        <v>0</v>
      </c>
      <c r="H56" s="2">
        <v>0.19306899999999999</v>
      </c>
      <c r="I56" s="3">
        <v>0.17888000000000001</v>
      </c>
      <c r="J56" s="44">
        <f t="shared" si="0"/>
        <v>7.3491860422957495E-2</v>
      </c>
    </row>
    <row r="57" spans="2:10" ht="14.5" thickBot="1" x14ac:dyDescent="0.35">
      <c r="B57" s="62"/>
      <c r="C57" s="7">
        <v>20</v>
      </c>
      <c r="D57" s="8">
        <v>128</v>
      </c>
      <c r="E57" s="8">
        <v>2048</v>
      </c>
      <c r="F57" s="8">
        <v>16</v>
      </c>
      <c r="G57" s="16">
        <v>0</v>
      </c>
      <c r="H57" s="7">
        <v>0.72581099999999998</v>
      </c>
      <c r="I57" s="9">
        <v>0.706368</v>
      </c>
      <c r="J57" s="45">
        <f t="shared" si="0"/>
        <v>2.6787965462083087E-2</v>
      </c>
    </row>
  </sheetData>
  <mergeCells count="2">
    <mergeCell ref="B6:B35"/>
    <mergeCell ref="B36:B5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66"/>
  <sheetViews>
    <sheetView topLeftCell="A13" workbookViewId="0">
      <selection activeCell="N41" sqref="N41"/>
    </sheetView>
  </sheetViews>
  <sheetFormatPr defaultRowHeight="14" x14ac:dyDescent="0.3"/>
  <cols>
    <col min="12" max="13" width="10.1640625" bestFit="1" customWidth="1"/>
  </cols>
  <sheetData>
    <row r="3" spans="2:14" x14ac:dyDescent="0.3">
      <c r="B3" t="s">
        <v>12</v>
      </c>
    </row>
    <row r="4" spans="2:14" ht="14.5" thickBot="1" x14ac:dyDescent="0.35">
      <c r="H4" t="s">
        <v>741</v>
      </c>
      <c r="I4" t="s">
        <v>740</v>
      </c>
      <c r="L4" t="s">
        <v>749</v>
      </c>
      <c r="M4" t="s">
        <v>750</v>
      </c>
    </row>
    <row r="5" spans="2:14" ht="14.5" thickBot="1" x14ac:dyDescent="0.35">
      <c r="B5" s="29"/>
      <c r="C5" s="30" t="s">
        <v>1</v>
      </c>
      <c r="D5" s="30" t="s">
        <v>2</v>
      </c>
      <c r="E5" s="30" t="s">
        <v>0</v>
      </c>
      <c r="F5" s="30" t="s">
        <v>3</v>
      </c>
      <c r="G5" s="30" t="s">
        <v>8</v>
      </c>
      <c r="H5" s="24" t="s">
        <v>9</v>
      </c>
      <c r="I5" s="24" t="s">
        <v>10</v>
      </c>
      <c r="J5" s="25" t="s">
        <v>11</v>
      </c>
      <c r="L5" s="19" t="s">
        <v>9</v>
      </c>
      <c r="M5" s="20" t="s">
        <v>10</v>
      </c>
      <c r="N5" s="21" t="s">
        <v>11</v>
      </c>
    </row>
    <row r="6" spans="2:14" x14ac:dyDescent="0.3">
      <c r="B6" s="66" t="s">
        <v>5</v>
      </c>
      <c r="C6" s="4">
        <v>1</v>
      </c>
      <c r="D6" s="5">
        <v>1</v>
      </c>
      <c r="E6" s="5">
        <v>2048</v>
      </c>
      <c r="F6" s="5">
        <v>16</v>
      </c>
      <c r="G6" s="14">
        <v>1</v>
      </c>
      <c r="H6" s="4">
        <v>3.8598E-2</v>
      </c>
      <c r="I6" s="6">
        <v>3.2274999999999998E-2</v>
      </c>
      <c r="J6" s="43">
        <f>(H6-I6)/H6</f>
        <v>0.16381677807140271</v>
      </c>
      <c r="L6" s="2">
        <v>3.6698000000000001E-2</v>
      </c>
      <c r="M6" s="1">
        <v>3.6602000000000003E-2</v>
      </c>
      <c r="N6" s="22">
        <f>(L6-M6)/L6</f>
        <v>2.6159463730993206E-3</v>
      </c>
    </row>
    <row r="7" spans="2:14" x14ac:dyDescent="0.3">
      <c r="B7" s="67"/>
      <c r="C7" s="2">
        <v>1</v>
      </c>
      <c r="D7" s="1">
        <v>1</v>
      </c>
      <c r="E7" s="1">
        <v>2048</v>
      </c>
      <c r="F7" s="1">
        <v>16</v>
      </c>
      <c r="G7" s="15">
        <v>127</v>
      </c>
      <c r="H7" s="2">
        <v>4.0793999999999997E-2</v>
      </c>
      <c r="I7" s="3">
        <v>4.1062000000000001E-2</v>
      </c>
      <c r="J7" s="44">
        <f t="shared" ref="J7:J66" si="0">(H7-I7)/H7</f>
        <v>-6.5695935676816286E-3</v>
      </c>
      <c r="L7" s="2">
        <v>3.9174E-2</v>
      </c>
      <c r="M7" s="1">
        <v>3.8995000000000002E-2</v>
      </c>
      <c r="N7" s="22">
        <f t="shared" ref="N7:N66" si="1">(L7-M7)/L7</f>
        <v>4.5693572267319809E-3</v>
      </c>
    </row>
    <row r="8" spans="2:14" x14ac:dyDescent="0.3">
      <c r="B8" s="67"/>
      <c r="C8" s="2">
        <v>1</v>
      </c>
      <c r="D8" s="1">
        <v>1</v>
      </c>
      <c r="E8" s="1">
        <v>2048</v>
      </c>
      <c r="F8" s="1">
        <v>16</v>
      </c>
      <c r="G8" s="15">
        <v>255</v>
      </c>
      <c r="H8" s="2">
        <v>4.8108999999999999E-2</v>
      </c>
      <c r="I8" s="3">
        <v>4.8210999999999997E-2</v>
      </c>
      <c r="J8" s="44">
        <f t="shared" si="0"/>
        <v>-2.1201854122928749E-3</v>
      </c>
      <c r="L8" s="2">
        <v>4.4198000000000001E-2</v>
      </c>
      <c r="M8" s="1">
        <v>4.4236999999999999E-2</v>
      </c>
      <c r="N8" s="22">
        <f t="shared" si="1"/>
        <v>-8.8239286845552675E-4</v>
      </c>
    </row>
    <row r="9" spans="2:14" x14ac:dyDescent="0.3">
      <c r="B9" s="67"/>
      <c r="C9" s="2">
        <v>1</v>
      </c>
      <c r="D9" s="1">
        <v>1</v>
      </c>
      <c r="E9" s="1">
        <v>2048</v>
      </c>
      <c r="F9" s="1">
        <v>16</v>
      </c>
      <c r="G9" s="15">
        <v>511</v>
      </c>
      <c r="H9" s="2">
        <v>6.3392000000000004E-2</v>
      </c>
      <c r="I9" s="3">
        <v>6.3589999999999994E-2</v>
      </c>
      <c r="J9" s="44">
        <f t="shared" si="0"/>
        <v>-3.1234225138817174E-3</v>
      </c>
      <c r="L9" s="2">
        <v>5.4989000000000003E-2</v>
      </c>
      <c r="M9" s="1">
        <v>5.5058999999999997E-2</v>
      </c>
      <c r="N9" s="22">
        <f t="shared" si="1"/>
        <v>-1.2729818691009779E-3</v>
      </c>
    </row>
    <row r="10" spans="2:14" x14ac:dyDescent="0.3">
      <c r="B10" s="67"/>
      <c r="C10" s="2">
        <v>1</v>
      </c>
      <c r="D10" s="1">
        <v>1</v>
      </c>
      <c r="E10" s="1">
        <v>2048</v>
      </c>
      <c r="F10" s="1">
        <v>16</v>
      </c>
      <c r="G10" s="15">
        <v>1023</v>
      </c>
      <c r="H10" s="2">
        <v>9.5257999999999995E-2</v>
      </c>
      <c r="I10" s="3">
        <v>9.3426999999999996E-2</v>
      </c>
      <c r="J10" s="44">
        <f t="shared" si="0"/>
        <v>1.9221482710113581E-2</v>
      </c>
      <c r="L10" s="2">
        <v>7.2678000000000006E-2</v>
      </c>
      <c r="M10" s="1">
        <v>7.2044999999999998E-2</v>
      </c>
      <c r="N10" s="22">
        <f t="shared" si="1"/>
        <v>8.7096507884092643E-3</v>
      </c>
    </row>
    <row r="11" spans="2:14" x14ac:dyDescent="0.3">
      <c r="B11" s="67"/>
      <c r="C11" s="2">
        <v>1</v>
      </c>
      <c r="D11" s="1">
        <v>1</v>
      </c>
      <c r="E11" s="1">
        <v>2048</v>
      </c>
      <c r="F11" s="1">
        <v>16</v>
      </c>
      <c r="G11" s="15">
        <v>2047</v>
      </c>
      <c r="H11" s="2">
        <v>0.145402</v>
      </c>
      <c r="I11" s="3">
        <v>0.142093</v>
      </c>
      <c r="J11" s="44">
        <f t="shared" si="0"/>
        <v>2.2757596181620654E-2</v>
      </c>
      <c r="L11" s="2">
        <v>0.110266</v>
      </c>
      <c r="M11" s="1">
        <v>0.108589</v>
      </c>
      <c r="N11" s="22">
        <f t="shared" si="1"/>
        <v>1.5208677198773855E-2</v>
      </c>
    </row>
    <row r="12" spans="2:14" x14ac:dyDescent="0.3">
      <c r="B12" s="67"/>
      <c r="C12" s="2">
        <v>1</v>
      </c>
      <c r="D12" s="1">
        <v>1</v>
      </c>
      <c r="E12" s="1">
        <v>2048</v>
      </c>
      <c r="F12" s="1">
        <v>16</v>
      </c>
      <c r="G12" s="15">
        <v>4095</v>
      </c>
      <c r="H12" s="2">
        <v>0.24563199999999999</v>
      </c>
      <c r="I12" s="3">
        <v>0.24440300000000001</v>
      </c>
      <c r="J12" s="44">
        <f t="shared" si="0"/>
        <v>5.0034197498696432E-3</v>
      </c>
      <c r="L12" s="2">
        <v>0.188083</v>
      </c>
      <c r="M12" s="1">
        <v>0.181427</v>
      </c>
      <c r="N12" s="22">
        <f t="shared" si="1"/>
        <v>3.5388631614765798E-2</v>
      </c>
    </row>
    <row r="13" spans="2:14" x14ac:dyDescent="0.3">
      <c r="B13" s="67"/>
      <c r="C13" s="2">
        <v>4</v>
      </c>
      <c r="D13" s="1">
        <v>1</v>
      </c>
      <c r="E13" s="1">
        <v>2048</v>
      </c>
      <c r="F13" s="1">
        <v>16</v>
      </c>
      <c r="G13" s="15">
        <v>1</v>
      </c>
      <c r="H13" s="2">
        <v>6.0825999999999998E-2</v>
      </c>
      <c r="I13" s="3">
        <v>6.0485999999999998E-2</v>
      </c>
      <c r="J13" s="44">
        <f t="shared" si="0"/>
        <v>5.5897149245388491E-3</v>
      </c>
      <c r="L13" s="2">
        <v>5.7919999999999999E-2</v>
      </c>
      <c r="M13" s="1">
        <v>5.7529999999999998E-2</v>
      </c>
      <c r="N13" s="22">
        <f t="shared" si="1"/>
        <v>6.7334254143646662E-3</v>
      </c>
    </row>
    <row r="14" spans="2:14" x14ac:dyDescent="0.3">
      <c r="B14" s="67"/>
      <c r="C14" s="2">
        <v>4</v>
      </c>
      <c r="D14" s="1">
        <v>1</v>
      </c>
      <c r="E14" s="1">
        <v>2048</v>
      </c>
      <c r="F14" s="1">
        <v>16</v>
      </c>
      <c r="G14" s="15">
        <v>127</v>
      </c>
      <c r="H14" s="2">
        <v>6.8525000000000003E-2</v>
      </c>
      <c r="I14" s="3">
        <v>6.8185999999999997E-2</v>
      </c>
      <c r="J14" s="44">
        <f t="shared" si="0"/>
        <v>4.9470995986866974E-3</v>
      </c>
      <c r="L14" s="2">
        <v>6.6425999999999999E-2</v>
      </c>
      <c r="M14" s="1">
        <v>6.5862000000000004E-2</v>
      </c>
      <c r="N14" s="22">
        <f t="shared" si="1"/>
        <v>8.4906512510160934E-3</v>
      </c>
    </row>
    <row r="15" spans="2:14" x14ac:dyDescent="0.3">
      <c r="B15" s="67"/>
      <c r="C15" s="2">
        <v>4</v>
      </c>
      <c r="D15" s="1">
        <v>1</v>
      </c>
      <c r="E15" s="1">
        <v>2048</v>
      </c>
      <c r="F15" s="1">
        <v>16</v>
      </c>
      <c r="G15" s="15">
        <v>255</v>
      </c>
      <c r="H15" s="2">
        <v>9.4298000000000007E-2</v>
      </c>
      <c r="I15" s="3">
        <v>9.2927999999999997E-2</v>
      </c>
      <c r="J15" s="44">
        <f t="shared" si="0"/>
        <v>1.4528409934463192E-2</v>
      </c>
      <c r="L15" s="2">
        <v>8.8589000000000001E-2</v>
      </c>
      <c r="M15" s="1">
        <v>8.7929999999999994E-2</v>
      </c>
      <c r="N15" s="22">
        <f t="shared" si="1"/>
        <v>7.4388468094233684E-3</v>
      </c>
    </row>
    <row r="16" spans="2:14" x14ac:dyDescent="0.3">
      <c r="B16" s="67"/>
      <c r="C16" s="2">
        <v>4</v>
      </c>
      <c r="D16" s="1">
        <v>1</v>
      </c>
      <c r="E16" s="1">
        <v>2048</v>
      </c>
      <c r="F16" s="1">
        <v>16</v>
      </c>
      <c r="G16" s="15">
        <v>511</v>
      </c>
      <c r="H16" s="2">
        <v>0.14837800000000001</v>
      </c>
      <c r="I16" s="3">
        <v>0.14430100000000001</v>
      </c>
      <c r="J16" s="44">
        <f t="shared" si="0"/>
        <v>2.7477119249484403E-2</v>
      </c>
      <c r="L16" s="2">
        <v>0.13450200000000001</v>
      </c>
      <c r="M16" s="1">
        <v>0.133606</v>
      </c>
      <c r="N16" s="22">
        <f t="shared" si="1"/>
        <v>6.6616109797624406E-3</v>
      </c>
    </row>
    <row r="17" spans="2:14" x14ac:dyDescent="0.3">
      <c r="B17" s="67"/>
      <c r="C17" s="2">
        <v>4</v>
      </c>
      <c r="D17" s="1">
        <v>1</v>
      </c>
      <c r="E17" s="1">
        <v>2048</v>
      </c>
      <c r="F17" s="1">
        <v>16</v>
      </c>
      <c r="G17" s="15">
        <v>1022</v>
      </c>
      <c r="H17" s="2">
        <v>0.26435199999999998</v>
      </c>
      <c r="I17" s="3">
        <v>0.25541799999999998</v>
      </c>
      <c r="J17" s="44">
        <f t="shared" si="0"/>
        <v>3.3795847960295354E-2</v>
      </c>
      <c r="L17" s="2">
        <v>0.22172800000000001</v>
      </c>
      <c r="M17" s="1">
        <v>0.21717800000000001</v>
      </c>
      <c r="N17" s="22">
        <f t="shared" si="1"/>
        <v>2.0520637898686672E-2</v>
      </c>
    </row>
    <row r="18" spans="2:14" x14ac:dyDescent="0.3">
      <c r="B18" s="67"/>
      <c r="C18" s="2">
        <v>4</v>
      </c>
      <c r="D18" s="1">
        <v>1</v>
      </c>
      <c r="E18" s="1">
        <v>2048</v>
      </c>
      <c r="F18" s="1">
        <v>16</v>
      </c>
      <c r="G18" s="15">
        <v>2047</v>
      </c>
      <c r="H18" s="2">
        <v>0.473325</v>
      </c>
      <c r="I18" s="3">
        <v>0.45599400000000001</v>
      </c>
      <c r="J18" s="44">
        <f t="shared" si="0"/>
        <v>3.6615433370305782E-2</v>
      </c>
      <c r="L18" s="2">
        <v>0.40101100000000001</v>
      </c>
      <c r="M18" s="1">
        <v>0.38016</v>
      </c>
      <c r="N18" s="22">
        <f t="shared" si="1"/>
        <v>5.1996079908032469E-2</v>
      </c>
    </row>
    <row r="19" spans="2:14" x14ac:dyDescent="0.3">
      <c r="B19" s="67"/>
      <c r="C19" s="2">
        <v>4</v>
      </c>
      <c r="D19" s="1">
        <v>1</v>
      </c>
      <c r="E19" s="1">
        <v>2048</v>
      </c>
      <c r="F19" s="1">
        <v>16</v>
      </c>
      <c r="G19" s="15">
        <v>4095</v>
      </c>
      <c r="H19" s="2">
        <v>0.88902999999999999</v>
      </c>
      <c r="I19" s="3">
        <v>0.860128</v>
      </c>
      <c r="J19" s="44">
        <f t="shared" si="0"/>
        <v>3.250958910272992E-2</v>
      </c>
      <c r="L19" s="2">
        <v>0.72038999999999997</v>
      </c>
      <c r="M19" s="1">
        <v>0.69150100000000003</v>
      </c>
      <c r="N19" s="22">
        <f t="shared" si="1"/>
        <v>4.0101889254431547E-2</v>
      </c>
    </row>
    <row r="20" spans="2:14" x14ac:dyDescent="0.3">
      <c r="B20" s="67"/>
      <c r="C20" s="2">
        <v>8</v>
      </c>
      <c r="D20" s="1">
        <v>1</v>
      </c>
      <c r="E20" s="1">
        <v>2048</v>
      </c>
      <c r="F20" s="1">
        <v>16</v>
      </c>
      <c r="G20" s="15">
        <v>1</v>
      </c>
      <c r="H20" s="2">
        <v>8.9593999999999993E-2</v>
      </c>
      <c r="I20" s="3">
        <v>8.9177999999999993E-2</v>
      </c>
      <c r="J20" s="44">
        <f t="shared" si="0"/>
        <v>4.6431680692903517E-3</v>
      </c>
      <c r="L20" s="2">
        <v>8.8319999999999996E-2</v>
      </c>
      <c r="M20" s="1">
        <v>8.8012999999999994E-2</v>
      </c>
      <c r="N20" s="22">
        <f t="shared" si="1"/>
        <v>3.4759963768116139E-3</v>
      </c>
    </row>
    <row r="21" spans="2:14" x14ac:dyDescent="0.3">
      <c r="B21" s="67"/>
      <c r="C21" s="2">
        <v>8</v>
      </c>
      <c r="D21" s="1">
        <v>1</v>
      </c>
      <c r="E21" s="1">
        <v>2048</v>
      </c>
      <c r="F21" s="1">
        <v>16</v>
      </c>
      <c r="G21" s="15">
        <v>127</v>
      </c>
      <c r="H21" s="2">
        <v>0.105018</v>
      </c>
      <c r="I21" s="3">
        <v>0.10419200000000001</v>
      </c>
      <c r="J21" s="44">
        <f t="shared" si="0"/>
        <v>7.8653183263820807E-3</v>
      </c>
      <c r="L21" s="2">
        <v>0.10262400000000001</v>
      </c>
      <c r="M21" s="1">
        <v>0.10169599999999999</v>
      </c>
      <c r="N21" s="22">
        <f t="shared" si="1"/>
        <v>9.0427190520737076E-3</v>
      </c>
    </row>
    <row r="22" spans="2:14" x14ac:dyDescent="0.3">
      <c r="B22" s="67"/>
      <c r="C22" s="2">
        <v>8</v>
      </c>
      <c r="D22" s="1">
        <v>1</v>
      </c>
      <c r="E22" s="1">
        <v>2048</v>
      </c>
      <c r="F22" s="1">
        <v>16</v>
      </c>
      <c r="G22" s="15">
        <v>255</v>
      </c>
      <c r="H22" s="2">
        <v>0.15526400000000001</v>
      </c>
      <c r="I22" s="3">
        <v>0.153062</v>
      </c>
      <c r="J22" s="44">
        <f t="shared" si="0"/>
        <v>1.418229596042875E-2</v>
      </c>
      <c r="L22" s="2">
        <v>0.14501800000000001</v>
      </c>
      <c r="M22" s="1">
        <v>0.14447399999999999</v>
      </c>
      <c r="N22" s="22">
        <f t="shared" si="1"/>
        <v>3.7512584644665949E-3</v>
      </c>
    </row>
    <row r="23" spans="2:14" x14ac:dyDescent="0.3">
      <c r="B23" s="67"/>
      <c r="C23" s="2">
        <v>8</v>
      </c>
      <c r="D23" s="1">
        <v>1</v>
      </c>
      <c r="E23" s="1">
        <v>2048</v>
      </c>
      <c r="F23" s="1">
        <v>16</v>
      </c>
      <c r="G23" s="15">
        <v>511</v>
      </c>
      <c r="H23" s="2">
        <v>0.25948199999999999</v>
      </c>
      <c r="I23" s="3">
        <v>0.25333099999999997</v>
      </c>
      <c r="J23" s="44">
        <f t="shared" si="0"/>
        <v>2.3704919801758956E-2</v>
      </c>
      <c r="L23" s="2">
        <v>0.237651</v>
      </c>
      <c r="M23" s="1">
        <v>0.23528299999999999</v>
      </c>
      <c r="N23" s="22">
        <f t="shared" si="1"/>
        <v>9.9641911879184558E-3</v>
      </c>
    </row>
    <row r="24" spans="2:14" x14ac:dyDescent="0.3">
      <c r="B24" s="67"/>
      <c r="C24" s="2">
        <v>8</v>
      </c>
      <c r="D24" s="1">
        <v>1</v>
      </c>
      <c r="E24" s="1">
        <v>2048</v>
      </c>
      <c r="F24" s="1">
        <v>16</v>
      </c>
      <c r="G24" s="15">
        <v>1023</v>
      </c>
      <c r="H24" s="2">
        <v>0.48506199999999999</v>
      </c>
      <c r="I24" s="3">
        <v>0.46293800000000002</v>
      </c>
      <c r="J24" s="44">
        <f t="shared" si="0"/>
        <v>4.5610664203751226E-2</v>
      </c>
      <c r="L24" s="2">
        <v>0.38540200000000002</v>
      </c>
      <c r="M24" s="1">
        <v>0.38063399999999997</v>
      </c>
      <c r="N24" s="22">
        <f t="shared" si="1"/>
        <v>1.2371497812673649E-2</v>
      </c>
    </row>
    <row r="25" spans="2:14" x14ac:dyDescent="0.3">
      <c r="B25" s="67"/>
      <c r="C25" s="2">
        <v>8</v>
      </c>
      <c r="D25" s="1">
        <v>1</v>
      </c>
      <c r="E25" s="1">
        <v>2048</v>
      </c>
      <c r="F25" s="1">
        <v>16</v>
      </c>
      <c r="G25" s="15">
        <v>2047</v>
      </c>
      <c r="H25" s="2">
        <v>0.90035799999999999</v>
      </c>
      <c r="I25" s="3">
        <v>0.86223399999999994</v>
      </c>
      <c r="J25" s="44">
        <f t="shared" si="0"/>
        <v>4.2343156833170859E-2</v>
      </c>
      <c r="L25" s="2">
        <v>0.714611</v>
      </c>
      <c r="M25" s="1">
        <v>0.70181800000000005</v>
      </c>
      <c r="N25" s="22">
        <f t="shared" si="1"/>
        <v>1.7902047407610495E-2</v>
      </c>
    </row>
    <row r="26" spans="2:14" x14ac:dyDescent="0.3">
      <c r="B26" s="67"/>
      <c r="C26" s="2">
        <v>8</v>
      </c>
      <c r="D26" s="1">
        <v>1</v>
      </c>
      <c r="E26" s="1">
        <v>2048</v>
      </c>
      <c r="F26" s="1">
        <v>16</v>
      </c>
      <c r="G26" s="15">
        <v>4095</v>
      </c>
      <c r="H26" s="2">
        <v>1.745466</v>
      </c>
      <c r="I26" s="3">
        <v>1.6675390000000001</v>
      </c>
      <c r="J26" s="44">
        <f t="shared" si="0"/>
        <v>4.4645384098000111E-2</v>
      </c>
      <c r="L26" s="2">
        <v>1.365075</v>
      </c>
      <c r="M26" s="1">
        <v>1.3194429999999999</v>
      </c>
      <c r="N26" s="22">
        <f t="shared" si="1"/>
        <v>3.342819991575563E-2</v>
      </c>
    </row>
    <row r="27" spans="2:14" x14ac:dyDescent="0.3">
      <c r="B27" s="67"/>
      <c r="C27" s="2">
        <v>16</v>
      </c>
      <c r="D27" s="1">
        <v>1</v>
      </c>
      <c r="E27" s="1">
        <v>2048</v>
      </c>
      <c r="F27" s="1">
        <v>16</v>
      </c>
      <c r="G27" s="15">
        <v>1</v>
      </c>
      <c r="H27" s="2">
        <v>0.15124499999999999</v>
      </c>
      <c r="I27" s="3">
        <v>0.14874200000000001</v>
      </c>
      <c r="J27" s="44">
        <f t="shared" si="0"/>
        <v>1.6549307415121013E-2</v>
      </c>
      <c r="L27" s="2">
        <v>0.14796200000000001</v>
      </c>
      <c r="M27" s="1">
        <v>0.14718700000000001</v>
      </c>
      <c r="N27" s="22">
        <f t="shared" si="1"/>
        <v>5.2378313350725045E-3</v>
      </c>
    </row>
    <row r="28" spans="2:14" x14ac:dyDescent="0.3">
      <c r="B28" s="67"/>
      <c r="C28" s="2">
        <v>16</v>
      </c>
      <c r="D28" s="1">
        <v>1</v>
      </c>
      <c r="E28" s="1">
        <v>2048</v>
      </c>
      <c r="F28" s="1">
        <v>16</v>
      </c>
      <c r="G28" s="15">
        <v>127</v>
      </c>
      <c r="H28" s="2">
        <v>0.18176</v>
      </c>
      <c r="I28" s="3">
        <v>0.17807999999999999</v>
      </c>
      <c r="J28" s="44">
        <f t="shared" si="0"/>
        <v>2.0246478873239528E-2</v>
      </c>
      <c r="L28" s="2">
        <v>0.17548800000000001</v>
      </c>
      <c r="M28" s="1">
        <v>0.173709</v>
      </c>
      <c r="N28" s="22">
        <f t="shared" si="1"/>
        <v>1.0137445295404829E-2</v>
      </c>
    </row>
    <row r="29" spans="2:14" x14ac:dyDescent="0.3">
      <c r="B29" s="67"/>
      <c r="C29" s="2">
        <v>16</v>
      </c>
      <c r="D29" s="1">
        <v>1</v>
      </c>
      <c r="E29" s="1">
        <v>2048</v>
      </c>
      <c r="F29" s="1">
        <v>16</v>
      </c>
      <c r="G29" s="15">
        <v>255</v>
      </c>
      <c r="H29" s="2">
        <v>0.28158100000000003</v>
      </c>
      <c r="I29" s="3">
        <v>0.27229399999999998</v>
      </c>
      <c r="J29" s="44">
        <f t="shared" si="0"/>
        <v>3.298162873205239E-2</v>
      </c>
      <c r="L29" s="2">
        <v>0.25698599999999999</v>
      </c>
      <c r="M29" s="1">
        <v>0.25671699999999997</v>
      </c>
      <c r="N29" s="22">
        <f t="shared" si="1"/>
        <v>1.0467496283845005E-3</v>
      </c>
    </row>
    <row r="30" spans="2:14" x14ac:dyDescent="0.3">
      <c r="B30" s="67"/>
      <c r="C30" s="2">
        <v>16</v>
      </c>
      <c r="D30" s="1">
        <v>1</v>
      </c>
      <c r="E30" s="1">
        <v>2048</v>
      </c>
      <c r="F30" s="1">
        <v>16</v>
      </c>
      <c r="G30" s="15">
        <v>511</v>
      </c>
      <c r="H30" s="2">
        <v>0.48582999999999998</v>
      </c>
      <c r="I30" s="3">
        <v>0.46510699999999999</v>
      </c>
      <c r="J30" s="44">
        <f t="shared" si="0"/>
        <v>4.2654838112096805E-2</v>
      </c>
      <c r="L30" s="2">
        <v>0.43348500000000001</v>
      </c>
      <c r="M30" s="1">
        <v>0.43136000000000002</v>
      </c>
      <c r="N30" s="22">
        <f t="shared" si="1"/>
        <v>4.9021304082032553E-3</v>
      </c>
    </row>
    <row r="31" spans="2:14" x14ac:dyDescent="0.3">
      <c r="B31" s="67"/>
      <c r="C31" s="2">
        <v>16</v>
      </c>
      <c r="D31" s="1">
        <v>1</v>
      </c>
      <c r="E31" s="1">
        <v>2048</v>
      </c>
      <c r="F31" s="1">
        <v>16</v>
      </c>
      <c r="G31" s="15">
        <v>1023</v>
      </c>
      <c r="H31" s="2">
        <v>0.92257299999999998</v>
      </c>
      <c r="I31" s="3">
        <v>0.87964799999999999</v>
      </c>
      <c r="J31" s="44">
        <f t="shared" si="0"/>
        <v>4.6527483462013297E-2</v>
      </c>
      <c r="L31" s="2">
        <v>0.72814699999999999</v>
      </c>
      <c r="M31" s="1">
        <v>0.70394900000000005</v>
      </c>
      <c r="N31" s="22">
        <f t="shared" si="1"/>
        <v>3.3232300620616363E-2</v>
      </c>
    </row>
    <row r="32" spans="2:14" x14ac:dyDescent="0.3">
      <c r="B32" s="67"/>
      <c r="C32" s="2">
        <v>16</v>
      </c>
      <c r="D32" s="1">
        <v>1</v>
      </c>
      <c r="E32" s="1">
        <v>2048</v>
      </c>
      <c r="F32" s="1">
        <v>16</v>
      </c>
      <c r="G32" s="15">
        <v>2047</v>
      </c>
      <c r="H32" s="2">
        <v>1.760141</v>
      </c>
      <c r="I32" s="3">
        <v>1.682304</v>
      </c>
      <c r="J32" s="44">
        <f t="shared" si="0"/>
        <v>4.422202539455642E-2</v>
      </c>
      <c r="L32" s="2">
        <v>1.3593599999999999</v>
      </c>
      <c r="M32" s="1">
        <v>1.323706</v>
      </c>
      <c r="N32" s="22">
        <f t="shared" si="1"/>
        <v>2.62285193032014E-2</v>
      </c>
    </row>
    <row r="33" spans="2:14" x14ac:dyDescent="0.3">
      <c r="B33" s="67"/>
      <c r="C33" s="2">
        <v>16</v>
      </c>
      <c r="D33" s="1">
        <v>1</v>
      </c>
      <c r="E33" s="1">
        <v>2048</v>
      </c>
      <c r="F33" s="1">
        <v>16</v>
      </c>
      <c r="G33" s="15">
        <v>4095</v>
      </c>
      <c r="H33" s="2">
        <v>3.4201730000000001</v>
      </c>
      <c r="I33" s="3">
        <v>3.2841849999999999</v>
      </c>
      <c r="J33" s="44">
        <f t="shared" si="0"/>
        <v>3.9760561819533753E-2</v>
      </c>
      <c r="L33" s="2">
        <v>2.6492420000000001</v>
      </c>
      <c r="M33" s="1">
        <v>2.5772740000000001</v>
      </c>
      <c r="N33" s="22">
        <f t="shared" si="1"/>
        <v>2.7165506208945814E-2</v>
      </c>
    </row>
    <row r="34" spans="2:14" x14ac:dyDescent="0.3">
      <c r="B34" s="67"/>
      <c r="C34" s="2">
        <v>20</v>
      </c>
      <c r="D34" s="1">
        <v>1</v>
      </c>
      <c r="E34" s="1">
        <v>2048</v>
      </c>
      <c r="F34" s="1">
        <v>16</v>
      </c>
      <c r="G34" s="15">
        <v>1</v>
      </c>
      <c r="H34" s="2">
        <v>0.181203</v>
      </c>
      <c r="I34" s="3">
        <v>0.17787500000000001</v>
      </c>
      <c r="J34" s="44">
        <f t="shared" si="0"/>
        <v>1.8366141840918736E-2</v>
      </c>
      <c r="L34" s="2">
        <v>0.17886099999999999</v>
      </c>
      <c r="M34" s="1">
        <v>0.17719699999999999</v>
      </c>
      <c r="N34" s="22">
        <f t="shared" si="1"/>
        <v>9.3033137464287857E-3</v>
      </c>
    </row>
    <row r="35" spans="2:14" x14ac:dyDescent="0.3">
      <c r="B35" s="67"/>
      <c r="C35" s="2">
        <v>20</v>
      </c>
      <c r="D35" s="1">
        <v>1</v>
      </c>
      <c r="E35" s="1">
        <v>2048</v>
      </c>
      <c r="F35" s="1">
        <v>16</v>
      </c>
      <c r="G35" s="15">
        <v>127</v>
      </c>
      <c r="H35" s="2">
        <v>0.221024</v>
      </c>
      <c r="I35" s="3">
        <v>0.21443799999999999</v>
      </c>
      <c r="J35" s="44">
        <f t="shared" si="0"/>
        <v>2.979766903141744E-2</v>
      </c>
      <c r="L35" s="2">
        <v>0.215008</v>
      </c>
      <c r="M35" s="1">
        <v>0.21052799999999999</v>
      </c>
      <c r="N35" s="22">
        <f t="shared" si="1"/>
        <v>2.0836433993153797E-2</v>
      </c>
    </row>
    <row r="36" spans="2:14" x14ac:dyDescent="0.3">
      <c r="B36" s="67"/>
      <c r="C36" s="2">
        <v>20</v>
      </c>
      <c r="D36" s="1">
        <v>1</v>
      </c>
      <c r="E36" s="1">
        <v>2048</v>
      </c>
      <c r="F36" s="1">
        <v>16</v>
      </c>
      <c r="G36" s="15">
        <v>255</v>
      </c>
      <c r="H36" s="2">
        <v>0.34536299999999998</v>
      </c>
      <c r="I36" s="3">
        <v>0.331482</v>
      </c>
      <c r="J36" s="44">
        <f t="shared" si="0"/>
        <v>4.0192493115938817E-2</v>
      </c>
      <c r="L36" s="2">
        <v>0.314938</v>
      </c>
      <c r="M36" s="1">
        <v>0.31118699999999999</v>
      </c>
      <c r="N36" s="22">
        <f t="shared" si="1"/>
        <v>1.1910280753672165E-2</v>
      </c>
    </row>
    <row r="37" spans="2:14" x14ac:dyDescent="0.3">
      <c r="B37" s="67"/>
      <c r="C37" s="2">
        <v>20</v>
      </c>
      <c r="D37" s="1">
        <v>1</v>
      </c>
      <c r="E37" s="1">
        <v>2048</v>
      </c>
      <c r="F37" s="1">
        <v>16</v>
      </c>
      <c r="G37" s="15">
        <v>511</v>
      </c>
      <c r="H37" s="2">
        <v>0.59951399999999999</v>
      </c>
      <c r="I37" s="3">
        <v>0.57109799999999999</v>
      </c>
      <c r="J37" s="44">
        <f t="shared" si="0"/>
        <v>4.7398392698085441E-2</v>
      </c>
      <c r="L37" s="2">
        <v>0.53113600000000005</v>
      </c>
      <c r="M37" s="1">
        <v>0.52375000000000005</v>
      </c>
      <c r="N37" s="22">
        <f t="shared" si="1"/>
        <v>1.3906042896734552E-2</v>
      </c>
    </row>
    <row r="38" spans="2:14" x14ac:dyDescent="0.3">
      <c r="B38" s="67"/>
      <c r="C38" s="2">
        <v>20</v>
      </c>
      <c r="D38" s="1">
        <v>1</v>
      </c>
      <c r="E38" s="1">
        <v>2048</v>
      </c>
      <c r="F38" s="1">
        <v>16</v>
      </c>
      <c r="G38" s="15">
        <v>1023</v>
      </c>
      <c r="H38" s="2">
        <v>1.151187</v>
      </c>
      <c r="I38" s="3">
        <v>1.0911360000000001</v>
      </c>
      <c r="J38" s="44">
        <f t="shared" si="0"/>
        <v>5.2164418117994604E-2</v>
      </c>
      <c r="L38" s="2">
        <v>0.89676199999999995</v>
      </c>
      <c r="M38" s="1">
        <v>0.86903699999999995</v>
      </c>
      <c r="N38" s="22">
        <f t="shared" si="1"/>
        <v>3.0916787285812736E-2</v>
      </c>
    </row>
    <row r="39" spans="2:14" x14ac:dyDescent="0.3">
      <c r="B39" s="67"/>
      <c r="C39" s="2">
        <v>20</v>
      </c>
      <c r="D39" s="1">
        <v>1</v>
      </c>
      <c r="E39" s="1">
        <v>2048</v>
      </c>
      <c r="F39" s="1">
        <v>16</v>
      </c>
      <c r="G39" s="15">
        <v>2047</v>
      </c>
      <c r="H39" s="2">
        <v>2.2067649999999999</v>
      </c>
      <c r="I39" s="3">
        <v>2.0926719999999999</v>
      </c>
      <c r="J39" s="44">
        <f t="shared" si="0"/>
        <v>5.1701472517463348E-2</v>
      </c>
      <c r="L39" s="2">
        <v>1.7347900000000001</v>
      </c>
      <c r="M39" s="1">
        <v>1.6759809999999999</v>
      </c>
      <c r="N39" s="22">
        <f t="shared" si="1"/>
        <v>3.3899780376875653E-2</v>
      </c>
    </row>
    <row r="40" spans="2:14" ht="14.5" thickBot="1" x14ac:dyDescent="0.35">
      <c r="B40" s="68"/>
      <c r="C40" s="7">
        <v>20</v>
      </c>
      <c r="D40" s="8">
        <v>1</v>
      </c>
      <c r="E40" s="1">
        <v>2048</v>
      </c>
      <c r="F40" s="8">
        <v>16</v>
      </c>
      <c r="G40" s="16">
        <v>4095</v>
      </c>
      <c r="H40" s="2">
        <v>4.2889150000000003</v>
      </c>
      <c r="I40" s="3">
        <v>4.1065339999999999</v>
      </c>
      <c r="J40" s="44">
        <f t="shared" si="0"/>
        <v>4.2523808469041781E-2</v>
      </c>
      <c r="L40" s="2">
        <v>3.3191099999999998</v>
      </c>
      <c r="M40" s="1">
        <v>3.211846</v>
      </c>
      <c r="N40" s="22">
        <f t="shared" si="1"/>
        <v>3.2317097053125632E-2</v>
      </c>
    </row>
    <row r="41" spans="2:14" x14ac:dyDescent="0.3">
      <c r="B41" s="66" t="s">
        <v>7</v>
      </c>
      <c r="C41" s="19">
        <v>1</v>
      </c>
      <c r="D41" s="20">
        <v>1</v>
      </c>
      <c r="E41" s="20">
        <v>2048</v>
      </c>
      <c r="F41" s="20">
        <v>16</v>
      </c>
      <c r="G41" s="46">
        <v>0</v>
      </c>
      <c r="H41" s="2">
        <v>3.8835000000000001E-2</v>
      </c>
      <c r="I41" s="3">
        <v>3.8842000000000002E-2</v>
      </c>
      <c r="J41" s="44">
        <f t="shared" si="0"/>
        <v>-1.8024977468778322E-4</v>
      </c>
      <c r="L41" s="2">
        <v>3.6954000000000001E-2</v>
      </c>
      <c r="M41" s="1">
        <v>3.6941000000000002E-2</v>
      </c>
      <c r="N41" s="22">
        <f t="shared" si="1"/>
        <v>3.5178871028844304E-4</v>
      </c>
    </row>
    <row r="42" spans="2:14" x14ac:dyDescent="0.3">
      <c r="B42" s="67"/>
      <c r="C42" s="48">
        <v>1</v>
      </c>
      <c r="D42" s="18">
        <v>128</v>
      </c>
      <c r="E42" s="18">
        <v>2048</v>
      </c>
      <c r="F42" s="18">
        <v>16</v>
      </c>
      <c r="G42" s="49">
        <v>0</v>
      </c>
      <c r="H42" s="2">
        <v>6.0652999999999999E-2</v>
      </c>
      <c r="I42" s="3">
        <v>6.0338999999999997E-2</v>
      </c>
      <c r="J42" s="44">
        <f t="shared" si="0"/>
        <v>5.1769904209190273E-3</v>
      </c>
      <c r="L42" s="2">
        <v>5.7452999999999997E-2</v>
      </c>
      <c r="M42" s="1">
        <v>5.7466000000000003E-2</v>
      </c>
      <c r="N42" s="22">
        <f t="shared" si="1"/>
        <v>-2.2627190921285334E-4</v>
      </c>
    </row>
    <row r="43" spans="2:14" x14ac:dyDescent="0.3">
      <c r="B43" s="67"/>
      <c r="C43" s="48">
        <v>1</v>
      </c>
      <c r="D43" s="18">
        <v>256</v>
      </c>
      <c r="E43" s="18">
        <v>2048</v>
      </c>
      <c r="F43" s="18">
        <v>16</v>
      </c>
      <c r="G43" s="49">
        <v>0</v>
      </c>
      <c r="H43" s="2">
        <v>0.115053</v>
      </c>
      <c r="I43" s="3">
        <v>0.114355</v>
      </c>
      <c r="J43" s="44">
        <f t="shared" si="0"/>
        <v>6.0667692280949141E-3</v>
      </c>
      <c r="L43" s="2">
        <v>0.10602200000000001</v>
      </c>
      <c r="M43" s="1">
        <v>0.104435</v>
      </c>
      <c r="N43" s="22">
        <f t="shared" si="1"/>
        <v>1.4968591424421394E-2</v>
      </c>
    </row>
    <row r="44" spans="2:14" x14ac:dyDescent="0.3">
      <c r="B44" s="67"/>
      <c r="C44" s="48">
        <v>1</v>
      </c>
      <c r="D44" s="18">
        <v>512</v>
      </c>
      <c r="E44" s="18">
        <v>2048</v>
      </c>
      <c r="F44" s="18">
        <v>16</v>
      </c>
      <c r="G44" s="49">
        <v>0</v>
      </c>
      <c r="H44" s="2">
        <v>0.30591400000000002</v>
      </c>
      <c r="I44" s="3">
        <v>0.29759400000000003</v>
      </c>
      <c r="J44" s="44">
        <f t="shared" si="0"/>
        <v>2.719718613728039E-2</v>
      </c>
      <c r="L44" s="2">
        <v>0.26894699999999999</v>
      </c>
      <c r="M44" s="1">
        <v>0.26285399999999998</v>
      </c>
      <c r="N44" s="22">
        <f t="shared" si="1"/>
        <v>2.2655021249539928E-2</v>
      </c>
    </row>
    <row r="45" spans="2:14" x14ac:dyDescent="0.3">
      <c r="B45" s="67"/>
      <c r="C45" s="48">
        <v>1</v>
      </c>
      <c r="D45" s="18">
        <v>1024</v>
      </c>
      <c r="E45" s="18">
        <v>2048</v>
      </c>
      <c r="F45" s="18">
        <v>16</v>
      </c>
      <c r="G45" s="49">
        <v>0</v>
      </c>
      <c r="H45" s="2">
        <v>1.258605</v>
      </c>
      <c r="I45" s="3">
        <v>0.97904000000000002</v>
      </c>
      <c r="J45" s="44">
        <f t="shared" si="0"/>
        <v>0.22212290591567646</v>
      </c>
      <c r="L45" s="2">
        <v>1.1861060000000001</v>
      </c>
      <c r="M45" s="1">
        <v>0.86725099999999999</v>
      </c>
      <c r="N45" s="22">
        <f t="shared" si="1"/>
        <v>0.26882504599083057</v>
      </c>
    </row>
    <row r="46" spans="2:14" x14ac:dyDescent="0.3">
      <c r="B46" s="67"/>
      <c r="C46" s="48">
        <v>1</v>
      </c>
      <c r="D46" s="18">
        <v>2048</v>
      </c>
      <c r="E46" s="18">
        <v>2048</v>
      </c>
      <c r="F46" s="18">
        <v>16</v>
      </c>
      <c r="G46" s="49">
        <v>0</v>
      </c>
      <c r="H46" s="2">
        <v>4.7915520000000003</v>
      </c>
      <c r="I46" s="3">
        <v>4.1280700000000001</v>
      </c>
      <c r="J46" s="44">
        <f t="shared" si="0"/>
        <v>0.13846912232195333</v>
      </c>
      <c r="L46" s="2">
        <v>4.4285119999999996</v>
      </c>
      <c r="M46" s="1">
        <v>3.7468859999999999</v>
      </c>
      <c r="N46" s="22">
        <f t="shared" si="1"/>
        <v>0.15391761386217304</v>
      </c>
    </row>
    <row r="47" spans="2:14" x14ac:dyDescent="0.3">
      <c r="B47" s="67"/>
      <c r="C47" s="48">
        <v>1</v>
      </c>
      <c r="D47" s="18">
        <v>4096</v>
      </c>
      <c r="E47" s="18">
        <v>2048</v>
      </c>
      <c r="F47" s="18">
        <v>16</v>
      </c>
      <c r="G47" s="49">
        <v>0</v>
      </c>
      <c r="H47" s="2">
        <v>18.169682999999999</v>
      </c>
      <c r="I47" s="3">
        <v>15.259840000000001</v>
      </c>
      <c r="J47" s="44">
        <f t="shared" si="0"/>
        <v>0.16014825354960782</v>
      </c>
      <c r="L47" s="2">
        <v>16.682880000000001</v>
      </c>
      <c r="M47" s="1">
        <v>13.934208</v>
      </c>
      <c r="N47" s="22">
        <f t="shared" si="1"/>
        <v>0.16476004143169529</v>
      </c>
    </row>
    <row r="48" spans="2:14" x14ac:dyDescent="0.3">
      <c r="B48" s="67"/>
      <c r="C48" s="48">
        <v>4</v>
      </c>
      <c r="D48" s="18">
        <v>1</v>
      </c>
      <c r="E48" s="18">
        <v>2048</v>
      </c>
      <c r="F48" s="18">
        <v>16</v>
      </c>
      <c r="G48" s="49">
        <v>0</v>
      </c>
      <c r="H48" s="2">
        <v>6.0658999999999998E-2</v>
      </c>
      <c r="I48" s="3">
        <v>6.0102000000000003E-2</v>
      </c>
      <c r="J48" s="44">
        <f t="shared" si="0"/>
        <v>9.1824791045021347E-3</v>
      </c>
      <c r="L48" s="2">
        <v>5.7901000000000001E-2</v>
      </c>
      <c r="M48" s="1">
        <v>5.7273999999999999E-2</v>
      </c>
      <c r="N48" s="22">
        <f t="shared" si="1"/>
        <v>1.0828828517642226E-2</v>
      </c>
    </row>
    <row r="49" spans="2:14" x14ac:dyDescent="0.3">
      <c r="B49" s="67"/>
      <c r="C49" s="48">
        <v>4</v>
      </c>
      <c r="D49" s="18">
        <v>128</v>
      </c>
      <c r="E49" s="18">
        <v>2048</v>
      </c>
      <c r="F49" s="18">
        <v>16</v>
      </c>
      <c r="G49" s="49">
        <v>0</v>
      </c>
      <c r="H49" s="2">
        <v>0.14755799999999999</v>
      </c>
      <c r="I49" s="3">
        <v>0.14127999999999999</v>
      </c>
      <c r="J49" s="44">
        <f t="shared" si="0"/>
        <v>4.2545981918974275E-2</v>
      </c>
      <c r="L49" s="2">
        <v>0.14782100000000001</v>
      </c>
      <c r="M49" s="1">
        <v>0.146208</v>
      </c>
      <c r="N49" s="22">
        <f t="shared" si="1"/>
        <v>1.091184608411527E-2</v>
      </c>
    </row>
    <row r="50" spans="2:14" x14ac:dyDescent="0.3">
      <c r="B50" s="67"/>
      <c r="C50" s="48">
        <v>4</v>
      </c>
      <c r="D50" s="18">
        <v>256</v>
      </c>
      <c r="E50" s="18">
        <v>2048</v>
      </c>
      <c r="F50" s="18">
        <v>16</v>
      </c>
      <c r="G50" s="49">
        <v>0</v>
      </c>
      <c r="H50" s="2">
        <v>0.37239</v>
      </c>
      <c r="I50" s="3">
        <v>0.35816300000000001</v>
      </c>
      <c r="J50" s="44">
        <f t="shared" si="0"/>
        <v>3.8204570477187866E-2</v>
      </c>
      <c r="L50" s="2">
        <v>0.37142999999999998</v>
      </c>
      <c r="M50" s="1">
        <v>0.37215999999999999</v>
      </c>
      <c r="N50" s="22">
        <f t="shared" si="1"/>
        <v>-1.9653770562421142E-3</v>
      </c>
    </row>
    <row r="51" spans="2:14" x14ac:dyDescent="0.3">
      <c r="B51" s="67"/>
      <c r="C51" s="48">
        <v>4</v>
      </c>
      <c r="D51" s="18">
        <v>512</v>
      </c>
      <c r="E51" s="18">
        <v>2048</v>
      </c>
      <c r="F51" s="18">
        <v>16</v>
      </c>
      <c r="G51" s="49">
        <v>0</v>
      </c>
      <c r="H51" s="2">
        <v>1.2909759999999999</v>
      </c>
      <c r="I51" s="3">
        <v>1.11056</v>
      </c>
      <c r="J51" s="44">
        <f t="shared" si="0"/>
        <v>0.13975162977468203</v>
      </c>
      <c r="L51" s="2">
        <v>1.2521469999999999</v>
      </c>
      <c r="M51" s="1">
        <v>1.0705789999999999</v>
      </c>
      <c r="N51" s="22">
        <f t="shared" si="1"/>
        <v>0.14500533883002553</v>
      </c>
    </row>
    <row r="52" spans="2:14" x14ac:dyDescent="0.3">
      <c r="B52" s="67"/>
      <c r="C52" s="48">
        <v>4</v>
      </c>
      <c r="D52" s="18">
        <v>1024</v>
      </c>
      <c r="E52" s="18">
        <v>2048</v>
      </c>
      <c r="F52" s="18">
        <v>16</v>
      </c>
      <c r="G52" s="49">
        <v>0</v>
      </c>
      <c r="H52" s="2">
        <v>5.3156739999999996</v>
      </c>
      <c r="I52" s="3">
        <v>4.434221</v>
      </c>
      <c r="J52" s="44">
        <f t="shared" si="0"/>
        <v>0.16582149319164413</v>
      </c>
      <c r="L52" s="2">
        <v>4.9375619999999998</v>
      </c>
      <c r="M52" s="1">
        <v>4.0478139999999998</v>
      </c>
      <c r="N52" s="22">
        <f t="shared" si="1"/>
        <v>0.18019986381943154</v>
      </c>
    </row>
    <row r="53" spans="2:14" x14ac:dyDescent="0.3">
      <c r="B53" s="67"/>
      <c r="C53" s="48">
        <v>4</v>
      </c>
      <c r="D53" s="18">
        <v>2048</v>
      </c>
      <c r="E53" s="18">
        <v>2048</v>
      </c>
      <c r="F53" s="18">
        <v>16</v>
      </c>
      <c r="G53" s="49">
        <v>0</v>
      </c>
      <c r="H53" s="2">
        <v>20.085176000000001</v>
      </c>
      <c r="I53" s="3">
        <v>15.862029</v>
      </c>
      <c r="J53" s="44">
        <f t="shared" si="0"/>
        <v>0.21026188667701995</v>
      </c>
      <c r="L53" s="2">
        <v>19.291039999999999</v>
      </c>
      <c r="M53" s="1">
        <v>14.454105</v>
      </c>
      <c r="N53" s="22">
        <f t="shared" si="1"/>
        <v>0.25073479708714508</v>
      </c>
    </row>
    <row r="54" spans="2:14" x14ac:dyDescent="0.3">
      <c r="B54" s="67"/>
      <c r="C54" s="48">
        <v>4</v>
      </c>
      <c r="D54" s="18">
        <v>4096</v>
      </c>
      <c r="E54" s="18">
        <v>2048</v>
      </c>
      <c r="F54" s="18">
        <v>16</v>
      </c>
      <c r="G54" s="49">
        <v>0</v>
      </c>
      <c r="H54" s="2">
        <v>76.996680999999995</v>
      </c>
      <c r="I54" s="3">
        <v>60.776031000000003</v>
      </c>
      <c r="J54" s="44">
        <f t="shared" si="0"/>
        <v>0.21066687277078855</v>
      </c>
      <c r="L54" s="2">
        <v>71.716614000000007</v>
      </c>
      <c r="M54" s="1">
        <v>55.139809</v>
      </c>
      <c r="N54" s="22">
        <f t="shared" si="1"/>
        <v>0.231143163005437</v>
      </c>
    </row>
    <row r="55" spans="2:14" x14ac:dyDescent="0.3">
      <c r="B55" s="67"/>
      <c r="C55" s="48">
        <v>8</v>
      </c>
      <c r="D55" s="18">
        <v>1</v>
      </c>
      <c r="E55" s="18">
        <v>2048</v>
      </c>
      <c r="F55" s="18">
        <v>16</v>
      </c>
      <c r="G55" s="49">
        <v>0</v>
      </c>
      <c r="H55" s="2">
        <v>9.0298000000000003E-2</v>
      </c>
      <c r="I55" s="3">
        <v>8.9682999999999999E-2</v>
      </c>
      <c r="J55" s="44">
        <f t="shared" si="0"/>
        <v>6.810782077122466E-3</v>
      </c>
      <c r="L55" s="2">
        <v>8.9133000000000004E-2</v>
      </c>
      <c r="M55" s="1">
        <v>8.7724999999999997E-2</v>
      </c>
      <c r="N55" s="22">
        <f t="shared" si="1"/>
        <v>1.5796618536344637E-2</v>
      </c>
    </row>
    <row r="56" spans="2:14" x14ac:dyDescent="0.3">
      <c r="B56" s="67"/>
      <c r="C56" s="48">
        <v>8</v>
      </c>
      <c r="D56" s="18">
        <v>128</v>
      </c>
      <c r="E56" s="18">
        <v>2048</v>
      </c>
      <c r="F56" s="18">
        <v>16</v>
      </c>
      <c r="G56" s="49">
        <v>0</v>
      </c>
      <c r="H56" s="2">
        <v>0.30053099999999999</v>
      </c>
      <c r="I56" s="3">
        <v>0.27439400000000003</v>
      </c>
      <c r="J56" s="44">
        <f t="shared" si="0"/>
        <v>8.6969397499758655E-2</v>
      </c>
      <c r="L56" s="2">
        <v>0.29836200000000002</v>
      </c>
      <c r="M56" s="1">
        <v>0.27779199999999998</v>
      </c>
      <c r="N56" s="22">
        <f t="shared" si="1"/>
        <v>6.8943095970666612E-2</v>
      </c>
    </row>
    <row r="57" spans="2:14" x14ac:dyDescent="0.3">
      <c r="B57" s="67"/>
      <c r="C57" s="48">
        <v>8</v>
      </c>
      <c r="D57" s="18">
        <v>256</v>
      </c>
      <c r="E57" s="18">
        <v>2048</v>
      </c>
      <c r="F57" s="18">
        <v>16</v>
      </c>
      <c r="G57" s="49">
        <v>0</v>
      </c>
      <c r="H57" s="2">
        <v>0.81519399999999997</v>
      </c>
      <c r="I57" s="3">
        <v>0.785107</v>
      </c>
      <c r="J57" s="44">
        <f t="shared" si="0"/>
        <v>3.690777900720562E-2</v>
      </c>
      <c r="L57" s="2">
        <v>0.75066900000000003</v>
      </c>
      <c r="M57" s="1">
        <v>0.72590699999999997</v>
      </c>
      <c r="N57" s="22">
        <f t="shared" si="1"/>
        <v>3.2986575974231068E-2</v>
      </c>
    </row>
    <row r="58" spans="2:14" x14ac:dyDescent="0.3">
      <c r="B58" s="67"/>
      <c r="C58" s="48">
        <v>8</v>
      </c>
      <c r="D58" s="18">
        <v>512</v>
      </c>
      <c r="E58" s="18">
        <v>2048</v>
      </c>
      <c r="F58" s="18">
        <v>16</v>
      </c>
      <c r="G58" s="49">
        <v>0</v>
      </c>
      <c r="H58" s="2">
        <v>2.751385</v>
      </c>
      <c r="I58" s="3">
        <v>2.45648</v>
      </c>
      <c r="J58" s="44">
        <f t="shared" si="0"/>
        <v>0.10718419995747595</v>
      </c>
      <c r="L58" s="2">
        <v>2.5711170000000001</v>
      </c>
      <c r="M58" s="1">
        <v>2.2622719999999998</v>
      </c>
      <c r="N58" s="22">
        <f t="shared" si="1"/>
        <v>0.12012094354321497</v>
      </c>
    </row>
    <row r="59" spans="2:14" x14ac:dyDescent="0.3">
      <c r="B59" s="67"/>
      <c r="C59" s="48">
        <v>8</v>
      </c>
      <c r="D59" s="18">
        <v>1024</v>
      </c>
      <c r="E59" s="18">
        <v>2048</v>
      </c>
      <c r="F59" s="18">
        <v>16</v>
      </c>
      <c r="G59" s="49">
        <v>0</v>
      </c>
      <c r="H59" s="2">
        <v>10.859902999999999</v>
      </c>
      <c r="I59" s="3">
        <v>9.1058489999999992</v>
      </c>
      <c r="J59" s="44">
        <f t="shared" si="0"/>
        <v>0.16151654393229847</v>
      </c>
      <c r="L59" s="2">
        <v>10.026726999999999</v>
      </c>
      <c r="M59" s="1">
        <v>8.1985919999999997</v>
      </c>
      <c r="N59" s="22">
        <f t="shared" si="1"/>
        <v>0.18232619677388243</v>
      </c>
    </row>
    <row r="60" spans="2:14" x14ac:dyDescent="0.3">
      <c r="B60" s="67"/>
      <c r="C60" s="48">
        <v>8</v>
      </c>
      <c r="D60" s="18">
        <v>2048</v>
      </c>
      <c r="E60" s="18">
        <v>2048</v>
      </c>
      <c r="F60" s="18">
        <v>16</v>
      </c>
      <c r="G60" s="49">
        <v>0</v>
      </c>
      <c r="H60" s="2">
        <v>42.533802000000001</v>
      </c>
      <c r="I60" s="3">
        <v>33.168593999999999</v>
      </c>
      <c r="J60" s="44">
        <f t="shared" si="0"/>
        <v>0.22018271491459904</v>
      </c>
      <c r="L60" s="2">
        <v>37.736773999999997</v>
      </c>
      <c r="M60" s="1">
        <v>29.908370999999999</v>
      </c>
      <c r="N60" s="22">
        <f t="shared" si="1"/>
        <v>0.207447594752005</v>
      </c>
    </row>
    <row r="61" spans="2:14" x14ac:dyDescent="0.3">
      <c r="B61" s="67"/>
      <c r="C61" s="48">
        <v>16</v>
      </c>
      <c r="D61" s="18">
        <v>1</v>
      </c>
      <c r="E61" s="18">
        <v>2048</v>
      </c>
      <c r="F61" s="18">
        <v>16</v>
      </c>
      <c r="G61" s="49">
        <v>0</v>
      </c>
      <c r="H61" s="2">
        <v>0.15182699999999999</v>
      </c>
      <c r="I61" s="3">
        <v>0.14921000000000001</v>
      </c>
      <c r="J61" s="44">
        <f t="shared" si="0"/>
        <v>1.7236723375947498E-2</v>
      </c>
      <c r="L61" s="2">
        <v>0.14755199999999999</v>
      </c>
      <c r="M61" s="1">
        <v>0.14631</v>
      </c>
      <c r="N61" s="22">
        <f t="shared" si="1"/>
        <v>8.4173715029277358E-3</v>
      </c>
    </row>
    <row r="62" spans="2:14" x14ac:dyDescent="0.3">
      <c r="B62" s="67"/>
      <c r="C62" s="48">
        <v>16</v>
      </c>
      <c r="D62" s="18">
        <v>128</v>
      </c>
      <c r="E62" s="18">
        <v>2048</v>
      </c>
      <c r="F62" s="18">
        <v>16</v>
      </c>
      <c r="G62" s="49">
        <v>0</v>
      </c>
      <c r="H62" s="2">
        <v>0.58090900000000001</v>
      </c>
      <c r="I62" s="3">
        <v>0.52404499999999998</v>
      </c>
      <c r="J62" s="44">
        <f t="shared" si="0"/>
        <v>9.7887965240683175E-2</v>
      </c>
      <c r="L62" s="2">
        <v>0.56878700000000004</v>
      </c>
      <c r="M62" s="1">
        <v>0.51335699999999995</v>
      </c>
      <c r="N62" s="22">
        <f t="shared" si="1"/>
        <v>9.7453000859724442E-2</v>
      </c>
    </row>
    <row r="63" spans="2:14" x14ac:dyDescent="0.3">
      <c r="B63" s="67"/>
      <c r="C63" s="48">
        <v>16</v>
      </c>
      <c r="D63" s="18">
        <v>256</v>
      </c>
      <c r="E63" s="18">
        <v>2048</v>
      </c>
      <c r="F63" s="18">
        <v>16</v>
      </c>
      <c r="G63" s="49">
        <v>0</v>
      </c>
      <c r="H63" s="2">
        <v>1.5937410000000001</v>
      </c>
      <c r="I63" s="3">
        <v>1.505325</v>
      </c>
      <c r="J63" s="44">
        <f t="shared" si="0"/>
        <v>5.5477019164343548E-2</v>
      </c>
      <c r="L63" s="2">
        <v>1.552179</v>
      </c>
      <c r="M63" s="1">
        <v>1.390234</v>
      </c>
      <c r="N63" s="22">
        <f t="shared" si="1"/>
        <v>0.10433397179062467</v>
      </c>
    </row>
    <row r="64" spans="2:14" x14ac:dyDescent="0.3">
      <c r="B64" s="67"/>
      <c r="C64" s="2">
        <v>16</v>
      </c>
      <c r="D64" s="1">
        <v>512</v>
      </c>
      <c r="E64" s="18">
        <v>2048</v>
      </c>
      <c r="F64" s="18">
        <v>16</v>
      </c>
      <c r="G64" s="15">
        <v>0</v>
      </c>
      <c r="H64" s="2">
        <v>5.3955900000000003</v>
      </c>
      <c r="I64" s="3">
        <v>4.9250369999999997</v>
      </c>
      <c r="J64" s="44">
        <f t="shared" si="0"/>
        <v>8.7210666488743704E-2</v>
      </c>
      <c r="L64" s="2">
        <v>5.0166399999999998</v>
      </c>
      <c r="M64" s="1">
        <v>4.5412290000000004</v>
      </c>
      <c r="N64" s="22">
        <f t="shared" si="1"/>
        <v>9.4766816036231299E-2</v>
      </c>
    </row>
    <row r="65" spans="2:14" x14ac:dyDescent="0.3">
      <c r="B65" s="67"/>
      <c r="C65" s="2">
        <v>20</v>
      </c>
      <c r="D65" s="1">
        <v>1</v>
      </c>
      <c r="E65" s="18">
        <v>2048</v>
      </c>
      <c r="F65" s="1">
        <v>16</v>
      </c>
      <c r="G65" s="15">
        <v>0</v>
      </c>
      <c r="H65" s="2">
        <v>0.18138199999999999</v>
      </c>
      <c r="I65" s="3">
        <v>0.178534</v>
      </c>
      <c r="J65" s="44">
        <f t="shared" si="0"/>
        <v>1.5701668302257058E-2</v>
      </c>
      <c r="L65" s="2">
        <v>0.17941799999999999</v>
      </c>
      <c r="M65" s="1">
        <v>0.17752299999999999</v>
      </c>
      <c r="N65" s="22">
        <f t="shared" si="1"/>
        <v>1.0561928011682261E-2</v>
      </c>
    </row>
    <row r="66" spans="2:14" ht="14.5" thickBot="1" x14ac:dyDescent="0.35">
      <c r="B66" s="68"/>
      <c r="C66" s="7">
        <v>20</v>
      </c>
      <c r="D66" s="8">
        <v>128</v>
      </c>
      <c r="E66" s="8">
        <v>2048</v>
      </c>
      <c r="F66" s="8">
        <v>16</v>
      </c>
      <c r="G66" s="16">
        <v>0</v>
      </c>
      <c r="H66" s="7">
        <v>0.70992599999999995</v>
      </c>
      <c r="I66" s="9">
        <v>0.63078999999999996</v>
      </c>
      <c r="J66" s="44">
        <f t="shared" si="0"/>
        <v>0.1114707730101447</v>
      </c>
      <c r="L66" s="7">
        <v>0.72687999999999997</v>
      </c>
      <c r="M66" s="8">
        <v>0.63765799999999995</v>
      </c>
      <c r="N66" s="23">
        <f t="shared" si="1"/>
        <v>0.12274653312788909</v>
      </c>
    </row>
  </sheetData>
  <mergeCells count="2">
    <mergeCell ref="B41:B66"/>
    <mergeCell ref="B6:B4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66"/>
  <sheetViews>
    <sheetView zoomScaleNormal="100" workbookViewId="0">
      <selection activeCell="B3" sqref="B3"/>
    </sheetView>
  </sheetViews>
  <sheetFormatPr defaultRowHeight="14" x14ac:dyDescent="0.3"/>
  <cols>
    <col min="8" max="9" width="10.1640625" bestFit="1" customWidth="1"/>
    <col min="11" max="12" width="10.1640625" bestFit="1" customWidth="1"/>
    <col min="15" max="16" width="10.1640625" bestFit="1" customWidth="1"/>
    <col min="17" max="17" width="6.4140625" bestFit="1" customWidth="1"/>
    <col min="18" max="19" width="10.1640625" bestFit="1" customWidth="1"/>
  </cols>
  <sheetData>
    <row r="3" spans="2:20" x14ac:dyDescent="0.3">
      <c r="B3" t="s">
        <v>12</v>
      </c>
    </row>
    <row r="4" spans="2:20" ht="14.5" thickBot="1" x14ac:dyDescent="0.35">
      <c r="H4" t="s">
        <v>748</v>
      </c>
      <c r="K4" t="s">
        <v>747</v>
      </c>
      <c r="O4" t="s">
        <v>746</v>
      </c>
      <c r="R4" t="s">
        <v>747</v>
      </c>
    </row>
    <row r="5" spans="2:20" ht="14.5" thickBot="1" x14ac:dyDescent="0.35">
      <c r="B5" s="29"/>
      <c r="C5" s="30" t="s">
        <v>1</v>
      </c>
      <c r="D5" s="30" t="s">
        <v>2</v>
      </c>
      <c r="E5" s="30" t="s">
        <v>0</v>
      </c>
      <c r="F5" s="30" t="s">
        <v>3</v>
      </c>
      <c r="G5" s="30" t="s">
        <v>8</v>
      </c>
      <c r="H5" s="24" t="s">
        <v>744</v>
      </c>
      <c r="I5" s="24" t="s">
        <v>745</v>
      </c>
      <c r="J5" s="25" t="s">
        <v>11</v>
      </c>
      <c r="K5" s="24" t="s">
        <v>744</v>
      </c>
      <c r="L5" s="24" t="s">
        <v>745</v>
      </c>
      <c r="M5" s="25" t="s">
        <v>11</v>
      </c>
      <c r="O5" s="24" t="s">
        <v>744</v>
      </c>
      <c r="P5" s="24" t="s">
        <v>745</v>
      </c>
      <c r="Q5" s="25" t="s">
        <v>11</v>
      </c>
      <c r="R5" s="24" t="s">
        <v>744</v>
      </c>
      <c r="S5" s="24" t="s">
        <v>745</v>
      </c>
      <c r="T5" s="25" t="s">
        <v>11</v>
      </c>
    </row>
    <row r="6" spans="2:20" x14ac:dyDescent="0.3">
      <c r="B6" s="66" t="s">
        <v>5</v>
      </c>
      <c r="C6" s="4">
        <v>1</v>
      </c>
      <c r="D6" s="5">
        <v>1</v>
      </c>
      <c r="E6" s="5">
        <v>2048</v>
      </c>
      <c r="F6" s="5">
        <v>16</v>
      </c>
      <c r="G6" s="14">
        <v>1</v>
      </c>
      <c r="H6" s="4">
        <v>3.8003000000000002E-2</v>
      </c>
      <c r="I6" s="5">
        <v>3.8866999999999999E-2</v>
      </c>
      <c r="J6" s="52">
        <f>(H6-I6)/H6</f>
        <v>-2.2735047233113089E-2</v>
      </c>
      <c r="K6" s="4">
        <v>3.6717E-2</v>
      </c>
      <c r="L6" s="5">
        <v>3.7286E-2</v>
      </c>
      <c r="M6" s="28">
        <f>(K6-L6)/K6</f>
        <v>-1.5496908788844407E-2</v>
      </c>
      <c r="O6" s="4">
        <v>4.0697999999999998E-2</v>
      </c>
      <c r="P6" s="5">
        <v>4.0147000000000002E-2</v>
      </c>
      <c r="Q6" s="28">
        <f>(O6-P6)/O6</f>
        <v>1.3538748832866382E-2</v>
      </c>
      <c r="R6" s="10">
        <v>3.7786E-2</v>
      </c>
      <c r="S6" s="5">
        <v>3.7331000000000003E-2</v>
      </c>
      <c r="T6" s="28">
        <f>(R6-S6)/R6</f>
        <v>1.2041496850685361E-2</v>
      </c>
    </row>
    <row r="7" spans="2:20" x14ac:dyDescent="0.3">
      <c r="B7" s="67"/>
      <c r="C7" s="2">
        <v>1</v>
      </c>
      <c r="D7" s="1">
        <v>1</v>
      </c>
      <c r="E7" s="1">
        <v>2048</v>
      </c>
      <c r="F7" s="1">
        <v>16</v>
      </c>
      <c r="G7" s="15">
        <v>127</v>
      </c>
      <c r="H7" s="2">
        <v>4.0493000000000001E-2</v>
      </c>
      <c r="I7" s="1">
        <v>4.1746999999999999E-2</v>
      </c>
      <c r="J7" s="53">
        <f t="shared" ref="J7:J66" si="0">(H7-I7)/H7</f>
        <v>-3.0968315511322897E-2</v>
      </c>
      <c r="K7" s="2">
        <v>3.9258000000000001E-2</v>
      </c>
      <c r="L7" s="1">
        <v>3.968E-2</v>
      </c>
      <c r="M7" s="22">
        <f t="shared" ref="M7:M66" si="1">(K7-L7)/K7</f>
        <v>-1.0749401395893799E-2</v>
      </c>
      <c r="O7" s="2">
        <v>4.4294E-2</v>
      </c>
      <c r="P7" s="1">
        <v>4.4146999999999999E-2</v>
      </c>
      <c r="Q7" s="22">
        <f>(O7-P7)/O7</f>
        <v>3.3187339142999343E-3</v>
      </c>
      <c r="R7" s="11">
        <v>4.1106999999999998E-2</v>
      </c>
      <c r="S7" s="1">
        <v>4.0480000000000002E-2</v>
      </c>
      <c r="T7" s="22">
        <f>(R7-S7)/R7</f>
        <v>1.5252876639015147E-2</v>
      </c>
    </row>
    <row r="8" spans="2:20" x14ac:dyDescent="0.3">
      <c r="B8" s="67"/>
      <c r="C8" s="2">
        <v>1</v>
      </c>
      <c r="D8" s="1">
        <v>1</v>
      </c>
      <c r="E8" s="1">
        <v>2048</v>
      </c>
      <c r="F8" s="1">
        <v>16</v>
      </c>
      <c r="G8" s="15">
        <v>255</v>
      </c>
      <c r="H8" s="2">
        <v>4.7967999999999997E-2</v>
      </c>
      <c r="I8" s="1">
        <v>4.9612999999999997E-2</v>
      </c>
      <c r="J8" s="53">
        <f t="shared" si="0"/>
        <v>-3.4293695797198147E-2</v>
      </c>
      <c r="K8" s="2">
        <v>4.4058E-2</v>
      </c>
      <c r="L8" s="1">
        <v>4.4518000000000002E-2</v>
      </c>
      <c r="M8" s="22">
        <f t="shared" si="1"/>
        <v>-1.0440782604748334E-2</v>
      </c>
      <c r="O8" s="2">
        <v>5.4419000000000002E-2</v>
      </c>
      <c r="P8" s="1">
        <v>5.4182000000000001E-2</v>
      </c>
      <c r="Q8" s="22">
        <f>(O8-P8)/O8</f>
        <v>4.3550965655377921E-3</v>
      </c>
      <c r="R8" s="11">
        <v>4.7052999999999998E-2</v>
      </c>
      <c r="S8" s="1">
        <v>4.6426000000000002E-2</v>
      </c>
      <c r="T8" s="22">
        <f>(R8-S8)/R8</f>
        <v>1.3325399018128401E-2</v>
      </c>
    </row>
    <row r="9" spans="2:20" x14ac:dyDescent="0.3">
      <c r="B9" s="67"/>
      <c r="C9" s="2">
        <v>1</v>
      </c>
      <c r="D9" s="1">
        <v>1</v>
      </c>
      <c r="E9" s="1">
        <v>2048</v>
      </c>
      <c r="F9" s="1">
        <v>16</v>
      </c>
      <c r="G9" s="15">
        <v>511</v>
      </c>
      <c r="H9" s="2">
        <v>6.1874999999999999E-2</v>
      </c>
      <c r="I9" s="1">
        <v>6.5106999999999998E-2</v>
      </c>
      <c r="J9" s="53">
        <f t="shared" si="0"/>
        <v>-5.2234343434343418E-2</v>
      </c>
      <c r="K9" s="2">
        <v>5.3926000000000002E-2</v>
      </c>
      <c r="L9" s="1">
        <v>5.4746000000000003E-2</v>
      </c>
      <c r="M9" s="22">
        <f t="shared" si="1"/>
        <v>-1.5206023068649654E-2</v>
      </c>
      <c r="O9" s="2">
        <v>7.2480000000000003E-2</v>
      </c>
      <c r="P9" s="1">
        <v>7.1034E-2</v>
      </c>
      <c r="Q9" s="22">
        <f>(O9-P9)/O9</f>
        <v>1.9950331125827853E-2</v>
      </c>
      <c r="R9" s="11">
        <v>5.8252999999999999E-2</v>
      </c>
      <c r="S9" s="1">
        <v>5.6403000000000002E-2</v>
      </c>
      <c r="T9" s="22">
        <f>(R9-S9)/R9</f>
        <v>3.1758021046126336E-2</v>
      </c>
    </row>
    <row r="10" spans="2:20" x14ac:dyDescent="0.3">
      <c r="B10" s="67"/>
      <c r="C10" s="2">
        <v>1</v>
      </c>
      <c r="D10" s="1">
        <v>1</v>
      </c>
      <c r="E10" s="1">
        <v>2048</v>
      </c>
      <c r="F10" s="1">
        <v>16</v>
      </c>
      <c r="G10" s="15">
        <v>1023</v>
      </c>
      <c r="H10" s="2">
        <v>8.7744000000000003E-2</v>
      </c>
      <c r="I10" s="1">
        <v>8.7859000000000007E-2</v>
      </c>
      <c r="J10" s="53">
        <f t="shared" si="0"/>
        <v>-1.3106309263311905E-3</v>
      </c>
      <c r="K10" s="2">
        <v>7.2262000000000007E-2</v>
      </c>
      <c r="L10" s="1">
        <v>6.7526000000000003E-2</v>
      </c>
      <c r="M10" s="22">
        <f t="shared" si="1"/>
        <v>6.553928759237225E-2</v>
      </c>
      <c r="O10" s="2">
        <v>0.103168</v>
      </c>
      <c r="P10" s="1">
        <v>0.104141</v>
      </c>
      <c r="Q10" s="22">
        <f t="shared" ref="Q10:Q66" si="2">(O10-P10)/O10</f>
        <v>-9.4312189826302895E-3</v>
      </c>
      <c r="R10" s="11">
        <v>7.8994999999999996E-2</v>
      </c>
      <c r="S10" s="1">
        <v>7.5193999999999997E-2</v>
      </c>
      <c r="T10" s="22">
        <f t="shared" ref="T10:T66" si="3">(R10-S10)/R10</f>
        <v>4.8116969428444824E-2</v>
      </c>
    </row>
    <row r="11" spans="2:20" x14ac:dyDescent="0.3">
      <c r="B11" s="67"/>
      <c r="C11" s="2">
        <v>1</v>
      </c>
      <c r="D11" s="1">
        <v>1</v>
      </c>
      <c r="E11" s="1">
        <v>2048</v>
      </c>
      <c r="F11" s="1">
        <v>16</v>
      </c>
      <c r="G11" s="15">
        <v>2047</v>
      </c>
      <c r="H11" s="2">
        <v>0.13420199999999999</v>
      </c>
      <c r="I11" s="1">
        <v>0.13175000000000001</v>
      </c>
      <c r="J11" s="53">
        <f t="shared" si="0"/>
        <v>1.8270964665206051E-2</v>
      </c>
      <c r="K11" s="2">
        <v>0.108774</v>
      </c>
      <c r="L11" s="1">
        <v>9.8879999999999996E-2</v>
      </c>
      <c r="M11" s="22">
        <f t="shared" si="1"/>
        <v>9.0959236582271508E-2</v>
      </c>
      <c r="O11" s="2">
        <v>0.16391</v>
      </c>
      <c r="P11" s="1">
        <v>0.16303400000000001</v>
      </c>
      <c r="Q11" s="22">
        <f t="shared" si="2"/>
        <v>5.3443963150508686E-3</v>
      </c>
      <c r="R11" s="11">
        <v>0.120198</v>
      </c>
      <c r="S11" s="1">
        <v>0.112762</v>
      </c>
      <c r="T11" s="22">
        <f t="shared" si="3"/>
        <v>6.1864590093013178E-2</v>
      </c>
    </row>
    <row r="12" spans="2:20" x14ac:dyDescent="0.3">
      <c r="B12" s="67"/>
      <c r="C12" s="2">
        <v>1</v>
      </c>
      <c r="D12" s="1">
        <v>1</v>
      </c>
      <c r="E12" s="1">
        <v>2048</v>
      </c>
      <c r="F12" s="1">
        <v>16</v>
      </c>
      <c r="G12" s="15">
        <v>4095</v>
      </c>
      <c r="H12" s="2">
        <v>0.22503000000000001</v>
      </c>
      <c r="I12" s="1">
        <v>0.21626200000000001</v>
      </c>
      <c r="J12" s="53">
        <f t="shared" si="0"/>
        <v>3.8963693729724913E-2</v>
      </c>
      <c r="K12" s="2">
        <v>0.18165100000000001</v>
      </c>
      <c r="L12" s="1">
        <v>0.16089600000000001</v>
      </c>
      <c r="M12" s="22">
        <f t="shared" si="1"/>
        <v>0.11425755982626022</v>
      </c>
      <c r="O12" s="2">
        <v>0.28748200000000002</v>
      </c>
      <c r="P12" s="1">
        <v>0.2792</v>
      </c>
      <c r="Q12" s="22">
        <f t="shared" si="2"/>
        <v>2.8808760200638689E-2</v>
      </c>
      <c r="R12" s="11">
        <v>0.20228499999999999</v>
      </c>
      <c r="S12" s="1">
        <v>0.188384</v>
      </c>
      <c r="T12" s="22">
        <f t="shared" si="3"/>
        <v>6.8719875423288904E-2</v>
      </c>
    </row>
    <row r="13" spans="2:20" x14ac:dyDescent="0.3">
      <c r="B13" s="67"/>
      <c r="C13" s="2">
        <v>4</v>
      </c>
      <c r="D13" s="1">
        <v>1</v>
      </c>
      <c r="E13" s="1">
        <v>2048</v>
      </c>
      <c r="F13" s="1">
        <v>16</v>
      </c>
      <c r="G13" s="15">
        <v>1</v>
      </c>
      <c r="H13" s="2">
        <v>5.8611000000000003E-2</v>
      </c>
      <c r="I13" s="1">
        <v>5.9616000000000002E-2</v>
      </c>
      <c r="J13" s="53">
        <f t="shared" si="0"/>
        <v>-1.7146951937349626E-2</v>
      </c>
      <c r="K13" s="2">
        <v>5.8477000000000001E-2</v>
      </c>
      <c r="L13" s="1">
        <v>5.8258999999999998E-2</v>
      </c>
      <c r="M13" s="22">
        <f t="shared" si="1"/>
        <v>3.7279614207295672E-3</v>
      </c>
      <c r="O13" s="2">
        <v>6.7194000000000004E-2</v>
      </c>
      <c r="P13" s="1">
        <v>6.6650000000000001E-2</v>
      </c>
      <c r="Q13" s="22">
        <f t="shared" si="2"/>
        <v>8.0959609488942888E-3</v>
      </c>
      <c r="R13" s="11">
        <v>6.4076999999999995E-2</v>
      </c>
      <c r="S13" s="1">
        <v>6.2706999999999999E-2</v>
      </c>
      <c r="T13" s="22">
        <f t="shared" si="3"/>
        <v>2.1380526553989674E-2</v>
      </c>
    </row>
    <row r="14" spans="2:20" x14ac:dyDescent="0.3">
      <c r="B14" s="67"/>
      <c r="C14" s="2">
        <v>4</v>
      </c>
      <c r="D14" s="1">
        <v>1</v>
      </c>
      <c r="E14" s="1">
        <v>2048</v>
      </c>
      <c r="F14" s="1">
        <v>16</v>
      </c>
      <c r="G14" s="15">
        <v>127</v>
      </c>
      <c r="H14" s="2">
        <v>6.6541000000000003E-2</v>
      </c>
      <c r="I14" s="1">
        <v>6.7877999999999994E-2</v>
      </c>
      <c r="J14" s="53">
        <f t="shared" si="0"/>
        <v>-2.0092875069505883E-2</v>
      </c>
      <c r="K14" s="2">
        <v>6.5951999999999997E-2</v>
      </c>
      <c r="L14" s="1">
        <v>6.5850000000000006E-2</v>
      </c>
      <c r="M14" s="22">
        <f t="shared" si="1"/>
        <v>1.5465793304219886E-3</v>
      </c>
      <c r="O14" s="2">
        <v>7.8092999999999996E-2</v>
      </c>
      <c r="P14" s="1">
        <v>7.7459E-2</v>
      </c>
      <c r="Q14" s="22">
        <f t="shared" si="2"/>
        <v>8.1185253479824793E-3</v>
      </c>
      <c r="R14" s="11">
        <v>7.2485999999999995E-2</v>
      </c>
      <c r="S14" s="1">
        <v>7.1053000000000005E-2</v>
      </c>
      <c r="T14" s="22">
        <f t="shared" si="3"/>
        <v>1.9769334768093009E-2</v>
      </c>
    </row>
    <row r="15" spans="2:20" x14ac:dyDescent="0.3">
      <c r="B15" s="67"/>
      <c r="C15" s="2">
        <v>4</v>
      </c>
      <c r="D15" s="1">
        <v>1</v>
      </c>
      <c r="E15" s="1">
        <v>2048</v>
      </c>
      <c r="F15" s="1">
        <v>16</v>
      </c>
      <c r="G15" s="15">
        <v>255</v>
      </c>
      <c r="H15" s="2">
        <v>9.0854000000000004E-2</v>
      </c>
      <c r="I15" s="1">
        <v>9.2781000000000002E-2</v>
      </c>
      <c r="J15" s="53">
        <f t="shared" si="0"/>
        <v>-2.1209853171021618E-2</v>
      </c>
      <c r="K15" s="2">
        <v>8.6226999999999998E-2</v>
      </c>
      <c r="L15" s="1">
        <v>8.5919999999999996E-2</v>
      </c>
      <c r="M15" s="22">
        <f t="shared" si="1"/>
        <v>3.5603697217809005E-3</v>
      </c>
      <c r="O15" s="2">
        <v>0.113702</v>
      </c>
      <c r="P15" s="1">
        <v>0.11292199999999999</v>
      </c>
      <c r="Q15" s="22">
        <f t="shared" si="2"/>
        <v>6.8600376422578574E-3</v>
      </c>
      <c r="R15" s="11">
        <v>9.4437999999999994E-2</v>
      </c>
      <c r="S15" s="1">
        <v>9.3472E-2</v>
      </c>
      <c r="T15" s="22">
        <f t="shared" si="3"/>
        <v>1.0228933268387669E-2</v>
      </c>
    </row>
    <row r="16" spans="2:20" x14ac:dyDescent="0.3">
      <c r="B16" s="67"/>
      <c r="C16" s="2">
        <v>4</v>
      </c>
      <c r="D16" s="1">
        <v>1</v>
      </c>
      <c r="E16" s="1">
        <v>2048</v>
      </c>
      <c r="F16" s="1">
        <v>16</v>
      </c>
      <c r="G16" s="15">
        <v>511</v>
      </c>
      <c r="H16" s="2">
        <v>0.141376</v>
      </c>
      <c r="I16" s="1">
        <v>0.14337900000000001</v>
      </c>
      <c r="J16" s="53">
        <f t="shared" si="0"/>
        <v>-1.4167892711634258E-2</v>
      </c>
      <c r="K16" s="2">
        <v>0.130138</v>
      </c>
      <c r="L16" s="1">
        <v>0.13019500000000001</v>
      </c>
      <c r="M16" s="22">
        <f t="shared" si="1"/>
        <v>-4.379965882371136E-4</v>
      </c>
      <c r="O16" s="2">
        <v>0.17863699999999999</v>
      </c>
      <c r="P16" s="1">
        <v>0.17441300000000001</v>
      </c>
      <c r="Q16" s="22">
        <f t="shared" si="2"/>
        <v>2.364571729261003E-2</v>
      </c>
      <c r="R16" s="11">
        <v>0.14150399999999999</v>
      </c>
      <c r="S16" s="1">
        <v>0.13411799999999999</v>
      </c>
      <c r="T16" s="22">
        <f t="shared" si="3"/>
        <v>5.219640434192676E-2</v>
      </c>
    </row>
    <row r="17" spans="2:20" x14ac:dyDescent="0.3">
      <c r="B17" s="67"/>
      <c r="C17" s="2">
        <v>4</v>
      </c>
      <c r="D17" s="1">
        <v>1</v>
      </c>
      <c r="E17" s="1">
        <v>2048</v>
      </c>
      <c r="F17" s="1">
        <v>16</v>
      </c>
      <c r="G17" s="15">
        <v>1022</v>
      </c>
      <c r="H17" s="2">
        <v>0.238566</v>
      </c>
      <c r="I17" s="1">
        <v>0.23131499999999999</v>
      </c>
      <c r="J17" s="53">
        <f t="shared" si="0"/>
        <v>3.0394104776036851E-2</v>
      </c>
      <c r="K17" s="2">
        <v>0.21740799999999999</v>
      </c>
      <c r="L17" s="1">
        <v>0.19344600000000001</v>
      </c>
      <c r="M17" s="22">
        <f t="shared" si="1"/>
        <v>0.11021673535472469</v>
      </c>
      <c r="O17" s="2">
        <v>0.30211199999999999</v>
      </c>
      <c r="P17" s="1">
        <v>0.29404799999999998</v>
      </c>
      <c r="Q17" s="22">
        <f t="shared" si="2"/>
        <v>2.6692087702573933E-2</v>
      </c>
      <c r="R17" s="11">
        <v>0.231462</v>
      </c>
      <c r="S17" s="1">
        <v>0.21702399999999999</v>
      </c>
      <c r="T17" s="22">
        <f t="shared" si="3"/>
        <v>6.237740968279893E-2</v>
      </c>
    </row>
    <row r="18" spans="2:20" x14ac:dyDescent="0.3">
      <c r="B18" s="67"/>
      <c r="C18" s="2">
        <v>4</v>
      </c>
      <c r="D18" s="1">
        <v>1</v>
      </c>
      <c r="E18" s="1">
        <v>2048</v>
      </c>
      <c r="F18" s="1">
        <v>16</v>
      </c>
      <c r="G18" s="15">
        <v>2047</v>
      </c>
      <c r="H18" s="2">
        <v>0.41808600000000001</v>
      </c>
      <c r="I18" s="1">
        <v>0.39561600000000002</v>
      </c>
      <c r="J18" s="53">
        <f t="shared" si="0"/>
        <v>5.3744923293293702E-2</v>
      </c>
      <c r="K18" s="2">
        <v>0.37696600000000002</v>
      </c>
      <c r="L18" s="1">
        <v>0.32603500000000002</v>
      </c>
      <c r="M18" s="22">
        <f t="shared" si="1"/>
        <v>0.13510767549328057</v>
      </c>
      <c r="O18" s="2">
        <v>0.54539499999999996</v>
      </c>
      <c r="P18" s="1">
        <v>0.52809600000000001</v>
      </c>
      <c r="Q18" s="22">
        <f t="shared" si="2"/>
        <v>3.1718295913970525E-2</v>
      </c>
      <c r="R18" s="11">
        <v>0.41427799999999998</v>
      </c>
      <c r="S18" s="1">
        <v>0.38894699999999999</v>
      </c>
      <c r="T18" s="22">
        <f t="shared" si="3"/>
        <v>6.114493166424477E-2</v>
      </c>
    </row>
    <row r="19" spans="2:20" x14ac:dyDescent="0.3">
      <c r="B19" s="67"/>
      <c r="C19" s="2">
        <v>4</v>
      </c>
      <c r="D19" s="1">
        <v>1</v>
      </c>
      <c r="E19" s="1">
        <v>2048</v>
      </c>
      <c r="F19" s="1">
        <v>16</v>
      </c>
      <c r="G19" s="15">
        <v>4095</v>
      </c>
      <c r="H19" s="2">
        <v>0.78008299999999997</v>
      </c>
      <c r="I19" s="1">
        <v>0.72706599999999999</v>
      </c>
      <c r="J19" s="53">
        <f t="shared" si="0"/>
        <v>6.796328083037316E-2</v>
      </c>
      <c r="K19" s="2">
        <v>0.67989100000000002</v>
      </c>
      <c r="L19" s="1">
        <v>0.58268200000000003</v>
      </c>
      <c r="M19" s="22">
        <f t="shared" si="1"/>
        <v>0.14297733018969216</v>
      </c>
      <c r="O19" s="2">
        <v>1.0404100000000001</v>
      </c>
      <c r="P19" s="1">
        <v>0.99501399999999995</v>
      </c>
      <c r="Q19" s="22">
        <f t="shared" si="2"/>
        <v>4.3632798608241076E-2</v>
      </c>
      <c r="R19" s="11">
        <v>0.78976599999999997</v>
      </c>
      <c r="S19" s="1">
        <v>0.74285400000000001</v>
      </c>
      <c r="T19" s="22">
        <f t="shared" si="3"/>
        <v>5.9399872873737228E-2</v>
      </c>
    </row>
    <row r="20" spans="2:20" x14ac:dyDescent="0.3">
      <c r="B20" s="67"/>
      <c r="C20" s="2">
        <v>8</v>
      </c>
      <c r="D20" s="1">
        <v>1</v>
      </c>
      <c r="E20" s="1">
        <v>2048</v>
      </c>
      <c r="F20" s="1">
        <v>16</v>
      </c>
      <c r="G20" s="15">
        <v>1</v>
      </c>
      <c r="H20" s="2">
        <v>8.5503999999999997E-2</v>
      </c>
      <c r="I20" s="1">
        <v>8.5791999999999993E-2</v>
      </c>
      <c r="J20" s="53">
        <f t="shared" si="0"/>
        <v>-3.3682634730538524E-3</v>
      </c>
      <c r="K20" s="2">
        <v>8.7955000000000005E-2</v>
      </c>
      <c r="L20" s="1">
        <v>8.7097999999999995E-2</v>
      </c>
      <c r="M20" s="22">
        <f t="shared" si="1"/>
        <v>9.7436188960264968E-3</v>
      </c>
      <c r="O20" s="2">
        <v>0.10212499999999999</v>
      </c>
      <c r="P20" s="1">
        <v>0.102349</v>
      </c>
      <c r="Q20" s="22">
        <f t="shared" si="2"/>
        <v>-2.1933904528763965E-3</v>
      </c>
      <c r="R20" s="11">
        <v>9.7586999999999993E-2</v>
      </c>
      <c r="S20" s="1">
        <v>9.5667000000000002E-2</v>
      </c>
      <c r="T20" s="22">
        <f t="shared" si="3"/>
        <v>1.967475175996794E-2</v>
      </c>
    </row>
    <row r="21" spans="2:20" x14ac:dyDescent="0.3">
      <c r="B21" s="67"/>
      <c r="C21" s="2">
        <v>8</v>
      </c>
      <c r="D21" s="1">
        <v>1</v>
      </c>
      <c r="E21" s="1">
        <v>2048</v>
      </c>
      <c r="F21" s="1">
        <v>16</v>
      </c>
      <c r="G21" s="15">
        <v>127</v>
      </c>
      <c r="H21" s="2">
        <v>0.10065300000000001</v>
      </c>
      <c r="I21" s="1">
        <v>0.101837</v>
      </c>
      <c r="J21" s="53">
        <f t="shared" si="0"/>
        <v>-1.1763186392854565E-2</v>
      </c>
      <c r="K21" s="2">
        <v>0.1016</v>
      </c>
      <c r="L21" s="1">
        <v>0.101242</v>
      </c>
      <c r="M21" s="22">
        <f t="shared" si="1"/>
        <v>3.5236220472440673E-3</v>
      </c>
      <c r="O21" s="2">
        <v>0.122835</v>
      </c>
      <c r="P21" s="1">
        <v>0.121446</v>
      </c>
      <c r="Q21" s="22">
        <f t="shared" si="2"/>
        <v>1.1307851996580791E-2</v>
      </c>
      <c r="R21" s="11">
        <v>0.112499</v>
      </c>
      <c r="S21" s="1">
        <v>0.11094999999999999</v>
      </c>
      <c r="T21" s="22">
        <f t="shared" si="3"/>
        <v>1.3769011280100345E-2</v>
      </c>
    </row>
    <row r="22" spans="2:20" x14ac:dyDescent="0.3">
      <c r="B22" s="67"/>
      <c r="C22" s="2">
        <v>8</v>
      </c>
      <c r="D22" s="1">
        <v>1</v>
      </c>
      <c r="E22" s="1">
        <v>2048</v>
      </c>
      <c r="F22" s="1">
        <v>16</v>
      </c>
      <c r="G22" s="15">
        <v>255</v>
      </c>
      <c r="H22" s="2">
        <v>0.14677799999999999</v>
      </c>
      <c r="I22" s="1">
        <v>0.14884500000000001</v>
      </c>
      <c r="J22" s="53">
        <f t="shared" si="0"/>
        <v>-1.4082491926583094E-2</v>
      </c>
      <c r="K22" s="2">
        <v>0.14211199999999999</v>
      </c>
      <c r="L22" s="1">
        <v>0.14177899999999999</v>
      </c>
      <c r="M22" s="22">
        <f t="shared" si="1"/>
        <v>2.343222247241612E-3</v>
      </c>
      <c r="O22" s="2">
        <v>0.19112999999999999</v>
      </c>
      <c r="P22" s="1">
        <v>0.19066900000000001</v>
      </c>
      <c r="Q22" s="22">
        <f t="shared" si="2"/>
        <v>2.4119709098518768E-3</v>
      </c>
      <c r="R22" s="11">
        <v>0.157331</v>
      </c>
      <c r="S22" s="1">
        <v>0.155475</v>
      </c>
      <c r="T22" s="22">
        <f t="shared" si="3"/>
        <v>1.1796785121813225E-2</v>
      </c>
    </row>
    <row r="23" spans="2:20" x14ac:dyDescent="0.3">
      <c r="B23" s="67"/>
      <c r="C23" s="2">
        <v>8</v>
      </c>
      <c r="D23" s="1">
        <v>1</v>
      </c>
      <c r="E23" s="1">
        <v>2048</v>
      </c>
      <c r="F23" s="1">
        <v>16</v>
      </c>
      <c r="G23" s="15">
        <v>511</v>
      </c>
      <c r="H23" s="2">
        <v>0.24485100000000001</v>
      </c>
      <c r="I23" s="1">
        <v>0.24715500000000001</v>
      </c>
      <c r="J23" s="53">
        <f t="shared" si="0"/>
        <v>-9.4098043299802748E-3</v>
      </c>
      <c r="K23" s="2">
        <v>0.232128</v>
      </c>
      <c r="L23" s="1">
        <v>0.231686</v>
      </c>
      <c r="M23" s="22">
        <f t="shared" si="1"/>
        <v>1.9041218637992742E-3</v>
      </c>
      <c r="O23" s="2">
        <v>0.32179200000000002</v>
      </c>
      <c r="P23" s="1">
        <v>0.30901099999999998</v>
      </c>
      <c r="Q23" s="22">
        <f t="shared" si="2"/>
        <v>3.9718203062848179E-2</v>
      </c>
      <c r="R23" s="11">
        <v>0.24060799999999999</v>
      </c>
      <c r="S23" s="1">
        <v>0.226605</v>
      </c>
      <c r="T23" s="22">
        <f t="shared" si="3"/>
        <v>5.8198397393270332E-2</v>
      </c>
    </row>
    <row r="24" spans="2:20" x14ac:dyDescent="0.3">
      <c r="B24" s="67"/>
      <c r="C24" s="2">
        <v>8</v>
      </c>
      <c r="D24" s="1">
        <v>1</v>
      </c>
      <c r="E24" s="1">
        <v>2048</v>
      </c>
      <c r="F24" s="1">
        <v>16</v>
      </c>
      <c r="G24" s="15">
        <v>1023</v>
      </c>
      <c r="H24" s="2">
        <v>0.43410599999999999</v>
      </c>
      <c r="I24" s="1">
        <v>0.408416</v>
      </c>
      <c r="J24" s="53">
        <f t="shared" si="0"/>
        <v>5.9179094506871574E-2</v>
      </c>
      <c r="K24" s="2">
        <v>0.387546</v>
      </c>
      <c r="L24" s="1">
        <v>0.33940500000000001</v>
      </c>
      <c r="M24" s="22">
        <f t="shared" si="1"/>
        <v>0.12422009258255791</v>
      </c>
      <c r="O24" s="2">
        <v>0.56924799999999998</v>
      </c>
      <c r="P24" s="1">
        <v>0.54806999999999995</v>
      </c>
      <c r="Q24" s="22">
        <f t="shared" si="2"/>
        <v>3.7203468435550113E-2</v>
      </c>
      <c r="R24" s="11">
        <v>0.42375000000000002</v>
      </c>
      <c r="S24" s="1">
        <v>0.39702999999999999</v>
      </c>
      <c r="T24" s="22">
        <f t="shared" si="3"/>
        <v>6.3056047197640172E-2</v>
      </c>
    </row>
    <row r="25" spans="2:20" x14ac:dyDescent="0.3">
      <c r="B25" s="67"/>
      <c r="C25" s="2">
        <v>8</v>
      </c>
      <c r="D25" s="1">
        <v>1</v>
      </c>
      <c r="E25" s="1">
        <v>2048</v>
      </c>
      <c r="F25" s="1">
        <v>16</v>
      </c>
      <c r="G25" s="15">
        <v>2047</v>
      </c>
      <c r="H25" s="2">
        <v>0.79542400000000002</v>
      </c>
      <c r="I25" s="1">
        <v>0.74389799999999995</v>
      </c>
      <c r="J25" s="53">
        <f t="shared" si="0"/>
        <v>6.477803033350775E-2</v>
      </c>
      <c r="K25" s="2">
        <v>0.70483799999999996</v>
      </c>
      <c r="L25" s="1">
        <v>0.61041900000000004</v>
      </c>
      <c r="M25" s="22">
        <f t="shared" si="1"/>
        <v>0.13395844151422018</v>
      </c>
      <c r="O25" s="2">
        <v>1.0576000000000001</v>
      </c>
      <c r="P25" s="1">
        <v>1.016794</v>
      </c>
      <c r="Q25" s="22">
        <f t="shared" si="2"/>
        <v>3.8583585476550789E-2</v>
      </c>
      <c r="R25" s="11">
        <v>0.78356499999999996</v>
      </c>
      <c r="S25" s="1">
        <v>0.734259</v>
      </c>
      <c r="T25" s="22">
        <f t="shared" si="3"/>
        <v>6.2925219988131123E-2</v>
      </c>
    </row>
    <row r="26" spans="2:20" x14ac:dyDescent="0.3">
      <c r="B26" s="67"/>
      <c r="C26" s="2">
        <v>8</v>
      </c>
      <c r="D26" s="1">
        <v>1</v>
      </c>
      <c r="E26" s="1">
        <v>2048</v>
      </c>
      <c r="F26" s="1">
        <v>16</v>
      </c>
      <c r="G26" s="15">
        <v>4095</v>
      </c>
      <c r="H26" s="2">
        <v>1.52247</v>
      </c>
      <c r="I26" s="1">
        <v>1.404077</v>
      </c>
      <c r="J26" s="53">
        <f t="shared" si="0"/>
        <v>7.7763765460074727E-2</v>
      </c>
      <c r="K26" s="2">
        <v>1.3260160000000001</v>
      </c>
      <c r="L26" s="1">
        <v>1.145594</v>
      </c>
      <c r="M26" s="22">
        <f t="shared" si="1"/>
        <v>0.13606321492350021</v>
      </c>
      <c r="O26" s="2">
        <v>2.0441150000000001</v>
      </c>
      <c r="P26" s="1">
        <v>1.950637</v>
      </c>
      <c r="Q26" s="22">
        <f t="shared" si="2"/>
        <v>4.5730303823415107E-2</v>
      </c>
      <c r="R26" s="11">
        <v>1.5411010000000001</v>
      </c>
      <c r="S26" s="1">
        <v>1.448666</v>
      </c>
      <c r="T26" s="22">
        <f t="shared" si="3"/>
        <v>5.9979845577934246E-2</v>
      </c>
    </row>
    <row r="27" spans="2:20" x14ac:dyDescent="0.3">
      <c r="B27" s="67"/>
      <c r="C27" s="2">
        <v>16</v>
      </c>
      <c r="D27" s="1">
        <v>1</v>
      </c>
      <c r="E27" s="1">
        <v>2048</v>
      </c>
      <c r="F27" s="1">
        <v>16</v>
      </c>
      <c r="G27" s="15">
        <v>1</v>
      </c>
      <c r="H27" s="2">
        <v>0.14132500000000001</v>
      </c>
      <c r="I27" s="1">
        <v>0.14090900000000001</v>
      </c>
      <c r="J27" s="53">
        <f t="shared" si="0"/>
        <v>2.9435697859543585E-3</v>
      </c>
      <c r="K27" s="2">
        <v>0.145958</v>
      </c>
      <c r="L27" s="1">
        <v>0.14530599999999999</v>
      </c>
      <c r="M27" s="22">
        <f t="shared" si="1"/>
        <v>4.4670384631196212E-3</v>
      </c>
      <c r="O27" s="2">
        <v>0.17455999999999999</v>
      </c>
      <c r="P27" s="1">
        <v>0.17422699999999999</v>
      </c>
      <c r="Q27" s="22">
        <f t="shared" si="2"/>
        <v>1.9076535288725938E-3</v>
      </c>
      <c r="R27" s="11">
        <v>0.162074</v>
      </c>
      <c r="S27" s="1">
        <v>0.16101099999999999</v>
      </c>
      <c r="T27" s="22">
        <f t="shared" si="3"/>
        <v>6.5587324308649655E-3</v>
      </c>
    </row>
    <row r="28" spans="2:20" x14ac:dyDescent="0.3">
      <c r="B28" s="67"/>
      <c r="C28" s="2">
        <v>16</v>
      </c>
      <c r="D28" s="1">
        <v>1</v>
      </c>
      <c r="E28" s="1">
        <v>2048</v>
      </c>
      <c r="F28" s="1">
        <v>16</v>
      </c>
      <c r="G28" s="15">
        <v>127</v>
      </c>
      <c r="H28" s="2">
        <v>0.17024600000000001</v>
      </c>
      <c r="I28" s="1">
        <v>0.17089299999999999</v>
      </c>
      <c r="J28" s="53">
        <f t="shared" si="0"/>
        <v>-3.8003829752239751E-3</v>
      </c>
      <c r="K28" s="2">
        <v>0.17158399999999999</v>
      </c>
      <c r="L28" s="1">
        <v>0.171629</v>
      </c>
      <c r="M28" s="22">
        <f t="shared" si="1"/>
        <v>-2.6226221559129788E-4</v>
      </c>
      <c r="O28" s="2">
        <v>0.21466199999999999</v>
      </c>
      <c r="P28" s="1">
        <v>0.212979</v>
      </c>
      <c r="Q28" s="22">
        <f t="shared" si="2"/>
        <v>7.840232551639275E-3</v>
      </c>
      <c r="R28" s="11">
        <v>0.19225600000000001</v>
      </c>
      <c r="S28" s="1">
        <v>0.19017000000000001</v>
      </c>
      <c r="T28" s="22">
        <f t="shared" si="3"/>
        <v>1.0850116511318265E-2</v>
      </c>
    </row>
    <row r="29" spans="2:20" x14ac:dyDescent="0.3">
      <c r="B29" s="67"/>
      <c r="C29" s="2">
        <v>16</v>
      </c>
      <c r="D29" s="1">
        <v>1</v>
      </c>
      <c r="E29" s="1">
        <v>2048</v>
      </c>
      <c r="F29" s="1">
        <v>16</v>
      </c>
      <c r="G29" s="15">
        <v>255</v>
      </c>
      <c r="H29" s="2">
        <v>0.25912299999999999</v>
      </c>
      <c r="I29" s="1">
        <v>0.26089600000000002</v>
      </c>
      <c r="J29" s="53">
        <f t="shared" si="0"/>
        <v>-6.8423104085705419E-3</v>
      </c>
      <c r="K29" s="2">
        <v>0.25145600000000001</v>
      </c>
      <c r="L29" s="1">
        <v>0.25044499999999997</v>
      </c>
      <c r="M29" s="22">
        <f t="shared" si="1"/>
        <v>4.0205841180963649E-3</v>
      </c>
      <c r="O29" s="2">
        <v>0.350464</v>
      </c>
      <c r="P29" s="1">
        <v>0.34953000000000001</v>
      </c>
      <c r="Q29" s="22">
        <f t="shared" si="2"/>
        <v>2.6650383491599434E-3</v>
      </c>
      <c r="R29" s="11">
        <v>0.28479399999999999</v>
      </c>
      <c r="S29" s="1">
        <v>0.28519699999999998</v>
      </c>
      <c r="T29" s="22">
        <f t="shared" si="3"/>
        <v>-1.4150579015006872E-3</v>
      </c>
    </row>
    <row r="30" spans="2:20" x14ac:dyDescent="0.3">
      <c r="B30" s="67"/>
      <c r="C30" s="2">
        <v>16</v>
      </c>
      <c r="D30" s="1">
        <v>1</v>
      </c>
      <c r="E30" s="1">
        <v>2048</v>
      </c>
      <c r="F30" s="1">
        <v>16</v>
      </c>
      <c r="G30" s="15">
        <v>511</v>
      </c>
      <c r="H30" s="2">
        <v>0.452685</v>
      </c>
      <c r="I30" s="1">
        <v>0.45522600000000002</v>
      </c>
      <c r="J30" s="53">
        <f t="shared" si="0"/>
        <v>-5.6131747241459631E-3</v>
      </c>
      <c r="K30" s="2">
        <v>0.42448000000000002</v>
      </c>
      <c r="L30" s="1">
        <v>0.42350700000000002</v>
      </c>
      <c r="M30" s="22">
        <f t="shared" si="1"/>
        <v>2.2922163588390537E-3</v>
      </c>
      <c r="O30" s="2">
        <v>0.60263699999999998</v>
      </c>
      <c r="P30" s="1">
        <v>0.58282900000000004</v>
      </c>
      <c r="Q30" s="22">
        <f t="shared" si="2"/>
        <v>3.286887462933729E-2</v>
      </c>
      <c r="R30" s="11">
        <v>0.44538899999999998</v>
      </c>
      <c r="S30" s="1">
        <v>0.42124800000000001</v>
      </c>
      <c r="T30" s="22">
        <f t="shared" si="3"/>
        <v>5.4202057078194497E-2</v>
      </c>
    </row>
    <row r="31" spans="2:20" x14ac:dyDescent="0.3">
      <c r="B31" s="67"/>
      <c r="C31" s="2">
        <v>16</v>
      </c>
      <c r="D31" s="1">
        <v>1</v>
      </c>
      <c r="E31" s="1">
        <v>2048</v>
      </c>
      <c r="F31" s="1">
        <v>16</v>
      </c>
      <c r="G31" s="15">
        <v>1023</v>
      </c>
      <c r="H31" s="2">
        <v>0.82303400000000004</v>
      </c>
      <c r="I31" s="1">
        <v>0.76751400000000003</v>
      </c>
      <c r="J31" s="53">
        <f t="shared" si="0"/>
        <v>6.7457723496234676E-2</v>
      </c>
      <c r="K31" s="2">
        <v>0.71951399999999999</v>
      </c>
      <c r="L31" s="1">
        <v>0.62250899999999998</v>
      </c>
      <c r="M31" s="22">
        <f t="shared" si="1"/>
        <v>0.13482017028160675</v>
      </c>
      <c r="O31" s="2">
        <v>1.104058</v>
      </c>
      <c r="P31" s="1">
        <v>1.0680639999999999</v>
      </c>
      <c r="Q31" s="22">
        <f t="shared" si="2"/>
        <v>3.2601548107074156E-2</v>
      </c>
      <c r="R31" s="11">
        <v>0.81832300000000002</v>
      </c>
      <c r="S31" s="1">
        <v>0.76585599999999998</v>
      </c>
      <c r="T31" s="22">
        <f t="shared" si="3"/>
        <v>6.4115269887318388E-2</v>
      </c>
    </row>
    <row r="32" spans="2:20" x14ac:dyDescent="0.3">
      <c r="B32" s="67"/>
      <c r="C32" s="2">
        <v>16</v>
      </c>
      <c r="D32" s="1">
        <v>1</v>
      </c>
      <c r="E32" s="1">
        <v>2048</v>
      </c>
      <c r="F32" s="1">
        <v>16</v>
      </c>
      <c r="G32" s="15">
        <v>2047</v>
      </c>
      <c r="H32" s="2">
        <v>1.5487869999999999</v>
      </c>
      <c r="I32" s="1">
        <v>1.4388860000000001</v>
      </c>
      <c r="J32" s="53">
        <f t="shared" si="0"/>
        <v>7.0959402422670001E-2</v>
      </c>
      <c r="K32" s="2">
        <v>1.337037</v>
      </c>
      <c r="L32" s="1">
        <v>1.1563330000000001</v>
      </c>
      <c r="M32" s="22">
        <f t="shared" si="1"/>
        <v>0.13515257992112409</v>
      </c>
      <c r="O32" s="2">
        <v>2.0934849999999998</v>
      </c>
      <c r="P32" s="1">
        <v>2.0171969999999999</v>
      </c>
      <c r="Q32" s="22">
        <f t="shared" si="2"/>
        <v>3.64406718939949E-2</v>
      </c>
      <c r="R32" s="11">
        <v>1.5534460000000001</v>
      </c>
      <c r="S32" s="1">
        <v>1.4556739999999999</v>
      </c>
      <c r="T32" s="22">
        <f t="shared" si="3"/>
        <v>6.2938782551823613E-2</v>
      </c>
    </row>
    <row r="33" spans="2:20" x14ac:dyDescent="0.3">
      <c r="B33" s="67"/>
      <c r="C33" s="2">
        <v>16</v>
      </c>
      <c r="D33" s="1">
        <v>1</v>
      </c>
      <c r="E33" s="1">
        <v>2048</v>
      </c>
      <c r="F33" s="1">
        <v>16</v>
      </c>
      <c r="G33" s="15">
        <v>4095</v>
      </c>
      <c r="H33" s="2">
        <v>3.0046210000000002</v>
      </c>
      <c r="I33" s="1">
        <v>2.7746430000000002</v>
      </c>
      <c r="J33" s="53">
        <f t="shared" si="0"/>
        <v>7.6541434011144827E-2</v>
      </c>
      <c r="K33" s="2">
        <v>2.590624</v>
      </c>
      <c r="L33" s="1">
        <v>2.2398910000000001</v>
      </c>
      <c r="M33" s="22">
        <f t="shared" si="1"/>
        <v>0.13538552873747792</v>
      </c>
      <c r="O33" s="2">
        <v>4.0783870000000002</v>
      </c>
      <c r="P33" s="1">
        <v>3.9187590000000001</v>
      </c>
      <c r="Q33" s="22">
        <f t="shared" si="2"/>
        <v>3.9139983527801576E-2</v>
      </c>
      <c r="R33" s="11">
        <v>3.0407869999999999</v>
      </c>
      <c r="S33" s="1">
        <v>2.860493</v>
      </c>
      <c r="T33" s="22">
        <f t="shared" si="3"/>
        <v>5.9291887264711393E-2</v>
      </c>
    </row>
    <row r="34" spans="2:20" x14ac:dyDescent="0.3">
      <c r="B34" s="67"/>
      <c r="C34" s="2">
        <v>20</v>
      </c>
      <c r="D34" s="1">
        <v>1</v>
      </c>
      <c r="E34" s="1">
        <v>2048</v>
      </c>
      <c r="F34" s="1">
        <v>16</v>
      </c>
      <c r="G34" s="15">
        <v>1</v>
      </c>
      <c r="H34" s="2">
        <v>0.167853</v>
      </c>
      <c r="I34" s="1">
        <v>0.16867199999999999</v>
      </c>
      <c r="J34" s="53">
        <f t="shared" si="0"/>
        <v>-4.8792693606905229E-3</v>
      </c>
      <c r="K34" s="2">
        <v>0.17474600000000001</v>
      </c>
      <c r="L34" s="1">
        <v>0.17472599999999999</v>
      </c>
      <c r="M34" s="22">
        <f t="shared" si="1"/>
        <v>1.1445183294621908E-4</v>
      </c>
      <c r="O34" s="2">
        <v>0.210061</v>
      </c>
      <c r="P34" s="1">
        <v>0.20847399999999999</v>
      </c>
      <c r="Q34" s="22">
        <f t="shared" si="2"/>
        <v>7.5549483245343262E-3</v>
      </c>
      <c r="R34" s="11">
        <v>0.195386</v>
      </c>
      <c r="S34" s="1">
        <v>0.19427800000000001</v>
      </c>
      <c r="T34" s="22">
        <f t="shared" si="3"/>
        <v>5.6708259547766874E-3</v>
      </c>
    </row>
    <row r="35" spans="2:20" x14ac:dyDescent="0.3">
      <c r="B35" s="67"/>
      <c r="C35" s="2">
        <v>20</v>
      </c>
      <c r="D35" s="1">
        <v>1</v>
      </c>
      <c r="E35" s="1">
        <v>2048</v>
      </c>
      <c r="F35" s="1">
        <v>16</v>
      </c>
      <c r="G35" s="15">
        <v>127</v>
      </c>
      <c r="H35" s="2">
        <v>0.20416599999999999</v>
      </c>
      <c r="I35" s="1">
        <v>0.206067</v>
      </c>
      <c r="J35" s="53">
        <f t="shared" si="0"/>
        <v>-9.311050811594555E-3</v>
      </c>
      <c r="K35" s="2">
        <v>0.207206</v>
      </c>
      <c r="L35" s="1">
        <v>0.207066</v>
      </c>
      <c r="M35" s="22">
        <f t="shared" si="1"/>
        <v>6.7565611034430104E-4</v>
      </c>
      <c r="O35" s="2">
        <v>0.25974399999999997</v>
      </c>
      <c r="P35" s="1">
        <v>0.25637799999999999</v>
      </c>
      <c r="Q35" s="22">
        <f t="shared" si="2"/>
        <v>1.2958913391647085E-2</v>
      </c>
      <c r="R35" s="11">
        <v>0.23285800000000001</v>
      </c>
      <c r="S35" s="1">
        <v>0.230381</v>
      </c>
      <c r="T35" s="22">
        <f t="shared" si="3"/>
        <v>1.0637384156868164E-2</v>
      </c>
    </row>
    <row r="36" spans="2:20" x14ac:dyDescent="0.3">
      <c r="B36" s="67"/>
      <c r="C36" s="2">
        <v>20</v>
      </c>
      <c r="D36" s="1">
        <v>1</v>
      </c>
      <c r="E36" s="1">
        <v>2048</v>
      </c>
      <c r="F36" s="1">
        <v>16</v>
      </c>
      <c r="G36" s="15">
        <v>255</v>
      </c>
      <c r="H36" s="2">
        <v>0.31470100000000001</v>
      </c>
      <c r="I36" s="1">
        <v>0.316077</v>
      </c>
      <c r="J36" s="53">
        <f t="shared" si="0"/>
        <v>-4.3724042821598544E-3</v>
      </c>
      <c r="K36" s="2">
        <v>0.30200300000000002</v>
      </c>
      <c r="L36" s="1">
        <v>0.30287399999999998</v>
      </c>
      <c r="M36" s="22">
        <f t="shared" si="1"/>
        <v>-2.8840773104901445E-3</v>
      </c>
      <c r="O36" s="2">
        <v>0.42885800000000002</v>
      </c>
      <c r="P36" s="1">
        <v>0.42571500000000001</v>
      </c>
      <c r="Q36" s="22">
        <f t="shared" si="2"/>
        <v>7.3287661650243358E-3</v>
      </c>
      <c r="R36" s="11">
        <v>0.34497299999999997</v>
      </c>
      <c r="S36" s="1">
        <v>0.34415400000000002</v>
      </c>
      <c r="T36" s="22">
        <f t="shared" si="3"/>
        <v>2.3740988425179905E-3</v>
      </c>
    </row>
    <row r="37" spans="2:20" x14ac:dyDescent="0.3">
      <c r="B37" s="67"/>
      <c r="C37" s="2">
        <v>20</v>
      </c>
      <c r="D37" s="1">
        <v>1</v>
      </c>
      <c r="E37" s="1">
        <v>2048</v>
      </c>
      <c r="F37" s="1">
        <v>16</v>
      </c>
      <c r="G37" s="15">
        <v>511</v>
      </c>
      <c r="H37" s="2">
        <v>0.55823400000000001</v>
      </c>
      <c r="I37" s="1">
        <v>0.56218199999999996</v>
      </c>
      <c r="J37" s="53">
        <f t="shared" si="0"/>
        <v>-7.0723030127150107E-3</v>
      </c>
      <c r="K37" s="2">
        <v>0.50970199999999999</v>
      </c>
      <c r="L37" s="1">
        <v>0.51194899999999999</v>
      </c>
      <c r="M37" s="22">
        <f t="shared" si="1"/>
        <v>-4.4084582756198703E-3</v>
      </c>
      <c r="O37" s="2">
        <v>0.74355199999999999</v>
      </c>
      <c r="P37" s="1">
        <v>0.71898200000000001</v>
      </c>
      <c r="Q37" s="22">
        <f t="shared" si="2"/>
        <v>3.3044091065587852E-2</v>
      </c>
      <c r="R37" s="11">
        <v>0.54814700000000005</v>
      </c>
      <c r="S37" s="1">
        <v>0.51644800000000002</v>
      </c>
      <c r="T37" s="22">
        <f t="shared" si="3"/>
        <v>5.7829377885859137E-2</v>
      </c>
    </row>
    <row r="38" spans="2:20" x14ac:dyDescent="0.3">
      <c r="B38" s="67"/>
      <c r="C38" s="2">
        <v>20</v>
      </c>
      <c r="D38" s="1">
        <v>1</v>
      </c>
      <c r="E38" s="1">
        <v>2048</v>
      </c>
      <c r="F38" s="1">
        <v>16</v>
      </c>
      <c r="G38" s="15">
        <v>1023</v>
      </c>
      <c r="H38" s="2">
        <v>1.016486</v>
      </c>
      <c r="I38" s="1">
        <v>0.94645800000000002</v>
      </c>
      <c r="J38" s="53">
        <f t="shared" si="0"/>
        <v>6.8892242490304817E-2</v>
      </c>
      <c r="K38" s="2">
        <v>0.874861</v>
      </c>
      <c r="L38" s="1">
        <v>0.77539199999999997</v>
      </c>
      <c r="M38" s="22">
        <f t="shared" si="1"/>
        <v>0.1136969187105152</v>
      </c>
      <c r="O38" s="2">
        <v>1.3671679999999999</v>
      </c>
      <c r="P38" s="1">
        <v>1.3180799999999999</v>
      </c>
      <c r="Q38" s="22">
        <f t="shared" si="2"/>
        <v>3.5904877820428817E-2</v>
      </c>
      <c r="R38" s="11">
        <v>1.0158590000000001</v>
      </c>
      <c r="S38" s="1">
        <v>0.95068200000000003</v>
      </c>
      <c r="T38" s="22">
        <f t="shared" si="3"/>
        <v>6.4159494575526763E-2</v>
      </c>
    </row>
    <row r="39" spans="2:20" x14ac:dyDescent="0.3">
      <c r="B39" s="67"/>
      <c r="C39" s="2">
        <v>20</v>
      </c>
      <c r="D39" s="1">
        <v>1</v>
      </c>
      <c r="E39" s="1">
        <v>2048</v>
      </c>
      <c r="F39" s="1">
        <v>16</v>
      </c>
      <c r="G39" s="15">
        <v>2047</v>
      </c>
      <c r="H39" s="2">
        <v>1.9242049999999999</v>
      </c>
      <c r="I39" s="1">
        <v>1.78423</v>
      </c>
      <c r="J39" s="53">
        <f t="shared" si="0"/>
        <v>7.2744328177091297E-2</v>
      </c>
      <c r="K39" s="2">
        <v>1.6786239999999999</v>
      </c>
      <c r="L39" s="1">
        <v>1.4676290000000001</v>
      </c>
      <c r="M39" s="22">
        <f t="shared" si="1"/>
        <v>0.1256952122690965</v>
      </c>
      <c r="O39" s="2">
        <v>2.6021700000000001</v>
      </c>
      <c r="P39" s="1">
        <v>2.507654</v>
      </c>
      <c r="Q39" s="22">
        <f t="shared" si="2"/>
        <v>3.6321992798318339E-2</v>
      </c>
      <c r="R39" s="11">
        <v>1.9418299999999999</v>
      </c>
      <c r="S39" s="1">
        <v>1.820128</v>
      </c>
      <c r="T39" s="22">
        <f t="shared" si="3"/>
        <v>6.2673869494239962E-2</v>
      </c>
    </row>
    <row r="40" spans="2:20" ht="14.5" thickBot="1" x14ac:dyDescent="0.35">
      <c r="B40" s="68"/>
      <c r="C40" s="7">
        <v>20</v>
      </c>
      <c r="D40" s="8">
        <v>1</v>
      </c>
      <c r="E40" s="1">
        <v>2048</v>
      </c>
      <c r="F40" s="8">
        <v>16</v>
      </c>
      <c r="G40" s="16">
        <v>4095</v>
      </c>
      <c r="H40" s="54">
        <v>3.7492290000000001</v>
      </c>
      <c r="I40" s="55">
        <v>3.4633980000000002</v>
      </c>
      <c r="J40" s="56">
        <f t="shared" si="0"/>
        <v>7.623727438361326E-2</v>
      </c>
      <c r="K40" s="7">
        <v>3.2214529999999999</v>
      </c>
      <c r="L40" s="8">
        <v>2.8080449999999999</v>
      </c>
      <c r="M40" s="23">
        <f t="shared" si="1"/>
        <v>0.12832966987256994</v>
      </c>
      <c r="O40" s="7">
        <v>5.0827260000000001</v>
      </c>
      <c r="P40" s="8">
        <v>4.8719869999999998</v>
      </c>
      <c r="Q40" s="23">
        <f t="shared" si="2"/>
        <v>4.1461806125295798E-2</v>
      </c>
      <c r="R40" s="51">
        <v>3.7900290000000001</v>
      </c>
      <c r="S40" s="55">
        <v>3.554611</v>
      </c>
      <c r="T40" s="59">
        <f t="shared" si="3"/>
        <v>6.2115091995338323E-2</v>
      </c>
    </row>
    <row r="41" spans="2:20" x14ac:dyDescent="0.3">
      <c r="B41" s="66" t="s">
        <v>7</v>
      </c>
      <c r="C41" s="19">
        <v>1</v>
      </c>
      <c r="D41" s="20">
        <v>1</v>
      </c>
      <c r="E41" s="20">
        <v>2048</v>
      </c>
      <c r="F41" s="20">
        <v>16</v>
      </c>
      <c r="G41" s="46">
        <v>0</v>
      </c>
      <c r="H41" s="4">
        <v>3.8629999999999998E-2</v>
      </c>
      <c r="I41" s="5">
        <v>3.9341000000000001E-2</v>
      </c>
      <c r="J41" s="28">
        <f t="shared" si="0"/>
        <v>-1.840538441625688E-2</v>
      </c>
      <c r="K41" s="31">
        <v>3.6922000000000003E-2</v>
      </c>
      <c r="L41" s="13">
        <v>3.7779E-2</v>
      </c>
      <c r="M41" s="27">
        <f t="shared" si="1"/>
        <v>-2.3211093656898232E-2</v>
      </c>
      <c r="O41" s="26">
        <v>4.0826000000000001E-2</v>
      </c>
      <c r="P41" s="13">
        <v>4.0666000000000001E-2</v>
      </c>
      <c r="Q41" s="57">
        <f t="shared" si="2"/>
        <v>3.9190711801303192E-3</v>
      </c>
      <c r="R41" s="4">
        <v>3.8112E-2</v>
      </c>
      <c r="S41" s="5">
        <v>3.7637999999999998E-2</v>
      </c>
      <c r="T41" s="28">
        <f t="shared" si="3"/>
        <v>1.2437027707808622E-2</v>
      </c>
    </row>
    <row r="42" spans="2:20" x14ac:dyDescent="0.3">
      <c r="B42" s="67"/>
      <c r="C42" s="48">
        <v>1</v>
      </c>
      <c r="D42" s="18">
        <v>128</v>
      </c>
      <c r="E42" s="18">
        <v>2048</v>
      </c>
      <c r="F42" s="18">
        <v>16</v>
      </c>
      <c r="G42" s="49">
        <v>0</v>
      </c>
      <c r="H42" s="2">
        <v>5.9589999999999997E-2</v>
      </c>
      <c r="I42" s="1">
        <v>6.0229999999999999E-2</v>
      </c>
      <c r="J42" s="22">
        <f t="shared" si="0"/>
        <v>-1.0740057056553141E-2</v>
      </c>
      <c r="K42" s="11">
        <v>5.7715000000000002E-2</v>
      </c>
      <c r="L42" s="1">
        <v>5.7702000000000003E-2</v>
      </c>
      <c r="M42" s="22">
        <f t="shared" si="1"/>
        <v>2.2524473707007057E-4</v>
      </c>
      <c r="O42" s="2">
        <v>6.5759999999999999E-2</v>
      </c>
      <c r="P42" s="1">
        <v>6.4518000000000006E-2</v>
      </c>
      <c r="Q42" s="53">
        <f t="shared" si="2"/>
        <v>1.8886861313868509E-2</v>
      </c>
      <c r="R42" s="2">
        <v>6.1670000000000003E-2</v>
      </c>
      <c r="S42" s="1">
        <v>6.1337999999999997E-2</v>
      </c>
      <c r="T42" s="22">
        <f t="shared" si="3"/>
        <v>5.3834927841739239E-3</v>
      </c>
    </row>
    <row r="43" spans="2:20" x14ac:dyDescent="0.3">
      <c r="B43" s="67"/>
      <c r="C43" s="48">
        <v>1</v>
      </c>
      <c r="D43" s="18">
        <v>256</v>
      </c>
      <c r="E43" s="18">
        <v>2048</v>
      </c>
      <c r="F43" s="18">
        <v>16</v>
      </c>
      <c r="G43" s="49">
        <v>0</v>
      </c>
      <c r="H43" s="2">
        <v>0.11243499999999999</v>
      </c>
      <c r="I43" s="1">
        <v>0.114995</v>
      </c>
      <c r="J43" s="22">
        <f t="shared" si="0"/>
        <v>-2.2768710810690682E-2</v>
      </c>
      <c r="K43" s="11">
        <v>0.104301</v>
      </c>
      <c r="L43" s="1">
        <v>0.104474</v>
      </c>
      <c r="M43" s="22">
        <f t="shared" si="1"/>
        <v>-1.6586609907862111E-3</v>
      </c>
      <c r="O43" s="2">
        <v>0.134048</v>
      </c>
      <c r="P43" s="1">
        <v>0.13383700000000001</v>
      </c>
      <c r="Q43" s="53">
        <f t="shared" si="2"/>
        <v>1.5740630222009205E-3</v>
      </c>
      <c r="R43" s="2">
        <v>0.11343399999999999</v>
      </c>
      <c r="S43" s="1">
        <v>0.112845</v>
      </c>
      <c r="T43" s="22">
        <f t="shared" si="3"/>
        <v>5.1924467090994969E-3</v>
      </c>
    </row>
    <row r="44" spans="2:20" x14ac:dyDescent="0.3">
      <c r="B44" s="67"/>
      <c r="C44" s="48">
        <v>1</v>
      </c>
      <c r="D44" s="18">
        <v>512</v>
      </c>
      <c r="E44" s="18">
        <v>2048</v>
      </c>
      <c r="F44" s="18">
        <v>16</v>
      </c>
      <c r="G44" s="49">
        <v>0</v>
      </c>
      <c r="H44" s="2">
        <v>0.29571799999999998</v>
      </c>
      <c r="I44" s="1">
        <v>0.30067199999999999</v>
      </c>
      <c r="J44" s="22">
        <f t="shared" si="0"/>
        <v>-1.6752446587627451E-2</v>
      </c>
      <c r="K44" s="11">
        <v>0.26194600000000001</v>
      </c>
      <c r="L44" s="1">
        <v>0.263104</v>
      </c>
      <c r="M44" s="22">
        <f t="shared" si="1"/>
        <v>-4.4207584769379651E-3</v>
      </c>
      <c r="O44" s="2">
        <v>0.35728599999999999</v>
      </c>
      <c r="P44" s="1">
        <v>0.35006700000000002</v>
      </c>
      <c r="Q44" s="53">
        <f t="shared" si="2"/>
        <v>2.0205101795200416E-2</v>
      </c>
      <c r="R44" s="2">
        <v>0.30903700000000001</v>
      </c>
      <c r="S44" s="1">
        <v>0.29518100000000003</v>
      </c>
      <c r="T44" s="22">
        <f t="shared" si="3"/>
        <v>4.4836055229632632E-2</v>
      </c>
    </row>
    <row r="45" spans="2:20" x14ac:dyDescent="0.3">
      <c r="B45" s="67"/>
      <c r="C45" s="48">
        <v>1</v>
      </c>
      <c r="D45" s="18">
        <v>1024</v>
      </c>
      <c r="E45" s="18">
        <v>2048</v>
      </c>
      <c r="F45" s="18">
        <v>16</v>
      </c>
      <c r="G45" s="49">
        <v>0</v>
      </c>
      <c r="H45" s="2">
        <v>0.98304599999999998</v>
      </c>
      <c r="I45" s="1">
        <v>0.93352999999999997</v>
      </c>
      <c r="J45" s="22">
        <f t="shared" si="0"/>
        <v>5.0369972514002402E-2</v>
      </c>
      <c r="K45" s="11">
        <v>0.86725799999999997</v>
      </c>
      <c r="L45" s="1">
        <v>0.79638399999999998</v>
      </c>
      <c r="M45" s="22">
        <f t="shared" si="1"/>
        <v>8.1721932804309672E-2</v>
      </c>
      <c r="O45" s="2">
        <v>1.242432</v>
      </c>
      <c r="P45" s="1">
        <v>1.197619</v>
      </c>
      <c r="Q45" s="53">
        <f t="shared" si="2"/>
        <v>3.606877479008911E-2</v>
      </c>
      <c r="R45" s="2">
        <v>1.1020289999999999</v>
      </c>
      <c r="S45" s="1">
        <v>1.052192</v>
      </c>
      <c r="T45" s="22">
        <f t="shared" si="3"/>
        <v>4.522294785345931E-2</v>
      </c>
    </row>
    <row r="46" spans="2:20" x14ac:dyDescent="0.3">
      <c r="B46" s="67"/>
      <c r="C46" s="48">
        <v>1</v>
      </c>
      <c r="D46" s="18">
        <v>2048</v>
      </c>
      <c r="E46" s="18">
        <v>2048</v>
      </c>
      <c r="F46" s="18">
        <v>16</v>
      </c>
      <c r="G46" s="49">
        <v>0</v>
      </c>
      <c r="H46" s="2">
        <v>4.1142529999999997</v>
      </c>
      <c r="I46" s="1">
        <v>3.9035519999999999</v>
      </c>
      <c r="J46" s="22">
        <f t="shared" si="0"/>
        <v>5.1212455821263256E-2</v>
      </c>
      <c r="K46" s="11">
        <v>3.7552829999999999</v>
      </c>
      <c r="L46" s="1">
        <v>3.4426429999999999</v>
      </c>
      <c r="M46" s="22">
        <f t="shared" si="1"/>
        <v>8.3253379305900529E-2</v>
      </c>
      <c r="O46" s="2">
        <v>4.7502079999999998</v>
      </c>
      <c r="P46" s="1">
        <v>4.5680319999999996</v>
      </c>
      <c r="Q46" s="53">
        <f t="shared" si="2"/>
        <v>3.8351162728032143E-2</v>
      </c>
      <c r="R46" s="2">
        <v>4.0888390000000001</v>
      </c>
      <c r="S46" s="1">
        <v>3.8877570000000001</v>
      </c>
      <c r="T46" s="22">
        <f t="shared" si="3"/>
        <v>4.9178263071742362E-2</v>
      </c>
    </row>
    <row r="47" spans="2:20" x14ac:dyDescent="0.3">
      <c r="B47" s="67"/>
      <c r="C47" s="48">
        <v>1</v>
      </c>
      <c r="D47" s="18">
        <v>4096</v>
      </c>
      <c r="E47" s="18">
        <v>2048</v>
      </c>
      <c r="F47" s="18">
        <v>16</v>
      </c>
      <c r="G47" s="49">
        <v>0</v>
      </c>
      <c r="H47" s="2">
        <v>15.21552</v>
      </c>
      <c r="I47" s="1">
        <v>14.34046</v>
      </c>
      <c r="J47" s="22">
        <f t="shared" si="0"/>
        <v>5.7511015068824431E-2</v>
      </c>
      <c r="K47" s="11">
        <v>13.971667</v>
      </c>
      <c r="L47" s="1">
        <v>12.754458</v>
      </c>
      <c r="M47" s="22">
        <f t="shared" si="1"/>
        <v>8.7119811830614083E-2</v>
      </c>
      <c r="O47" s="2">
        <v>18.260657999999999</v>
      </c>
      <c r="P47" s="1">
        <v>17.564754000000001</v>
      </c>
      <c r="Q47" s="53">
        <f t="shared" si="2"/>
        <v>3.8109470096860623E-2</v>
      </c>
      <c r="R47" s="2">
        <v>15.497926</v>
      </c>
      <c r="S47" s="1">
        <v>14.692435</v>
      </c>
      <c r="T47" s="22">
        <f t="shared" si="3"/>
        <v>5.1974115762328452E-2</v>
      </c>
    </row>
    <row r="48" spans="2:20" x14ac:dyDescent="0.3">
      <c r="B48" s="67"/>
      <c r="C48" s="48">
        <v>4</v>
      </c>
      <c r="D48" s="18">
        <v>1</v>
      </c>
      <c r="E48" s="18">
        <v>2048</v>
      </c>
      <c r="F48" s="18">
        <v>16</v>
      </c>
      <c r="G48" s="49">
        <v>0</v>
      </c>
      <c r="H48" s="2">
        <v>5.833E-2</v>
      </c>
      <c r="I48" s="1">
        <v>5.9506999999999997E-2</v>
      </c>
      <c r="J48" s="22">
        <f t="shared" si="0"/>
        <v>-2.0178295902622965E-2</v>
      </c>
      <c r="K48" s="11">
        <v>5.7888000000000002E-2</v>
      </c>
      <c r="L48" s="1">
        <v>5.7715000000000002E-2</v>
      </c>
      <c r="M48" s="22">
        <f t="shared" si="1"/>
        <v>2.9885295743504619E-3</v>
      </c>
      <c r="O48" s="2">
        <v>6.7251000000000005E-2</v>
      </c>
      <c r="P48" s="1">
        <v>6.6489999999999994E-2</v>
      </c>
      <c r="Q48" s="53">
        <f t="shared" si="2"/>
        <v>1.1315816865176898E-2</v>
      </c>
      <c r="R48" s="2">
        <v>6.4108999999999999E-2</v>
      </c>
      <c r="S48" s="1">
        <v>6.2508999999999995E-2</v>
      </c>
      <c r="T48" s="22">
        <f t="shared" si="3"/>
        <v>2.4957494267575601E-2</v>
      </c>
    </row>
    <row r="49" spans="2:20" x14ac:dyDescent="0.3">
      <c r="B49" s="67"/>
      <c r="C49" s="48">
        <v>4</v>
      </c>
      <c r="D49" s="18">
        <v>128</v>
      </c>
      <c r="E49" s="18">
        <v>2048</v>
      </c>
      <c r="F49" s="18">
        <v>16</v>
      </c>
      <c r="G49" s="49">
        <v>0</v>
      </c>
      <c r="H49" s="2">
        <v>0.138957</v>
      </c>
      <c r="I49" s="1">
        <v>0.13952600000000001</v>
      </c>
      <c r="J49" s="22">
        <f t="shared" si="0"/>
        <v>-4.0947919140454526E-3</v>
      </c>
      <c r="K49" s="11">
        <v>0.145651</v>
      </c>
      <c r="L49" s="1">
        <v>0.14629800000000001</v>
      </c>
      <c r="M49" s="22">
        <f t="shared" si="1"/>
        <v>-4.4421253544432151E-3</v>
      </c>
      <c r="O49" s="2">
        <v>0.15657599999999999</v>
      </c>
      <c r="P49" s="1">
        <v>0.15459800000000001</v>
      </c>
      <c r="Q49" s="53">
        <f t="shared" si="2"/>
        <v>1.2632842836705368E-2</v>
      </c>
      <c r="R49" s="2">
        <v>0.158918</v>
      </c>
      <c r="S49" s="1">
        <v>0.15705</v>
      </c>
      <c r="T49" s="22">
        <f t="shared" si="3"/>
        <v>1.175448973684547E-2</v>
      </c>
    </row>
    <row r="50" spans="2:20" x14ac:dyDescent="0.3">
      <c r="B50" s="67"/>
      <c r="C50" s="48">
        <v>4</v>
      </c>
      <c r="D50" s="18">
        <v>256</v>
      </c>
      <c r="E50" s="18">
        <v>2048</v>
      </c>
      <c r="F50" s="18">
        <v>16</v>
      </c>
      <c r="G50" s="49">
        <v>0</v>
      </c>
      <c r="H50" s="2">
        <v>0.35248600000000002</v>
      </c>
      <c r="I50" s="1">
        <v>0.35743399999999997</v>
      </c>
      <c r="J50" s="22">
        <f t="shared" si="0"/>
        <v>-1.4037436947850276E-2</v>
      </c>
      <c r="K50" s="11">
        <v>0.36732199999999998</v>
      </c>
      <c r="L50" s="1">
        <v>0.37109799999999998</v>
      </c>
      <c r="M50" s="22">
        <f t="shared" si="1"/>
        <v>-1.0279808995921839E-2</v>
      </c>
      <c r="O50" s="2">
        <v>0.43964799999999998</v>
      </c>
      <c r="P50" s="1">
        <v>0.43882900000000002</v>
      </c>
      <c r="Q50" s="53">
        <f t="shared" si="2"/>
        <v>1.8628539194991418E-3</v>
      </c>
      <c r="R50" s="2">
        <v>0.41055999999999998</v>
      </c>
      <c r="S50" s="1">
        <v>0.412858</v>
      </c>
      <c r="T50" s="22">
        <f t="shared" si="3"/>
        <v>-5.5972330475448709E-3</v>
      </c>
    </row>
    <row r="51" spans="2:20" x14ac:dyDescent="0.3">
      <c r="B51" s="67"/>
      <c r="C51" s="48">
        <v>4</v>
      </c>
      <c r="D51" s="18">
        <v>512</v>
      </c>
      <c r="E51" s="18">
        <v>2048</v>
      </c>
      <c r="F51" s="18">
        <v>16</v>
      </c>
      <c r="G51" s="49">
        <v>0</v>
      </c>
      <c r="H51" s="2">
        <v>1.111782</v>
      </c>
      <c r="I51" s="1">
        <v>1.133254</v>
      </c>
      <c r="J51" s="22">
        <f t="shared" si="0"/>
        <v>-1.9313138726836678E-2</v>
      </c>
      <c r="K51" s="11">
        <v>1.0637570000000001</v>
      </c>
      <c r="L51" s="1">
        <v>1.069658</v>
      </c>
      <c r="M51" s="22">
        <f t="shared" si="1"/>
        <v>-5.5473195476033847E-3</v>
      </c>
      <c r="O51" s="2">
        <v>1.465549</v>
      </c>
      <c r="P51" s="1">
        <v>1.4095299999999999</v>
      </c>
      <c r="Q51" s="53">
        <f t="shared" si="2"/>
        <v>3.822390107734374E-2</v>
      </c>
      <c r="R51" s="2">
        <v>1.245466</v>
      </c>
      <c r="S51" s="1">
        <v>1.198016</v>
      </c>
      <c r="T51" s="22">
        <f t="shared" si="3"/>
        <v>3.8098189753875251E-2</v>
      </c>
    </row>
    <row r="52" spans="2:20" x14ac:dyDescent="0.3">
      <c r="B52" s="67"/>
      <c r="C52" s="48">
        <v>4</v>
      </c>
      <c r="D52" s="18">
        <v>1024</v>
      </c>
      <c r="E52" s="18">
        <v>2048</v>
      </c>
      <c r="F52" s="18">
        <v>16</v>
      </c>
      <c r="G52" s="49">
        <v>0</v>
      </c>
      <c r="H52" s="2">
        <v>4.4611070000000002</v>
      </c>
      <c r="I52" s="1">
        <v>4.265523</v>
      </c>
      <c r="J52" s="22">
        <f t="shared" si="0"/>
        <v>4.3842032930391538E-2</v>
      </c>
      <c r="K52" s="11">
        <v>4.0517180000000002</v>
      </c>
      <c r="L52" s="1">
        <v>3.773101</v>
      </c>
      <c r="M52" s="22">
        <f t="shared" si="1"/>
        <v>6.8765150980398954E-2</v>
      </c>
      <c r="O52" s="2">
        <v>5.314317</v>
      </c>
      <c r="P52" s="1">
        <v>5.0929159999999998</v>
      </c>
      <c r="Q52" s="53">
        <f t="shared" si="2"/>
        <v>4.1661233230911927E-2</v>
      </c>
      <c r="R52" s="2">
        <v>4.4112830000000001</v>
      </c>
      <c r="S52" s="1">
        <v>4.2111999999999998</v>
      </c>
      <c r="T52" s="22">
        <f t="shared" si="3"/>
        <v>4.5357099057122437E-2</v>
      </c>
    </row>
    <row r="53" spans="2:20" x14ac:dyDescent="0.3">
      <c r="B53" s="67"/>
      <c r="C53" s="48">
        <v>4</v>
      </c>
      <c r="D53" s="18">
        <v>2048</v>
      </c>
      <c r="E53" s="18">
        <v>2048</v>
      </c>
      <c r="F53" s="18">
        <v>16</v>
      </c>
      <c r="G53" s="49">
        <v>0</v>
      </c>
      <c r="H53" s="2">
        <v>16.075271999999998</v>
      </c>
      <c r="I53" s="1">
        <v>15.267879000000001</v>
      </c>
      <c r="J53" s="22">
        <f t="shared" si="0"/>
        <v>5.022577533991323E-2</v>
      </c>
      <c r="K53" s="11">
        <v>14.474118000000001</v>
      </c>
      <c r="L53" s="1">
        <v>13.277063</v>
      </c>
      <c r="M53" s="22">
        <f t="shared" si="1"/>
        <v>8.2703139493542924E-2</v>
      </c>
      <c r="O53" s="2">
        <v>20.181657999999999</v>
      </c>
      <c r="P53" s="1">
        <v>19.256378000000002</v>
      </c>
      <c r="Q53" s="53">
        <f t="shared" si="2"/>
        <v>4.5847571096487579E-2</v>
      </c>
      <c r="R53" s="2">
        <v>15.925088000000001</v>
      </c>
      <c r="S53" s="1">
        <v>15.11472</v>
      </c>
      <c r="T53" s="22">
        <f t="shared" si="3"/>
        <v>5.0886249419783453E-2</v>
      </c>
    </row>
    <row r="54" spans="2:20" x14ac:dyDescent="0.3">
      <c r="B54" s="67"/>
      <c r="C54" s="48">
        <v>4</v>
      </c>
      <c r="D54" s="18">
        <v>4096</v>
      </c>
      <c r="E54" s="18">
        <v>2048</v>
      </c>
      <c r="F54" s="18">
        <v>16</v>
      </c>
      <c r="G54" s="49">
        <v>0</v>
      </c>
      <c r="H54" s="2">
        <v>62.355865000000001</v>
      </c>
      <c r="I54" s="1">
        <v>59.221943000000003</v>
      </c>
      <c r="J54" s="22">
        <f t="shared" si="0"/>
        <v>5.0258656503281582E-2</v>
      </c>
      <c r="K54" s="11">
        <v>55.223579000000001</v>
      </c>
      <c r="L54" s="1">
        <v>50.251674999999999</v>
      </c>
      <c r="M54" s="22">
        <f t="shared" si="1"/>
        <v>9.0032266832977312E-2</v>
      </c>
      <c r="O54" s="2">
        <v>81.290367000000003</v>
      </c>
      <c r="P54" s="1">
        <v>78.328650999999994</v>
      </c>
      <c r="Q54" s="53">
        <f t="shared" si="2"/>
        <v>3.6433788028045311E-2</v>
      </c>
      <c r="R54" s="2">
        <v>63.071278</v>
      </c>
      <c r="S54" s="1">
        <v>59.154076000000003</v>
      </c>
      <c r="T54" s="22">
        <f t="shared" si="3"/>
        <v>6.2107541248807359E-2</v>
      </c>
    </row>
    <row r="55" spans="2:20" x14ac:dyDescent="0.3">
      <c r="B55" s="67"/>
      <c r="C55" s="48">
        <v>8</v>
      </c>
      <c r="D55" s="18">
        <v>1</v>
      </c>
      <c r="E55" s="18">
        <v>2048</v>
      </c>
      <c r="F55" s="18">
        <v>16</v>
      </c>
      <c r="G55" s="49">
        <v>0</v>
      </c>
      <c r="H55" s="2">
        <v>8.4813E-2</v>
      </c>
      <c r="I55" s="1">
        <v>8.5568000000000005E-2</v>
      </c>
      <c r="J55" s="22">
        <f t="shared" si="0"/>
        <v>-8.9019372030231889E-3</v>
      </c>
      <c r="K55" s="11">
        <v>8.8281999999999999E-2</v>
      </c>
      <c r="L55" s="1">
        <v>8.7692999999999993E-2</v>
      </c>
      <c r="M55" s="22">
        <f t="shared" si="1"/>
        <v>6.6718017262862896E-3</v>
      </c>
      <c r="O55" s="2">
        <v>0.102976</v>
      </c>
      <c r="P55" s="1">
        <v>0.102144</v>
      </c>
      <c r="Q55" s="53">
        <f t="shared" si="2"/>
        <v>8.0795525170913561E-3</v>
      </c>
      <c r="R55" s="2">
        <v>9.5558000000000004E-2</v>
      </c>
      <c r="S55" s="1">
        <v>9.6268999999999993E-2</v>
      </c>
      <c r="T55" s="22">
        <f t="shared" si="3"/>
        <v>-7.4405073358587391E-3</v>
      </c>
    </row>
    <row r="56" spans="2:20" x14ac:dyDescent="0.3">
      <c r="B56" s="67"/>
      <c r="C56" s="48">
        <v>8</v>
      </c>
      <c r="D56" s="18">
        <v>128</v>
      </c>
      <c r="E56" s="18">
        <v>2048</v>
      </c>
      <c r="F56" s="18">
        <v>16</v>
      </c>
      <c r="G56" s="49">
        <v>0</v>
      </c>
      <c r="H56" s="2">
        <v>0.27036199999999999</v>
      </c>
      <c r="I56" s="1">
        <v>0.27019500000000002</v>
      </c>
      <c r="J56" s="22">
        <f t="shared" si="0"/>
        <v>6.1769035589310899E-4</v>
      </c>
      <c r="K56" s="11">
        <v>0.277146</v>
      </c>
      <c r="L56" s="1">
        <v>0.27752300000000002</v>
      </c>
      <c r="M56" s="22">
        <f t="shared" si="1"/>
        <v>-1.3602938523378154E-3</v>
      </c>
      <c r="O56" s="2">
        <v>0.30371799999999999</v>
      </c>
      <c r="P56" s="1">
        <v>0.30334699999999998</v>
      </c>
      <c r="Q56" s="53">
        <f t="shared" si="2"/>
        <v>1.2215278646639652E-3</v>
      </c>
      <c r="R56" s="2">
        <v>0.28947200000000001</v>
      </c>
      <c r="S56" s="1">
        <v>0.28683500000000001</v>
      </c>
      <c r="T56" s="22">
        <f t="shared" si="3"/>
        <v>9.1096893654653999E-3</v>
      </c>
    </row>
    <row r="57" spans="2:20" x14ac:dyDescent="0.3">
      <c r="B57" s="67"/>
      <c r="C57" s="48">
        <v>8</v>
      </c>
      <c r="D57" s="18">
        <v>256</v>
      </c>
      <c r="E57" s="18">
        <v>2048</v>
      </c>
      <c r="F57" s="18">
        <v>16</v>
      </c>
      <c r="G57" s="49">
        <v>0</v>
      </c>
      <c r="H57" s="2">
        <v>0.76936300000000002</v>
      </c>
      <c r="I57" s="1">
        <v>0.77839999999999998</v>
      </c>
      <c r="J57" s="22">
        <f t="shared" si="0"/>
        <v>-1.1746080848702057E-2</v>
      </c>
      <c r="K57" s="11">
        <v>0.72538899999999995</v>
      </c>
      <c r="L57" s="1">
        <v>0.725773</v>
      </c>
      <c r="M57" s="22">
        <f t="shared" si="1"/>
        <v>-5.2937113741737332E-4</v>
      </c>
      <c r="O57" s="2">
        <v>0.95776600000000001</v>
      </c>
      <c r="P57" s="1">
        <v>0.95863699999999996</v>
      </c>
      <c r="Q57" s="53">
        <f t="shared" si="2"/>
        <v>-9.0940793471469561E-4</v>
      </c>
      <c r="R57" s="2">
        <v>0.82513899999999996</v>
      </c>
      <c r="S57" s="1">
        <v>0.818496</v>
      </c>
      <c r="T57" s="22">
        <f t="shared" si="3"/>
        <v>8.0507647802369724E-3</v>
      </c>
    </row>
    <row r="58" spans="2:20" x14ac:dyDescent="0.3">
      <c r="B58" s="67"/>
      <c r="C58" s="48">
        <v>8</v>
      </c>
      <c r="D58" s="18">
        <v>512</v>
      </c>
      <c r="E58" s="18">
        <v>2048</v>
      </c>
      <c r="F58" s="18">
        <v>16</v>
      </c>
      <c r="G58" s="49">
        <v>0</v>
      </c>
      <c r="H58" s="2">
        <v>2.464051</v>
      </c>
      <c r="I58" s="1">
        <v>2.4960830000000001</v>
      </c>
      <c r="J58" s="22">
        <f t="shared" si="0"/>
        <v>-1.2999730930893906E-2</v>
      </c>
      <c r="K58" s="11">
        <v>2.2554810000000001</v>
      </c>
      <c r="L58" s="1">
        <v>2.2670780000000001</v>
      </c>
      <c r="M58" s="22">
        <f t="shared" si="1"/>
        <v>-5.1416970482128111E-3</v>
      </c>
      <c r="O58" s="2">
        <v>3.1749890000000001</v>
      </c>
      <c r="P58" s="1">
        <v>3.077626</v>
      </c>
      <c r="Q58" s="53">
        <f t="shared" si="2"/>
        <v>3.0665618054109819E-2</v>
      </c>
      <c r="R58" s="2">
        <v>2.6153979999999999</v>
      </c>
      <c r="S58" s="1">
        <v>2.5179390000000001</v>
      </c>
      <c r="T58" s="22">
        <f t="shared" si="3"/>
        <v>3.7263544592448163E-2</v>
      </c>
    </row>
    <row r="59" spans="2:20" x14ac:dyDescent="0.3">
      <c r="B59" s="67"/>
      <c r="C59" s="48">
        <v>8</v>
      </c>
      <c r="D59" s="18">
        <v>1024</v>
      </c>
      <c r="E59" s="18">
        <v>2048</v>
      </c>
      <c r="F59" s="18">
        <v>16</v>
      </c>
      <c r="G59" s="49">
        <v>0</v>
      </c>
      <c r="H59" s="2">
        <v>9.1467709999999993</v>
      </c>
      <c r="I59" s="1">
        <v>8.7585280000000001</v>
      </c>
      <c r="J59" s="22">
        <f t="shared" si="0"/>
        <v>4.2445907960306346E-2</v>
      </c>
      <c r="K59" s="11">
        <v>8.2037560000000003</v>
      </c>
      <c r="L59" s="1">
        <v>7.6425799999999997</v>
      </c>
      <c r="M59" s="22">
        <f t="shared" si="1"/>
        <v>6.840476484186031E-2</v>
      </c>
      <c r="O59" s="2">
        <v>11.299685999999999</v>
      </c>
      <c r="P59" s="1">
        <v>10.903250999999999</v>
      </c>
      <c r="Q59" s="53">
        <f t="shared" si="2"/>
        <v>3.5083718255533858E-2</v>
      </c>
      <c r="R59" s="2">
        <v>8.9114939999999994</v>
      </c>
      <c r="S59" s="1">
        <v>8.543507</v>
      </c>
      <c r="T59" s="22">
        <f t="shared" si="3"/>
        <v>4.1293524968989422E-2</v>
      </c>
    </row>
    <row r="60" spans="2:20" x14ac:dyDescent="0.3">
      <c r="B60" s="67"/>
      <c r="C60" s="48">
        <v>8</v>
      </c>
      <c r="D60" s="18">
        <v>2048</v>
      </c>
      <c r="E60" s="18">
        <v>2048</v>
      </c>
      <c r="F60" s="18">
        <v>16</v>
      </c>
      <c r="G60" s="49">
        <v>0</v>
      </c>
      <c r="H60" s="2">
        <v>33.823078000000002</v>
      </c>
      <c r="I60" s="1">
        <v>32.264065000000002</v>
      </c>
      <c r="J60" s="22">
        <f t="shared" si="0"/>
        <v>4.6093173424370193E-2</v>
      </c>
      <c r="K60" s="11">
        <v>29.952643999999999</v>
      </c>
      <c r="L60" s="1">
        <v>27.554504000000001</v>
      </c>
      <c r="M60" s="22">
        <f t="shared" si="1"/>
        <v>8.0064384299429386E-2</v>
      </c>
      <c r="O60" s="2">
        <v>44.219226999999997</v>
      </c>
      <c r="P60" s="1">
        <v>42.818741000000003</v>
      </c>
      <c r="Q60" s="53">
        <f t="shared" si="2"/>
        <v>3.1671426549360393E-2</v>
      </c>
      <c r="R60" s="2">
        <v>33.292648</v>
      </c>
      <c r="S60" s="1">
        <v>31.585491000000001</v>
      </c>
      <c r="T60" s="22">
        <f t="shared" si="3"/>
        <v>5.127729701764782E-2</v>
      </c>
    </row>
    <row r="61" spans="2:20" x14ac:dyDescent="0.3">
      <c r="B61" s="67"/>
      <c r="C61" s="48">
        <v>16</v>
      </c>
      <c r="D61" s="18">
        <v>1</v>
      </c>
      <c r="E61" s="18">
        <v>2048</v>
      </c>
      <c r="F61" s="18">
        <v>16</v>
      </c>
      <c r="G61" s="49">
        <v>0</v>
      </c>
      <c r="H61" s="2">
        <v>0.14186199999999999</v>
      </c>
      <c r="I61" s="1">
        <v>0.14096600000000001</v>
      </c>
      <c r="J61" s="22">
        <f t="shared" si="0"/>
        <v>6.3159972367510695E-3</v>
      </c>
      <c r="K61" s="11">
        <v>0.14593900000000001</v>
      </c>
      <c r="L61" s="1">
        <v>0.145645</v>
      </c>
      <c r="M61" s="22">
        <f t="shared" si="1"/>
        <v>2.0145403216413464E-3</v>
      </c>
      <c r="O61" s="2">
        <v>0.17482200000000001</v>
      </c>
      <c r="P61" s="1">
        <v>0.17258200000000001</v>
      </c>
      <c r="Q61" s="53">
        <f t="shared" si="2"/>
        <v>1.2813032684673507E-2</v>
      </c>
      <c r="R61" s="2">
        <v>0.161907</v>
      </c>
      <c r="S61" s="1">
        <v>0.160717</v>
      </c>
      <c r="T61" s="22">
        <f t="shared" si="3"/>
        <v>7.349898398463295E-3</v>
      </c>
    </row>
    <row r="62" spans="2:20" x14ac:dyDescent="0.3">
      <c r="B62" s="67"/>
      <c r="C62" s="48">
        <v>16</v>
      </c>
      <c r="D62" s="18">
        <v>128</v>
      </c>
      <c r="E62" s="18">
        <v>2048</v>
      </c>
      <c r="F62" s="18">
        <v>16</v>
      </c>
      <c r="G62" s="49">
        <v>0</v>
      </c>
      <c r="H62" s="2">
        <v>0.51300500000000004</v>
      </c>
      <c r="I62" s="1">
        <v>0.51462399999999997</v>
      </c>
      <c r="J62" s="22">
        <f t="shared" si="0"/>
        <v>-3.1559146597010283E-3</v>
      </c>
      <c r="K62" s="11">
        <v>0.51039400000000001</v>
      </c>
      <c r="L62" s="1">
        <v>0.51141099999999995</v>
      </c>
      <c r="M62" s="22">
        <f t="shared" si="1"/>
        <v>-1.9925782826599346E-3</v>
      </c>
      <c r="O62" s="2">
        <v>0.58586199999999999</v>
      </c>
      <c r="P62" s="1">
        <v>0.585005</v>
      </c>
      <c r="Q62" s="53">
        <f t="shared" si="2"/>
        <v>1.4628018202238696E-3</v>
      </c>
      <c r="R62" s="2">
        <v>0.56308499999999995</v>
      </c>
      <c r="S62" s="1">
        <v>0.56047999999999998</v>
      </c>
      <c r="T62" s="22">
        <f t="shared" si="3"/>
        <v>4.6262997593613199E-3</v>
      </c>
    </row>
    <row r="63" spans="2:20" x14ac:dyDescent="0.3">
      <c r="B63" s="67"/>
      <c r="C63" s="48">
        <v>16</v>
      </c>
      <c r="D63" s="18">
        <v>256</v>
      </c>
      <c r="E63" s="18">
        <v>2048</v>
      </c>
      <c r="F63" s="18">
        <v>16</v>
      </c>
      <c r="G63" s="49">
        <v>0</v>
      </c>
      <c r="H63" s="2">
        <v>1.5039739999999999</v>
      </c>
      <c r="I63" s="1">
        <v>1.5146109999999999</v>
      </c>
      <c r="J63" s="22">
        <f t="shared" si="0"/>
        <v>-7.0725956698719583E-3</v>
      </c>
      <c r="K63" s="11">
        <v>1.393446</v>
      </c>
      <c r="L63" s="1">
        <v>1.3937280000000001</v>
      </c>
      <c r="M63" s="22">
        <f t="shared" si="1"/>
        <v>-2.0237598012417811E-4</v>
      </c>
      <c r="O63" s="2">
        <v>1.9039170000000001</v>
      </c>
      <c r="P63" s="1">
        <v>1.8999740000000001</v>
      </c>
      <c r="Q63" s="53">
        <f t="shared" si="2"/>
        <v>2.070993641004324E-3</v>
      </c>
      <c r="R63" s="2">
        <v>1.654458</v>
      </c>
      <c r="S63" s="1">
        <v>1.590106</v>
      </c>
      <c r="T63" s="22">
        <f t="shared" si="3"/>
        <v>3.8896121871936286E-2</v>
      </c>
    </row>
    <row r="64" spans="2:20" x14ac:dyDescent="0.3">
      <c r="B64" s="67"/>
      <c r="C64" s="2">
        <v>16</v>
      </c>
      <c r="D64" s="1">
        <v>512</v>
      </c>
      <c r="E64" s="18">
        <v>2048</v>
      </c>
      <c r="F64" s="18">
        <v>16</v>
      </c>
      <c r="G64" s="15">
        <v>0</v>
      </c>
      <c r="H64" s="2">
        <v>4.9377149999999999</v>
      </c>
      <c r="I64" s="1">
        <v>4.956531</v>
      </c>
      <c r="J64" s="22">
        <f t="shared" si="0"/>
        <v>-3.8106695100871895E-3</v>
      </c>
      <c r="K64" s="11">
        <v>4.5137539999999996</v>
      </c>
      <c r="L64" s="1">
        <v>4.5358780000000003</v>
      </c>
      <c r="M64" s="22">
        <f t="shared" si="1"/>
        <v>-4.901463393884713E-3</v>
      </c>
      <c r="O64" s="2">
        <v>6.2784060000000004</v>
      </c>
      <c r="P64" s="1">
        <v>6.0895869999999999</v>
      </c>
      <c r="Q64" s="53">
        <f t="shared" si="2"/>
        <v>3.0074353267373996E-2</v>
      </c>
      <c r="R64" s="2">
        <v>5.2703360000000004</v>
      </c>
      <c r="S64" s="1">
        <v>5.0962370000000004</v>
      </c>
      <c r="T64" s="22">
        <f t="shared" si="3"/>
        <v>3.3033757240525083E-2</v>
      </c>
    </row>
    <row r="65" spans="2:20" x14ac:dyDescent="0.3">
      <c r="B65" s="67"/>
      <c r="C65" s="2">
        <v>20</v>
      </c>
      <c r="D65" s="1">
        <v>1</v>
      </c>
      <c r="E65" s="18">
        <v>2048</v>
      </c>
      <c r="F65" s="1">
        <v>16</v>
      </c>
      <c r="G65" s="15">
        <v>0</v>
      </c>
      <c r="H65" s="2">
        <v>0.16816600000000001</v>
      </c>
      <c r="I65" s="1">
        <v>0.16875499999999999</v>
      </c>
      <c r="J65" s="22">
        <f t="shared" si="0"/>
        <v>-3.5024915856949586E-3</v>
      </c>
      <c r="K65" s="11">
        <v>0.175034</v>
      </c>
      <c r="L65" s="1">
        <v>0.174707</v>
      </c>
      <c r="M65" s="22">
        <f t="shared" si="1"/>
        <v>1.8682084623558508E-3</v>
      </c>
      <c r="O65" s="2">
        <v>0.210285</v>
      </c>
      <c r="P65" s="1">
        <v>0.209062</v>
      </c>
      <c r="Q65" s="53">
        <f t="shared" si="2"/>
        <v>5.8159164942815792E-3</v>
      </c>
      <c r="R65" s="2">
        <v>0.19553899999999999</v>
      </c>
      <c r="S65" s="1">
        <v>0.194157</v>
      </c>
      <c r="T65" s="22">
        <f t="shared" si="3"/>
        <v>7.0676437948439669E-3</v>
      </c>
    </row>
    <row r="66" spans="2:20" ht="14.5" thickBot="1" x14ac:dyDescent="0.35">
      <c r="B66" s="68"/>
      <c r="C66" s="7">
        <v>20</v>
      </c>
      <c r="D66" s="8">
        <v>128</v>
      </c>
      <c r="E66" s="8">
        <v>2048</v>
      </c>
      <c r="F66" s="8">
        <v>16</v>
      </c>
      <c r="G66" s="16">
        <v>0</v>
      </c>
      <c r="H66" s="7">
        <v>0.60538899999999995</v>
      </c>
      <c r="I66" s="8">
        <v>0.61004199999999997</v>
      </c>
      <c r="J66" s="23">
        <f t="shared" si="0"/>
        <v>-7.6859672045577615E-3</v>
      </c>
      <c r="K66" s="12">
        <v>0.63507199999999997</v>
      </c>
      <c r="L66" s="8">
        <v>0.63438099999999997</v>
      </c>
      <c r="M66" s="23">
        <f t="shared" si="1"/>
        <v>1.0880656051597255E-3</v>
      </c>
      <c r="O66" s="7">
        <v>0.71651200000000004</v>
      </c>
      <c r="P66" s="8">
        <v>0.71568600000000004</v>
      </c>
      <c r="Q66" s="58">
        <f t="shared" si="2"/>
        <v>1.1528069313563392E-3</v>
      </c>
      <c r="R66" s="7">
        <v>0.70704</v>
      </c>
      <c r="S66" s="8">
        <v>0.699488</v>
      </c>
      <c r="T66" s="23">
        <f t="shared" si="3"/>
        <v>1.0681149581353251E-2</v>
      </c>
    </row>
  </sheetData>
  <mergeCells count="2">
    <mergeCell ref="B6:B40"/>
    <mergeCell ref="B41:B6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"/>
  <sheetViews>
    <sheetView workbookViewId="0">
      <selection activeCell="M43" sqref="M43"/>
    </sheetView>
  </sheetViews>
  <sheetFormatPr defaultRowHeight="14" x14ac:dyDescent="0.3"/>
  <cols>
    <col min="2" max="2" width="11.08203125" customWidth="1"/>
    <col min="8" max="8" width="12.9140625" customWidth="1"/>
    <col min="9" max="9" width="9.83203125" bestFit="1" customWidth="1"/>
    <col min="11" max="11" width="10.08203125" bestFit="1" customWidth="1"/>
  </cols>
  <sheetData>
    <row r="2" spans="2:12" x14ac:dyDescent="0.3">
      <c r="B2" t="s">
        <v>751</v>
      </c>
    </row>
    <row r="3" spans="2:12" ht="14.5" thickBot="1" x14ac:dyDescent="0.35"/>
    <row r="4" spans="2:12" ht="14.5" thickBot="1" x14ac:dyDescent="0.35">
      <c r="B4" s="29"/>
      <c r="C4" s="30" t="s">
        <v>1</v>
      </c>
      <c r="D4" s="30" t="s">
        <v>2</v>
      </c>
      <c r="E4" s="30" t="s">
        <v>0</v>
      </c>
      <c r="F4" s="72" t="s">
        <v>3</v>
      </c>
      <c r="G4" s="73" t="s">
        <v>8</v>
      </c>
      <c r="H4" s="74" t="s">
        <v>752</v>
      </c>
      <c r="I4" s="74" t="s">
        <v>753</v>
      </c>
      <c r="J4" s="74" t="s">
        <v>11</v>
      </c>
      <c r="K4" s="74" t="s">
        <v>754</v>
      </c>
      <c r="L4" s="75" t="s">
        <v>11</v>
      </c>
    </row>
    <row r="5" spans="2:12" x14ac:dyDescent="0.3">
      <c r="B5" s="66" t="s">
        <v>5</v>
      </c>
      <c r="C5" s="4">
        <v>1</v>
      </c>
      <c r="D5" s="5">
        <v>1</v>
      </c>
      <c r="E5" s="5">
        <v>2048</v>
      </c>
      <c r="F5" s="5">
        <v>16</v>
      </c>
      <c r="G5" s="6">
        <v>1</v>
      </c>
      <c r="H5" s="4">
        <v>3.1026999999999999E-2</v>
      </c>
      <c r="I5" s="5">
        <v>3.7567999999999997E-2</v>
      </c>
      <c r="J5" s="28">
        <f>(H5-I5)/H5</f>
        <v>-0.21081638572855896</v>
      </c>
      <c r="K5" s="10">
        <v>4.0064000000000002E-2</v>
      </c>
      <c r="L5" s="28">
        <f>(H5-K5)/H5</f>
        <v>-0.29126244883488589</v>
      </c>
    </row>
    <row r="6" spans="2:12" x14ac:dyDescent="0.3">
      <c r="B6" s="67"/>
      <c r="C6" s="2">
        <v>1</v>
      </c>
      <c r="D6" s="1">
        <v>1</v>
      </c>
      <c r="E6" s="1">
        <v>2048</v>
      </c>
      <c r="F6" s="1">
        <v>16</v>
      </c>
      <c r="G6" s="3">
        <v>127</v>
      </c>
      <c r="H6" s="2">
        <v>3.6409999999999998E-2</v>
      </c>
      <c r="I6" s="1">
        <v>7.2678000000000006E-2</v>
      </c>
      <c r="J6" s="22">
        <f t="shared" ref="J6:J39" si="0">(H6-I6)/H6</f>
        <v>-0.99609997253501814</v>
      </c>
      <c r="K6" s="11">
        <v>4.4159999999999998E-2</v>
      </c>
      <c r="L6" s="22">
        <f t="shared" ref="L6:L39" si="1">(H6-K6)/H6</f>
        <v>-0.21285361164515243</v>
      </c>
    </row>
    <row r="7" spans="2:12" x14ac:dyDescent="0.3">
      <c r="B7" s="67"/>
      <c r="C7" s="2">
        <v>1</v>
      </c>
      <c r="D7" s="1">
        <v>1</v>
      </c>
      <c r="E7" s="1">
        <v>2048</v>
      </c>
      <c r="F7" s="1">
        <v>16</v>
      </c>
      <c r="G7" s="3">
        <v>255</v>
      </c>
      <c r="H7" s="2">
        <v>4.6752000000000002E-2</v>
      </c>
      <c r="I7" s="1">
        <v>0.11945600000000001</v>
      </c>
      <c r="J7" s="22">
        <f t="shared" si="0"/>
        <v>-1.5550992470910336</v>
      </c>
      <c r="K7" s="11">
        <v>6.2278E-2</v>
      </c>
      <c r="L7" s="22">
        <f t="shared" si="1"/>
        <v>-0.33209274469541405</v>
      </c>
    </row>
    <row r="8" spans="2:12" x14ac:dyDescent="0.3">
      <c r="B8" s="67"/>
      <c r="C8" s="2">
        <v>1</v>
      </c>
      <c r="D8" s="1">
        <v>1</v>
      </c>
      <c r="E8" s="1">
        <v>2048</v>
      </c>
      <c r="F8" s="1">
        <v>16</v>
      </c>
      <c r="G8" s="3">
        <v>511</v>
      </c>
      <c r="H8" s="2">
        <v>6.8954000000000001E-2</v>
      </c>
      <c r="I8" s="1">
        <v>0.21634600000000001</v>
      </c>
      <c r="J8" s="22">
        <f t="shared" si="0"/>
        <v>-2.1375409693418805</v>
      </c>
      <c r="K8" s="11">
        <v>9.1666999999999998E-2</v>
      </c>
      <c r="L8" s="22">
        <f t="shared" si="1"/>
        <v>-0.32939350871595552</v>
      </c>
    </row>
    <row r="9" spans="2:12" x14ac:dyDescent="0.3">
      <c r="B9" s="67"/>
      <c r="C9" s="2">
        <v>1</v>
      </c>
      <c r="D9" s="1">
        <v>1</v>
      </c>
      <c r="E9" s="1">
        <v>2048</v>
      </c>
      <c r="F9" s="1">
        <v>16</v>
      </c>
      <c r="G9" s="3">
        <v>1023</v>
      </c>
      <c r="H9" s="2">
        <v>9.7906999999999994E-2</v>
      </c>
      <c r="I9" s="1">
        <v>0.40280300000000002</v>
      </c>
      <c r="J9" s="22">
        <f t="shared" si="0"/>
        <v>-3.114138927757975</v>
      </c>
      <c r="K9" s="11">
        <v>0.155283</v>
      </c>
      <c r="L9" s="22">
        <f t="shared" si="1"/>
        <v>-0.58602551400819158</v>
      </c>
    </row>
    <row r="10" spans="2:12" x14ac:dyDescent="0.3">
      <c r="B10" s="67"/>
      <c r="C10" s="2">
        <v>1</v>
      </c>
      <c r="D10" s="1">
        <v>1</v>
      </c>
      <c r="E10" s="1">
        <v>2048</v>
      </c>
      <c r="F10" s="1">
        <v>16</v>
      </c>
      <c r="G10" s="3">
        <v>2047</v>
      </c>
      <c r="H10" s="2">
        <v>0.154893</v>
      </c>
      <c r="I10" s="1">
        <v>0.78693100000000005</v>
      </c>
      <c r="J10" s="22">
        <f t="shared" si="0"/>
        <v>-4.0804813645548865</v>
      </c>
      <c r="K10" s="11">
        <v>0.28583700000000001</v>
      </c>
      <c r="L10" s="22">
        <f t="shared" si="1"/>
        <v>-0.84538358737967501</v>
      </c>
    </row>
    <row r="11" spans="2:12" x14ac:dyDescent="0.3">
      <c r="B11" s="67"/>
      <c r="C11" s="2">
        <v>1</v>
      </c>
      <c r="D11" s="1">
        <v>1</v>
      </c>
      <c r="E11" s="1">
        <v>2048</v>
      </c>
      <c r="F11" s="1">
        <v>16</v>
      </c>
      <c r="G11" s="3">
        <v>4095</v>
      </c>
      <c r="H11" s="2">
        <v>0.27297900000000003</v>
      </c>
      <c r="I11" s="1">
        <v>1.556851</v>
      </c>
      <c r="J11" s="22">
        <f t="shared" si="0"/>
        <v>-4.7031896226449641</v>
      </c>
      <c r="K11" s="11">
        <v>0.54405800000000004</v>
      </c>
      <c r="L11" s="22">
        <f t="shared" si="1"/>
        <v>-0.99303975763703434</v>
      </c>
    </row>
    <row r="12" spans="2:12" x14ac:dyDescent="0.3">
      <c r="B12" s="67"/>
      <c r="C12" s="2">
        <v>4</v>
      </c>
      <c r="D12" s="1">
        <v>1</v>
      </c>
      <c r="E12" s="1">
        <v>2048</v>
      </c>
      <c r="F12" s="1">
        <v>16</v>
      </c>
      <c r="G12" s="3">
        <v>1</v>
      </c>
      <c r="H12" s="2">
        <v>5.3900999999999998E-2</v>
      </c>
      <c r="I12" s="1">
        <v>5.1397999999999999E-2</v>
      </c>
      <c r="J12" s="22">
        <f t="shared" si="0"/>
        <v>4.6436986326784259E-2</v>
      </c>
      <c r="K12" s="11">
        <v>5.3357000000000002E-2</v>
      </c>
      <c r="L12" s="22">
        <f t="shared" si="1"/>
        <v>1.0092577132149606E-2</v>
      </c>
    </row>
    <row r="13" spans="2:12" x14ac:dyDescent="0.3">
      <c r="B13" s="67"/>
      <c r="C13" s="2">
        <v>4</v>
      </c>
      <c r="D13" s="1">
        <v>1</v>
      </c>
      <c r="E13" s="1">
        <v>2048</v>
      </c>
      <c r="F13" s="1">
        <v>16</v>
      </c>
      <c r="G13" s="3">
        <v>127</v>
      </c>
      <c r="H13" s="2">
        <v>6.7219000000000001E-2</v>
      </c>
      <c r="I13" s="1">
        <v>8.6738999999999997E-2</v>
      </c>
      <c r="J13" s="22">
        <f t="shared" si="0"/>
        <v>-0.2903940850057275</v>
      </c>
      <c r="K13" s="11">
        <v>5.6429E-2</v>
      </c>
      <c r="L13" s="22">
        <f t="shared" si="1"/>
        <v>0.16052009104568649</v>
      </c>
    </row>
    <row r="14" spans="2:12" x14ac:dyDescent="0.3">
      <c r="B14" s="67"/>
      <c r="C14" s="2">
        <v>4</v>
      </c>
      <c r="D14" s="1">
        <v>1</v>
      </c>
      <c r="E14" s="1">
        <v>2048</v>
      </c>
      <c r="F14" s="1">
        <v>16</v>
      </c>
      <c r="G14" s="3">
        <v>255</v>
      </c>
      <c r="H14" s="2">
        <v>0.10288</v>
      </c>
      <c r="I14" s="1">
        <v>0.14695</v>
      </c>
      <c r="J14" s="22">
        <f t="shared" si="0"/>
        <v>-0.42836314152410576</v>
      </c>
      <c r="K14" s="11">
        <v>8.3423999999999998E-2</v>
      </c>
      <c r="L14" s="22">
        <f t="shared" si="1"/>
        <v>0.18911353032659411</v>
      </c>
    </row>
    <row r="15" spans="2:12" x14ac:dyDescent="0.3">
      <c r="B15" s="67"/>
      <c r="C15" s="2">
        <v>4</v>
      </c>
      <c r="D15" s="1">
        <v>1</v>
      </c>
      <c r="E15" s="1">
        <v>2048</v>
      </c>
      <c r="F15" s="1">
        <v>16</v>
      </c>
      <c r="G15" s="3">
        <v>511</v>
      </c>
      <c r="H15" s="2">
        <v>0.16126099999999999</v>
      </c>
      <c r="I15" s="1">
        <v>0.26314199999999999</v>
      </c>
      <c r="J15" s="22">
        <f t="shared" si="0"/>
        <v>-0.63177705706897513</v>
      </c>
      <c r="K15" s="11">
        <v>0.13388800000000001</v>
      </c>
      <c r="L15" s="22">
        <f t="shared" si="1"/>
        <v>0.1697434593609117</v>
      </c>
    </row>
    <row r="16" spans="2:12" x14ac:dyDescent="0.3">
      <c r="B16" s="67"/>
      <c r="C16" s="2">
        <v>4</v>
      </c>
      <c r="D16" s="1">
        <v>1</v>
      </c>
      <c r="E16" s="1">
        <v>2048</v>
      </c>
      <c r="F16" s="1">
        <v>16</v>
      </c>
      <c r="G16" s="3">
        <v>1022</v>
      </c>
      <c r="H16" s="2">
        <v>0.27977000000000002</v>
      </c>
      <c r="I16" s="1">
        <v>0.49064999999999998</v>
      </c>
      <c r="J16" s="22">
        <f t="shared" si="0"/>
        <v>-0.7537620188011579</v>
      </c>
      <c r="K16" s="11">
        <v>0.23722199999999999</v>
      </c>
      <c r="L16" s="22">
        <f t="shared" si="1"/>
        <v>0.15208206741251754</v>
      </c>
    </row>
    <row r="17" spans="2:12" x14ac:dyDescent="0.3">
      <c r="B17" s="67"/>
      <c r="C17" s="2">
        <v>4</v>
      </c>
      <c r="D17" s="1">
        <v>1</v>
      </c>
      <c r="E17" s="1">
        <v>2048</v>
      </c>
      <c r="F17" s="1">
        <v>16</v>
      </c>
      <c r="G17" s="3">
        <v>2047</v>
      </c>
      <c r="H17" s="2">
        <v>0.51338200000000001</v>
      </c>
      <c r="I17" s="1">
        <v>0.95335700000000001</v>
      </c>
      <c r="J17" s="22">
        <f t="shared" si="0"/>
        <v>-0.85701290656859808</v>
      </c>
      <c r="K17" s="11">
        <v>0.446656</v>
      </c>
      <c r="L17" s="22">
        <f t="shared" si="1"/>
        <v>0.12997339213295364</v>
      </c>
    </row>
    <row r="18" spans="2:12" x14ac:dyDescent="0.3">
      <c r="B18" s="67"/>
      <c r="C18" s="2">
        <v>4</v>
      </c>
      <c r="D18" s="1">
        <v>1</v>
      </c>
      <c r="E18" s="1">
        <v>2048</v>
      </c>
      <c r="F18" s="1">
        <v>16</v>
      </c>
      <c r="G18" s="3">
        <v>4095</v>
      </c>
      <c r="H18" s="2">
        <v>0.97394599999999998</v>
      </c>
      <c r="I18" s="1">
        <v>1.888096</v>
      </c>
      <c r="J18" s="22">
        <f t="shared" si="0"/>
        <v>-0.93860439901185488</v>
      </c>
      <c r="K18" s="11">
        <v>0.86333400000000005</v>
      </c>
      <c r="L18" s="22">
        <f t="shared" si="1"/>
        <v>0.11357097826778891</v>
      </c>
    </row>
    <row r="19" spans="2:12" x14ac:dyDescent="0.3">
      <c r="B19" s="67"/>
      <c r="C19" s="2">
        <v>8</v>
      </c>
      <c r="D19" s="1">
        <v>1</v>
      </c>
      <c r="E19" s="1">
        <v>2048</v>
      </c>
      <c r="F19" s="1">
        <v>16</v>
      </c>
      <c r="G19" s="3">
        <v>1</v>
      </c>
      <c r="H19" s="2">
        <v>8.7539000000000006E-2</v>
      </c>
      <c r="I19" s="1">
        <v>8.2425999999999999E-2</v>
      </c>
      <c r="J19" s="22">
        <f t="shared" si="0"/>
        <v>5.840825232182234E-2</v>
      </c>
      <c r="K19" s="11">
        <v>8.7533E-2</v>
      </c>
      <c r="L19" s="22">
        <f t="shared" si="1"/>
        <v>6.8540878922605924E-5</v>
      </c>
    </row>
    <row r="20" spans="2:12" x14ac:dyDescent="0.3">
      <c r="B20" s="67"/>
      <c r="C20" s="2">
        <v>8</v>
      </c>
      <c r="D20" s="1">
        <v>1</v>
      </c>
      <c r="E20" s="1">
        <v>2048</v>
      </c>
      <c r="F20" s="1">
        <v>16</v>
      </c>
      <c r="G20" s="3">
        <v>127</v>
      </c>
      <c r="H20" s="2">
        <v>0.108109</v>
      </c>
      <c r="I20" s="1">
        <v>0.149869</v>
      </c>
      <c r="J20" s="22">
        <f t="shared" si="0"/>
        <v>-0.38627681321629104</v>
      </c>
      <c r="K20" s="11">
        <v>8.7437000000000001E-2</v>
      </c>
      <c r="L20" s="22">
        <f t="shared" si="1"/>
        <v>0.1912144224810145</v>
      </c>
    </row>
    <row r="21" spans="2:12" x14ac:dyDescent="0.3">
      <c r="B21" s="67"/>
      <c r="C21" s="2">
        <v>8</v>
      </c>
      <c r="D21" s="1">
        <v>1</v>
      </c>
      <c r="E21" s="1">
        <v>2048</v>
      </c>
      <c r="F21" s="1">
        <v>16</v>
      </c>
      <c r="G21" s="3">
        <v>255</v>
      </c>
      <c r="H21" s="2">
        <v>0.17232600000000001</v>
      </c>
      <c r="I21" s="1">
        <v>0.27200000000000002</v>
      </c>
      <c r="J21" s="22">
        <f t="shared" si="0"/>
        <v>-0.57840372317584121</v>
      </c>
      <c r="K21" s="11">
        <v>0.146483</v>
      </c>
      <c r="L21" s="22">
        <f t="shared" si="1"/>
        <v>0.14996576256629879</v>
      </c>
    </row>
    <row r="22" spans="2:12" x14ac:dyDescent="0.3">
      <c r="B22" s="67"/>
      <c r="C22" s="2">
        <v>8</v>
      </c>
      <c r="D22" s="1">
        <v>1</v>
      </c>
      <c r="E22" s="1">
        <v>2048</v>
      </c>
      <c r="F22" s="1">
        <v>16</v>
      </c>
      <c r="G22" s="3">
        <v>511</v>
      </c>
      <c r="H22" s="2">
        <v>0.30070999999999998</v>
      </c>
      <c r="I22" s="1">
        <v>0.51006700000000005</v>
      </c>
      <c r="J22" s="22">
        <f t="shared" si="0"/>
        <v>-0.69620897209936516</v>
      </c>
      <c r="K22" s="11">
        <v>0.25877099999999997</v>
      </c>
      <c r="L22" s="22">
        <f t="shared" si="1"/>
        <v>0.13946659572345452</v>
      </c>
    </row>
    <row r="23" spans="2:12" x14ac:dyDescent="0.3">
      <c r="B23" s="67"/>
      <c r="C23" s="2">
        <v>8</v>
      </c>
      <c r="D23" s="1">
        <v>1</v>
      </c>
      <c r="E23" s="1">
        <v>2048</v>
      </c>
      <c r="F23" s="1">
        <v>16</v>
      </c>
      <c r="G23" s="3">
        <v>1023</v>
      </c>
      <c r="H23" s="2">
        <v>0.52488299999999999</v>
      </c>
      <c r="I23" s="1">
        <v>0.984352</v>
      </c>
      <c r="J23" s="22">
        <f t="shared" si="0"/>
        <v>-0.87537413099681272</v>
      </c>
      <c r="K23" s="11">
        <v>1.272154</v>
      </c>
      <c r="L23" s="22">
        <f t="shared" si="1"/>
        <v>-1.4236906129556492</v>
      </c>
    </row>
    <row r="24" spans="2:12" x14ac:dyDescent="0.3">
      <c r="B24" s="67"/>
      <c r="C24" s="2">
        <v>8</v>
      </c>
      <c r="D24" s="1">
        <v>1</v>
      </c>
      <c r="E24" s="1">
        <v>2048</v>
      </c>
      <c r="F24" s="1">
        <v>16</v>
      </c>
      <c r="G24" s="3">
        <v>2047</v>
      </c>
      <c r="H24" s="2">
        <v>0.97770199999999996</v>
      </c>
      <c r="I24" s="1">
        <v>1.9357759999999999</v>
      </c>
      <c r="J24" s="22">
        <f t="shared" si="0"/>
        <v>-0.97992435322828431</v>
      </c>
      <c r="K24" s="11">
        <v>0.95143699999999998</v>
      </c>
      <c r="L24" s="22">
        <f t="shared" si="1"/>
        <v>2.6864013779249695E-2</v>
      </c>
    </row>
    <row r="25" spans="2:12" x14ac:dyDescent="0.3">
      <c r="B25" s="67"/>
      <c r="C25" s="2">
        <v>8</v>
      </c>
      <c r="D25" s="1">
        <v>1</v>
      </c>
      <c r="E25" s="1">
        <v>2048</v>
      </c>
      <c r="F25" s="1">
        <v>16</v>
      </c>
      <c r="G25" s="3">
        <v>4095</v>
      </c>
      <c r="H25" s="2">
        <v>1.8855550000000001</v>
      </c>
      <c r="I25" s="1">
        <v>3.8746879999999999</v>
      </c>
      <c r="J25" s="22">
        <f t="shared" si="0"/>
        <v>-1.0549323673931545</v>
      </c>
      <c r="K25" s="11">
        <v>1.9618880000000001</v>
      </c>
      <c r="L25" s="22">
        <f t="shared" si="1"/>
        <v>-4.0483040802310181E-2</v>
      </c>
    </row>
    <row r="26" spans="2:12" x14ac:dyDescent="0.3">
      <c r="B26" s="67"/>
      <c r="C26" s="2">
        <v>16</v>
      </c>
      <c r="D26" s="1">
        <v>1</v>
      </c>
      <c r="E26" s="1">
        <v>2048</v>
      </c>
      <c r="F26" s="1">
        <v>16</v>
      </c>
      <c r="G26" s="3">
        <v>1</v>
      </c>
      <c r="H26" s="2">
        <v>0.15002199999999999</v>
      </c>
      <c r="I26" s="1">
        <v>0.146426</v>
      </c>
      <c r="J26" s="22">
        <f t="shared" si="0"/>
        <v>2.3969817760061782E-2</v>
      </c>
      <c r="K26" s="11">
        <v>0.16281000000000001</v>
      </c>
      <c r="L26" s="22">
        <f t="shared" si="1"/>
        <v>-8.5240831344736256E-2</v>
      </c>
    </row>
    <row r="27" spans="2:12" x14ac:dyDescent="0.3">
      <c r="B27" s="67"/>
      <c r="C27" s="2">
        <v>16</v>
      </c>
      <c r="D27" s="1">
        <v>1</v>
      </c>
      <c r="E27" s="1">
        <v>2048</v>
      </c>
      <c r="F27" s="1">
        <v>16</v>
      </c>
      <c r="G27" s="3">
        <v>127</v>
      </c>
      <c r="H27" s="2">
        <v>0.19137299999999999</v>
      </c>
      <c r="I27" s="1">
        <v>0.28919699999999998</v>
      </c>
      <c r="J27" s="22">
        <f t="shared" si="0"/>
        <v>-0.51116928720352406</v>
      </c>
      <c r="K27" s="11">
        <v>0.16298199999999999</v>
      </c>
      <c r="L27" s="22">
        <f t="shared" si="1"/>
        <v>0.14835426105040941</v>
      </c>
    </row>
    <row r="28" spans="2:12" x14ac:dyDescent="0.3">
      <c r="B28" s="67"/>
      <c r="C28" s="2">
        <v>16</v>
      </c>
      <c r="D28" s="1">
        <v>1</v>
      </c>
      <c r="E28" s="1">
        <v>2048</v>
      </c>
      <c r="F28" s="1">
        <v>16</v>
      </c>
      <c r="G28" s="3">
        <v>255</v>
      </c>
      <c r="H28" s="2">
        <v>0.31242900000000001</v>
      </c>
      <c r="I28" s="1">
        <v>0.547763</v>
      </c>
      <c r="J28" s="22">
        <f t="shared" si="0"/>
        <v>-0.75323993611348494</v>
      </c>
      <c r="K28" s="11">
        <v>0.29774099999999998</v>
      </c>
      <c r="L28" s="22">
        <f t="shared" si="1"/>
        <v>4.701228119028654E-2</v>
      </c>
    </row>
    <row r="29" spans="2:12" x14ac:dyDescent="0.3">
      <c r="B29" s="67"/>
      <c r="C29" s="2">
        <v>16</v>
      </c>
      <c r="D29" s="1">
        <v>1</v>
      </c>
      <c r="E29" s="1">
        <v>2048</v>
      </c>
      <c r="F29" s="1">
        <v>16</v>
      </c>
      <c r="G29" s="3">
        <v>511</v>
      </c>
      <c r="H29" s="2">
        <v>0.582534</v>
      </c>
      <c r="I29" s="1">
        <v>1.0441020000000001</v>
      </c>
      <c r="J29" s="22">
        <f t="shared" si="0"/>
        <v>-0.79234516783569731</v>
      </c>
      <c r="K29" s="11">
        <v>0.538605</v>
      </c>
      <c r="L29" s="22">
        <f t="shared" si="1"/>
        <v>7.5410190649816147E-2</v>
      </c>
    </row>
    <row r="30" spans="2:12" x14ac:dyDescent="0.3">
      <c r="B30" s="67"/>
      <c r="C30" s="2">
        <v>16</v>
      </c>
      <c r="D30" s="1">
        <v>1</v>
      </c>
      <c r="E30" s="1">
        <v>2048</v>
      </c>
      <c r="F30" s="1">
        <v>16</v>
      </c>
      <c r="G30" s="3">
        <v>1023</v>
      </c>
      <c r="H30" s="2">
        <v>1.0082819999999999</v>
      </c>
      <c r="I30" s="1">
        <v>2.0287809999999999</v>
      </c>
      <c r="J30" s="22">
        <f t="shared" si="0"/>
        <v>-1.012116649905483</v>
      </c>
      <c r="K30" s="11">
        <v>1.028384</v>
      </c>
      <c r="L30" s="22">
        <f t="shared" si="1"/>
        <v>-1.9936882737170817E-2</v>
      </c>
    </row>
    <row r="31" spans="2:12" x14ac:dyDescent="0.3">
      <c r="B31" s="67"/>
      <c r="C31" s="2">
        <v>16</v>
      </c>
      <c r="D31" s="1">
        <v>1</v>
      </c>
      <c r="E31" s="1">
        <v>2048</v>
      </c>
      <c r="F31" s="1">
        <v>16</v>
      </c>
      <c r="G31" s="3">
        <v>2047</v>
      </c>
      <c r="H31" s="2">
        <v>1.9246589999999999</v>
      </c>
      <c r="I31" s="1">
        <v>3.9931709999999998</v>
      </c>
      <c r="J31" s="22">
        <f t="shared" si="0"/>
        <v>-1.0747420711928712</v>
      </c>
      <c r="K31" s="11">
        <v>2.0096959999999999</v>
      </c>
      <c r="L31" s="22">
        <f t="shared" si="1"/>
        <v>-4.4182891618723123E-2</v>
      </c>
    </row>
    <row r="32" spans="2:12" x14ac:dyDescent="0.3">
      <c r="B32" s="67"/>
      <c r="C32" s="2">
        <v>16</v>
      </c>
      <c r="D32" s="1">
        <v>1</v>
      </c>
      <c r="E32" s="1">
        <v>2048</v>
      </c>
      <c r="F32" s="1">
        <v>16</v>
      </c>
      <c r="G32" s="3">
        <v>4095</v>
      </c>
      <c r="H32" s="2">
        <v>7.4108289999999997</v>
      </c>
      <c r="I32" s="1">
        <v>7.931565</v>
      </c>
      <c r="J32" s="22">
        <f t="shared" si="0"/>
        <v>-7.0266902663656164E-2</v>
      </c>
      <c r="K32" s="11">
        <v>4.0177350000000001</v>
      </c>
      <c r="L32" s="22">
        <f t="shared" si="1"/>
        <v>0.4578561993536755</v>
      </c>
    </row>
    <row r="33" spans="2:12" x14ac:dyDescent="0.3">
      <c r="B33" s="67"/>
      <c r="C33" s="2">
        <v>20</v>
      </c>
      <c r="D33" s="1">
        <v>1</v>
      </c>
      <c r="E33" s="1">
        <v>2048</v>
      </c>
      <c r="F33" s="1">
        <v>16</v>
      </c>
      <c r="G33" s="3">
        <v>1</v>
      </c>
      <c r="H33" s="2">
        <v>0.18254699999999999</v>
      </c>
      <c r="I33" s="1">
        <v>0.17966099999999999</v>
      </c>
      <c r="J33" s="22">
        <f t="shared" si="0"/>
        <v>1.5809627109730644E-2</v>
      </c>
      <c r="K33" s="11">
        <v>0.20350099999999999</v>
      </c>
      <c r="L33" s="22">
        <f t="shared" si="1"/>
        <v>-0.11478687680432985</v>
      </c>
    </row>
    <row r="34" spans="2:12" x14ac:dyDescent="0.3">
      <c r="B34" s="67"/>
      <c r="C34" s="2">
        <v>20</v>
      </c>
      <c r="D34" s="1">
        <v>1</v>
      </c>
      <c r="E34" s="1">
        <v>2048</v>
      </c>
      <c r="F34" s="1">
        <v>16</v>
      </c>
      <c r="G34" s="3">
        <v>127</v>
      </c>
      <c r="H34" s="2">
        <v>0.23161599999999999</v>
      </c>
      <c r="I34" s="1">
        <v>0.36005799999999999</v>
      </c>
      <c r="J34" s="22">
        <f t="shared" si="0"/>
        <v>-0.55454718154186244</v>
      </c>
      <c r="K34" s="11">
        <v>0.20328299999999999</v>
      </c>
      <c r="L34" s="22">
        <f t="shared" si="1"/>
        <v>0.12232747305885604</v>
      </c>
    </row>
    <row r="35" spans="2:12" x14ac:dyDescent="0.3">
      <c r="B35" s="67"/>
      <c r="C35" s="2">
        <v>20</v>
      </c>
      <c r="D35" s="1">
        <v>1</v>
      </c>
      <c r="E35" s="1">
        <v>2048</v>
      </c>
      <c r="F35" s="1">
        <v>16</v>
      </c>
      <c r="G35" s="3">
        <v>255</v>
      </c>
      <c r="H35" s="2">
        <v>0.39157799999999998</v>
      </c>
      <c r="I35" s="1">
        <v>0.67991699999999999</v>
      </c>
      <c r="J35" s="22">
        <f t="shared" si="0"/>
        <v>-0.73635137826946362</v>
      </c>
      <c r="K35" s="11">
        <v>0.37118699999999999</v>
      </c>
      <c r="L35" s="22">
        <f t="shared" si="1"/>
        <v>5.2073916307862018E-2</v>
      </c>
    </row>
    <row r="36" spans="2:12" x14ac:dyDescent="0.3">
      <c r="B36" s="67"/>
      <c r="C36" s="2">
        <v>20</v>
      </c>
      <c r="D36" s="1">
        <v>1</v>
      </c>
      <c r="E36" s="1">
        <v>2048</v>
      </c>
      <c r="F36" s="1">
        <v>16</v>
      </c>
      <c r="G36" s="3">
        <v>511</v>
      </c>
      <c r="H36" s="2">
        <v>0.67406699999999997</v>
      </c>
      <c r="I36" s="1">
        <v>1.3045439999999999</v>
      </c>
      <c r="J36" s="22">
        <f t="shared" si="0"/>
        <v>-0.93533283783362775</v>
      </c>
      <c r="K36" s="11">
        <v>0.68017899999999998</v>
      </c>
      <c r="L36" s="22">
        <f t="shared" si="1"/>
        <v>-9.0673479045851619E-3</v>
      </c>
    </row>
    <row r="37" spans="2:12" x14ac:dyDescent="0.3">
      <c r="B37" s="67"/>
      <c r="C37" s="2">
        <v>20</v>
      </c>
      <c r="D37" s="1">
        <v>1</v>
      </c>
      <c r="E37" s="1">
        <v>2048</v>
      </c>
      <c r="F37" s="1">
        <v>16</v>
      </c>
      <c r="G37" s="3">
        <v>1023</v>
      </c>
      <c r="H37" s="2">
        <v>1.253997</v>
      </c>
      <c r="I37" s="1">
        <v>2.542138</v>
      </c>
      <c r="J37" s="22">
        <f t="shared" si="0"/>
        <v>-1.0272281353145183</v>
      </c>
      <c r="K37" s="11">
        <v>1.311795</v>
      </c>
      <c r="L37" s="22">
        <f t="shared" si="1"/>
        <v>-4.6091019356505648E-2</v>
      </c>
    </row>
    <row r="38" spans="2:12" x14ac:dyDescent="0.3">
      <c r="B38" s="67"/>
      <c r="C38" s="2">
        <v>20</v>
      </c>
      <c r="D38" s="1">
        <v>1</v>
      </c>
      <c r="E38" s="1">
        <v>2048</v>
      </c>
      <c r="F38" s="1">
        <v>16</v>
      </c>
      <c r="G38" s="3">
        <v>2047</v>
      </c>
      <c r="H38" s="2">
        <v>2.4246340000000002</v>
      </c>
      <c r="I38" s="1">
        <v>5.026656</v>
      </c>
      <c r="J38" s="22">
        <f t="shared" si="0"/>
        <v>-1.0731607327126484</v>
      </c>
      <c r="K38" s="11">
        <v>2.551898</v>
      </c>
      <c r="L38" s="22">
        <f t="shared" si="1"/>
        <v>-5.2487921888416895E-2</v>
      </c>
    </row>
    <row r="39" spans="2:12" ht="14.5" thickBot="1" x14ac:dyDescent="0.35">
      <c r="B39" s="68"/>
      <c r="C39" s="7">
        <v>20</v>
      </c>
      <c r="D39" s="8">
        <v>1</v>
      </c>
      <c r="E39" s="8">
        <v>2048</v>
      </c>
      <c r="F39" s="8">
        <v>16</v>
      </c>
      <c r="G39" s="9">
        <v>4095</v>
      </c>
      <c r="H39" s="7">
        <v>4.753139</v>
      </c>
      <c r="I39" s="8">
        <v>9.9919100000000007</v>
      </c>
      <c r="J39" s="23">
        <f t="shared" si="0"/>
        <v>-1.1021707970248715</v>
      </c>
      <c r="K39" s="12">
        <v>5.2496580000000002</v>
      </c>
      <c r="L39" s="23">
        <f t="shared" si="1"/>
        <v>-0.10446128337504966</v>
      </c>
    </row>
  </sheetData>
  <mergeCells count="1">
    <mergeCell ref="B5:B3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2"/>
  <sheetViews>
    <sheetView zoomScale="80" zoomScaleNormal="80" workbookViewId="0">
      <selection activeCell="M53" sqref="M53"/>
    </sheetView>
  </sheetViews>
  <sheetFormatPr defaultRowHeight="14" x14ac:dyDescent="0.3"/>
  <cols>
    <col min="6" max="6" width="9" customWidth="1"/>
    <col min="7" max="7" width="14.83203125" customWidth="1"/>
    <col min="8" max="8" width="27.83203125" bestFit="1" customWidth="1"/>
  </cols>
  <sheetData>
    <row r="2" spans="2:8" ht="14.5" thickBot="1" x14ac:dyDescent="0.35"/>
    <row r="3" spans="2:8" ht="14.5" thickBot="1" x14ac:dyDescent="0.35">
      <c r="C3" s="78" t="s">
        <v>7</v>
      </c>
      <c r="D3" s="79"/>
      <c r="E3" s="79"/>
      <c r="F3" s="79"/>
      <c r="G3" s="79"/>
      <c r="H3" s="79"/>
    </row>
    <row r="4" spans="2:8" x14ac:dyDescent="0.3">
      <c r="B4" s="81" t="s">
        <v>7</v>
      </c>
      <c r="C4" s="4" t="s">
        <v>1</v>
      </c>
      <c r="D4" s="5" t="s">
        <v>2</v>
      </c>
      <c r="E4" s="5" t="s">
        <v>0</v>
      </c>
      <c r="F4" s="5" t="s">
        <v>3</v>
      </c>
      <c r="G4" s="5" t="s">
        <v>863</v>
      </c>
      <c r="H4" s="14" t="s">
        <v>864</v>
      </c>
    </row>
    <row r="5" spans="2:8" x14ac:dyDescent="0.3">
      <c r="B5" s="81"/>
      <c r="C5" s="2">
        <v>1</v>
      </c>
      <c r="D5" s="1">
        <v>135</v>
      </c>
      <c r="E5" s="1">
        <v>4096</v>
      </c>
      <c r="F5" s="1">
        <v>16</v>
      </c>
      <c r="G5" s="1" t="s">
        <v>755</v>
      </c>
      <c r="H5" s="15" t="s">
        <v>869</v>
      </c>
    </row>
    <row r="6" spans="2:8" x14ac:dyDescent="0.3">
      <c r="B6" s="81"/>
      <c r="C6" s="2">
        <v>1</v>
      </c>
      <c r="D6" s="1">
        <v>135</v>
      </c>
      <c r="E6" s="1">
        <v>4096</v>
      </c>
      <c r="F6" s="1">
        <v>16</v>
      </c>
      <c r="G6" s="1" t="s">
        <v>756</v>
      </c>
      <c r="H6" s="15" t="s">
        <v>865</v>
      </c>
    </row>
    <row r="7" spans="2:8" x14ac:dyDescent="0.3">
      <c r="B7" s="81"/>
      <c r="C7" s="2">
        <v>1</v>
      </c>
      <c r="D7" s="1">
        <v>135</v>
      </c>
      <c r="E7" s="1">
        <v>2048</v>
      </c>
      <c r="F7" s="1">
        <v>16</v>
      </c>
      <c r="G7" s="1" t="s">
        <v>757</v>
      </c>
      <c r="H7" s="15" t="s">
        <v>866</v>
      </c>
    </row>
    <row r="8" spans="2:8" x14ac:dyDescent="0.3">
      <c r="B8" s="81"/>
      <c r="C8" s="2">
        <v>1</v>
      </c>
      <c r="D8" s="1">
        <v>135</v>
      </c>
      <c r="E8" s="1">
        <v>5120</v>
      </c>
      <c r="F8" s="1">
        <v>16</v>
      </c>
      <c r="G8" s="1" t="s">
        <v>758</v>
      </c>
      <c r="H8" s="15" t="s">
        <v>867</v>
      </c>
    </row>
    <row r="9" spans="2:8" x14ac:dyDescent="0.3">
      <c r="B9" s="81"/>
      <c r="C9" s="2">
        <v>1</v>
      </c>
      <c r="D9" s="1">
        <v>135</v>
      </c>
      <c r="E9" s="1">
        <v>2560</v>
      </c>
      <c r="F9" s="1">
        <v>16</v>
      </c>
      <c r="G9" s="1" t="s">
        <v>759</v>
      </c>
      <c r="H9" s="15" t="s">
        <v>868</v>
      </c>
    </row>
    <row r="10" spans="2:8" x14ac:dyDescent="0.3">
      <c r="B10" s="81"/>
      <c r="C10" s="2">
        <v>1</v>
      </c>
      <c r="D10" s="1">
        <v>135</v>
      </c>
      <c r="E10" s="1">
        <v>2048</v>
      </c>
      <c r="F10" s="1">
        <v>16</v>
      </c>
      <c r="G10" s="1" t="s">
        <v>760</v>
      </c>
      <c r="H10" s="15" t="s">
        <v>866</v>
      </c>
    </row>
    <row r="11" spans="2:8" x14ac:dyDescent="0.3">
      <c r="B11" s="81"/>
      <c r="C11" s="2">
        <v>1</v>
      </c>
      <c r="D11" s="1">
        <v>511</v>
      </c>
      <c r="E11" s="1">
        <v>4096</v>
      </c>
      <c r="F11" s="1">
        <v>16</v>
      </c>
      <c r="G11" s="1" t="s">
        <v>761</v>
      </c>
      <c r="H11" s="15" t="s">
        <v>869</v>
      </c>
    </row>
    <row r="12" spans="2:8" x14ac:dyDescent="0.3">
      <c r="B12" s="81"/>
      <c r="C12" s="2">
        <v>1</v>
      </c>
      <c r="D12" s="1">
        <v>511</v>
      </c>
      <c r="E12" s="1">
        <v>4096</v>
      </c>
      <c r="F12" s="1">
        <v>16</v>
      </c>
      <c r="G12" s="1" t="s">
        <v>762</v>
      </c>
      <c r="H12" s="15" t="s">
        <v>865</v>
      </c>
    </row>
    <row r="13" spans="2:8" x14ac:dyDescent="0.3">
      <c r="B13" s="81"/>
      <c r="C13" s="2">
        <v>1</v>
      </c>
      <c r="D13" s="1">
        <v>511</v>
      </c>
      <c r="E13" s="1">
        <v>2048</v>
      </c>
      <c r="F13" s="1">
        <v>16</v>
      </c>
      <c r="G13" s="1" t="s">
        <v>763</v>
      </c>
      <c r="H13" s="15" t="s">
        <v>866</v>
      </c>
    </row>
    <row r="14" spans="2:8" x14ac:dyDescent="0.3">
      <c r="B14" s="81"/>
      <c r="C14" s="2">
        <v>1</v>
      </c>
      <c r="D14" s="1">
        <v>511</v>
      </c>
      <c r="E14" s="1">
        <v>5120</v>
      </c>
      <c r="F14" s="1">
        <v>16</v>
      </c>
      <c r="G14" s="1" t="s">
        <v>764</v>
      </c>
      <c r="H14" s="15" t="s">
        <v>867</v>
      </c>
    </row>
    <row r="15" spans="2:8" x14ac:dyDescent="0.3">
      <c r="B15" s="81"/>
      <c r="C15" s="2">
        <v>1</v>
      </c>
      <c r="D15" s="1">
        <v>511</v>
      </c>
      <c r="E15" s="1">
        <v>2560</v>
      </c>
      <c r="F15" s="1">
        <v>16</v>
      </c>
      <c r="G15" s="1" t="s">
        <v>765</v>
      </c>
      <c r="H15" s="15" t="s">
        <v>868</v>
      </c>
    </row>
    <row r="16" spans="2:8" x14ac:dyDescent="0.3">
      <c r="B16" s="81"/>
      <c r="C16" s="2">
        <v>1</v>
      </c>
      <c r="D16" s="1">
        <v>511</v>
      </c>
      <c r="E16" s="1">
        <v>2048</v>
      </c>
      <c r="F16" s="1">
        <v>16</v>
      </c>
      <c r="G16" s="1" t="s">
        <v>766</v>
      </c>
      <c r="H16" s="15" t="s">
        <v>866</v>
      </c>
    </row>
    <row r="17" spans="2:8" x14ac:dyDescent="0.3">
      <c r="B17" s="81"/>
      <c r="C17" s="2">
        <v>1</v>
      </c>
      <c r="D17" s="1">
        <v>1024</v>
      </c>
      <c r="E17" s="1">
        <v>4096</v>
      </c>
      <c r="F17" s="1">
        <v>16</v>
      </c>
      <c r="G17" s="1" t="s">
        <v>767</v>
      </c>
      <c r="H17" s="15" t="s">
        <v>869</v>
      </c>
    </row>
    <row r="18" spans="2:8" x14ac:dyDescent="0.3">
      <c r="B18" s="81"/>
      <c r="C18" s="2">
        <v>1</v>
      </c>
      <c r="D18" s="1">
        <v>1024</v>
      </c>
      <c r="E18" s="1">
        <v>4096</v>
      </c>
      <c r="F18" s="1">
        <v>16</v>
      </c>
      <c r="G18" s="1" t="s">
        <v>768</v>
      </c>
      <c r="H18" s="15" t="s">
        <v>865</v>
      </c>
    </row>
    <row r="19" spans="2:8" x14ac:dyDescent="0.3">
      <c r="B19" s="81"/>
      <c r="C19" s="2">
        <v>1</v>
      </c>
      <c r="D19" s="1">
        <v>1024</v>
      </c>
      <c r="E19" s="1">
        <v>2048</v>
      </c>
      <c r="F19" s="1">
        <v>16</v>
      </c>
      <c r="G19" s="1" t="s">
        <v>769</v>
      </c>
      <c r="H19" s="15" t="s">
        <v>866</v>
      </c>
    </row>
    <row r="20" spans="2:8" x14ac:dyDescent="0.3">
      <c r="B20" s="81"/>
      <c r="C20" s="2">
        <v>1</v>
      </c>
      <c r="D20" s="1">
        <v>1024</v>
      </c>
      <c r="E20" s="1">
        <v>5120</v>
      </c>
      <c r="F20" s="1">
        <v>16</v>
      </c>
      <c r="G20" s="1" t="s">
        <v>770</v>
      </c>
      <c r="H20" s="15" t="s">
        <v>867</v>
      </c>
    </row>
    <row r="21" spans="2:8" x14ac:dyDescent="0.3">
      <c r="B21" s="81"/>
      <c r="C21" s="2">
        <v>1</v>
      </c>
      <c r="D21" s="1">
        <v>1024</v>
      </c>
      <c r="E21" s="1">
        <v>2560</v>
      </c>
      <c r="F21" s="1">
        <v>16</v>
      </c>
      <c r="G21" s="1" t="s">
        <v>771</v>
      </c>
      <c r="H21" s="15" t="s">
        <v>868</v>
      </c>
    </row>
    <row r="22" spans="2:8" x14ac:dyDescent="0.3">
      <c r="B22" s="81"/>
      <c r="C22" s="2">
        <v>1</v>
      </c>
      <c r="D22" s="1">
        <v>1024</v>
      </c>
      <c r="E22" s="1">
        <v>2048</v>
      </c>
      <c r="F22" s="1">
        <v>16</v>
      </c>
      <c r="G22" s="1" t="s">
        <v>772</v>
      </c>
      <c r="H22" s="15" t="s">
        <v>866</v>
      </c>
    </row>
    <row r="23" spans="2:8" x14ac:dyDescent="0.3">
      <c r="B23" s="81"/>
      <c r="C23" s="2">
        <v>8</v>
      </c>
      <c r="D23" s="1">
        <v>128</v>
      </c>
      <c r="E23" s="1">
        <v>4096</v>
      </c>
      <c r="F23" s="1">
        <v>16</v>
      </c>
      <c r="G23" s="1" t="s">
        <v>773</v>
      </c>
      <c r="H23" s="15" t="s">
        <v>869</v>
      </c>
    </row>
    <row r="24" spans="2:8" x14ac:dyDescent="0.3">
      <c r="B24" s="81"/>
      <c r="C24" s="2">
        <v>8</v>
      </c>
      <c r="D24" s="1">
        <v>128</v>
      </c>
      <c r="E24" s="1">
        <v>4096</v>
      </c>
      <c r="F24" s="1">
        <v>16</v>
      </c>
      <c r="G24" s="1" t="s">
        <v>774</v>
      </c>
      <c r="H24" s="15" t="s">
        <v>865</v>
      </c>
    </row>
    <row r="25" spans="2:8" x14ac:dyDescent="0.3">
      <c r="B25" s="81"/>
      <c r="C25" s="2">
        <v>8</v>
      </c>
      <c r="D25" s="1">
        <v>128</v>
      </c>
      <c r="E25" s="1">
        <v>2048</v>
      </c>
      <c r="F25" s="1">
        <v>16</v>
      </c>
      <c r="G25" s="1" t="s">
        <v>775</v>
      </c>
      <c r="H25" s="15" t="s">
        <v>866</v>
      </c>
    </row>
    <row r="26" spans="2:8" x14ac:dyDescent="0.3">
      <c r="B26" s="81"/>
      <c r="C26" s="2">
        <v>8</v>
      </c>
      <c r="D26" s="1">
        <v>128</v>
      </c>
      <c r="E26" s="1">
        <v>5120</v>
      </c>
      <c r="F26" s="1">
        <v>16</v>
      </c>
      <c r="G26" s="1" t="s">
        <v>776</v>
      </c>
      <c r="H26" s="15" t="s">
        <v>867</v>
      </c>
    </row>
    <row r="27" spans="2:8" x14ac:dyDescent="0.3">
      <c r="B27" s="81"/>
      <c r="C27" s="2">
        <v>8</v>
      </c>
      <c r="D27" s="1">
        <v>128</v>
      </c>
      <c r="E27" s="1">
        <v>2560</v>
      </c>
      <c r="F27" s="1">
        <v>16</v>
      </c>
      <c r="G27" s="1" t="s">
        <v>777</v>
      </c>
      <c r="H27" s="15" t="s">
        <v>868</v>
      </c>
    </row>
    <row r="28" spans="2:8" x14ac:dyDescent="0.3">
      <c r="B28" s="81"/>
      <c r="C28" s="2">
        <v>8</v>
      </c>
      <c r="D28" s="1">
        <v>128</v>
      </c>
      <c r="E28" s="1">
        <v>2048</v>
      </c>
      <c r="F28" s="1">
        <v>16</v>
      </c>
      <c r="G28" s="1" t="s">
        <v>778</v>
      </c>
      <c r="H28" s="15" t="s">
        <v>866</v>
      </c>
    </row>
    <row r="29" spans="2:8" x14ac:dyDescent="0.3">
      <c r="B29" s="81"/>
      <c r="C29" s="2">
        <v>8</v>
      </c>
      <c r="D29" s="1">
        <v>511</v>
      </c>
      <c r="E29" s="1">
        <v>4096</v>
      </c>
      <c r="F29" s="1">
        <v>16</v>
      </c>
      <c r="G29" s="1" t="s">
        <v>779</v>
      </c>
      <c r="H29" s="15" t="s">
        <v>869</v>
      </c>
    </row>
    <row r="30" spans="2:8" x14ac:dyDescent="0.3">
      <c r="B30" s="81"/>
      <c r="C30" s="2">
        <v>8</v>
      </c>
      <c r="D30" s="1">
        <v>511</v>
      </c>
      <c r="E30" s="1">
        <v>4096</v>
      </c>
      <c r="F30" s="1">
        <v>16</v>
      </c>
      <c r="G30" s="1" t="s">
        <v>780</v>
      </c>
      <c r="H30" s="15" t="s">
        <v>865</v>
      </c>
    </row>
    <row r="31" spans="2:8" x14ac:dyDescent="0.3">
      <c r="B31" s="81"/>
      <c r="C31" s="2">
        <v>8</v>
      </c>
      <c r="D31" s="1">
        <v>511</v>
      </c>
      <c r="E31" s="1">
        <v>2048</v>
      </c>
      <c r="F31" s="1">
        <v>16</v>
      </c>
      <c r="G31" s="1" t="s">
        <v>781</v>
      </c>
      <c r="H31" s="15" t="s">
        <v>866</v>
      </c>
    </row>
    <row r="32" spans="2:8" x14ac:dyDescent="0.3">
      <c r="B32" s="81"/>
      <c r="C32" s="2">
        <v>8</v>
      </c>
      <c r="D32" s="1">
        <v>511</v>
      </c>
      <c r="E32" s="1">
        <v>5120</v>
      </c>
      <c r="F32" s="1">
        <v>16</v>
      </c>
      <c r="G32" s="1" t="s">
        <v>782</v>
      </c>
      <c r="H32" s="15" t="s">
        <v>867</v>
      </c>
    </row>
    <row r="33" spans="2:8" x14ac:dyDescent="0.3">
      <c r="B33" s="81"/>
      <c r="C33" s="2">
        <v>8</v>
      </c>
      <c r="D33" s="1">
        <v>511</v>
      </c>
      <c r="E33" s="1">
        <v>2560</v>
      </c>
      <c r="F33" s="1">
        <v>16</v>
      </c>
      <c r="G33" s="1" t="s">
        <v>783</v>
      </c>
      <c r="H33" s="15" t="s">
        <v>868</v>
      </c>
    </row>
    <row r="34" spans="2:8" x14ac:dyDescent="0.3">
      <c r="B34" s="81"/>
      <c r="C34" s="2">
        <v>8</v>
      </c>
      <c r="D34" s="1">
        <v>511</v>
      </c>
      <c r="E34" s="1">
        <v>2048</v>
      </c>
      <c r="F34" s="1">
        <v>16</v>
      </c>
      <c r="G34" s="1" t="s">
        <v>784</v>
      </c>
      <c r="H34" s="15" t="s">
        <v>866</v>
      </c>
    </row>
    <row r="35" spans="2:8" x14ac:dyDescent="0.3">
      <c r="B35" s="81"/>
      <c r="C35" s="2">
        <v>16</v>
      </c>
      <c r="D35" s="1">
        <v>96</v>
      </c>
      <c r="E35" s="1">
        <v>4096</v>
      </c>
      <c r="F35" s="1">
        <v>16</v>
      </c>
      <c r="G35" s="1" t="s">
        <v>785</v>
      </c>
      <c r="H35" s="15" t="s">
        <v>869</v>
      </c>
    </row>
    <row r="36" spans="2:8" x14ac:dyDescent="0.3">
      <c r="B36" s="81"/>
      <c r="C36" s="2">
        <v>16</v>
      </c>
      <c r="D36" s="1">
        <v>96</v>
      </c>
      <c r="E36" s="1">
        <v>4096</v>
      </c>
      <c r="F36" s="1">
        <v>16</v>
      </c>
      <c r="G36" s="1" t="s">
        <v>786</v>
      </c>
      <c r="H36" s="15" t="s">
        <v>865</v>
      </c>
    </row>
    <row r="37" spans="2:8" x14ac:dyDescent="0.3">
      <c r="B37" s="81"/>
      <c r="C37" s="2">
        <v>16</v>
      </c>
      <c r="D37" s="1">
        <v>96</v>
      </c>
      <c r="E37" s="1">
        <v>2048</v>
      </c>
      <c r="F37" s="1">
        <v>16</v>
      </c>
      <c r="G37" s="1" t="s">
        <v>787</v>
      </c>
      <c r="H37" s="15" t="s">
        <v>866</v>
      </c>
    </row>
    <row r="38" spans="2:8" x14ac:dyDescent="0.3">
      <c r="B38" s="81"/>
      <c r="C38" s="2">
        <v>16</v>
      </c>
      <c r="D38" s="1">
        <v>96</v>
      </c>
      <c r="E38" s="1">
        <v>5120</v>
      </c>
      <c r="F38" s="1">
        <v>16</v>
      </c>
      <c r="G38" s="1" t="s">
        <v>788</v>
      </c>
      <c r="H38" s="15" t="s">
        <v>867</v>
      </c>
    </row>
    <row r="39" spans="2:8" x14ac:dyDescent="0.3">
      <c r="B39" s="81"/>
      <c r="C39" s="2">
        <v>16</v>
      </c>
      <c r="D39" s="1">
        <v>96</v>
      </c>
      <c r="E39" s="1">
        <v>2560</v>
      </c>
      <c r="F39" s="1">
        <v>16</v>
      </c>
      <c r="G39" s="1" t="s">
        <v>789</v>
      </c>
      <c r="H39" s="15" t="s">
        <v>868</v>
      </c>
    </row>
    <row r="40" spans="2:8" x14ac:dyDescent="0.3">
      <c r="B40" s="81"/>
      <c r="C40" s="2">
        <v>16</v>
      </c>
      <c r="D40" s="1">
        <v>96</v>
      </c>
      <c r="E40" s="1">
        <v>2048</v>
      </c>
      <c r="F40" s="1">
        <v>16</v>
      </c>
      <c r="G40" s="1" t="s">
        <v>790</v>
      </c>
      <c r="H40" s="15" t="s">
        <v>866</v>
      </c>
    </row>
    <row r="41" spans="2:8" x14ac:dyDescent="0.3">
      <c r="B41" s="81"/>
      <c r="C41" s="2">
        <v>16</v>
      </c>
      <c r="D41" s="1">
        <v>511</v>
      </c>
      <c r="E41" s="1">
        <v>4096</v>
      </c>
      <c r="F41" s="1">
        <v>16</v>
      </c>
      <c r="G41" s="1" t="s">
        <v>791</v>
      </c>
      <c r="H41" s="15" t="s">
        <v>869</v>
      </c>
    </row>
    <row r="42" spans="2:8" x14ac:dyDescent="0.3">
      <c r="B42" s="81"/>
      <c r="C42" s="2">
        <v>16</v>
      </c>
      <c r="D42" s="1">
        <v>511</v>
      </c>
      <c r="E42" s="1">
        <v>4096</v>
      </c>
      <c r="F42" s="1">
        <v>16</v>
      </c>
      <c r="G42" s="1" t="s">
        <v>792</v>
      </c>
      <c r="H42" s="15" t="s">
        <v>865</v>
      </c>
    </row>
    <row r="43" spans="2:8" x14ac:dyDescent="0.3">
      <c r="B43" s="81"/>
      <c r="C43" s="2">
        <v>16</v>
      </c>
      <c r="D43" s="1">
        <v>511</v>
      </c>
      <c r="E43" s="1">
        <v>2048</v>
      </c>
      <c r="F43" s="1">
        <v>16</v>
      </c>
      <c r="G43" s="1" t="s">
        <v>793</v>
      </c>
      <c r="H43" s="15" t="s">
        <v>866</v>
      </c>
    </row>
    <row r="44" spans="2:8" x14ac:dyDescent="0.3">
      <c r="B44" s="81"/>
      <c r="C44" s="2">
        <v>16</v>
      </c>
      <c r="D44" s="1">
        <v>511</v>
      </c>
      <c r="E44" s="1">
        <v>5120</v>
      </c>
      <c r="F44" s="1">
        <v>16</v>
      </c>
      <c r="G44" s="1" t="s">
        <v>794</v>
      </c>
      <c r="H44" s="15" t="s">
        <v>867</v>
      </c>
    </row>
    <row r="45" spans="2:8" x14ac:dyDescent="0.3">
      <c r="B45" s="81"/>
      <c r="C45" s="2">
        <v>16</v>
      </c>
      <c r="D45" s="1">
        <v>511</v>
      </c>
      <c r="E45" s="1">
        <v>2560</v>
      </c>
      <c r="F45" s="1">
        <v>16</v>
      </c>
      <c r="G45" s="1" t="s">
        <v>795</v>
      </c>
      <c r="H45" s="15" t="s">
        <v>868</v>
      </c>
    </row>
    <row r="46" spans="2:8" x14ac:dyDescent="0.3">
      <c r="B46" s="81"/>
      <c r="C46" s="2">
        <v>16</v>
      </c>
      <c r="D46" s="1">
        <v>511</v>
      </c>
      <c r="E46" s="1">
        <v>2048</v>
      </c>
      <c r="F46" s="1">
        <v>16</v>
      </c>
      <c r="G46" s="1" t="s">
        <v>796</v>
      </c>
      <c r="H46" s="15" t="s">
        <v>866</v>
      </c>
    </row>
    <row r="47" spans="2:8" x14ac:dyDescent="0.3">
      <c r="B47" s="81"/>
      <c r="C47" s="2">
        <v>16</v>
      </c>
      <c r="D47" s="1">
        <v>1024</v>
      </c>
      <c r="E47" s="1">
        <v>4096</v>
      </c>
      <c r="F47" s="1">
        <v>16</v>
      </c>
      <c r="G47" s="1" t="s">
        <v>797</v>
      </c>
      <c r="H47" s="15" t="s">
        <v>869</v>
      </c>
    </row>
    <row r="48" spans="2:8" x14ac:dyDescent="0.3">
      <c r="B48" s="81"/>
      <c r="C48" s="2">
        <v>16</v>
      </c>
      <c r="D48" s="1">
        <v>1024</v>
      </c>
      <c r="E48" s="1">
        <v>4096</v>
      </c>
      <c r="F48" s="1">
        <v>16</v>
      </c>
      <c r="G48" s="1" t="s">
        <v>798</v>
      </c>
      <c r="H48" s="15" t="s">
        <v>865</v>
      </c>
    </row>
    <row r="49" spans="2:8" x14ac:dyDescent="0.3">
      <c r="B49" s="81"/>
      <c r="C49" s="2">
        <v>16</v>
      </c>
      <c r="D49" s="1">
        <v>1024</v>
      </c>
      <c r="E49" s="1">
        <v>2048</v>
      </c>
      <c r="F49" s="1">
        <v>16</v>
      </c>
      <c r="G49" s="1" t="s">
        <v>799</v>
      </c>
      <c r="H49" s="15" t="s">
        <v>866</v>
      </c>
    </row>
    <row r="50" spans="2:8" x14ac:dyDescent="0.3">
      <c r="B50" s="81"/>
      <c r="C50" s="2">
        <v>16</v>
      </c>
      <c r="D50" s="1">
        <v>1024</v>
      </c>
      <c r="E50" s="1">
        <v>5120</v>
      </c>
      <c r="F50" s="1">
        <v>16</v>
      </c>
      <c r="G50" s="1" t="s">
        <v>800</v>
      </c>
      <c r="H50" s="15" t="s">
        <v>867</v>
      </c>
    </row>
    <row r="51" spans="2:8" x14ac:dyDescent="0.3">
      <c r="B51" s="81"/>
      <c r="C51" s="2">
        <v>16</v>
      </c>
      <c r="D51" s="1">
        <v>1024</v>
      </c>
      <c r="E51" s="1">
        <v>2560</v>
      </c>
      <c r="F51" s="1">
        <v>16</v>
      </c>
      <c r="G51" s="1" t="s">
        <v>801</v>
      </c>
      <c r="H51" s="15" t="s">
        <v>868</v>
      </c>
    </row>
    <row r="52" spans="2:8" x14ac:dyDescent="0.3">
      <c r="B52" s="81"/>
      <c r="C52" s="2">
        <v>16</v>
      </c>
      <c r="D52" s="1">
        <v>1024</v>
      </c>
      <c r="E52" s="1">
        <v>2048</v>
      </c>
      <c r="F52" s="1">
        <v>16</v>
      </c>
      <c r="G52" s="1" t="s">
        <v>802</v>
      </c>
      <c r="H52" s="15" t="s">
        <v>866</v>
      </c>
    </row>
    <row r="53" spans="2:8" x14ac:dyDescent="0.3">
      <c r="B53" s="81"/>
      <c r="C53" s="2">
        <v>20</v>
      </c>
      <c r="D53" s="1">
        <v>512</v>
      </c>
      <c r="E53" s="1">
        <v>4096</v>
      </c>
      <c r="F53" s="1">
        <v>16</v>
      </c>
      <c r="G53" s="1" t="s">
        <v>803</v>
      </c>
      <c r="H53" s="15" t="s">
        <v>869</v>
      </c>
    </row>
    <row r="54" spans="2:8" x14ac:dyDescent="0.3">
      <c r="B54" s="81"/>
      <c r="C54" s="2">
        <v>20</v>
      </c>
      <c r="D54" s="1">
        <v>512</v>
      </c>
      <c r="E54" s="1">
        <v>4096</v>
      </c>
      <c r="F54" s="1">
        <v>16</v>
      </c>
      <c r="G54" s="1" t="s">
        <v>804</v>
      </c>
      <c r="H54" s="15" t="s">
        <v>865</v>
      </c>
    </row>
    <row r="55" spans="2:8" x14ac:dyDescent="0.3">
      <c r="B55" s="81"/>
      <c r="C55" s="2">
        <v>20</v>
      </c>
      <c r="D55" s="1">
        <v>512</v>
      </c>
      <c r="E55" s="1">
        <v>2048</v>
      </c>
      <c r="F55" s="1">
        <v>16</v>
      </c>
      <c r="G55" s="1" t="s">
        <v>805</v>
      </c>
      <c r="H55" s="15" t="s">
        <v>866</v>
      </c>
    </row>
    <row r="56" spans="2:8" x14ac:dyDescent="0.3">
      <c r="B56" s="81"/>
      <c r="C56" s="2">
        <v>20</v>
      </c>
      <c r="D56" s="1">
        <v>512</v>
      </c>
      <c r="E56" s="1">
        <v>5120</v>
      </c>
      <c r="F56" s="1">
        <v>16</v>
      </c>
      <c r="G56" s="1" t="s">
        <v>806</v>
      </c>
      <c r="H56" s="15" t="s">
        <v>867</v>
      </c>
    </row>
    <row r="57" spans="2:8" x14ac:dyDescent="0.3">
      <c r="B57" s="81"/>
      <c r="C57" s="2">
        <v>20</v>
      </c>
      <c r="D57" s="1">
        <v>512</v>
      </c>
      <c r="E57" s="1">
        <v>2560</v>
      </c>
      <c r="F57" s="1">
        <v>16</v>
      </c>
      <c r="G57" s="1" t="s">
        <v>807</v>
      </c>
      <c r="H57" s="15" t="s">
        <v>868</v>
      </c>
    </row>
    <row r="58" spans="2:8" ht="14.5" thickBot="1" x14ac:dyDescent="0.35">
      <c r="B58" s="81"/>
      <c r="C58" s="7">
        <v>20</v>
      </c>
      <c r="D58" s="8">
        <v>512</v>
      </c>
      <c r="E58" s="8">
        <v>2048</v>
      </c>
      <c r="F58" s="8">
        <v>16</v>
      </c>
      <c r="G58" s="8" t="s">
        <v>808</v>
      </c>
      <c r="H58" s="16" t="s">
        <v>866</v>
      </c>
    </row>
    <row r="59" spans="2:8" x14ac:dyDescent="0.3">
      <c r="B59" s="81" t="s">
        <v>5</v>
      </c>
      <c r="C59" s="2">
        <v>1</v>
      </c>
      <c r="D59" s="1">
        <v>135</v>
      </c>
      <c r="E59" s="1">
        <v>4096</v>
      </c>
      <c r="F59" s="1">
        <v>16</v>
      </c>
      <c r="G59" s="1" t="s">
        <v>809</v>
      </c>
      <c r="H59" s="3" t="s">
        <v>869</v>
      </c>
    </row>
    <row r="60" spans="2:8" x14ac:dyDescent="0.3">
      <c r="B60" s="81"/>
      <c r="C60" s="2">
        <v>1</v>
      </c>
      <c r="D60" s="1">
        <v>135</v>
      </c>
      <c r="E60" s="1">
        <v>4096</v>
      </c>
      <c r="F60" s="1">
        <v>16</v>
      </c>
      <c r="G60" s="1" t="s">
        <v>810</v>
      </c>
      <c r="H60" s="3" t="s">
        <v>865</v>
      </c>
    </row>
    <row r="61" spans="2:8" x14ac:dyDescent="0.3">
      <c r="B61" s="81"/>
      <c r="C61" s="2">
        <v>1</v>
      </c>
      <c r="D61" s="1">
        <v>135</v>
      </c>
      <c r="E61" s="1">
        <v>2048</v>
      </c>
      <c r="F61" s="1">
        <v>16</v>
      </c>
      <c r="G61" s="1" t="s">
        <v>811</v>
      </c>
      <c r="H61" s="3" t="s">
        <v>866</v>
      </c>
    </row>
    <row r="62" spans="2:8" x14ac:dyDescent="0.3">
      <c r="B62" s="81"/>
      <c r="C62" s="2">
        <v>1</v>
      </c>
      <c r="D62" s="1">
        <v>135</v>
      </c>
      <c r="E62" s="1">
        <v>5120</v>
      </c>
      <c r="F62" s="1">
        <v>16</v>
      </c>
      <c r="G62" s="1" t="s">
        <v>812</v>
      </c>
      <c r="H62" s="3" t="s">
        <v>867</v>
      </c>
    </row>
    <row r="63" spans="2:8" x14ac:dyDescent="0.3">
      <c r="B63" s="81"/>
      <c r="C63" s="2">
        <v>1</v>
      </c>
      <c r="D63" s="1">
        <v>135</v>
      </c>
      <c r="E63" s="1">
        <v>2560</v>
      </c>
      <c r="F63" s="1">
        <v>16</v>
      </c>
      <c r="G63" s="1" t="s">
        <v>813</v>
      </c>
      <c r="H63" s="3" t="s">
        <v>868</v>
      </c>
    </row>
    <row r="64" spans="2:8" x14ac:dyDescent="0.3">
      <c r="B64" s="81"/>
      <c r="C64" s="2">
        <v>1</v>
      </c>
      <c r="D64" s="1">
        <v>135</v>
      </c>
      <c r="E64" s="1">
        <v>2048</v>
      </c>
      <c r="F64" s="1">
        <v>16</v>
      </c>
      <c r="G64" s="1" t="s">
        <v>814</v>
      </c>
      <c r="H64" s="3" t="s">
        <v>866</v>
      </c>
    </row>
    <row r="65" spans="2:8" x14ac:dyDescent="0.3">
      <c r="B65" s="81"/>
      <c r="C65" s="2">
        <v>1</v>
      </c>
      <c r="D65" s="1">
        <v>511</v>
      </c>
      <c r="E65" s="1">
        <v>4096</v>
      </c>
      <c r="F65" s="1">
        <v>16</v>
      </c>
      <c r="G65" s="1" t="s">
        <v>815</v>
      </c>
      <c r="H65" s="3" t="s">
        <v>869</v>
      </c>
    </row>
    <row r="66" spans="2:8" x14ac:dyDescent="0.3">
      <c r="B66" s="81"/>
      <c r="C66" s="2">
        <v>1</v>
      </c>
      <c r="D66" s="1">
        <v>511</v>
      </c>
      <c r="E66" s="1">
        <v>4096</v>
      </c>
      <c r="F66" s="1">
        <v>16</v>
      </c>
      <c r="G66" s="1" t="s">
        <v>816</v>
      </c>
      <c r="H66" s="3" t="s">
        <v>865</v>
      </c>
    </row>
    <row r="67" spans="2:8" x14ac:dyDescent="0.3">
      <c r="B67" s="81"/>
      <c r="C67" s="2">
        <v>1</v>
      </c>
      <c r="D67" s="1">
        <v>511</v>
      </c>
      <c r="E67" s="1">
        <v>2048</v>
      </c>
      <c r="F67" s="1">
        <v>16</v>
      </c>
      <c r="G67" s="1" t="s">
        <v>817</v>
      </c>
      <c r="H67" s="3" t="s">
        <v>866</v>
      </c>
    </row>
    <row r="68" spans="2:8" x14ac:dyDescent="0.3">
      <c r="B68" s="81"/>
      <c r="C68" s="2">
        <v>1</v>
      </c>
      <c r="D68" s="1">
        <v>511</v>
      </c>
      <c r="E68" s="1">
        <v>5120</v>
      </c>
      <c r="F68" s="1">
        <v>16</v>
      </c>
      <c r="G68" s="1" t="s">
        <v>818</v>
      </c>
      <c r="H68" s="3" t="s">
        <v>867</v>
      </c>
    </row>
    <row r="69" spans="2:8" x14ac:dyDescent="0.3">
      <c r="B69" s="81"/>
      <c r="C69" s="2">
        <v>1</v>
      </c>
      <c r="D69" s="1">
        <v>511</v>
      </c>
      <c r="E69" s="1">
        <v>2560</v>
      </c>
      <c r="F69" s="1">
        <v>16</v>
      </c>
      <c r="G69" s="1" t="s">
        <v>819</v>
      </c>
      <c r="H69" s="3" t="s">
        <v>868</v>
      </c>
    </row>
    <row r="70" spans="2:8" x14ac:dyDescent="0.3">
      <c r="B70" s="81"/>
      <c r="C70" s="2">
        <v>1</v>
      </c>
      <c r="D70" s="1">
        <v>511</v>
      </c>
      <c r="E70" s="1">
        <v>2048</v>
      </c>
      <c r="F70" s="1">
        <v>16</v>
      </c>
      <c r="G70" s="1" t="s">
        <v>820</v>
      </c>
      <c r="H70" s="3" t="s">
        <v>866</v>
      </c>
    </row>
    <row r="71" spans="2:8" x14ac:dyDescent="0.3">
      <c r="B71" s="81"/>
      <c r="C71" s="2">
        <v>1</v>
      </c>
      <c r="D71" s="1">
        <v>1024</v>
      </c>
      <c r="E71" s="1">
        <v>4096</v>
      </c>
      <c r="F71" s="1">
        <v>16</v>
      </c>
      <c r="G71" s="1" t="s">
        <v>821</v>
      </c>
      <c r="H71" s="3" t="s">
        <v>869</v>
      </c>
    </row>
    <row r="72" spans="2:8" x14ac:dyDescent="0.3">
      <c r="B72" s="81"/>
      <c r="C72" s="2">
        <v>1</v>
      </c>
      <c r="D72" s="1">
        <v>1024</v>
      </c>
      <c r="E72" s="1">
        <v>4096</v>
      </c>
      <c r="F72" s="1">
        <v>16</v>
      </c>
      <c r="G72" s="1" t="s">
        <v>822</v>
      </c>
      <c r="H72" s="3" t="s">
        <v>865</v>
      </c>
    </row>
    <row r="73" spans="2:8" x14ac:dyDescent="0.3">
      <c r="B73" s="81"/>
      <c r="C73" s="2">
        <v>1</v>
      </c>
      <c r="D73" s="1">
        <v>1024</v>
      </c>
      <c r="E73" s="1">
        <v>2048</v>
      </c>
      <c r="F73" s="1">
        <v>16</v>
      </c>
      <c r="G73" s="1" t="s">
        <v>823</v>
      </c>
      <c r="H73" s="3" t="s">
        <v>866</v>
      </c>
    </row>
    <row r="74" spans="2:8" x14ac:dyDescent="0.3">
      <c r="B74" s="81"/>
      <c r="C74" s="2">
        <v>1</v>
      </c>
      <c r="D74" s="1">
        <v>1024</v>
      </c>
      <c r="E74" s="1">
        <v>5120</v>
      </c>
      <c r="F74" s="1">
        <v>16</v>
      </c>
      <c r="G74" s="1" t="s">
        <v>824</v>
      </c>
      <c r="H74" s="3" t="s">
        <v>867</v>
      </c>
    </row>
    <row r="75" spans="2:8" x14ac:dyDescent="0.3">
      <c r="B75" s="81"/>
      <c r="C75" s="2">
        <v>1</v>
      </c>
      <c r="D75" s="1">
        <v>1024</v>
      </c>
      <c r="E75" s="1">
        <v>2560</v>
      </c>
      <c r="F75" s="1">
        <v>16</v>
      </c>
      <c r="G75" s="1" t="s">
        <v>825</v>
      </c>
      <c r="H75" s="3" t="s">
        <v>868</v>
      </c>
    </row>
    <row r="76" spans="2:8" x14ac:dyDescent="0.3">
      <c r="B76" s="81"/>
      <c r="C76" s="2">
        <v>1</v>
      </c>
      <c r="D76" s="1">
        <v>1024</v>
      </c>
      <c r="E76" s="1">
        <v>2048</v>
      </c>
      <c r="F76" s="1">
        <v>16</v>
      </c>
      <c r="G76" s="1" t="s">
        <v>826</v>
      </c>
      <c r="H76" s="3" t="s">
        <v>866</v>
      </c>
    </row>
    <row r="77" spans="2:8" x14ac:dyDescent="0.3">
      <c r="B77" s="81"/>
      <c r="C77" s="2">
        <v>8</v>
      </c>
      <c r="D77" s="1">
        <v>128</v>
      </c>
      <c r="E77" s="1">
        <v>4096</v>
      </c>
      <c r="F77" s="1">
        <v>16</v>
      </c>
      <c r="G77" s="1" t="s">
        <v>827</v>
      </c>
      <c r="H77" s="3" t="s">
        <v>869</v>
      </c>
    </row>
    <row r="78" spans="2:8" x14ac:dyDescent="0.3">
      <c r="B78" s="81"/>
      <c r="C78" s="2">
        <v>8</v>
      </c>
      <c r="D78" s="1">
        <v>128</v>
      </c>
      <c r="E78" s="1">
        <v>4096</v>
      </c>
      <c r="F78" s="1">
        <v>16</v>
      </c>
      <c r="G78" s="1" t="s">
        <v>828</v>
      </c>
      <c r="H78" s="3" t="s">
        <v>865</v>
      </c>
    </row>
    <row r="79" spans="2:8" x14ac:dyDescent="0.3">
      <c r="B79" s="81"/>
      <c r="C79" s="2">
        <v>8</v>
      </c>
      <c r="D79" s="1">
        <v>128</v>
      </c>
      <c r="E79" s="1">
        <v>2048</v>
      </c>
      <c r="F79" s="1">
        <v>16</v>
      </c>
      <c r="G79" s="1" t="s">
        <v>829</v>
      </c>
      <c r="H79" s="3" t="s">
        <v>866</v>
      </c>
    </row>
    <row r="80" spans="2:8" x14ac:dyDescent="0.3">
      <c r="B80" s="81"/>
      <c r="C80" s="2">
        <v>8</v>
      </c>
      <c r="D80" s="1">
        <v>128</v>
      </c>
      <c r="E80" s="1">
        <v>5120</v>
      </c>
      <c r="F80" s="1">
        <v>16</v>
      </c>
      <c r="G80" s="1" t="s">
        <v>830</v>
      </c>
      <c r="H80" s="3" t="s">
        <v>867</v>
      </c>
    </row>
    <row r="81" spans="2:8" x14ac:dyDescent="0.3">
      <c r="B81" s="81"/>
      <c r="C81" s="2">
        <v>8</v>
      </c>
      <c r="D81" s="1">
        <v>128</v>
      </c>
      <c r="E81" s="1">
        <v>2560</v>
      </c>
      <c r="F81" s="1">
        <v>16</v>
      </c>
      <c r="G81" s="1" t="s">
        <v>831</v>
      </c>
      <c r="H81" s="3" t="s">
        <v>868</v>
      </c>
    </row>
    <row r="82" spans="2:8" x14ac:dyDescent="0.3">
      <c r="B82" s="81"/>
      <c r="C82" s="2">
        <v>8</v>
      </c>
      <c r="D82" s="1">
        <v>128</v>
      </c>
      <c r="E82" s="1">
        <v>2048</v>
      </c>
      <c r="F82" s="1">
        <v>16</v>
      </c>
      <c r="G82" s="1" t="s">
        <v>832</v>
      </c>
      <c r="H82" s="3" t="s">
        <v>866</v>
      </c>
    </row>
    <row r="83" spans="2:8" x14ac:dyDescent="0.3">
      <c r="B83" s="81"/>
      <c r="C83" s="2">
        <v>8</v>
      </c>
      <c r="D83" s="1">
        <v>511</v>
      </c>
      <c r="E83" s="1">
        <v>4096</v>
      </c>
      <c r="F83" s="1">
        <v>16</v>
      </c>
      <c r="G83" s="1" t="s">
        <v>833</v>
      </c>
      <c r="H83" s="3" t="s">
        <v>869</v>
      </c>
    </row>
    <row r="84" spans="2:8" x14ac:dyDescent="0.3">
      <c r="B84" s="81"/>
      <c r="C84" s="2">
        <v>8</v>
      </c>
      <c r="D84" s="1">
        <v>511</v>
      </c>
      <c r="E84" s="1">
        <v>4096</v>
      </c>
      <c r="F84" s="1">
        <v>16</v>
      </c>
      <c r="G84" s="1" t="s">
        <v>834</v>
      </c>
      <c r="H84" s="3" t="s">
        <v>865</v>
      </c>
    </row>
    <row r="85" spans="2:8" x14ac:dyDescent="0.3">
      <c r="B85" s="81"/>
      <c r="C85" s="2">
        <v>8</v>
      </c>
      <c r="D85" s="1">
        <v>511</v>
      </c>
      <c r="E85" s="1">
        <v>2048</v>
      </c>
      <c r="F85" s="1">
        <v>16</v>
      </c>
      <c r="G85" s="1" t="s">
        <v>835</v>
      </c>
      <c r="H85" s="3" t="s">
        <v>866</v>
      </c>
    </row>
    <row r="86" spans="2:8" x14ac:dyDescent="0.3">
      <c r="B86" s="81"/>
      <c r="C86" s="2">
        <v>8</v>
      </c>
      <c r="D86" s="1">
        <v>511</v>
      </c>
      <c r="E86" s="1">
        <v>5120</v>
      </c>
      <c r="F86" s="1">
        <v>16</v>
      </c>
      <c r="G86" s="1" t="s">
        <v>836</v>
      </c>
      <c r="H86" s="3" t="s">
        <v>867</v>
      </c>
    </row>
    <row r="87" spans="2:8" x14ac:dyDescent="0.3">
      <c r="B87" s="81"/>
      <c r="C87" s="2">
        <v>8</v>
      </c>
      <c r="D87" s="1">
        <v>511</v>
      </c>
      <c r="E87" s="1">
        <v>2560</v>
      </c>
      <c r="F87" s="1">
        <v>16</v>
      </c>
      <c r="G87" s="1" t="s">
        <v>837</v>
      </c>
      <c r="H87" s="3" t="s">
        <v>868</v>
      </c>
    </row>
    <row r="88" spans="2:8" x14ac:dyDescent="0.3">
      <c r="B88" s="81"/>
      <c r="C88" s="2">
        <v>8</v>
      </c>
      <c r="D88" s="1">
        <v>511</v>
      </c>
      <c r="E88" s="1">
        <v>2048</v>
      </c>
      <c r="F88" s="1">
        <v>16</v>
      </c>
      <c r="G88" s="1" t="s">
        <v>838</v>
      </c>
      <c r="H88" s="3" t="s">
        <v>866</v>
      </c>
    </row>
    <row r="89" spans="2:8" x14ac:dyDescent="0.3">
      <c r="B89" s="81"/>
      <c r="C89" s="2">
        <v>16</v>
      </c>
      <c r="D89" s="1">
        <v>96</v>
      </c>
      <c r="E89" s="1">
        <v>4096</v>
      </c>
      <c r="F89" s="1">
        <v>16</v>
      </c>
      <c r="G89" s="1" t="s">
        <v>839</v>
      </c>
      <c r="H89" s="3" t="s">
        <v>869</v>
      </c>
    </row>
    <row r="90" spans="2:8" x14ac:dyDescent="0.3">
      <c r="B90" s="81"/>
      <c r="C90" s="2">
        <v>16</v>
      </c>
      <c r="D90" s="1">
        <v>96</v>
      </c>
      <c r="E90" s="1">
        <v>4096</v>
      </c>
      <c r="F90" s="1">
        <v>16</v>
      </c>
      <c r="G90" s="1" t="s">
        <v>840</v>
      </c>
      <c r="H90" s="3" t="s">
        <v>865</v>
      </c>
    </row>
    <row r="91" spans="2:8" x14ac:dyDescent="0.3">
      <c r="B91" s="81"/>
      <c r="C91" s="2">
        <v>16</v>
      </c>
      <c r="D91" s="1">
        <v>96</v>
      </c>
      <c r="E91" s="1">
        <v>2048</v>
      </c>
      <c r="F91" s="1">
        <v>16</v>
      </c>
      <c r="G91" s="1" t="s">
        <v>841</v>
      </c>
      <c r="H91" s="3" t="s">
        <v>866</v>
      </c>
    </row>
    <row r="92" spans="2:8" x14ac:dyDescent="0.3">
      <c r="B92" s="81"/>
      <c r="C92" s="2">
        <v>16</v>
      </c>
      <c r="D92" s="1">
        <v>96</v>
      </c>
      <c r="E92" s="1">
        <v>5120</v>
      </c>
      <c r="F92" s="1">
        <v>16</v>
      </c>
      <c r="G92" s="1" t="s">
        <v>842</v>
      </c>
      <c r="H92" s="3" t="s">
        <v>867</v>
      </c>
    </row>
    <row r="93" spans="2:8" x14ac:dyDescent="0.3">
      <c r="B93" s="81"/>
      <c r="C93" s="2">
        <v>16</v>
      </c>
      <c r="D93" s="1">
        <v>96</v>
      </c>
      <c r="E93" s="1">
        <v>2560</v>
      </c>
      <c r="F93" s="1">
        <v>16</v>
      </c>
      <c r="G93" s="1" t="s">
        <v>843</v>
      </c>
      <c r="H93" s="3" t="s">
        <v>868</v>
      </c>
    </row>
    <row r="94" spans="2:8" x14ac:dyDescent="0.3">
      <c r="B94" s="81"/>
      <c r="C94" s="2">
        <v>16</v>
      </c>
      <c r="D94" s="1">
        <v>96</v>
      </c>
      <c r="E94" s="1">
        <v>2048</v>
      </c>
      <c r="F94" s="1">
        <v>16</v>
      </c>
      <c r="G94" s="1" t="s">
        <v>844</v>
      </c>
      <c r="H94" s="3" t="s">
        <v>866</v>
      </c>
    </row>
    <row r="95" spans="2:8" x14ac:dyDescent="0.3">
      <c r="B95" s="81"/>
      <c r="C95" s="2">
        <v>16</v>
      </c>
      <c r="D95" s="1">
        <v>511</v>
      </c>
      <c r="E95" s="1">
        <v>4096</v>
      </c>
      <c r="F95" s="1">
        <v>16</v>
      </c>
      <c r="G95" s="1" t="s">
        <v>845</v>
      </c>
      <c r="H95" s="3" t="s">
        <v>869</v>
      </c>
    </row>
    <row r="96" spans="2:8" x14ac:dyDescent="0.3">
      <c r="B96" s="81"/>
      <c r="C96" s="2">
        <v>16</v>
      </c>
      <c r="D96" s="1">
        <v>511</v>
      </c>
      <c r="E96" s="1">
        <v>4096</v>
      </c>
      <c r="F96" s="1">
        <v>16</v>
      </c>
      <c r="G96" s="1" t="s">
        <v>846</v>
      </c>
      <c r="H96" s="3" t="s">
        <v>865</v>
      </c>
    </row>
    <row r="97" spans="2:8" x14ac:dyDescent="0.3">
      <c r="B97" s="81"/>
      <c r="C97" s="2">
        <v>16</v>
      </c>
      <c r="D97" s="1">
        <v>511</v>
      </c>
      <c r="E97" s="1">
        <v>2048</v>
      </c>
      <c r="F97" s="1">
        <v>16</v>
      </c>
      <c r="G97" s="1" t="s">
        <v>847</v>
      </c>
      <c r="H97" s="3" t="s">
        <v>866</v>
      </c>
    </row>
    <row r="98" spans="2:8" x14ac:dyDescent="0.3">
      <c r="B98" s="81"/>
      <c r="C98" s="2">
        <v>16</v>
      </c>
      <c r="D98" s="1">
        <v>511</v>
      </c>
      <c r="E98" s="1">
        <v>5120</v>
      </c>
      <c r="F98" s="1">
        <v>16</v>
      </c>
      <c r="G98" s="1" t="s">
        <v>848</v>
      </c>
      <c r="H98" s="3" t="s">
        <v>867</v>
      </c>
    </row>
    <row r="99" spans="2:8" x14ac:dyDescent="0.3">
      <c r="B99" s="81"/>
      <c r="C99" s="2">
        <v>16</v>
      </c>
      <c r="D99" s="1">
        <v>511</v>
      </c>
      <c r="E99" s="1">
        <v>2560</v>
      </c>
      <c r="F99" s="1">
        <v>16</v>
      </c>
      <c r="G99" s="1" t="s">
        <v>849</v>
      </c>
      <c r="H99" s="3" t="s">
        <v>868</v>
      </c>
    </row>
    <row r="100" spans="2:8" x14ac:dyDescent="0.3">
      <c r="B100" s="81"/>
      <c r="C100" s="2">
        <v>16</v>
      </c>
      <c r="D100" s="1">
        <v>511</v>
      </c>
      <c r="E100" s="1">
        <v>2048</v>
      </c>
      <c r="F100" s="1">
        <v>16</v>
      </c>
      <c r="G100" s="1" t="s">
        <v>850</v>
      </c>
      <c r="H100" s="3" t="s">
        <v>866</v>
      </c>
    </row>
    <row r="101" spans="2:8" x14ac:dyDescent="0.3">
      <c r="B101" s="81"/>
      <c r="C101" s="2">
        <v>16</v>
      </c>
      <c r="D101" s="1">
        <v>1024</v>
      </c>
      <c r="E101" s="1">
        <v>4096</v>
      </c>
      <c r="F101" s="1">
        <v>16</v>
      </c>
      <c r="G101" s="1" t="s">
        <v>851</v>
      </c>
      <c r="H101" s="3" t="s">
        <v>869</v>
      </c>
    </row>
    <row r="102" spans="2:8" x14ac:dyDescent="0.3">
      <c r="B102" s="81"/>
      <c r="C102" s="2">
        <v>16</v>
      </c>
      <c r="D102" s="1">
        <v>1024</v>
      </c>
      <c r="E102" s="1">
        <v>4096</v>
      </c>
      <c r="F102" s="1">
        <v>16</v>
      </c>
      <c r="G102" s="1" t="s">
        <v>852</v>
      </c>
      <c r="H102" s="3" t="s">
        <v>865</v>
      </c>
    </row>
    <row r="103" spans="2:8" x14ac:dyDescent="0.3">
      <c r="B103" s="81"/>
      <c r="C103" s="2">
        <v>16</v>
      </c>
      <c r="D103" s="1">
        <v>1024</v>
      </c>
      <c r="E103" s="1">
        <v>2048</v>
      </c>
      <c r="F103" s="1">
        <v>16</v>
      </c>
      <c r="G103" s="1" t="s">
        <v>853</v>
      </c>
      <c r="H103" s="3" t="s">
        <v>866</v>
      </c>
    </row>
    <row r="104" spans="2:8" x14ac:dyDescent="0.3">
      <c r="B104" s="81"/>
      <c r="C104" s="2">
        <v>16</v>
      </c>
      <c r="D104" s="1">
        <v>1024</v>
      </c>
      <c r="E104" s="1">
        <v>5120</v>
      </c>
      <c r="F104" s="1">
        <v>16</v>
      </c>
      <c r="G104" s="1" t="s">
        <v>854</v>
      </c>
      <c r="H104" s="3" t="s">
        <v>867</v>
      </c>
    </row>
    <row r="105" spans="2:8" x14ac:dyDescent="0.3">
      <c r="B105" s="81"/>
      <c r="C105" s="2">
        <v>16</v>
      </c>
      <c r="D105" s="1">
        <v>1024</v>
      </c>
      <c r="E105" s="1">
        <v>2560</v>
      </c>
      <c r="F105" s="1">
        <v>16</v>
      </c>
      <c r="G105" s="1" t="s">
        <v>855</v>
      </c>
      <c r="H105" s="3" t="s">
        <v>868</v>
      </c>
    </row>
    <row r="106" spans="2:8" x14ac:dyDescent="0.3">
      <c r="B106" s="81"/>
      <c r="C106" s="2">
        <v>16</v>
      </c>
      <c r="D106" s="1">
        <v>1024</v>
      </c>
      <c r="E106" s="1">
        <v>2048</v>
      </c>
      <c r="F106" s="1">
        <v>16</v>
      </c>
      <c r="G106" s="1" t="s">
        <v>856</v>
      </c>
      <c r="H106" s="3" t="s">
        <v>866</v>
      </c>
    </row>
    <row r="107" spans="2:8" x14ac:dyDescent="0.3">
      <c r="B107" s="81"/>
      <c r="C107" s="2">
        <v>20</v>
      </c>
      <c r="D107" s="1">
        <v>512</v>
      </c>
      <c r="E107" s="1">
        <v>4096</v>
      </c>
      <c r="F107" s="1">
        <v>16</v>
      </c>
      <c r="G107" s="1" t="s">
        <v>857</v>
      </c>
      <c r="H107" s="3" t="s">
        <v>869</v>
      </c>
    </row>
    <row r="108" spans="2:8" x14ac:dyDescent="0.3">
      <c r="B108" s="81"/>
      <c r="C108" s="2">
        <v>20</v>
      </c>
      <c r="D108" s="1">
        <v>512</v>
      </c>
      <c r="E108" s="1">
        <v>4096</v>
      </c>
      <c r="F108" s="1">
        <v>16</v>
      </c>
      <c r="G108" s="1" t="s">
        <v>858</v>
      </c>
      <c r="H108" s="3" t="s">
        <v>865</v>
      </c>
    </row>
    <row r="109" spans="2:8" x14ac:dyDescent="0.3">
      <c r="B109" s="81"/>
      <c r="C109" s="2">
        <v>20</v>
      </c>
      <c r="D109" s="1">
        <v>512</v>
      </c>
      <c r="E109" s="1">
        <v>2048</v>
      </c>
      <c r="F109" s="1">
        <v>16</v>
      </c>
      <c r="G109" s="1" t="s">
        <v>859</v>
      </c>
      <c r="H109" s="3" t="s">
        <v>866</v>
      </c>
    </row>
    <row r="110" spans="2:8" x14ac:dyDescent="0.3">
      <c r="B110" s="81"/>
      <c r="C110" s="2">
        <v>20</v>
      </c>
      <c r="D110" s="1">
        <v>512</v>
      </c>
      <c r="E110" s="1">
        <v>5120</v>
      </c>
      <c r="F110" s="1">
        <v>16</v>
      </c>
      <c r="G110" s="1" t="s">
        <v>860</v>
      </c>
      <c r="H110" s="3" t="s">
        <v>867</v>
      </c>
    </row>
    <row r="111" spans="2:8" x14ac:dyDescent="0.3">
      <c r="B111" s="81"/>
      <c r="C111" s="2">
        <v>20</v>
      </c>
      <c r="D111" s="1">
        <v>512</v>
      </c>
      <c r="E111" s="1">
        <v>2560</v>
      </c>
      <c r="F111" s="1">
        <v>16</v>
      </c>
      <c r="G111" s="1" t="s">
        <v>861</v>
      </c>
      <c r="H111" s="3" t="s">
        <v>868</v>
      </c>
    </row>
    <row r="112" spans="2:8" ht="14.5" thickBot="1" x14ac:dyDescent="0.35">
      <c r="B112" s="81"/>
      <c r="C112" s="7">
        <v>20</v>
      </c>
      <c r="D112" s="8">
        <v>512</v>
      </c>
      <c r="E112" s="8">
        <v>2048</v>
      </c>
      <c r="F112" s="8">
        <v>16</v>
      </c>
      <c r="G112" s="8" t="s">
        <v>862</v>
      </c>
      <c r="H112" s="9" t="s">
        <v>866</v>
      </c>
    </row>
  </sheetData>
  <mergeCells count="3">
    <mergeCell ref="C3:H3"/>
    <mergeCell ref="B4:B58"/>
    <mergeCell ref="B59:B11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11"/>
  <sheetViews>
    <sheetView topLeftCell="A4" zoomScaleNormal="100" workbookViewId="0">
      <selection activeCell="A4" sqref="A1:XFD1048576"/>
    </sheetView>
  </sheetViews>
  <sheetFormatPr defaultRowHeight="14" x14ac:dyDescent="0.3"/>
  <cols>
    <col min="6" max="6" width="9" customWidth="1"/>
    <col min="7" max="9" width="14.83203125" customWidth="1"/>
    <col min="10" max="10" width="27.83203125" bestFit="1" customWidth="1"/>
  </cols>
  <sheetData>
    <row r="2" spans="2:18" ht="14.5" thickBot="1" x14ac:dyDescent="0.35"/>
    <row r="3" spans="2:18" x14ac:dyDescent="0.3">
      <c r="B3" s="66" t="s">
        <v>7</v>
      </c>
      <c r="C3" s="4" t="s">
        <v>1</v>
      </c>
      <c r="D3" s="5" t="s">
        <v>2</v>
      </c>
      <c r="E3" s="5" t="s">
        <v>0</v>
      </c>
      <c r="F3" s="5" t="s">
        <v>3</v>
      </c>
      <c r="G3" s="5" t="s">
        <v>883</v>
      </c>
      <c r="H3" s="14" t="s">
        <v>884</v>
      </c>
      <c r="I3" s="14" t="s">
        <v>11</v>
      </c>
      <c r="J3" s="6" t="s">
        <v>864</v>
      </c>
    </row>
    <row r="4" spans="2:18" x14ac:dyDescent="0.3">
      <c r="B4" s="67"/>
      <c r="C4" s="2">
        <v>1</v>
      </c>
      <c r="D4" s="1">
        <v>135</v>
      </c>
      <c r="E4" s="1">
        <v>4096</v>
      </c>
      <c r="F4" s="1">
        <v>16</v>
      </c>
      <c r="G4" s="1">
        <v>0.132826</v>
      </c>
      <c r="H4" s="82">
        <v>0.12636800000000001</v>
      </c>
      <c r="I4" s="53">
        <f>(G4-H4)/G4</f>
        <v>4.8619999096562359E-2</v>
      </c>
      <c r="J4" s="3" t="s">
        <v>869</v>
      </c>
      <c r="L4">
        <v>0.12949099999999999</v>
      </c>
      <c r="P4">
        <v>0.12579199999999999</v>
      </c>
      <c r="R4" s="85">
        <f>(L4-P4)/L4</f>
        <v>2.8565691824142279E-2</v>
      </c>
    </row>
    <row r="5" spans="2:18" x14ac:dyDescent="0.3">
      <c r="B5" s="67"/>
      <c r="C5" s="2">
        <v>1</v>
      </c>
      <c r="D5" s="1">
        <v>135</v>
      </c>
      <c r="E5" s="1">
        <v>4096</v>
      </c>
      <c r="F5" s="1">
        <v>16</v>
      </c>
      <c r="G5" s="1">
        <v>0.11633300000000001</v>
      </c>
      <c r="H5" s="82">
        <v>0.110195</v>
      </c>
      <c r="I5" s="53">
        <f t="shared" ref="I5:I57" si="0">(G5-H5)/G5</f>
        <v>5.2762328831887806E-2</v>
      </c>
      <c r="J5" s="3" t="s">
        <v>865</v>
      </c>
      <c r="L5">
        <v>0.11013100000000001</v>
      </c>
      <c r="P5">
        <v>0.110042</v>
      </c>
      <c r="R5" s="85">
        <f t="shared" ref="R5:R68" si="1">(L5-P5)/L5</f>
        <v>8.0812850151188798E-4</v>
      </c>
    </row>
    <row r="6" spans="2:18" x14ac:dyDescent="0.3">
      <c r="B6" s="67"/>
      <c r="C6" s="2">
        <v>1</v>
      </c>
      <c r="D6" s="1">
        <v>135</v>
      </c>
      <c r="E6" s="1">
        <v>2048</v>
      </c>
      <c r="F6" s="1">
        <v>16</v>
      </c>
      <c r="G6" s="1">
        <v>8.5389000000000007E-2</v>
      </c>
      <c r="H6" s="82">
        <v>8.3232E-2</v>
      </c>
      <c r="I6" s="53">
        <f t="shared" si="0"/>
        <v>2.5260864982609071E-2</v>
      </c>
      <c r="J6" s="3" t="s">
        <v>866</v>
      </c>
      <c r="L6">
        <v>8.2021999999999998E-2</v>
      </c>
      <c r="P6">
        <v>8.0013000000000001E-2</v>
      </c>
      <c r="R6" s="85">
        <f t="shared" si="1"/>
        <v>2.449342859232885E-2</v>
      </c>
    </row>
    <row r="7" spans="2:18" x14ac:dyDescent="0.3">
      <c r="B7" s="67"/>
      <c r="C7" s="2">
        <v>1</v>
      </c>
      <c r="D7" s="1">
        <v>135</v>
      </c>
      <c r="E7" s="1">
        <v>5120</v>
      </c>
      <c r="F7" s="1">
        <v>16</v>
      </c>
      <c r="G7" s="1">
        <v>0.15783</v>
      </c>
      <c r="H7" s="82">
        <v>0.14704600000000001</v>
      </c>
      <c r="I7" s="53">
        <f t="shared" si="0"/>
        <v>6.8326680605714937E-2</v>
      </c>
      <c r="J7" s="3" t="s">
        <v>867</v>
      </c>
      <c r="L7">
        <v>0.14613799999999999</v>
      </c>
      <c r="P7">
        <v>0.147642</v>
      </c>
      <c r="R7" s="85">
        <f t="shared" si="1"/>
        <v>-1.0291642146464337E-2</v>
      </c>
    </row>
    <row r="8" spans="2:18" x14ac:dyDescent="0.3">
      <c r="B8" s="67"/>
      <c r="C8" s="2">
        <v>1</v>
      </c>
      <c r="D8" s="1">
        <v>135</v>
      </c>
      <c r="E8" s="1">
        <v>2560</v>
      </c>
      <c r="F8" s="1">
        <v>16</v>
      </c>
      <c r="G8" s="1">
        <v>0.11260199999999999</v>
      </c>
      <c r="H8" s="82">
        <v>0.107386</v>
      </c>
      <c r="I8" s="53">
        <f t="shared" si="0"/>
        <v>4.6322445427257053E-2</v>
      </c>
      <c r="J8" s="3" t="s">
        <v>868</v>
      </c>
      <c r="L8">
        <v>0.104294</v>
      </c>
      <c r="P8">
        <v>0.10600999999999999</v>
      </c>
      <c r="R8" s="85">
        <f t="shared" si="1"/>
        <v>-1.6453487257176783E-2</v>
      </c>
    </row>
    <row r="9" spans="2:18" x14ac:dyDescent="0.3">
      <c r="B9" s="67"/>
      <c r="C9" s="2">
        <v>1</v>
      </c>
      <c r="D9" s="1">
        <v>135</v>
      </c>
      <c r="E9" s="1">
        <v>2048</v>
      </c>
      <c r="F9" s="1">
        <v>16</v>
      </c>
      <c r="G9" s="1">
        <v>7.1091000000000001E-2</v>
      </c>
      <c r="H9" s="82">
        <v>6.7469000000000001E-2</v>
      </c>
      <c r="I9" s="53">
        <f t="shared" si="0"/>
        <v>5.09487839529617E-2</v>
      </c>
      <c r="J9" s="3" t="s">
        <v>866</v>
      </c>
      <c r="L9">
        <v>6.9677000000000003E-2</v>
      </c>
      <c r="P9">
        <v>6.7173999999999998E-2</v>
      </c>
      <c r="R9" s="85">
        <f t="shared" si="1"/>
        <v>3.5922901387832502E-2</v>
      </c>
    </row>
    <row r="10" spans="2:18" x14ac:dyDescent="0.3">
      <c r="B10" s="67"/>
      <c r="C10" s="2">
        <v>1</v>
      </c>
      <c r="D10" s="1">
        <v>511</v>
      </c>
      <c r="E10" s="1">
        <v>4096</v>
      </c>
      <c r="F10" s="1">
        <v>16</v>
      </c>
      <c r="G10" s="1">
        <v>0.65693400000000002</v>
      </c>
      <c r="H10" s="82">
        <v>0.60410200000000003</v>
      </c>
      <c r="I10" s="53">
        <f t="shared" si="0"/>
        <v>8.0422081974749343E-2</v>
      </c>
      <c r="J10" s="3" t="s">
        <v>869</v>
      </c>
      <c r="L10">
        <v>0.60980500000000004</v>
      </c>
      <c r="P10">
        <v>0.60165800000000003</v>
      </c>
      <c r="R10" s="85">
        <f t="shared" si="1"/>
        <v>1.3360008527316133E-2</v>
      </c>
    </row>
    <row r="11" spans="2:18" x14ac:dyDescent="0.3">
      <c r="B11" s="67"/>
      <c r="C11" s="2">
        <v>1</v>
      </c>
      <c r="D11" s="1">
        <v>511</v>
      </c>
      <c r="E11" s="1">
        <v>4096</v>
      </c>
      <c r="F11" s="1">
        <v>16</v>
      </c>
      <c r="G11" s="1">
        <v>0.56163200000000002</v>
      </c>
      <c r="H11" s="82">
        <v>0.52206699999999995</v>
      </c>
      <c r="I11" s="53">
        <f t="shared" si="0"/>
        <v>7.0446484530796091E-2</v>
      </c>
      <c r="J11" s="3" t="s">
        <v>865</v>
      </c>
      <c r="L11">
        <v>0.49676799999999999</v>
      </c>
      <c r="P11">
        <v>0.52398699999999998</v>
      </c>
      <c r="R11" s="85">
        <f t="shared" si="1"/>
        <v>-5.4792176629734589E-2</v>
      </c>
    </row>
    <row r="12" spans="2:18" x14ac:dyDescent="0.3">
      <c r="B12" s="67"/>
      <c r="C12" s="2">
        <v>1</v>
      </c>
      <c r="D12" s="1">
        <v>511</v>
      </c>
      <c r="E12" s="1">
        <v>2048</v>
      </c>
      <c r="F12" s="1">
        <v>16</v>
      </c>
      <c r="G12" s="1">
        <v>0.366118</v>
      </c>
      <c r="H12" s="82">
        <v>0.33302399999999999</v>
      </c>
      <c r="I12" s="53">
        <f t="shared" si="0"/>
        <v>9.0391622373114711E-2</v>
      </c>
      <c r="J12" s="3" t="s">
        <v>866</v>
      </c>
      <c r="L12">
        <v>0.352883</v>
      </c>
      <c r="P12">
        <v>0.32816000000000001</v>
      </c>
      <c r="R12" s="85">
        <f t="shared" si="1"/>
        <v>7.0060048231283437E-2</v>
      </c>
    </row>
    <row r="13" spans="2:18" x14ac:dyDescent="0.3">
      <c r="B13" s="67"/>
      <c r="C13" s="2">
        <v>1</v>
      </c>
      <c r="D13" s="1">
        <v>511</v>
      </c>
      <c r="E13" s="1">
        <v>5120</v>
      </c>
      <c r="F13" s="1">
        <v>16</v>
      </c>
      <c r="G13" s="1">
        <v>0.81932799999999995</v>
      </c>
      <c r="H13" s="82">
        <v>0.73987199999999997</v>
      </c>
      <c r="I13" s="53">
        <f t="shared" si="0"/>
        <v>9.6977034838306483E-2</v>
      </c>
      <c r="J13" s="3" t="s">
        <v>867</v>
      </c>
      <c r="L13">
        <v>0.72592000000000001</v>
      </c>
      <c r="P13">
        <v>0.74239999999999995</v>
      </c>
      <c r="R13" s="85">
        <f t="shared" si="1"/>
        <v>-2.2702226140621472E-2</v>
      </c>
    </row>
    <row r="14" spans="2:18" x14ac:dyDescent="0.3">
      <c r="B14" s="67"/>
      <c r="C14" s="2">
        <v>1</v>
      </c>
      <c r="D14" s="1">
        <v>511</v>
      </c>
      <c r="E14" s="1">
        <v>2560</v>
      </c>
      <c r="F14" s="1">
        <v>16</v>
      </c>
      <c r="G14" s="1">
        <v>0.52910100000000004</v>
      </c>
      <c r="H14" s="82">
        <v>0.48009600000000002</v>
      </c>
      <c r="I14" s="53">
        <f t="shared" si="0"/>
        <v>9.2619367568762892E-2</v>
      </c>
      <c r="J14" s="3" t="s">
        <v>868</v>
      </c>
      <c r="L14">
        <v>0.470752</v>
      </c>
      <c r="P14">
        <v>0.48081299999999999</v>
      </c>
      <c r="R14" s="85">
        <f t="shared" si="1"/>
        <v>-2.1372187478757364E-2</v>
      </c>
    </row>
    <row r="15" spans="2:18" x14ac:dyDescent="0.3">
      <c r="B15" s="67"/>
      <c r="C15" s="2">
        <v>1</v>
      </c>
      <c r="D15" s="1">
        <v>511</v>
      </c>
      <c r="E15" s="1">
        <v>2048</v>
      </c>
      <c r="F15" s="1">
        <v>16</v>
      </c>
      <c r="G15" s="1">
        <v>0.303091</v>
      </c>
      <c r="H15" s="82">
        <v>0.26922200000000002</v>
      </c>
      <c r="I15" s="53">
        <f t="shared" si="0"/>
        <v>0.11174531741292214</v>
      </c>
      <c r="J15" s="3" t="s">
        <v>866</v>
      </c>
      <c r="L15">
        <v>0.27451500000000001</v>
      </c>
      <c r="P15">
        <v>0.26828800000000003</v>
      </c>
      <c r="R15" s="85">
        <f t="shared" si="1"/>
        <v>2.2683642059632379E-2</v>
      </c>
    </row>
    <row r="16" spans="2:18" x14ac:dyDescent="0.3">
      <c r="B16" s="67"/>
      <c r="C16" s="2">
        <v>1</v>
      </c>
      <c r="D16" s="1">
        <v>1024</v>
      </c>
      <c r="E16" s="1">
        <v>4096</v>
      </c>
      <c r="F16" s="1">
        <v>16</v>
      </c>
      <c r="G16" s="1">
        <v>2.7947449999999998</v>
      </c>
      <c r="H16" s="82">
        <v>2.270823</v>
      </c>
      <c r="I16" s="53">
        <f t="shared" si="0"/>
        <v>0.18746683507797662</v>
      </c>
      <c r="J16" s="3" t="s">
        <v>869</v>
      </c>
      <c r="L16">
        <v>2.2716859999999999</v>
      </c>
      <c r="P16">
        <v>2.271782</v>
      </c>
      <c r="R16" s="85">
        <f t="shared" si="1"/>
        <v>-4.2259361549129593E-5</v>
      </c>
    </row>
    <row r="17" spans="2:18" x14ac:dyDescent="0.3">
      <c r="B17" s="67"/>
      <c r="C17" s="2">
        <v>1</v>
      </c>
      <c r="D17" s="1">
        <v>1024</v>
      </c>
      <c r="E17" s="1">
        <v>4096</v>
      </c>
      <c r="F17" s="1">
        <v>16</v>
      </c>
      <c r="G17" s="1">
        <v>2.1446399999999999</v>
      </c>
      <c r="H17" s="82">
        <v>1.9287810000000001</v>
      </c>
      <c r="I17" s="53">
        <f t="shared" si="0"/>
        <v>0.10065045881826312</v>
      </c>
      <c r="J17" s="3" t="s">
        <v>865</v>
      </c>
      <c r="L17">
        <v>1.930458</v>
      </c>
      <c r="P17">
        <v>1.93207</v>
      </c>
      <c r="R17" s="85">
        <f t="shared" si="1"/>
        <v>-8.3503500205647926E-4</v>
      </c>
    </row>
    <row r="18" spans="2:18" x14ac:dyDescent="0.3">
      <c r="B18" s="67"/>
      <c r="C18" s="2">
        <v>1</v>
      </c>
      <c r="D18" s="1">
        <v>1024</v>
      </c>
      <c r="E18" s="1">
        <v>2048</v>
      </c>
      <c r="F18" s="1">
        <v>16</v>
      </c>
      <c r="G18" s="1">
        <v>1.169664</v>
      </c>
      <c r="H18" s="82">
        <v>1.0393790000000001</v>
      </c>
      <c r="I18" s="53">
        <f t="shared" si="0"/>
        <v>0.11138668882687676</v>
      </c>
      <c r="J18" s="3" t="s">
        <v>866</v>
      </c>
      <c r="L18">
        <v>1.046195</v>
      </c>
      <c r="P18">
        <v>1.0358719999999999</v>
      </c>
      <c r="R18" s="85">
        <f t="shared" si="1"/>
        <v>9.8671853717519995E-3</v>
      </c>
    </row>
    <row r="19" spans="2:18" x14ac:dyDescent="0.3">
      <c r="B19" s="67"/>
      <c r="C19" s="2">
        <v>1</v>
      </c>
      <c r="D19" s="1">
        <v>1024</v>
      </c>
      <c r="E19" s="1">
        <v>5120</v>
      </c>
      <c r="F19" s="1">
        <v>16</v>
      </c>
      <c r="G19" s="1">
        <v>2.948582</v>
      </c>
      <c r="H19" s="82">
        <v>2.6270790000000002</v>
      </c>
      <c r="I19" s="53">
        <f t="shared" si="0"/>
        <v>0.10903647922967713</v>
      </c>
      <c r="J19" s="3" t="s">
        <v>867</v>
      </c>
      <c r="L19">
        <v>2.6271680000000002</v>
      </c>
      <c r="P19">
        <v>2.6300669999999999</v>
      </c>
      <c r="R19" s="85">
        <f t="shared" si="1"/>
        <v>-1.1034695915905501E-3</v>
      </c>
    </row>
    <row r="20" spans="2:18" x14ac:dyDescent="0.3">
      <c r="B20" s="67"/>
      <c r="C20" s="2">
        <v>1</v>
      </c>
      <c r="D20" s="1">
        <v>1024</v>
      </c>
      <c r="E20" s="1">
        <v>2560</v>
      </c>
      <c r="F20" s="1">
        <v>16</v>
      </c>
      <c r="G20" s="1">
        <v>1.882822</v>
      </c>
      <c r="H20" s="82">
        <v>1.678976</v>
      </c>
      <c r="I20" s="53">
        <f t="shared" si="0"/>
        <v>0.10826620891406621</v>
      </c>
      <c r="J20" s="3" t="s">
        <v>868</v>
      </c>
      <c r="L20">
        <v>1.6728959999999999</v>
      </c>
      <c r="P20">
        <v>1.6798979999999999</v>
      </c>
      <c r="R20" s="85">
        <f t="shared" si="1"/>
        <v>-4.1855560656490019E-3</v>
      </c>
    </row>
    <row r="21" spans="2:18" x14ac:dyDescent="0.3">
      <c r="B21" s="67"/>
      <c r="C21" s="2">
        <v>1</v>
      </c>
      <c r="D21" s="1">
        <v>1024</v>
      </c>
      <c r="E21" s="1">
        <v>2048</v>
      </c>
      <c r="F21" s="1">
        <v>16</v>
      </c>
      <c r="G21" s="1">
        <v>1.0385150000000001</v>
      </c>
      <c r="H21" s="82">
        <v>0.92077399999999998</v>
      </c>
      <c r="I21" s="53">
        <f t="shared" si="0"/>
        <v>0.1133743855408926</v>
      </c>
      <c r="J21" s="3" t="s">
        <v>866</v>
      </c>
      <c r="L21">
        <v>0.92707799999999996</v>
      </c>
      <c r="P21">
        <v>0.92085099999999998</v>
      </c>
      <c r="R21" s="85">
        <f t="shared" si="1"/>
        <v>6.716802685426666E-3</v>
      </c>
    </row>
    <row r="22" spans="2:18" x14ac:dyDescent="0.3">
      <c r="B22" s="67"/>
      <c r="C22" s="2">
        <v>8</v>
      </c>
      <c r="D22" s="1">
        <v>128</v>
      </c>
      <c r="E22" s="1">
        <v>4096</v>
      </c>
      <c r="F22" s="1">
        <v>16</v>
      </c>
      <c r="G22" s="1">
        <v>0.52748200000000001</v>
      </c>
      <c r="H22" s="82">
        <v>0.50466599999999995</v>
      </c>
      <c r="I22" s="53">
        <f t="shared" si="0"/>
        <v>4.3254556553588668E-2</v>
      </c>
      <c r="J22" s="3" t="s">
        <v>869</v>
      </c>
      <c r="L22">
        <v>0.50336000000000003</v>
      </c>
      <c r="P22">
        <v>0.50428799999999996</v>
      </c>
      <c r="R22" s="85">
        <f t="shared" si="1"/>
        <v>-1.8436109345198841E-3</v>
      </c>
    </row>
    <row r="23" spans="2:18" x14ac:dyDescent="0.3">
      <c r="B23" s="67"/>
      <c r="C23" s="2">
        <v>8</v>
      </c>
      <c r="D23" s="1">
        <v>128</v>
      </c>
      <c r="E23" s="1">
        <v>4096</v>
      </c>
      <c r="F23" s="1">
        <v>16</v>
      </c>
      <c r="G23" s="1">
        <v>0.51048300000000002</v>
      </c>
      <c r="H23" s="82">
        <v>0.47722199999999998</v>
      </c>
      <c r="I23" s="53">
        <f t="shared" si="0"/>
        <v>6.5155940550419969E-2</v>
      </c>
      <c r="J23" s="3" t="s">
        <v>865</v>
      </c>
      <c r="L23">
        <v>0.47906599999999999</v>
      </c>
      <c r="P23">
        <v>0.47705599999999998</v>
      </c>
      <c r="R23" s="85">
        <f t="shared" si="1"/>
        <v>4.1956640629892579E-3</v>
      </c>
    </row>
    <row r="24" spans="2:18" x14ac:dyDescent="0.3">
      <c r="B24" s="67"/>
      <c r="C24" s="2">
        <v>8</v>
      </c>
      <c r="D24" s="1">
        <v>128</v>
      </c>
      <c r="E24" s="1">
        <v>2048</v>
      </c>
      <c r="F24" s="1">
        <v>16</v>
      </c>
      <c r="G24" s="1">
        <v>0.29275499999999999</v>
      </c>
      <c r="H24" s="82">
        <v>0.27981400000000001</v>
      </c>
      <c r="I24" s="53">
        <f t="shared" si="0"/>
        <v>4.4204198049563562E-2</v>
      </c>
      <c r="J24" s="3" t="s">
        <v>866</v>
      </c>
      <c r="L24">
        <v>0.27780500000000002</v>
      </c>
      <c r="P24">
        <v>0.27870699999999998</v>
      </c>
      <c r="R24" s="85">
        <f t="shared" si="1"/>
        <v>-3.246881805582903E-3</v>
      </c>
    </row>
    <row r="25" spans="2:18" x14ac:dyDescent="0.3">
      <c r="B25" s="67"/>
      <c r="C25" s="2">
        <v>8</v>
      </c>
      <c r="D25" s="1">
        <v>128</v>
      </c>
      <c r="E25" s="1">
        <v>5120</v>
      </c>
      <c r="F25" s="1">
        <v>16</v>
      </c>
      <c r="G25" s="1">
        <v>0.62654100000000001</v>
      </c>
      <c r="H25" s="82">
        <v>0.58937600000000001</v>
      </c>
      <c r="I25" s="53">
        <f t="shared" si="0"/>
        <v>5.9317746165055446E-2</v>
      </c>
      <c r="J25" s="3" t="s">
        <v>867</v>
      </c>
      <c r="L25">
        <v>0.59082199999999996</v>
      </c>
      <c r="P25">
        <v>0.59070100000000003</v>
      </c>
      <c r="R25" s="85">
        <f t="shared" si="1"/>
        <v>2.0479941505212524E-4</v>
      </c>
    </row>
    <row r="26" spans="2:18" x14ac:dyDescent="0.3">
      <c r="B26" s="67"/>
      <c r="C26" s="2">
        <v>8</v>
      </c>
      <c r="D26" s="1">
        <v>128</v>
      </c>
      <c r="E26" s="1">
        <v>2560</v>
      </c>
      <c r="F26" s="1">
        <v>16</v>
      </c>
      <c r="G26" s="1">
        <v>0.36200300000000002</v>
      </c>
      <c r="H26" s="82">
        <v>0.36364800000000003</v>
      </c>
      <c r="I26" s="53">
        <f t="shared" si="0"/>
        <v>-4.5441612362328698E-3</v>
      </c>
      <c r="J26" s="3" t="s">
        <v>868</v>
      </c>
      <c r="L26">
        <v>0.32007000000000002</v>
      </c>
      <c r="P26">
        <v>0.363987</v>
      </c>
      <c r="R26" s="85">
        <f t="shared" si="1"/>
        <v>-0.13721061017902328</v>
      </c>
    </row>
    <row r="27" spans="2:18" x14ac:dyDescent="0.3">
      <c r="B27" s="67"/>
      <c r="C27" s="2">
        <v>8</v>
      </c>
      <c r="D27" s="1">
        <v>128</v>
      </c>
      <c r="E27" s="1">
        <v>2048</v>
      </c>
      <c r="F27" s="1">
        <v>16</v>
      </c>
      <c r="G27" s="1">
        <v>0.28200999999999998</v>
      </c>
      <c r="H27" s="82">
        <v>0.26275799999999999</v>
      </c>
      <c r="I27" s="53">
        <f t="shared" si="0"/>
        <v>6.8267082727562822E-2</v>
      </c>
      <c r="J27" s="3" t="s">
        <v>866</v>
      </c>
      <c r="L27">
        <v>0.26185000000000003</v>
      </c>
      <c r="P27">
        <v>0.26384600000000002</v>
      </c>
      <c r="R27" s="85">
        <f t="shared" si="1"/>
        <v>-7.6226847431735637E-3</v>
      </c>
    </row>
    <row r="28" spans="2:18" x14ac:dyDescent="0.3">
      <c r="B28" s="67"/>
      <c r="C28" s="2">
        <v>8</v>
      </c>
      <c r="D28" s="1">
        <v>511</v>
      </c>
      <c r="E28" s="1">
        <v>4096</v>
      </c>
      <c r="F28" s="1">
        <v>16</v>
      </c>
      <c r="G28" s="1">
        <v>6.1019459999999999</v>
      </c>
      <c r="H28" s="82">
        <v>5.7676670000000003</v>
      </c>
      <c r="I28" s="53">
        <f t="shared" si="0"/>
        <v>5.478235959479149E-2</v>
      </c>
      <c r="J28" s="3" t="s">
        <v>869</v>
      </c>
      <c r="L28">
        <v>5.7760119999999997</v>
      </c>
      <c r="P28">
        <v>5.7687619999999997</v>
      </c>
      <c r="R28" s="85">
        <f t="shared" si="1"/>
        <v>1.2551912980790169E-3</v>
      </c>
    </row>
    <row r="29" spans="2:18" x14ac:dyDescent="0.3">
      <c r="B29" s="67"/>
      <c r="C29" s="2">
        <v>8</v>
      </c>
      <c r="D29" s="1">
        <v>511</v>
      </c>
      <c r="E29" s="1">
        <v>4096</v>
      </c>
      <c r="F29" s="1">
        <v>16</v>
      </c>
      <c r="G29" s="1">
        <v>5.0417540000000001</v>
      </c>
      <c r="H29" s="82">
        <v>4.5892670000000004</v>
      </c>
      <c r="I29" s="53">
        <f t="shared" si="0"/>
        <v>8.974793296142565E-2</v>
      </c>
      <c r="J29" s="3" t="s">
        <v>865</v>
      </c>
      <c r="L29">
        <v>4.5964799999999997</v>
      </c>
      <c r="P29">
        <v>4.5912189999999997</v>
      </c>
      <c r="R29" s="85">
        <f t="shared" si="1"/>
        <v>1.1445714981899106E-3</v>
      </c>
    </row>
    <row r="30" spans="2:18" x14ac:dyDescent="0.3">
      <c r="B30" s="67"/>
      <c r="C30" s="2">
        <v>8</v>
      </c>
      <c r="D30" s="1">
        <v>511</v>
      </c>
      <c r="E30" s="1">
        <v>2048</v>
      </c>
      <c r="F30" s="1">
        <v>16</v>
      </c>
      <c r="G30" s="1">
        <v>3.1611590000000001</v>
      </c>
      <c r="H30" s="82">
        <v>2.9888059999999999</v>
      </c>
      <c r="I30" s="53">
        <f t="shared" si="0"/>
        <v>5.452209142279784E-2</v>
      </c>
      <c r="J30" s="3" t="s">
        <v>866</v>
      </c>
      <c r="L30">
        <v>2.9938880000000001</v>
      </c>
      <c r="P30">
        <v>2.9811260000000002</v>
      </c>
      <c r="R30" s="85">
        <f t="shared" si="1"/>
        <v>4.2626845092401389E-3</v>
      </c>
    </row>
    <row r="31" spans="2:18" x14ac:dyDescent="0.3">
      <c r="B31" s="67"/>
      <c r="C31" s="2">
        <v>8</v>
      </c>
      <c r="D31" s="1">
        <v>511</v>
      </c>
      <c r="E31" s="1">
        <v>5120</v>
      </c>
      <c r="F31" s="1">
        <v>16</v>
      </c>
      <c r="G31" s="1">
        <v>6.3004090000000001</v>
      </c>
      <c r="H31" s="82">
        <v>5.730029</v>
      </c>
      <c r="I31" s="53">
        <f t="shared" si="0"/>
        <v>9.0530630630487649E-2</v>
      </c>
      <c r="J31" s="3" t="s">
        <v>867</v>
      </c>
      <c r="L31">
        <v>5.7378369999999999</v>
      </c>
      <c r="P31">
        <v>5.7404349999999997</v>
      </c>
      <c r="R31" s="85">
        <f t="shared" si="1"/>
        <v>-4.5278386262974677E-4</v>
      </c>
    </row>
    <row r="32" spans="2:18" x14ac:dyDescent="0.3">
      <c r="B32" s="67"/>
      <c r="C32" s="2">
        <v>8</v>
      </c>
      <c r="D32" s="1">
        <v>511</v>
      </c>
      <c r="E32" s="1">
        <v>2560</v>
      </c>
      <c r="F32" s="1">
        <v>16</v>
      </c>
      <c r="G32" s="1">
        <v>3.4388540000000001</v>
      </c>
      <c r="H32" s="82">
        <v>3.1449859999999998</v>
      </c>
      <c r="I32" s="53">
        <f t="shared" si="0"/>
        <v>8.5455212695857471E-2</v>
      </c>
      <c r="J32" s="3" t="s">
        <v>868</v>
      </c>
      <c r="L32">
        <v>3.1504259999999999</v>
      </c>
      <c r="P32">
        <v>3.1512319999999998</v>
      </c>
      <c r="R32" s="85">
        <f t="shared" si="1"/>
        <v>-2.5583841677279909E-4</v>
      </c>
    </row>
    <row r="33" spans="2:18" x14ac:dyDescent="0.3">
      <c r="B33" s="67"/>
      <c r="C33" s="2">
        <v>8</v>
      </c>
      <c r="D33" s="1">
        <v>511</v>
      </c>
      <c r="E33" s="1">
        <v>2048</v>
      </c>
      <c r="F33" s="1">
        <v>16</v>
      </c>
      <c r="G33" s="1">
        <v>2.6278079999999999</v>
      </c>
      <c r="H33" s="82">
        <v>2.392474</v>
      </c>
      <c r="I33" s="53">
        <f t="shared" si="0"/>
        <v>8.9555249089735611E-2</v>
      </c>
      <c r="J33" s="3" t="s">
        <v>866</v>
      </c>
      <c r="L33">
        <v>2.3975300000000002</v>
      </c>
      <c r="P33">
        <v>2.3905090000000002</v>
      </c>
      <c r="R33" s="85">
        <f t="shared" si="1"/>
        <v>2.9284305097329101E-3</v>
      </c>
    </row>
    <row r="34" spans="2:18" x14ac:dyDescent="0.3">
      <c r="B34" s="67"/>
      <c r="C34" s="2">
        <v>16</v>
      </c>
      <c r="D34" s="1">
        <v>96</v>
      </c>
      <c r="E34" s="1">
        <v>4096</v>
      </c>
      <c r="F34" s="1">
        <v>16</v>
      </c>
      <c r="G34" s="1">
        <v>0.88961299999999999</v>
      </c>
      <c r="H34" s="82">
        <v>0.84260500000000005</v>
      </c>
      <c r="I34" s="53">
        <f t="shared" si="0"/>
        <v>5.2840954437491289E-2</v>
      </c>
      <c r="J34" s="3" t="s">
        <v>869</v>
      </c>
      <c r="L34">
        <v>0.83813099999999996</v>
      </c>
      <c r="P34">
        <v>0.84003799999999995</v>
      </c>
      <c r="R34" s="85">
        <f t="shared" si="1"/>
        <v>-2.2753006391602174E-3</v>
      </c>
    </row>
    <row r="35" spans="2:18" x14ac:dyDescent="0.3">
      <c r="B35" s="67"/>
      <c r="C35" s="2">
        <v>16</v>
      </c>
      <c r="D35" s="1">
        <v>96</v>
      </c>
      <c r="E35" s="1">
        <v>4096</v>
      </c>
      <c r="F35" s="1">
        <v>16</v>
      </c>
      <c r="G35" s="1">
        <v>0.86262399999999995</v>
      </c>
      <c r="H35" s="82">
        <v>0.80039000000000005</v>
      </c>
      <c r="I35" s="53">
        <f t="shared" si="0"/>
        <v>7.2144990169529133E-2</v>
      </c>
      <c r="J35" s="3" t="s">
        <v>865</v>
      </c>
      <c r="L35">
        <v>0.79975700000000005</v>
      </c>
      <c r="P35">
        <v>0.80092799999999997</v>
      </c>
      <c r="R35" s="85">
        <f t="shared" si="1"/>
        <v>-1.4641947491549584E-3</v>
      </c>
    </row>
    <row r="36" spans="2:18" x14ac:dyDescent="0.3">
      <c r="B36" s="67"/>
      <c r="C36" s="2">
        <v>16</v>
      </c>
      <c r="D36" s="1">
        <v>96</v>
      </c>
      <c r="E36" s="1">
        <v>2048</v>
      </c>
      <c r="F36" s="1">
        <v>16</v>
      </c>
      <c r="G36" s="1">
        <v>0.51393900000000003</v>
      </c>
      <c r="H36" s="82">
        <v>0.48945300000000003</v>
      </c>
      <c r="I36" s="53">
        <f t="shared" si="0"/>
        <v>4.7643786519411847E-2</v>
      </c>
      <c r="J36" s="3" t="s">
        <v>866</v>
      </c>
      <c r="L36">
        <v>0.48576000000000003</v>
      </c>
      <c r="P36">
        <v>0.48955500000000002</v>
      </c>
      <c r="R36" s="85">
        <f t="shared" si="1"/>
        <v>-7.8124999999999853E-3</v>
      </c>
    </row>
    <row r="37" spans="2:18" x14ac:dyDescent="0.3">
      <c r="B37" s="67"/>
      <c r="C37" s="2">
        <v>16</v>
      </c>
      <c r="D37" s="1">
        <v>96</v>
      </c>
      <c r="E37" s="1">
        <v>5120</v>
      </c>
      <c r="F37" s="1">
        <v>16</v>
      </c>
      <c r="G37" s="1">
        <v>1.0741179999999999</v>
      </c>
      <c r="H37" s="82">
        <v>1.0107649999999999</v>
      </c>
      <c r="I37" s="53">
        <f t="shared" si="0"/>
        <v>5.898141544969919E-2</v>
      </c>
      <c r="J37" s="3" t="s">
        <v>867</v>
      </c>
      <c r="L37">
        <v>0.99957099999999999</v>
      </c>
      <c r="P37">
        <v>1.007558</v>
      </c>
      <c r="R37" s="85">
        <f t="shared" si="1"/>
        <v>-7.9904278935663056E-3</v>
      </c>
    </row>
    <row r="38" spans="2:18" x14ac:dyDescent="0.3">
      <c r="B38" s="67"/>
      <c r="C38" s="2">
        <v>16</v>
      </c>
      <c r="D38" s="1">
        <v>96</v>
      </c>
      <c r="E38" s="1">
        <v>2560</v>
      </c>
      <c r="F38" s="1">
        <v>16</v>
      </c>
      <c r="G38" s="1">
        <v>0.63107199999999997</v>
      </c>
      <c r="H38" s="82">
        <v>0.59160299999999999</v>
      </c>
      <c r="I38" s="53">
        <f t="shared" si="0"/>
        <v>6.2542784341564794E-2</v>
      </c>
      <c r="J38" s="3" t="s">
        <v>868</v>
      </c>
      <c r="L38">
        <v>0.59608300000000003</v>
      </c>
      <c r="P38">
        <v>0.59167400000000003</v>
      </c>
      <c r="R38" s="85">
        <f t="shared" si="1"/>
        <v>7.3966209403723915E-3</v>
      </c>
    </row>
    <row r="39" spans="2:18" x14ac:dyDescent="0.3">
      <c r="B39" s="67"/>
      <c r="C39" s="2">
        <v>16</v>
      </c>
      <c r="D39" s="1">
        <v>96</v>
      </c>
      <c r="E39" s="1">
        <v>2048</v>
      </c>
      <c r="F39" s="1">
        <v>16</v>
      </c>
      <c r="G39" s="1">
        <v>0.49397099999999999</v>
      </c>
      <c r="H39" s="82">
        <v>0.46164500000000003</v>
      </c>
      <c r="I39" s="53">
        <f t="shared" si="0"/>
        <v>6.5441088646904302E-2</v>
      </c>
      <c r="J39" s="3" t="s">
        <v>866</v>
      </c>
      <c r="L39">
        <v>0.46371200000000001</v>
      </c>
      <c r="P39">
        <v>0.462451</v>
      </c>
      <c r="R39" s="85">
        <f t="shared" si="1"/>
        <v>2.7193602925954302E-3</v>
      </c>
    </row>
    <row r="40" spans="2:18" x14ac:dyDescent="0.3">
      <c r="B40" s="67"/>
      <c r="C40" s="2">
        <v>16</v>
      </c>
      <c r="D40" s="1">
        <v>511</v>
      </c>
      <c r="E40" s="1">
        <v>4096</v>
      </c>
      <c r="F40" s="1">
        <v>16</v>
      </c>
      <c r="G40" s="1">
        <v>11.995206</v>
      </c>
      <c r="H40" s="82">
        <v>11.768743000000001</v>
      </c>
      <c r="I40" s="53">
        <f t="shared" si="0"/>
        <v>1.8879459010541291E-2</v>
      </c>
      <c r="J40" s="3" t="s">
        <v>869</v>
      </c>
      <c r="L40">
        <v>11.788416</v>
      </c>
      <c r="P40">
        <v>11.776147999999999</v>
      </c>
      <c r="R40" s="85">
        <f t="shared" si="1"/>
        <v>1.0406826498149211E-3</v>
      </c>
    </row>
    <row r="41" spans="2:18" x14ac:dyDescent="0.3">
      <c r="B41" s="67"/>
      <c r="C41" s="2">
        <v>16</v>
      </c>
      <c r="D41" s="1">
        <v>511</v>
      </c>
      <c r="E41" s="1">
        <v>4096</v>
      </c>
      <c r="F41" s="1">
        <v>16</v>
      </c>
      <c r="G41" s="1">
        <v>10.153869</v>
      </c>
      <c r="H41" s="82">
        <v>9.3122819999999997</v>
      </c>
      <c r="I41" s="53">
        <f t="shared" si="0"/>
        <v>8.2883381694209418E-2</v>
      </c>
      <c r="J41" s="3" t="s">
        <v>865</v>
      </c>
      <c r="L41">
        <v>9.3084550000000004</v>
      </c>
      <c r="P41">
        <v>9.3145220000000002</v>
      </c>
      <c r="R41" s="85">
        <f t="shared" si="1"/>
        <v>-6.5177303859768594E-4</v>
      </c>
    </row>
    <row r="42" spans="2:18" x14ac:dyDescent="0.3">
      <c r="B42" s="67"/>
      <c r="C42" s="2">
        <v>16</v>
      </c>
      <c r="D42" s="1">
        <v>511</v>
      </c>
      <c r="E42" s="1">
        <v>2048</v>
      </c>
      <c r="F42" s="1">
        <v>16</v>
      </c>
      <c r="G42" s="1">
        <v>6.1876800000000003</v>
      </c>
      <c r="H42" s="82">
        <v>6.0203069999999999</v>
      </c>
      <c r="I42" s="53">
        <f t="shared" si="0"/>
        <v>2.7049394926693112E-2</v>
      </c>
      <c r="J42" s="3" t="s">
        <v>866</v>
      </c>
      <c r="L42">
        <v>6.038138</v>
      </c>
      <c r="P42">
        <v>6.0354559999999999</v>
      </c>
      <c r="R42" s="85">
        <f t="shared" si="1"/>
        <v>4.4417666505801513E-4</v>
      </c>
    </row>
    <row r="43" spans="2:18" x14ac:dyDescent="0.3">
      <c r="B43" s="67"/>
      <c r="C43" s="2">
        <v>16</v>
      </c>
      <c r="D43" s="1">
        <v>511</v>
      </c>
      <c r="E43" s="1">
        <v>5120</v>
      </c>
      <c r="F43" s="1">
        <v>16</v>
      </c>
      <c r="G43" s="1">
        <v>12.572576</v>
      </c>
      <c r="H43" s="82">
        <v>11.524953999999999</v>
      </c>
      <c r="I43" s="53">
        <f t="shared" si="0"/>
        <v>8.3325962793941388E-2</v>
      </c>
      <c r="J43" s="3" t="s">
        <v>867</v>
      </c>
      <c r="L43">
        <v>11.519615</v>
      </c>
      <c r="P43">
        <v>11.52</v>
      </c>
      <c r="R43" s="85">
        <f t="shared" si="1"/>
        <v>-3.3421255831868999E-5</v>
      </c>
    </row>
    <row r="44" spans="2:18" x14ac:dyDescent="0.3">
      <c r="B44" s="67"/>
      <c r="C44" s="2">
        <v>16</v>
      </c>
      <c r="D44" s="1">
        <v>511</v>
      </c>
      <c r="E44" s="1">
        <v>2560</v>
      </c>
      <c r="F44" s="1">
        <v>16</v>
      </c>
      <c r="G44" s="1">
        <v>6.7578630000000004</v>
      </c>
      <c r="H44" s="82">
        <v>6.2276610000000003</v>
      </c>
      <c r="I44" s="53">
        <f t="shared" si="0"/>
        <v>7.8457050697831557E-2</v>
      </c>
      <c r="J44" s="3" t="s">
        <v>868</v>
      </c>
      <c r="L44">
        <v>6.2186500000000002</v>
      </c>
      <c r="P44">
        <v>6.2188670000000004</v>
      </c>
      <c r="R44" s="85">
        <f t="shared" si="1"/>
        <v>-3.4895033487997196E-5</v>
      </c>
    </row>
    <row r="45" spans="2:18" x14ac:dyDescent="0.3">
      <c r="B45" s="67"/>
      <c r="C45" s="2">
        <v>16</v>
      </c>
      <c r="D45" s="1">
        <v>511</v>
      </c>
      <c r="E45" s="1">
        <v>2048</v>
      </c>
      <c r="F45" s="1">
        <v>16</v>
      </c>
      <c r="G45" s="1">
        <v>5.2340090000000004</v>
      </c>
      <c r="H45" s="82">
        <v>4.7973309999999998</v>
      </c>
      <c r="I45" s="53">
        <f t="shared" si="0"/>
        <v>8.3430884432946245E-2</v>
      </c>
      <c r="J45" s="3" t="s">
        <v>866</v>
      </c>
      <c r="L45">
        <v>4.7984260000000001</v>
      </c>
      <c r="P45">
        <v>4.7980669999999996</v>
      </c>
      <c r="R45" s="85">
        <f t="shared" si="1"/>
        <v>7.4816200145723261E-5</v>
      </c>
    </row>
    <row r="46" spans="2:18" x14ac:dyDescent="0.3">
      <c r="B46" s="67"/>
      <c r="C46" s="2">
        <v>16</v>
      </c>
      <c r="D46" s="1">
        <v>1024</v>
      </c>
      <c r="E46" s="1">
        <v>4096</v>
      </c>
      <c r="F46" s="1">
        <v>16</v>
      </c>
      <c r="G46" s="1">
        <v>45.067394</v>
      </c>
      <c r="H46" s="82">
        <v>41.885131999999999</v>
      </c>
      <c r="I46" s="53">
        <f t="shared" si="0"/>
        <v>7.0611182887566154E-2</v>
      </c>
      <c r="J46" s="3" t="s">
        <v>869</v>
      </c>
      <c r="L46">
        <v>41.966285999999997</v>
      </c>
      <c r="P46">
        <v>41.938839000000002</v>
      </c>
      <c r="R46" s="85">
        <f t="shared" si="1"/>
        <v>6.5402499520675035E-4</v>
      </c>
    </row>
    <row r="47" spans="2:18" x14ac:dyDescent="0.3">
      <c r="B47" s="67"/>
      <c r="C47" s="2">
        <v>16</v>
      </c>
      <c r="D47" s="1">
        <v>1024</v>
      </c>
      <c r="E47" s="1">
        <v>4096</v>
      </c>
      <c r="F47" s="1">
        <v>16</v>
      </c>
      <c r="G47" s="1">
        <v>35.196632000000001</v>
      </c>
      <c r="H47" s="82">
        <v>31.254847999999999</v>
      </c>
      <c r="I47" s="53">
        <f t="shared" si="0"/>
        <v>0.11199321571450364</v>
      </c>
      <c r="J47" s="3" t="s">
        <v>865</v>
      </c>
      <c r="L47">
        <v>31.283733000000002</v>
      </c>
      <c r="P47">
        <v>31.289742</v>
      </c>
      <c r="R47" s="85">
        <f t="shared" si="1"/>
        <v>-1.9208065738186747E-4</v>
      </c>
    </row>
    <row r="48" spans="2:18" x14ac:dyDescent="0.3">
      <c r="B48" s="67"/>
      <c r="C48" s="2">
        <v>16</v>
      </c>
      <c r="D48" s="1">
        <v>1024</v>
      </c>
      <c r="E48" s="1">
        <v>2048</v>
      </c>
      <c r="F48" s="1">
        <v>16</v>
      </c>
      <c r="G48" s="1">
        <v>23.243385</v>
      </c>
      <c r="H48" s="82">
        <v>21.666274999999999</v>
      </c>
      <c r="I48" s="53">
        <f t="shared" si="0"/>
        <v>6.7851993158483628E-2</v>
      </c>
      <c r="J48" s="3" t="s">
        <v>866</v>
      </c>
      <c r="L48">
        <v>21.693159000000001</v>
      </c>
      <c r="P48">
        <v>21.684307</v>
      </c>
      <c r="R48" s="85">
        <f t="shared" si="1"/>
        <v>4.0805490800122611E-4</v>
      </c>
    </row>
    <row r="49" spans="2:19" x14ac:dyDescent="0.3">
      <c r="B49" s="67"/>
      <c r="C49" s="2">
        <v>16</v>
      </c>
      <c r="D49" s="1">
        <v>1024</v>
      </c>
      <c r="E49" s="1">
        <v>5120</v>
      </c>
      <c r="F49" s="1">
        <v>16</v>
      </c>
      <c r="G49" s="1">
        <v>43.565852999999997</v>
      </c>
      <c r="H49" s="82">
        <v>38.644038999999999</v>
      </c>
      <c r="I49" s="53">
        <f t="shared" si="0"/>
        <v>0.11297412218693384</v>
      </c>
      <c r="J49" s="3" t="s">
        <v>867</v>
      </c>
      <c r="L49">
        <v>38.712608000000003</v>
      </c>
      <c r="P49">
        <v>38.694209999999998</v>
      </c>
      <c r="R49" s="85">
        <f t="shared" si="1"/>
        <v>4.7524568739994985E-4</v>
      </c>
    </row>
    <row r="50" spans="2:19" x14ac:dyDescent="0.3">
      <c r="B50" s="67"/>
      <c r="C50" s="2">
        <v>16</v>
      </c>
      <c r="D50" s="1">
        <v>1024</v>
      </c>
      <c r="E50" s="1">
        <v>2560</v>
      </c>
      <c r="F50" s="1">
        <v>16</v>
      </c>
      <c r="G50" s="1">
        <v>23.220607999999999</v>
      </c>
      <c r="H50" s="82">
        <v>20.749493000000001</v>
      </c>
      <c r="I50" s="53">
        <f t="shared" si="0"/>
        <v>0.10641904811450233</v>
      </c>
      <c r="J50" s="3" t="s">
        <v>868</v>
      </c>
      <c r="L50">
        <v>20.785056999999998</v>
      </c>
      <c r="P50">
        <v>20.780781000000001</v>
      </c>
      <c r="R50" s="85">
        <f t="shared" si="1"/>
        <v>2.0572471848392249E-4</v>
      </c>
    </row>
    <row r="51" spans="2:19" x14ac:dyDescent="0.3">
      <c r="B51" s="67"/>
      <c r="C51" s="2">
        <v>16</v>
      </c>
      <c r="D51" s="1">
        <v>1024</v>
      </c>
      <c r="E51" s="1">
        <v>2048</v>
      </c>
      <c r="F51" s="1">
        <v>16</v>
      </c>
      <c r="G51" s="1">
        <v>18.289715000000001</v>
      </c>
      <c r="H51" s="82">
        <v>16.320799000000001</v>
      </c>
      <c r="I51" s="53">
        <f t="shared" si="0"/>
        <v>0.10765154077031819</v>
      </c>
      <c r="J51" s="3" t="s">
        <v>866</v>
      </c>
      <c r="L51">
        <v>16.349754000000001</v>
      </c>
      <c r="P51">
        <v>16.324428999999999</v>
      </c>
      <c r="R51" s="85">
        <f t="shared" si="1"/>
        <v>1.5489529689561238E-3</v>
      </c>
    </row>
    <row r="52" spans="2:19" x14ac:dyDescent="0.3">
      <c r="B52" s="67"/>
      <c r="C52" s="2">
        <v>20</v>
      </c>
      <c r="D52" s="1">
        <v>512</v>
      </c>
      <c r="E52" s="1">
        <v>4096</v>
      </c>
      <c r="F52" s="1">
        <v>16</v>
      </c>
      <c r="G52" s="1">
        <v>14.849958000000001</v>
      </c>
      <c r="H52" s="82">
        <v>14.595386</v>
      </c>
      <c r="I52" s="53">
        <f t="shared" si="0"/>
        <v>1.7142944107990159E-2</v>
      </c>
      <c r="J52" s="3" t="s">
        <v>869</v>
      </c>
      <c r="L52">
        <v>14.592743</v>
      </c>
      <c r="P52">
        <v>14.598732999999999</v>
      </c>
      <c r="R52" s="85">
        <f t="shared" si="1"/>
        <v>-4.104780026619279E-4</v>
      </c>
    </row>
    <row r="53" spans="2:19" x14ac:dyDescent="0.3">
      <c r="B53" s="67"/>
      <c r="C53" s="2">
        <v>20</v>
      </c>
      <c r="D53" s="1">
        <v>512</v>
      </c>
      <c r="E53" s="1">
        <v>4096</v>
      </c>
      <c r="F53" s="1">
        <v>16</v>
      </c>
      <c r="G53" s="1">
        <v>12.658137</v>
      </c>
      <c r="H53" s="82">
        <v>11.658457</v>
      </c>
      <c r="I53" s="53">
        <f t="shared" si="0"/>
        <v>7.8975286805633385E-2</v>
      </c>
      <c r="J53" s="3" t="s">
        <v>865</v>
      </c>
      <c r="L53">
        <v>11.645875</v>
      </c>
      <c r="P53">
        <v>11.648377</v>
      </c>
      <c r="R53" s="85">
        <f t="shared" si="1"/>
        <v>-2.1484001846145369E-4</v>
      </c>
    </row>
    <row r="54" spans="2:19" x14ac:dyDescent="0.3">
      <c r="B54" s="67"/>
      <c r="C54" s="2">
        <v>20</v>
      </c>
      <c r="D54" s="1">
        <v>512</v>
      </c>
      <c r="E54" s="1">
        <v>2048</v>
      </c>
      <c r="F54" s="1">
        <v>16</v>
      </c>
      <c r="G54" s="1">
        <v>7.9571199999999997</v>
      </c>
      <c r="H54" s="82">
        <v>7.7875259999999997</v>
      </c>
      <c r="I54" s="53">
        <f t="shared" si="0"/>
        <v>2.1313490308051158E-2</v>
      </c>
      <c r="J54" s="3" t="s">
        <v>866</v>
      </c>
      <c r="L54">
        <v>7.8023999999999996</v>
      </c>
      <c r="P54">
        <v>7.7970300000000003</v>
      </c>
      <c r="R54" s="85">
        <f t="shared" si="1"/>
        <v>6.8824976930165194E-4</v>
      </c>
    </row>
    <row r="55" spans="2:19" x14ac:dyDescent="0.3">
      <c r="B55" s="67"/>
      <c r="C55" s="2">
        <v>20</v>
      </c>
      <c r="D55" s="1">
        <v>512</v>
      </c>
      <c r="E55" s="1">
        <v>5120</v>
      </c>
      <c r="F55" s="1">
        <v>16</v>
      </c>
      <c r="G55" s="1">
        <v>15.942143</v>
      </c>
      <c r="H55" s="82">
        <v>14.65936</v>
      </c>
      <c r="I55" s="53">
        <f t="shared" si="0"/>
        <v>8.0464903620548395E-2</v>
      </c>
      <c r="J55" s="3" t="s">
        <v>867</v>
      </c>
      <c r="L55">
        <v>14.668825999999999</v>
      </c>
      <c r="P55">
        <v>14.656435999999999</v>
      </c>
      <c r="R55" s="85">
        <f t="shared" si="1"/>
        <v>8.4464837199649799E-4</v>
      </c>
    </row>
    <row r="56" spans="2:19" x14ac:dyDescent="0.3">
      <c r="B56" s="67"/>
      <c r="C56" s="2">
        <v>20</v>
      </c>
      <c r="D56" s="1">
        <v>512</v>
      </c>
      <c r="E56" s="1">
        <v>2560</v>
      </c>
      <c r="F56" s="1">
        <v>16</v>
      </c>
      <c r="G56" s="1">
        <v>8.9221059999999994</v>
      </c>
      <c r="H56" s="82">
        <v>8.2764089999999992</v>
      </c>
      <c r="I56" s="53">
        <f t="shared" si="0"/>
        <v>7.2370469483326053E-2</v>
      </c>
      <c r="J56" s="3" t="s">
        <v>868</v>
      </c>
      <c r="L56">
        <v>8.2815809999999992</v>
      </c>
      <c r="P56">
        <v>8.2751099999999997</v>
      </c>
      <c r="R56" s="85">
        <f t="shared" si="1"/>
        <v>7.8137254227175345E-4</v>
      </c>
    </row>
    <row r="57" spans="2:19" ht="14.5" thickBot="1" x14ac:dyDescent="0.35">
      <c r="B57" s="68"/>
      <c r="C57" s="7">
        <v>20</v>
      </c>
      <c r="D57" s="8">
        <v>512</v>
      </c>
      <c r="E57" s="8">
        <v>2048</v>
      </c>
      <c r="F57" s="8">
        <v>16</v>
      </c>
      <c r="G57" s="8">
        <v>6.8342590000000003</v>
      </c>
      <c r="H57" s="83">
        <v>6.3311299999999999</v>
      </c>
      <c r="I57" s="58">
        <f t="shared" si="0"/>
        <v>7.3618661511072436E-2</v>
      </c>
      <c r="J57" s="9" t="s">
        <v>866</v>
      </c>
      <c r="L57">
        <v>6.3273089999999996</v>
      </c>
      <c r="P57">
        <v>6.3264639999999996</v>
      </c>
      <c r="R57" s="85">
        <f t="shared" si="1"/>
        <v>1.3354808497577481E-4</v>
      </c>
    </row>
    <row r="58" spans="2:19" x14ac:dyDescent="0.3">
      <c r="B58" s="67" t="s">
        <v>5</v>
      </c>
      <c r="C58" s="26">
        <v>1</v>
      </c>
      <c r="D58" s="13">
        <v>135</v>
      </c>
      <c r="E58" s="13">
        <v>4096</v>
      </c>
      <c r="F58" s="13">
        <v>16</v>
      </c>
      <c r="G58" s="13">
        <v>6.2469999999999998E-2</v>
      </c>
      <c r="H58" s="82">
        <v>6.1184000000000002E-2</v>
      </c>
      <c r="I58" s="57">
        <f>(G58-H58)/G58</f>
        <v>2.0585881222986963E-2</v>
      </c>
      <c r="J58" s="84" t="s">
        <v>869</v>
      </c>
      <c r="L58">
        <v>6.8858000000000003E-2</v>
      </c>
      <c r="P58">
        <v>6.5638000000000002E-2</v>
      </c>
      <c r="R58" s="85">
        <f t="shared" si="1"/>
        <v>4.6762903366348148E-2</v>
      </c>
      <c r="S58" s="85">
        <f>(H58-P58)/H58</f>
        <v>-7.279680962343095E-2</v>
      </c>
    </row>
    <row r="59" spans="2:19" x14ac:dyDescent="0.3">
      <c r="B59" s="67"/>
      <c r="C59" s="2">
        <v>1</v>
      </c>
      <c r="D59" s="1">
        <v>135</v>
      </c>
      <c r="E59" s="1">
        <v>4096</v>
      </c>
      <c r="F59" s="1">
        <v>16</v>
      </c>
      <c r="G59" s="1">
        <v>5.5551999999999997E-2</v>
      </c>
      <c r="H59" s="82">
        <v>4.8902000000000001E-2</v>
      </c>
      <c r="I59" s="53">
        <f>(G59-H59)/G59</f>
        <v>0.11970766129032252</v>
      </c>
      <c r="J59" s="3" t="s">
        <v>865</v>
      </c>
      <c r="L59">
        <v>4.4627E-2</v>
      </c>
      <c r="P59">
        <v>4.2214000000000002E-2</v>
      </c>
      <c r="R59" s="85">
        <f t="shared" si="1"/>
        <v>5.407040580814302E-2</v>
      </c>
      <c r="S59" s="85">
        <f t="shared" ref="S59:S111" si="2">(H59-P59)/H59</f>
        <v>0.13676332256349433</v>
      </c>
    </row>
    <row r="60" spans="2:19" x14ac:dyDescent="0.3">
      <c r="B60" s="67"/>
      <c r="C60" s="2">
        <v>1</v>
      </c>
      <c r="D60" s="1">
        <v>135</v>
      </c>
      <c r="E60" s="1">
        <v>2048</v>
      </c>
      <c r="F60" s="1">
        <v>16</v>
      </c>
      <c r="G60" s="1">
        <v>4.6725999999999997E-2</v>
      </c>
      <c r="H60" s="82">
        <v>4.5856000000000001E-2</v>
      </c>
      <c r="I60" s="53">
        <f>(G60-H60)/G60</f>
        <v>1.8619184180113765E-2</v>
      </c>
      <c r="J60" s="3" t="s">
        <v>866</v>
      </c>
      <c r="L60">
        <v>4.2477000000000001E-2</v>
      </c>
      <c r="P60">
        <v>3.9468999999999997E-2</v>
      </c>
      <c r="R60" s="85">
        <f t="shared" si="1"/>
        <v>7.0814793888457364E-2</v>
      </c>
      <c r="S60" s="85">
        <f t="shared" si="2"/>
        <v>0.1392838450802513</v>
      </c>
    </row>
    <row r="61" spans="2:19" x14ac:dyDescent="0.3">
      <c r="B61" s="67"/>
      <c r="C61" s="2">
        <v>1</v>
      </c>
      <c r="D61" s="1">
        <v>135</v>
      </c>
      <c r="E61" s="1">
        <v>5120</v>
      </c>
      <c r="F61" s="1">
        <v>16</v>
      </c>
      <c r="G61" s="1">
        <v>6.6073999999999994E-2</v>
      </c>
      <c r="H61" s="82">
        <v>6.1280000000000001E-2</v>
      </c>
      <c r="I61" s="53">
        <f>(G61-H61)/G61</f>
        <v>7.255501407512778E-2</v>
      </c>
      <c r="J61" s="3" t="s">
        <v>867</v>
      </c>
      <c r="L61">
        <v>5.5525999999999999E-2</v>
      </c>
      <c r="P61">
        <v>5.1456000000000002E-2</v>
      </c>
      <c r="R61" s="85">
        <f t="shared" si="1"/>
        <v>7.3298995065374725E-2</v>
      </c>
      <c r="S61" s="85">
        <f t="shared" si="2"/>
        <v>0.16031331592689294</v>
      </c>
    </row>
    <row r="62" spans="2:19" x14ac:dyDescent="0.3">
      <c r="B62" s="67"/>
      <c r="C62" s="2">
        <v>1</v>
      </c>
      <c r="D62" s="1">
        <v>135</v>
      </c>
      <c r="E62" s="1">
        <v>2560</v>
      </c>
      <c r="F62" s="1">
        <v>16</v>
      </c>
      <c r="G62" s="1">
        <v>5.1456000000000002E-2</v>
      </c>
      <c r="H62" s="82">
        <v>4.8333000000000001E-2</v>
      </c>
      <c r="I62" s="53">
        <f>(G62-H62)/G62</f>
        <v>6.0692630597014942E-2</v>
      </c>
      <c r="J62" s="3" t="s">
        <v>868</v>
      </c>
      <c r="L62">
        <v>4.0677999999999999E-2</v>
      </c>
      <c r="P62">
        <v>4.1050000000000003E-2</v>
      </c>
      <c r="R62" s="85">
        <f t="shared" si="1"/>
        <v>-9.1449923791731228E-3</v>
      </c>
      <c r="S62" s="85">
        <f t="shared" si="2"/>
        <v>0.15068379781929525</v>
      </c>
    </row>
    <row r="63" spans="2:19" x14ac:dyDescent="0.3">
      <c r="B63" s="67"/>
      <c r="C63" s="2">
        <v>1</v>
      </c>
      <c r="D63" s="1">
        <v>135</v>
      </c>
      <c r="E63" s="1">
        <v>2048</v>
      </c>
      <c r="F63" s="1">
        <v>16</v>
      </c>
      <c r="G63" s="1">
        <v>3.5986999999999998E-2</v>
      </c>
      <c r="H63" s="82">
        <v>3.4035000000000003E-2</v>
      </c>
      <c r="I63" s="53">
        <f>(G63-H63)/G63</f>
        <v>5.424180954233461E-2</v>
      </c>
      <c r="J63" s="3" t="s">
        <v>866</v>
      </c>
      <c r="L63">
        <v>3.0610999999999999E-2</v>
      </c>
      <c r="P63">
        <v>3.1597E-2</v>
      </c>
      <c r="R63" s="85">
        <f t="shared" si="1"/>
        <v>-3.2210643232824826E-2</v>
      </c>
      <c r="S63" s="85">
        <f t="shared" si="2"/>
        <v>7.163214338181291E-2</v>
      </c>
    </row>
    <row r="64" spans="2:19" x14ac:dyDescent="0.3">
      <c r="B64" s="67"/>
      <c r="C64" s="2">
        <v>1</v>
      </c>
      <c r="D64" s="1">
        <v>511</v>
      </c>
      <c r="E64" s="1">
        <v>4096</v>
      </c>
      <c r="F64" s="1">
        <v>16</v>
      </c>
      <c r="G64" s="1">
        <v>9.7638000000000003E-2</v>
      </c>
      <c r="H64" s="82">
        <v>9.5269999999999994E-2</v>
      </c>
      <c r="I64" s="53">
        <f>(G64-H64)/G64</f>
        <v>2.4252852373051567E-2</v>
      </c>
      <c r="J64" s="3" t="s">
        <v>869</v>
      </c>
      <c r="L64">
        <v>9.0194999999999997E-2</v>
      </c>
      <c r="P64">
        <v>8.8090000000000002E-2</v>
      </c>
      <c r="R64" s="85">
        <f t="shared" si="1"/>
        <v>2.3338322523421429E-2</v>
      </c>
      <c r="S64" s="85">
        <f t="shared" si="2"/>
        <v>7.5364752807809299E-2</v>
      </c>
    </row>
    <row r="65" spans="2:19" x14ac:dyDescent="0.3">
      <c r="B65" s="67"/>
      <c r="C65" s="2">
        <v>1</v>
      </c>
      <c r="D65" s="1">
        <v>511</v>
      </c>
      <c r="E65" s="1">
        <v>4096</v>
      </c>
      <c r="F65" s="1">
        <v>16</v>
      </c>
      <c r="G65" s="1">
        <v>8.5362999999999994E-2</v>
      </c>
      <c r="H65" s="82">
        <v>7.2498999999999994E-2</v>
      </c>
      <c r="I65" s="53">
        <f>(G65-H65)/G65</f>
        <v>0.15069760903435916</v>
      </c>
      <c r="J65" s="3" t="s">
        <v>865</v>
      </c>
      <c r="L65">
        <v>6.8197999999999995E-2</v>
      </c>
      <c r="P65">
        <v>6.5465999999999996E-2</v>
      </c>
      <c r="R65" s="85">
        <f t="shared" si="1"/>
        <v>4.0059825801343124E-2</v>
      </c>
      <c r="S65" s="85">
        <f t="shared" si="2"/>
        <v>9.7008234596339241E-2</v>
      </c>
    </row>
    <row r="66" spans="2:19" x14ac:dyDescent="0.3">
      <c r="B66" s="67"/>
      <c r="C66" s="2">
        <v>1</v>
      </c>
      <c r="D66" s="1">
        <v>511</v>
      </c>
      <c r="E66" s="1">
        <v>2048</v>
      </c>
      <c r="F66" s="1">
        <v>16</v>
      </c>
      <c r="G66" s="1">
        <v>6.1900999999999998E-2</v>
      </c>
      <c r="H66" s="82">
        <v>6.2272000000000001E-2</v>
      </c>
      <c r="I66" s="53">
        <f>(G66-H66)/G66</f>
        <v>-5.9934411398847075E-3</v>
      </c>
      <c r="J66" s="3" t="s">
        <v>866</v>
      </c>
      <c r="L66">
        <v>6.1530000000000001E-2</v>
      </c>
      <c r="P66">
        <v>5.5661000000000002E-2</v>
      </c>
      <c r="R66" s="85">
        <f t="shared" si="1"/>
        <v>9.5384365350235645E-2</v>
      </c>
      <c r="S66" s="85">
        <f t="shared" si="2"/>
        <v>0.10616328365878723</v>
      </c>
    </row>
    <row r="67" spans="2:19" x14ac:dyDescent="0.3">
      <c r="B67" s="67"/>
      <c r="C67" s="2">
        <v>1</v>
      </c>
      <c r="D67" s="1">
        <v>511</v>
      </c>
      <c r="E67" s="1">
        <v>5120</v>
      </c>
      <c r="F67" s="1">
        <v>16</v>
      </c>
      <c r="G67" s="1">
        <v>0.105018</v>
      </c>
      <c r="H67" s="82">
        <v>9.3049999999999994E-2</v>
      </c>
      <c r="I67" s="53">
        <f>(G67-H67)/G67</f>
        <v>0.11396141613818589</v>
      </c>
      <c r="J67" s="3" t="s">
        <v>867</v>
      </c>
      <c r="L67">
        <v>8.5024000000000002E-2</v>
      </c>
      <c r="P67">
        <v>8.3641999999999994E-2</v>
      </c>
      <c r="R67" s="85">
        <f t="shared" si="1"/>
        <v>1.6254234098607549E-2</v>
      </c>
      <c r="S67" s="85">
        <f t="shared" si="2"/>
        <v>0.10110693175711984</v>
      </c>
    </row>
    <row r="68" spans="2:19" x14ac:dyDescent="0.3">
      <c r="B68" s="67"/>
      <c r="C68" s="2">
        <v>1</v>
      </c>
      <c r="D68" s="1">
        <v>511</v>
      </c>
      <c r="E68" s="1">
        <v>2560</v>
      </c>
      <c r="F68" s="1">
        <v>16</v>
      </c>
      <c r="G68" s="1">
        <v>7.8074000000000005E-2</v>
      </c>
      <c r="H68" s="82">
        <v>7.1398000000000003E-2</v>
      </c>
      <c r="I68" s="53">
        <f>(G68-H68)/G68</f>
        <v>8.5508620027153745E-2</v>
      </c>
      <c r="J68" s="3" t="s">
        <v>868</v>
      </c>
      <c r="L68">
        <v>6.6642999999999994E-2</v>
      </c>
      <c r="P68">
        <v>6.5542000000000003E-2</v>
      </c>
      <c r="R68" s="85">
        <f t="shared" si="1"/>
        <v>1.6520864907041865E-2</v>
      </c>
      <c r="S68" s="85">
        <f t="shared" si="2"/>
        <v>8.2019104176587573E-2</v>
      </c>
    </row>
    <row r="69" spans="2:19" x14ac:dyDescent="0.3">
      <c r="B69" s="67"/>
      <c r="C69" s="2">
        <v>1</v>
      </c>
      <c r="D69" s="1">
        <v>511</v>
      </c>
      <c r="E69" s="1">
        <v>2048</v>
      </c>
      <c r="F69" s="1">
        <v>16</v>
      </c>
      <c r="G69" s="1">
        <v>4.9562000000000002E-2</v>
      </c>
      <c r="H69" s="82">
        <v>4.4825999999999998E-2</v>
      </c>
      <c r="I69" s="53">
        <f t="shared" ref="I69:I111" si="3">(G69-H69)/G69</f>
        <v>9.5557080020983898E-2</v>
      </c>
      <c r="J69" s="3" t="s">
        <v>866</v>
      </c>
      <c r="L69">
        <v>4.0070000000000001E-2</v>
      </c>
      <c r="P69">
        <v>4.0447999999999998E-2</v>
      </c>
      <c r="R69" s="85">
        <f t="shared" ref="R69:R111" si="4">(L69-P69)/L69</f>
        <v>-9.4334913900672914E-3</v>
      </c>
      <c r="S69" s="85">
        <f t="shared" si="2"/>
        <v>9.7666532815776558E-2</v>
      </c>
    </row>
    <row r="70" spans="2:19" x14ac:dyDescent="0.3">
      <c r="B70" s="67"/>
      <c r="C70" s="2">
        <v>1</v>
      </c>
      <c r="D70" s="1">
        <v>1024</v>
      </c>
      <c r="E70" s="1">
        <v>4096</v>
      </c>
      <c r="F70" s="1">
        <v>16</v>
      </c>
      <c r="G70" s="1">
        <v>0.16878099999999999</v>
      </c>
      <c r="H70" s="82">
        <v>0.15942999999999999</v>
      </c>
      <c r="I70" s="53">
        <f t="shared" si="3"/>
        <v>5.5403155568458526E-2</v>
      </c>
      <c r="J70" s="3" t="s">
        <v>869</v>
      </c>
      <c r="L70">
        <v>0.14887700000000001</v>
      </c>
      <c r="P70">
        <v>0.14371800000000001</v>
      </c>
      <c r="R70" s="85">
        <f t="shared" si="4"/>
        <v>3.4652767049309141E-2</v>
      </c>
      <c r="S70" s="85">
        <f t="shared" si="2"/>
        <v>9.8551088251897234E-2</v>
      </c>
    </row>
    <row r="71" spans="2:19" x14ac:dyDescent="0.3">
      <c r="B71" s="67"/>
      <c r="C71" s="2">
        <v>1</v>
      </c>
      <c r="D71" s="1">
        <v>1024</v>
      </c>
      <c r="E71" s="1">
        <v>4096</v>
      </c>
      <c r="F71" s="1">
        <v>16</v>
      </c>
      <c r="G71" s="1">
        <v>0.13742699999999999</v>
      </c>
      <c r="H71" s="82">
        <v>0.11479</v>
      </c>
      <c r="I71" s="53">
        <f t="shared" si="3"/>
        <v>0.16472017871306213</v>
      </c>
      <c r="J71" s="3" t="s">
        <v>865</v>
      </c>
      <c r="L71">
        <v>0.104486</v>
      </c>
      <c r="P71">
        <v>0.10183</v>
      </c>
      <c r="R71" s="85">
        <f t="shared" si="4"/>
        <v>2.5419673449074438E-2</v>
      </c>
      <c r="S71" s="85">
        <f t="shared" si="2"/>
        <v>0.11290182071609024</v>
      </c>
    </row>
    <row r="72" spans="2:19" x14ac:dyDescent="0.3">
      <c r="B72" s="67"/>
      <c r="C72" s="2">
        <v>1</v>
      </c>
      <c r="D72" s="1">
        <v>1024</v>
      </c>
      <c r="E72" s="1">
        <v>2048</v>
      </c>
      <c r="F72" s="1">
        <v>16</v>
      </c>
      <c r="G72" s="1">
        <v>9.8566000000000001E-2</v>
      </c>
      <c r="H72" s="82">
        <v>9.7427E-2</v>
      </c>
      <c r="I72" s="53">
        <f t="shared" si="3"/>
        <v>1.1555708865125917E-2</v>
      </c>
      <c r="J72" s="3" t="s">
        <v>866</v>
      </c>
      <c r="L72">
        <v>9.0477000000000002E-2</v>
      </c>
      <c r="P72">
        <v>8.3917000000000005E-2</v>
      </c>
      <c r="R72" s="85">
        <f t="shared" si="4"/>
        <v>7.2504614432397141E-2</v>
      </c>
      <c r="S72" s="85">
        <f t="shared" si="2"/>
        <v>0.1386679257290073</v>
      </c>
    </row>
    <row r="73" spans="2:19" x14ac:dyDescent="0.3">
      <c r="B73" s="67"/>
      <c r="C73" s="2">
        <v>1</v>
      </c>
      <c r="D73" s="1">
        <v>1024</v>
      </c>
      <c r="E73" s="1">
        <v>5120</v>
      </c>
      <c r="F73" s="1">
        <v>16</v>
      </c>
      <c r="G73" s="1">
        <v>0.181094</v>
      </c>
      <c r="H73" s="82">
        <v>0.15923799999999999</v>
      </c>
      <c r="I73" s="53">
        <f t="shared" si="3"/>
        <v>0.12068870310446517</v>
      </c>
      <c r="J73" s="3" t="s">
        <v>867</v>
      </c>
      <c r="L73">
        <v>0.14261799999999999</v>
      </c>
      <c r="P73">
        <v>0.13849</v>
      </c>
      <c r="R73" s="85">
        <f t="shared" si="4"/>
        <v>2.8944453014345967E-2</v>
      </c>
      <c r="S73" s="85">
        <f t="shared" si="2"/>
        <v>0.13029553247340453</v>
      </c>
    </row>
    <row r="74" spans="2:19" x14ac:dyDescent="0.3">
      <c r="B74" s="67"/>
      <c r="C74" s="2">
        <v>1</v>
      </c>
      <c r="D74" s="1">
        <v>1024</v>
      </c>
      <c r="E74" s="1">
        <v>2560</v>
      </c>
      <c r="F74" s="1">
        <v>16</v>
      </c>
      <c r="G74" s="1">
        <v>0.126669</v>
      </c>
      <c r="H74" s="82">
        <v>0.11301799999999999</v>
      </c>
      <c r="I74" s="53">
        <f t="shared" si="3"/>
        <v>0.10776906741191618</v>
      </c>
      <c r="J74" s="3" t="s">
        <v>868</v>
      </c>
      <c r="L74">
        <v>0.10230400000000001</v>
      </c>
      <c r="P74">
        <v>9.8912E-2</v>
      </c>
      <c r="R74" s="85">
        <f t="shared" si="4"/>
        <v>3.315608382858936E-2</v>
      </c>
      <c r="S74" s="85">
        <f t="shared" si="2"/>
        <v>0.12481197685324456</v>
      </c>
    </row>
    <row r="75" spans="2:19" x14ac:dyDescent="0.3">
      <c r="B75" s="67"/>
      <c r="C75" s="2">
        <v>1</v>
      </c>
      <c r="D75" s="1">
        <v>1024</v>
      </c>
      <c r="E75" s="1">
        <v>2048</v>
      </c>
      <c r="F75" s="1">
        <v>16</v>
      </c>
      <c r="G75" s="1">
        <v>7.3516999999999999E-2</v>
      </c>
      <c r="H75" s="82">
        <v>6.3052999999999998E-2</v>
      </c>
      <c r="I75" s="53">
        <f t="shared" si="3"/>
        <v>0.14233442605111746</v>
      </c>
      <c r="J75" s="3" t="s">
        <v>866</v>
      </c>
      <c r="L75">
        <v>5.5981000000000003E-2</v>
      </c>
      <c r="P75">
        <v>5.7106999999999998E-2</v>
      </c>
      <c r="R75" s="85">
        <f t="shared" si="4"/>
        <v>-2.0113967238884534E-2</v>
      </c>
      <c r="S75" s="85">
        <f t="shared" si="2"/>
        <v>9.4301619272675372E-2</v>
      </c>
    </row>
    <row r="76" spans="2:19" x14ac:dyDescent="0.3">
      <c r="B76" s="67"/>
      <c r="C76" s="2">
        <v>8</v>
      </c>
      <c r="D76" s="1">
        <v>128</v>
      </c>
      <c r="E76" s="1">
        <v>4096</v>
      </c>
      <c r="F76" s="1">
        <v>16</v>
      </c>
      <c r="G76" s="1">
        <v>0.30198399999999997</v>
      </c>
      <c r="H76" s="82">
        <v>0.28576000000000001</v>
      </c>
      <c r="I76" s="53">
        <f t="shared" si="3"/>
        <v>5.3724700646391739E-2</v>
      </c>
      <c r="J76" s="3" t="s">
        <v>869</v>
      </c>
      <c r="L76">
        <v>0.245203</v>
      </c>
      <c r="P76">
        <v>0.237069</v>
      </c>
      <c r="R76" s="85">
        <f t="shared" si="4"/>
        <v>3.3172514202517919E-2</v>
      </c>
      <c r="S76" s="85">
        <f t="shared" si="2"/>
        <v>0.1703912374020157</v>
      </c>
    </row>
    <row r="77" spans="2:19" x14ac:dyDescent="0.3">
      <c r="B77" s="67"/>
      <c r="C77" s="2">
        <v>8</v>
      </c>
      <c r="D77" s="1">
        <v>128</v>
      </c>
      <c r="E77" s="1">
        <v>4096</v>
      </c>
      <c r="F77" s="1">
        <v>16</v>
      </c>
      <c r="G77" s="1">
        <v>0.24243799999999999</v>
      </c>
      <c r="H77" s="82">
        <v>0.21715200000000001</v>
      </c>
      <c r="I77" s="53">
        <f t="shared" si="3"/>
        <v>0.1042988310413383</v>
      </c>
      <c r="J77" s="3" t="s">
        <v>865</v>
      </c>
      <c r="L77">
        <v>0.17884800000000001</v>
      </c>
      <c r="P77">
        <v>0.170074</v>
      </c>
      <c r="R77" s="85">
        <f t="shared" si="4"/>
        <v>4.9058418321703365E-2</v>
      </c>
      <c r="S77" s="85">
        <f t="shared" si="2"/>
        <v>0.21679745063365755</v>
      </c>
    </row>
    <row r="78" spans="2:19" x14ac:dyDescent="0.3">
      <c r="B78" s="67"/>
      <c r="C78" s="2">
        <v>8</v>
      </c>
      <c r="D78" s="1">
        <v>128</v>
      </c>
      <c r="E78" s="1">
        <v>2048</v>
      </c>
      <c r="F78" s="1">
        <v>16</v>
      </c>
      <c r="G78" s="1">
        <v>0.165325</v>
      </c>
      <c r="H78" s="82">
        <v>0.15895699999999999</v>
      </c>
      <c r="I78" s="53">
        <f t="shared" si="3"/>
        <v>3.851807046726153E-2</v>
      </c>
      <c r="J78" s="3" t="s">
        <v>866</v>
      </c>
      <c r="L78">
        <v>0.13600000000000001</v>
      </c>
      <c r="P78">
        <v>0.13219800000000001</v>
      </c>
      <c r="R78" s="85">
        <f t="shared" si="4"/>
        <v>2.7955882352941174E-2</v>
      </c>
      <c r="S78" s="85">
        <f t="shared" si="2"/>
        <v>0.16834112370012003</v>
      </c>
    </row>
    <row r="79" spans="2:19" x14ac:dyDescent="0.3">
      <c r="B79" s="67"/>
      <c r="C79" s="2">
        <v>8</v>
      </c>
      <c r="D79" s="1">
        <v>128</v>
      </c>
      <c r="E79" s="1">
        <v>5120</v>
      </c>
      <c r="F79" s="1">
        <v>16</v>
      </c>
      <c r="G79" s="1">
        <v>0.29597400000000001</v>
      </c>
      <c r="H79" s="82">
        <v>0.262963</v>
      </c>
      <c r="I79" s="53">
        <f t="shared" si="3"/>
        <v>0.11153344550534848</v>
      </c>
      <c r="J79" s="3" t="s">
        <v>867</v>
      </c>
      <c r="L79">
        <v>0.216531</v>
      </c>
      <c r="P79">
        <v>0.20361000000000001</v>
      </c>
      <c r="R79" s="85">
        <f t="shared" si="4"/>
        <v>5.967274893664181E-2</v>
      </c>
      <c r="S79" s="85">
        <f t="shared" si="2"/>
        <v>0.22570855975935775</v>
      </c>
    </row>
    <row r="80" spans="2:19" x14ac:dyDescent="0.3">
      <c r="B80" s="67"/>
      <c r="C80" s="2">
        <v>8</v>
      </c>
      <c r="D80" s="1">
        <v>128</v>
      </c>
      <c r="E80" s="1">
        <v>2560</v>
      </c>
      <c r="F80" s="1">
        <v>16</v>
      </c>
      <c r="G80" s="1">
        <v>0.15998699999999999</v>
      </c>
      <c r="H80" s="82">
        <v>0.142848</v>
      </c>
      <c r="I80" s="53">
        <f t="shared" si="3"/>
        <v>0.10712745410564602</v>
      </c>
      <c r="J80" s="3" t="s">
        <v>868</v>
      </c>
      <c r="L80">
        <v>0.12027500000000001</v>
      </c>
      <c r="P80">
        <v>0.114317</v>
      </c>
      <c r="R80" s="85">
        <f t="shared" si="4"/>
        <v>4.9536478902515106E-2</v>
      </c>
      <c r="S80" s="85">
        <f t="shared" si="2"/>
        <v>0.19972978270609318</v>
      </c>
    </row>
    <row r="81" spans="2:19" x14ac:dyDescent="0.3">
      <c r="B81" s="67"/>
      <c r="C81" s="2">
        <v>8</v>
      </c>
      <c r="D81" s="1">
        <v>128</v>
      </c>
      <c r="E81" s="1">
        <v>2048</v>
      </c>
      <c r="F81" s="1">
        <v>16</v>
      </c>
      <c r="G81" s="1">
        <v>0.134355</v>
      </c>
      <c r="H81" s="82">
        <v>0.119232</v>
      </c>
      <c r="I81" s="53">
        <f t="shared" si="3"/>
        <v>0.11256000893156189</v>
      </c>
      <c r="J81" s="3" t="s">
        <v>866</v>
      </c>
      <c r="L81">
        <v>0.101715</v>
      </c>
      <c r="P81">
        <v>9.7997000000000001E-2</v>
      </c>
      <c r="R81" s="85">
        <f t="shared" si="4"/>
        <v>3.65531140932999E-2</v>
      </c>
      <c r="S81" s="85">
        <f t="shared" si="2"/>
        <v>0.17809816156736449</v>
      </c>
    </row>
    <row r="82" spans="2:19" x14ac:dyDescent="0.3">
      <c r="B82" s="67"/>
      <c r="C82" s="2">
        <v>8</v>
      </c>
      <c r="D82" s="1">
        <v>511</v>
      </c>
      <c r="E82" s="1">
        <v>4096</v>
      </c>
      <c r="F82" s="1">
        <v>16</v>
      </c>
      <c r="G82" s="1">
        <v>0.57047000000000003</v>
      </c>
      <c r="H82" s="82">
        <v>0.52838399999999996</v>
      </c>
      <c r="I82" s="53">
        <f t="shared" si="3"/>
        <v>7.3774256314968478E-2</v>
      </c>
      <c r="J82" s="3" t="s">
        <v>869</v>
      </c>
      <c r="L82">
        <v>0.46602199999999999</v>
      </c>
      <c r="P82">
        <v>0.45182699999999998</v>
      </c>
      <c r="R82" s="85">
        <f t="shared" si="4"/>
        <v>3.0459935367858199E-2</v>
      </c>
      <c r="S82" s="85">
        <f t="shared" si="2"/>
        <v>0.14488894440406974</v>
      </c>
    </row>
    <row r="83" spans="2:19" x14ac:dyDescent="0.3">
      <c r="B83" s="67"/>
      <c r="C83" s="2">
        <v>8</v>
      </c>
      <c r="D83" s="1">
        <v>511</v>
      </c>
      <c r="E83" s="1">
        <v>4096</v>
      </c>
      <c r="F83" s="1">
        <v>16</v>
      </c>
      <c r="G83" s="1">
        <v>0.427232</v>
      </c>
      <c r="H83" s="82">
        <v>0.34999000000000002</v>
      </c>
      <c r="I83" s="53">
        <f t="shared" si="3"/>
        <v>0.18079638229346112</v>
      </c>
      <c r="J83" s="3" t="s">
        <v>865</v>
      </c>
      <c r="L83">
        <v>0.29528300000000002</v>
      </c>
      <c r="P83">
        <v>0.29652499999999998</v>
      </c>
      <c r="R83" s="85">
        <f t="shared" si="4"/>
        <v>-4.2061344540659821E-3</v>
      </c>
      <c r="S83" s="85">
        <f t="shared" si="2"/>
        <v>0.15276150747164216</v>
      </c>
    </row>
    <row r="84" spans="2:19" x14ac:dyDescent="0.3">
      <c r="B84" s="67"/>
      <c r="C84" s="2">
        <v>8</v>
      </c>
      <c r="D84" s="1">
        <v>511</v>
      </c>
      <c r="E84" s="1">
        <v>2048</v>
      </c>
      <c r="F84" s="1">
        <v>16</v>
      </c>
      <c r="G84" s="1">
        <v>0.29932199999999998</v>
      </c>
      <c r="H84" s="82">
        <v>0.28472999999999998</v>
      </c>
      <c r="I84" s="53">
        <f t="shared" si="3"/>
        <v>4.875017539639584E-2</v>
      </c>
      <c r="J84" s="3" t="s">
        <v>866</v>
      </c>
      <c r="L84">
        <v>0.250253</v>
      </c>
      <c r="P84">
        <v>0.24268799999999999</v>
      </c>
      <c r="R84" s="85">
        <f t="shared" si="4"/>
        <v>3.0229407839266725E-2</v>
      </c>
      <c r="S84" s="85">
        <f t="shared" si="2"/>
        <v>0.14765567379622799</v>
      </c>
    </row>
    <row r="85" spans="2:19" x14ac:dyDescent="0.3">
      <c r="B85" s="67"/>
      <c r="C85" s="2">
        <v>8</v>
      </c>
      <c r="D85" s="1">
        <v>511</v>
      </c>
      <c r="E85" s="1">
        <v>5120</v>
      </c>
      <c r="F85" s="1">
        <v>16</v>
      </c>
      <c r="G85" s="1">
        <v>0.51874600000000004</v>
      </c>
      <c r="H85" s="82">
        <v>0.43568600000000002</v>
      </c>
      <c r="I85" s="53">
        <f t="shared" si="3"/>
        <v>0.16011689728691886</v>
      </c>
      <c r="J85" s="3" t="s">
        <v>867</v>
      </c>
      <c r="L85">
        <v>0.36296299999999998</v>
      </c>
      <c r="P85">
        <v>0.35693399999999997</v>
      </c>
      <c r="R85" s="85">
        <f t="shared" si="4"/>
        <v>1.6610508509131802E-2</v>
      </c>
      <c r="S85" s="85">
        <f t="shared" si="2"/>
        <v>0.18075402927796633</v>
      </c>
    </row>
    <row r="86" spans="2:19" x14ac:dyDescent="0.3">
      <c r="B86" s="67"/>
      <c r="C86" s="2">
        <v>8</v>
      </c>
      <c r="D86" s="1">
        <v>511</v>
      </c>
      <c r="E86" s="1">
        <v>2560</v>
      </c>
      <c r="F86" s="1">
        <v>16</v>
      </c>
      <c r="G86" s="1">
        <v>0.27337600000000001</v>
      </c>
      <c r="H86" s="82">
        <v>0.231155</v>
      </c>
      <c r="I86" s="53">
        <f t="shared" si="3"/>
        <v>0.1544429650005853</v>
      </c>
      <c r="J86" s="3" t="s">
        <v>868</v>
      </c>
      <c r="L86">
        <v>0.19980200000000001</v>
      </c>
      <c r="P86">
        <v>0.19742100000000001</v>
      </c>
      <c r="R86" s="85">
        <f t="shared" si="4"/>
        <v>1.1916797629653328E-2</v>
      </c>
      <c r="S86" s="85">
        <f t="shared" si="2"/>
        <v>0.14593670913456333</v>
      </c>
    </row>
    <row r="87" spans="2:19" x14ac:dyDescent="0.3">
      <c r="B87" s="67"/>
      <c r="C87" s="2">
        <v>8</v>
      </c>
      <c r="D87" s="1">
        <v>511</v>
      </c>
      <c r="E87" s="1">
        <v>2048</v>
      </c>
      <c r="F87" s="1">
        <v>16</v>
      </c>
      <c r="G87" s="1">
        <v>0.22751399999999999</v>
      </c>
      <c r="H87" s="82">
        <v>0.1888</v>
      </c>
      <c r="I87" s="53">
        <f t="shared" si="3"/>
        <v>0.17016095712791302</v>
      </c>
      <c r="J87" s="3" t="s">
        <v>866</v>
      </c>
      <c r="L87">
        <v>0.161882</v>
      </c>
      <c r="P87">
        <v>0.16639999999999999</v>
      </c>
      <c r="R87" s="85">
        <f t="shared" si="4"/>
        <v>-2.7909217825329527E-2</v>
      </c>
      <c r="S87" s="85">
        <f t="shared" si="2"/>
        <v>0.11864406779661019</v>
      </c>
    </row>
    <row r="88" spans="2:19" x14ac:dyDescent="0.3">
      <c r="B88" s="67"/>
      <c r="C88" s="2">
        <v>16</v>
      </c>
      <c r="D88" s="1">
        <v>96</v>
      </c>
      <c r="E88" s="1">
        <v>4096</v>
      </c>
      <c r="F88" s="1">
        <v>16</v>
      </c>
      <c r="G88" s="1">
        <v>0.38864599999999999</v>
      </c>
      <c r="H88" s="82">
        <v>0.36491499999999999</v>
      </c>
      <c r="I88" s="53">
        <f t="shared" si="3"/>
        <v>6.1060708202322941E-2</v>
      </c>
      <c r="J88" s="3" t="s">
        <v>869</v>
      </c>
      <c r="L88">
        <v>0.31522600000000001</v>
      </c>
      <c r="P88">
        <v>0.30513899999999999</v>
      </c>
      <c r="R88" s="85">
        <f t="shared" si="4"/>
        <v>3.1999264020099907E-2</v>
      </c>
      <c r="S88" s="85">
        <f t="shared" si="2"/>
        <v>0.16380801008454024</v>
      </c>
    </row>
    <row r="89" spans="2:19" x14ac:dyDescent="0.3">
      <c r="B89" s="67"/>
      <c r="C89" s="2">
        <v>16</v>
      </c>
      <c r="D89" s="1">
        <v>96</v>
      </c>
      <c r="E89" s="1">
        <v>4096</v>
      </c>
      <c r="F89" s="1">
        <v>16</v>
      </c>
      <c r="G89" s="1">
        <v>0.34456999999999999</v>
      </c>
      <c r="H89" s="82">
        <v>0.312448</v>
      </c>
      <c r="I89" s="53">
        <f t="shared" si="3"/>
        <v>9.3223437908117324E-2</v>
      </c>
      <c r="J89" s="3" t="s">
        <v>865</v>
      </c>
      <c r="L89">
        <v>0.25944299999999998</v>
      </c>
      <c r="P89">
        <v>0.23582700000000001</v>
      </c>
      <c r="R89" s="85">
        <f t="shared" si="4"/>
        <v>9.1025774447566404E-2</v>
      </c>
      <c r="S89" s="85">
        <f t="shared" si="2"/>
        <v>0.24522800594018843</v>
      </c>
    </row>
    <row r="90" spans="2:19" x14ac:dyDescent="0.3">
      <c r="B90" s="67"/>
      <c r="C90" s="2">
        <v>16</v>
      </c>
      <c r="D90" s="1">
        <v>96</v>
      </c>
      <c r="E90" s="1">
        <v>2048</v>
      </c>
      <c r="F90" s="1">
        <v>16</v>
      </c>
      <c r="G90" s="1">
        <v>0.20554900000000001</v>
      </c>
      <c r="H90" s="82">
        <v>0.19312599999999999</v>
      </c>
      <c r="I90" s="53">
        <f t="shared" si="3"/>
        <v>6.0438143702961418E-2</v>
      </c>
      <c r="J90" s="3" t="s">
        <v>866</v>
      </c>
      <c r="L90">
        <v>0.16938900000000001</v>
      </c>
      <c r="P90">
        <v>0.16100500000000001</v>
      </c>
      <c r="R90" s="85">
        <f t="shared" si="4"/>
        <v>4.9495539852056521E-2</v>
      </c>
      <c r="S90" s="85">
        <f t="shared" si="2"/>
        <v>0.16632146888559793</v>
      </c>
    </row>
    <row r="91" spans="2:19" x14ac:dyDescent="0.3">
      <c r="B91" s="67"/>
      <c r="C91" s="2">
        <v>16</v>
      </c>
      <c r="D91" s="1">
        <v>96</v>
      </c>
      <c r="E91" s="1">
        <v>5120</v>
      </c>
      <c r="F91" s="1">
        <v>16</v>
      </c>
      <c r="G91" s="1">
        <v>0.42469099999999999</v>
      </c>
      <c r="H91" s="82">
        <v>0.38620199999999999</v>
      </c>
      <c r="I91" s="53">
        <f t="shared" si="3"/>
        <v>9.0628245006369332E-2</v>
      </c>
      <c r="J91" s="3" t="s">
        <v>867</v>
      </c>
      <c r="L91">
        <v>0.31807400000000002</v>
      </c>
      <c r="P91">
        <v>0.28978599999999999</v>
      </c>
      <c r="R91" s="85">
        <f t="shared" si="4"/>
        <v>8.8935279211755855E-2</v>
      </c>
      <c r="S91" s="85">
        <f t="shared" si="2"/>
        <v>0.24965173665594689</v>
      </c>
    </row>
    <row r="92" spans="2:19" x14ac:dyDescent="0.3">
      <c r="B92" s="67"/>
      <c r="C92" s="2">
        <v>16</v>
      </c>
      <c r="D92" s="1">
        <v>96</v>
      </c>
      <c r="E92" s="1">
        <v>2560</v>
      </c>
      <c r="F92" s="1">
        <v>16</v>
      </c>
      <c r="G92" s="1">
        <v>0.22181100000000001</v>
      </c>
      <c r="H92" s="82">
        <v>0.20083799999999999</v>
      </c>
      <c r="I92" s="53">
        <f t="shared" si="3"/>
        <v>9.4553471198452824E-2</v>
      </c>
      <c r="J92" s="3" t="s">
        <v>868</v>
      </c>
      <c r="L92">
        <v>0.16758999999999999</v>
      </c>
      <c r="P92">
        <v>0.15864300000000001</v>
      </c>
      <c r="R92" s="85">
        <f t="shared" si="4"/>
        <v>5.3386240229130515E-2</v>
      </c>
      <c r="S92" s="85">
        <f t="shared" si="2"/>
        <v>0.21009470319361867</v>
      </c>
    </row>
    <row r="93" spans="2:19" x14ac:dyDescent="0.3">
      <c r="B93" s="67"/>
      <c r="C93" s="2">
        <v>16</v>
      </c>
      <c r="D93" s="1">
        <v>96</v>
      </c>
      <c r="E93" s="1">
        <v>2048</v>
      </c>
      <c r="F93" s="1">
        <v>16</v>
      </c>
      <c r="G93" s="1">
        <v>0.18518999999999999</v>
      </c>
      <c r="H93" s="82">
        <v>0.16744300000000001</v>
      </c>
      <c r="I93" s="53">
        <f t="shared" si="3"/>
        <v>9.5831308385981889E-2</v>
      </c>
      <c r="J93" s="3" t="s">
        <v>866</v>
      </c>
      <c r="L93">
        <v>0.13681299999999999</v>
      </c>
      <c r="P93">
        <v>0.12911400000000001</v>
      </c>
      <c r="R93" s="85">
        <f t="shared" si="4"/>
        <v>5.6273892100896727E-2</v>
      </c>
      <c r="S93" s="85">
        <f t="shared" si="2"/>
        <v>0.2289077477111614</v>
      </c>
    </row>
    <row r="94" spans="2:19" x14ac:dyDescent="0.3">
      <c r="B94" s="67"/>
      <c r="C94" s="2">
        <v>16</v>
      </c>
      <c r="D94" s="1">
        <v>511</v>
      </c>
      <c r="E94" s="1">
        <v>4096</v>
      </c>
      <c r="F94" s="1">
        <v>16</v>
      </c>
      <c r="G94" s="1">
        <v>1.1073729999999999</v>
      </c>
      <c r="H94" s="82">
        <v>1.0134209999999999</v>
      </c>
      <c r="I94" s="53">
        <f t="shared" si="3"/>
        <v>8.4842234730303195E-2</v>
      </c>
      <c r="J94" s="3" t="s">
        <v>869</v>
      </c>
      <c r="L94">
        <v>1.127014</v>
      </c>
      <c r="P94">
        <v>1.125702</v>
      </c>
      <c r="R94" s="85">
        <f t="shared" si="4"/>
        <v>1.1641381562251933E-3</v>
      </c>
      <c r="S94" s="85">
        <f t="shared" si="2"/>
        <v>-0.11079403327935783</v>
      </c>
    </row>
    <row r="95" spans="2:19" x14ac:dyDescent="0.3">
      <c r="B95" s="67"/>
      <c r="C95" s="2">
        <v>16</v>
      </c>
      <c r="D95" s="1">
        <v>511</v>
      </c>
      <c r="E95" s="1">
        <v>4096</v>
      </c>
      <c r="F95" s="1">
        <v>16</v>
      </c>
      <c r="G95" s="1">
        <v>0.81123199999999995</v>
      </c>
      <c r="H95" s="82">
        <v>0.68666199999999999</v>
      </c>
      <c r="I95" s="53">
        <f t="shared" si="3"/>
        <v>0.1535565658159441</v>
      </c>
      <c r="J95" s="3" t="s">
        <v>865</v>
      </c>
      <c r="L95">
        <v>0.55832999999999999</v>
      </c>
      <c r="P95">
        <v>0.55136600000000002</v>
      </c>
      <c r="R95" s="85">
        <f t="shared" si="4"/>
        <v>1.2472910286031506E-2</v>
      </c>
      <c r="S95" s="85">
        <f t="shared" si="2"/>
        <v>0.19703434877712758</v>
      </c>
    </row>
    <row r="96" spans="2:19" x14ac:dyDescent="0.3">
      <c r="B96" s="67"/>
      <c r="C96" s="2">
        <v>16</v>
      </c>
      <c r="D96" s="1">
        <v>511</v>
      </c>
      <c r="E96" s="1">
        <v>2048</v>
      </c>
      <c r="F96" s="1">
        <v>16</v>
      </c>
      <c r="G96" s="1">
        <v>0.57891199999999998</v>
      </c>
      <c r="H96" s="82">
        <v>0.53053399999999995</v>
      </c>
      <c r="I96" s="53">
        <f t="shared" si="3"/>
        <v>8.3567105190426233E-2</v>
      </c>
      <c r="J96" s="3" t="s">
        <v>866</v>
      </c>
      <c r="L96">
        <v>0.57625000000000004</v>
      </c>
      <c r="P96">
        <v>0.57784999999999997</v>
      </c>
      <c r="R96" s="85">
        <f t="shared" si="4"/>
        <v>-2.7765726681126851E-3</v>
      </c>
      <c r="S96" s="85">
        <f t="shared" si="2"/>
        <v>-8.9185612986161164E-2</v>
      </c>
    </row>
    <row r="97" spans="2:19" x14ac:dyDescent="0.3">
      <c r="B97" s="67"/>
      <c r="C97" s="2">
        <v>16</v>
      </c>
      <c r="D97" s="1">
        <v>511</v>
      </c>
      <c r="E97" s="1">
        <v>5120</v>
      </c>
      <c r="F97" s="1">
        <v>16</v>
      </c>
      <c r="G97" s="1">
        <v>1.000602</v>
      </c>
      <c r="H97" s="82">
        <v>0.84842200000000001</v>
      </c>
      <c r="I97" s="53">
        <f t="shared" si="3"/>
        <v>0.15208844275746</v>
      </c>
      <c r="J97" s="3" t="s">
        <v>867</v>
      </c>
      <c r="L97">
        <v>0.69199999999999995</v>
      </c>
      <c r="P97">
        <v>0.68210599999999999</v>
      </c>
      <c r="R97" s="85">
        <f t="shared" si="4"/>
        <v>1.4297687861271616E-2</v>
      </c>
      <c r="S97" s="85">
        <f t="shared" si="2"/>
        <v>0.19602980592205296</v>
      </c>
    </row>
    <row r="98" spans="2:19" x14ac:dyDescent="0.3">
      <c r="B98" s="67"/>
      <c r="C98" s="2">
        <v>16</v>
      </c>
      <c r="D98" s="1">
        <v>511</v>
      </c>
      <c r="E98" s="1">
        <v>2560</v>
      </c>
      <c r="F98" s="1">
        <v>16</v>
      </c>
      <c r="G98" s="1">
        <v>0.51634599999999997</v>
      </c>
      <c r="H98" s="82">
        <v>0.42975999999999998</v>
      </c>
      <c r="I98" s="53">
        <f t="shared" si="3"/>
        <v>0.16768988236570051</v>
      </c>
      <c r="J98" s="3" t="s">
        <v>868</v>
      </c>
      <c r="L98">
        <v>0.357651</v>
      </c>
      <c r="P98">
        <v>0.35719699999999999</v>
      </c>
      <c r="R98" s="85">
        <f t="shared" si="4"/>
        <v>1.2693939063500731E-3</v>
      </c>
      <c r="S98" s="85">
        <f t="shared" si="2"/>
        <v>0.16884540208488458</v>
      </c>
    </row>
    <row r="99" spans="2:19" x14ac:dyDescent="0.3">
      <c r="B99" s="67"/>
      <c r="C99" s="2">
        <v>16</v>
      </c>
      <c r="D99" s="1">
        <v>511</v>
      </c>
      <c r="E99" s="1">
        <v>2048</v>
      </c>
      <c r="F99" s="1">
        <v>16</v>
      </c>
      <c r="G99" s="1">
        <v>0.41953299999999999</v>
      </c>
      <c r="H99" s="82">
        <v>0.35067500000000001</v>
      </c>
      <c r="I99" s="53">
        <f t="shared" si="3"/>
        <v>0.16413011610528844</v>
      </c>
      <c r="J99" s="3" t="s">
        <v>866</v>
      </c>
      <c r="L99">
        <v>0.29632599999999998</v>
      </c>
      <c r="P99">
        <v>0.29824600000000001</v>
      </c>
      <c r="R99" s="85">
        <f t="shared" si="4"/>
        <v>-6.4793504451179876E-3</v>
      </c>
      <c r="S99" s="85">
        <f t="shared" si="2"/>
        <v>0.14950880444856349</v>
      </c>
    </row>
    <row r="100" spans="2:19" x14ac:dyDescent="0.3">
      <c r="B100" s="67"/>
      <c r="C100" s="2">
        <v>16</v>
      </c>
      <c r="D100" s="1">
        <v>1024</v>
      </c>
      <c r="E100" s="1">
        <v>4096</v>
      </c>
      <c r="F100" s="1">
        <v>16</v>
      </c>
      <c r="G100" s="1">
        <v>2.3263739999999999</v>
      </c>
      <c r="H100" s="82">
        <v>2.1093250000000001</v>
      </c>
      <c r="I100" s="53">
        <f t="shared" si="3"/>
        <v>9.3299271742204745E-2</v>
      </c>
      <c r="J100" s="3" t="s">
        <v>869</v>
      </c>
      <c r="L100">
        <v>1.933133</v>
      </c>
      <c r="P100">
        <v>1.9230210000000001</v>
      </c>
      <c r="R100" s="85">
        <f t="shared" si="4"/>
        <v>5.230886855689649E-3</v>
      </c>
      <c r="S100" s="85">
        <f t="shared" si="2"/>
        <v>8.8323989901982869E-2</v>
      </c>
    </row>
    <row r="101" spans="2:19" x14ac:dyDescent="0.3">
      <c r="B101" s="67"/>
      <c r="C101" s="2">
        <v>16</v>
      </c>
      <c r="D101" s="1">
        <v>1024</v>
      </c>
      <c r="E101" s="1">
        <v>4096</v>
      </c>
      <c r="F101" s="1">
        <v>16</v>
      </c>
      <c r="G101" s="1">
        <v>1.668493</v>
      </c>
      <c r="H101" s="82">
        <v>1.4070659999999999</v>
      </c>
      <c r="I101" s="53">
        <f t="shared" si="3"/>
        <v>0.15668450511929033</v>
      </c>
      <c r="J101" s="3" t="s">
        <v>865</v>
      </c>
      <c r="L101">
        <v>1.2425980000000001</v>
      </c>
      <c r="P101">
        <v>1.175206</v>
      </c>
      <c r="R101" s="85">
        <f t="shared" si="4"/>
        <v>5.4234756534293563E-2</v>
      </c>
      <c r="S101" s="85">
        <f t="shared" si="2"/>
        <v>0.16478260436965997</v>
      </c>
    </row>
    <row r="102" spans="2:19" x14ac:dyDescent="0.3">
      <c r="B102" s="67"/>
      <c r="C102" s="2">
        <v>16</v>
      </c>
      <c r="D102" s="1">
        <v>1024</v>
      </c>
      <c r="E102" s="1">
        <v>2048</v>
      </c>
      <c r="F102" s="1">
        <v>16</v>
      </c>
      <c r="G102" s="1">
        <v>1.1910400000000001</v>
      </c>
      <c r="H102" s="82">
        <v>1.0810109999999999</v>
      </c>
      <c r="I102" s="53">
        <f t="shared" si="3"/>
        <v>9.2380608543793777E-2</v>
      </c>
      <c r="J102" s="3" t="s">
        <v>866</v>
      </c>
      <c r="L102">
        <v>0.99136599999999997</v>
      </c>
      <c r="P102">
        <v>0.98250899999999997</v>
      </c>
      <c r="R102" s="85">
        <f t="shared" si="4"/>
        <v>8.9341373418091851E-3</v>
      </c>
      <c r="S102" s="85">
        <f t="shared" si="2"/>
        <v>9.1120256870651631E-2</v>
      </c>
    </row>
    <row r="103" spans="2:19" x14ac:dyDescent="0.3">
      <c r="B103" s="67"/>
      <c r="C103" s="2">
        <v>16</v>
      </c>
      <c r="D103" s="1">
        <v>1024</v>
      </c>
      <c r="E103" s="1">
        <v>5120</v>
      </c>
      <c r="F103" s="1">
        <v>16</v>
      </c>
      <c r="G103" s="1">
        <v>2.0801340000000001</v>
      </c>
      <c r="H103" s="82">
        <v>1.7538819999999999</v>
      </c>
      <c r="I103" s="53">
        <f t="shared" si="3"/>
        <v>0.15684181884436299</v>
      </c>
      <c r="J103" s="3" t="s">
        <v>867</v>
      </c>
      <c r="L103">
        <v>1.540448</v>
      </c>
      <c r="P103">
        <v>1.4880770000000001</v>
      </c>
      <c r="R103" s="85">
        <f t="shared" si="4"/>
        <v>3.399725274725271E-2</v>
      </c>
      <c r="S103" s="85">
        <f t="shared" si="2"/>
        <v>0.15155238493809722</v>
      </c>
    </row>
    <row r="104" spans="2:19" x14ac:dyDescent="0.3">
      <c r="B104" s="67"/>
      <c r="C104" s="2">
        <v>16</v>
      </c>
      <c r="D104" s="1">
        <v>1024</v>
      </c>
      <c r="E104" s="1">
        <v>2560</v>
      </c>
      <c r="F104" s="1">
        <v>16</v>
      </c>
      <c r="G104" s="1">
        <v>1.045536</v>
      </c>
      <c r="H104" s="82">
        <v>0.88226599999999999</v>
      </c>
      <c r="I104" s="53">
        <f t="shared" si="3"/>
        <v>0.15615913751415544</v>
      </c>
      <c r="J104" s="3" t="s">
        <v>868</v>
      </c>
      <c r="L104">
        <v>0.77965399999999996</v>
      </c>
      <c r="P104">
        <v>0.74416599999999999</v>
      </c>
      <c r="R104" s="85">
        <f t="shared" si="4"/>
        <v>4.5517627049947752E-2</v>
      </c>
      <c r="S104" s="85">
        <f t="shared" si="2"/>
        <v>0.15652875663348695</v>
      </c>
    </row>
    <row r="105" spans="2:19" x14ac:dyDescent="0.3">
      <c r="B105" s="67"/>
      <c r="C105" s="2">
        <v>16</v>
      </c>
      <c r="D105" s="1">
        <v>1024</v>
      </c>
      <c r="E105" s="1">
        <v>2048</v>
      </c>
      <c r="F105" s="1">
        <v>16</v>
      </c>
      <c r="G105" s="1">
        <v>0.84090200000000004</v>
      </c>
      <c r="H105" s="82">
        <v>0.70805099999999999</v>
      </c>
      <c r="I105" s="53">
        <f t="shared" si="3"/>
        <v>0.15798630518181672</v>
      </c>
      <c r="J105" s="3" t="s">
        <v>866</v>
      </c>
      <c r="L105">
        <v>0.63006700000000004</v>
      </c>
      <c r="P105">
        <v>0.59506599999999998</v>
      </c>
      <c r="R105" s="85">
        <f t="shared" si="4"/>
        <v>5.555123502738607E-2</v>
      </c>
      <c r="S105" s="85">
        <f t="shared" si="2"/>
        <v>0.15957183875172834</v>
      </c>
    </row>
    <row r="106" spans="2:19" x14ac:dyDescent="0.3">
      <c r="B106" s="67"/>
      <c r="C106" s="2">
        <v>20</v>
      </c>
      <c r="D106" s="1">
        <v>512</v>
      </c>
      <c r="E106" s="1">
        <v>4096</v>
      </c>
      <c r="F106" s="1">
        <v>16</v>
      </c>
      <c r="G106" s="1">
        <v>1.6983680000000001</v>
      </c>
      <c r="H106" s="82">
        <v>1.561331</v>
      </c>
      <c r="I106" s="53">
        <f t="shared" si="3"/>
        <v>8.0687459961563138E-2</v>
      </c>
      <c r="J106" s="3" t="s">
        <v>869</v>
      </c>
      <c r="L106">
        <v>1.4351039999999999</v>
      </c>
      <c r="P106">
        <v>1.3921539999999999</v>
      </c>
      <c r="R106" s="85">
        <f t="shared" si="4"/>
        <v>2.9928144580462494E-2</v>
      </c>
      <c r="S106" s="85">
        <f t="shared" si="2"/>
        <v>0.10835434638779358</v>
      </c>
    </row>
    <row r="107" spans="2:19" x14ac:dyDescent="0.3">
      <c r="B107" s="67"/>
      <c r="C107" s="2">
        <v>20</v>
      </c>
      <c r="D107" s="1">
        <v>512</v>
      </c>
      <c r="E107" s="1">
        <v>4096</v>
      </c>
      <c r="F107" s="1">
        <v>16</v>
      </c>
      <c r="G107" s="1">
        <v>1.236429</v>
      </c>
      <c r="H107" s="82">
        <v>1.074886</v>
      </c>
      <c r="I107" s="53">
        <f t="shared" si="3"/>
        <v>0.13065287210183521</v>
      </c>
      <c r="J107" s="3" t="s">
        <v>865</v>
      </c>
      <c r="L107">
        <v>0.92025000000000001</v>
      </c>
      <c r="P107">
        <v>0.88992599999999999</v>
      </c>
      <c r="R107" s="85">
        <f t="shared" si="4"/>
        <v>3.2951915240423818E-2</v>
      </c>
      <c r="S107" s="85">
        <f t="shared" si="2"/>
        <v>0.17207406180748472</v>
      </c>
    </row>
    <row r="108" spans="2:19" x14ac:dyDescent="0.3">
      <c r="B108" s="67"/>
      <c r="C108" s="2">
        <v>20</v>
      </c>
      <c r="D108" s="1">
        <v>512</v>
      </c>
      <c r="E108" s="1">
        <v>2048</v>
      </c>
      <c r="F108" s="1">
        <v>16</v>
      </c>
      <c r="G108" s="1">
        <v>0.869587</v>
      </c>
      <c r="H108" s="82">
        <v>0.80116500000000002</v>
      </c>
      <c r="I108" s="53">
        <f t="shared" si="3"/>
        <v>7.8683328982608963E-2</v>
      </c>
      <c r="J108" s="3" t="s">
        <v>866</v>
      </c>
      <c r="L108">
        <v>0.73438700000000001</v>
      </c>
      <c r="P108">
        <v>0.70958100000000002</v>
      </c>
      <c r="R108" s="85">
        <f t="shared" si="4"/>
        <v>3.3777831034590748E-2</v>
      </c>
      <c r="S108" s="85">
        <f t="shared" si="2"/>
        <v>0.11431353092059687</v>
      </c>
    </row>
    <row r="109" spans="2:19" x14ac:dyDescent="0.3">
      <c r="B109" s="67"/>
      <c r="C109" s="2">
        <v>20</v>
      </c>
      <c r="D109" s="1">
        <v>512</v>
      </c>
      <c r="E109" s="1">
        <v>5120</v>
      </c>
      <c r="F109" s="1">
        <v>16</v>
      </c>
      <c r="G109" s="1">
        <v>1.531552</v>
      </c>
      <c r="H109" s="82">
        <v>1.3143359999999999</v>
      </c>
      <c r="I109" s="53">
        <f t="shared" si="3"/>
        <v>0.14182737510708096</v>
      </c>
      <c r="J109" s="3" t="s">
        <v>867</v>
      </c>
      <c r="L109">
        <v>1.1242620000000001</v>
      </c>
      <c r="P109">
        <v>1.1064769999999999</v>
      </c>
      <c r="R109" s="85">
        <f t="shared" si="4"/>
        <v>1.5819266327599935E-2</v>
      </c>
      <c r="S109" s="85">
        <f t="shared" si="2"/>
        <v>0.15814753609427121</v>
      </c>
    </row>
    <row r="110" spans="2:19" x14ac:dyDescent="0.3">
      <c r="B110" s="67"/>
      <c r="C110" s="2">
        <v>20</v>
      </c>
      <c r="D110" s="1">
        <v>512</v>
      </c>
      <c r="E110" s="1">
        <v>2560</v>
      </c>
      <c r="F110" s="1">
        <v>16</v>
      </c>
      <c r="G110" s="1">
        <v>0.77994200000000002</v>
      </c>
      <c r="H110" s="82">
        <v>0.67605800000000005</v>
      </c>
      <c r="I110" s="53">
        <f t="shared" si="3"/>
        <v>0.13319451959248249</v>
      </c>
      <c r="J110" s="3" t="s">
        <v>868</v>
      </c>
      <c r="L110">
        <v>0.57288300000000003</v>
      </c>
      <c r="P110">
        <v>0.56375699999999995</v>
      </c>
      <c r="R110" s="85">
        <f t="shared" si="4"/>
        <v>1.5929954283859144E-2</v>
      </c>
      <c r="S110" s="85">
        <f t="shared" si="2"/>
        <v>0.16611148747592674</v>
      </c>
    </row>
    <row r="111" spans="2:19" ht="14.5" thickBot="1" x14ac:dyDescent="0.35">
      <c r="B111" s="68"/>
      <c r="C111" s="7">
        <v>20</v>
      </c>
      <c r="D111" s="8">
        <v>512</v>
      </c>
      <c r="E111" s="8">
        <v>2048</v>
      </c>
      <c r="F111" s="8">
        <v>16</v>
      </c>
      <c r="G111" s="8">
        <v>0.62078100000000003</v>
      </c>
      <c r="H111" s="83">
        <v>0.541018</v>
      </c>
      <c r="I111" s="58">
        <f t="shared" si="3"/>
        <v>0.12848814638334619</v>
      </c>
      <c r="J111" s="9" t="s">
        <v>866</v>
      </c>
      <c r="L111">
        <v>0.46301399999999998</v>
      </c>
      <c r="P111">
        <v>0.45679999999999998</v>
      </c>
      <c r="R111" s="85">
        <f t="shared" si="4"/>
        <v>1.3420760495362985E-2</v>
      </c>
      <c r="S111" s="85">
        <f t="shared" si="2"/>
        <v>0.15566580039850803</v>
      </c>
    </row>
  </sheetData>
  <mergeCells count="2">
    <mergeCell ref="B3:B57"/>
    <mergeCell ref="B58:B11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57"/>
  <sheetViews>
    <sheetView workbookViewId="0">
      <selection activeCell="K23" sqref="K23:K32"/>
    </sheetView>
  </sheetViews>
  <sheetFormatPr defaultRowHeight="14" x14ac:dyDescent="0.3"/>
  <cols>
    <col min="6" max="6" width="9" customWidth="1"/>
    <col min="7" max="7" width="14.83203125" customWidth="1"/>
    <col min="8" max="8" width="16.6640625" customWidth="1"/>
    <col min="9" max="9" width="14.83203125" customWidth="1"/>
    <col min="10" max="10" width="14.5" bestFit="1" customWidth="1"/>
    <col min="11" max="11" width="14.83203125" customWidth="1"/>
    <col min="12" max="12" width="27.83203125" bestFit="1" customWidth="1"/>
  </cols>
  <sheetData>
    <row r="2" spans="2:21" ht="14.5" thickBot="1" x14ac:dyDescent="0.35"/>
    <row r="3" spans="2:21" x14ac:dyDescent="0.3">
      <c r="B3" s="86"/>
      <c r="C3" s="4" t="s">
        <v>1</v>
      </c>
      <c r="D3" s="5" t="s">
        <v>2</v>
      </c>
      <c r="E3" s="5" t="s">
        <v>0</v>
      </c>
      <c r="F3" s="5" t="s">
        <v>3</v>
      </c>
      <c r="G3" s="5" t="s">
        <v>884</v>
      </c>
      <c r="H3" s="5" t="s">
        <v>885</v>
      </c>
      <c r="I3" s="5" t="s">
        <v>11</v>
      </c>
      <c r="J3" s="5" t="s">
        <v>886</v>
      </c>
      <c r="K3" s="5" t="s">
        <v>11</v>
      </c>
      <c r="L3" s="6" t="s">
        <v>864</v>
      </c>
    </row>
    <row r="4" spans="2:21" x14ac:dyDescent="0.3">
      <c r="B4" s="65" t="s">
        <v>5</v>
      </c>
      <c r="C4" s="2">
        <v>1</v>
      </c>
      <c r="D4" s="1">
        <v>135</v>
      </c>
      <c r="E4" s="1">
        <v>4096</v>
      </c>
      <c r="F4" s="1">
        <v>16</v>
      </c>
      <c r="G4" s="1">
        <v>6.1184000000000002E-2</v>
      </c>
      <c r="H4" s="1">
        <v>6.8858000000000003E-2</v>
      </c>
      <c r="I4" s="71">
        <f>(G4-H4)/G4</f>
        <v>-0.12542494769874477</v>
      </c>
      <c r="J4" s="1">
        <v>6.5638000000000002E-2</v>
      </c>
      <c r="K4" s="71">
        <f>(G4-J4)/G4</f>
        <v>-7.279680962343095E-2</v>
      </c>
      <c r="L4" s="3" t="s">
        <v>869</v>
      </c>
      <c r="T4" s="85"/>
      <c r="U4" s="85"/>
    </row>
    <row r="5" spans="2:21" x14ac:dyDescent="0.3">
      <c r="B5" s="65"/>
      <c r="C5" s="2">
        <v>1</v>
      </c>
      <c r="D5" s="1">
        <v>135</v>
      </c>
      <c r="E5" s="1">
        <v>4096</v>
      </c>
      <c r="F5" s="1">
        <v>16</v>
      </c>
      <c r="G5" s="1">
        <v>4.8902000000000001E-2</v>
      </c>
      <c r="H5" s="1">
        <v>4.4627E-2</v>
      </c>
      <c r="I5" s="71">
        <f>(G5-H5)/G5</f>
        <v>8.7419737434051792E-2</v>
      </c>
      <c r="J5" s="1">
        <v>4.2214000000000002E-2</v>
      </c>
      <c r="K5" s="71">
        <f t="shared" ref="K5:K57" si="0">(G5-J5)/G5</f>
        <v>0.13676332256349433</v>
      </c>
      <c r="L5" s="3" t="s">
        <v>865</v>
      </c>
      <c r="T5" s="85"/>
      <c r="U5" s="85"/>
    </row>
    <row r="6" spans="2:21" x14ac:dyDescent="0.3">
      <c r="B6" s="65"/>
      <c r="C6" s="2">
        <v>1</v>
      </c>
      <c r="D6" s="1">
        <v>135</v>
      </c>
      <c r="E6" s="1">
        <v>2048</v>
      </c>
      <c r="F6" s="1">
        <v>16</v>
      </c>
      <c r="G6" s="1">
        <v>4.5856000000000001E-2</v>
      </c>
      <c r="H6" s="1">
        <v>4.2477000000000001E-2</v>
      </c>
      <c r="I6" s="71">
        <f>(G6-H6)/G6</f>
        <v>7.3687194696441027E-2</v>
      </c>
      <c r="J6" s="1">
        <v>3.9468999999999997E-2</v>
      </c>
      <c r="K6" s="71">
        <f t="shared" si="0"/>
        <v>0.1392838450802513</v>
      </c>
      <c r="L6" s="3" t="s">
        <v>866</v>
      </c>
      <c r="T6" s="85"/>
      <c r="U6" s="85"/>
    </row>
    <row r="7" spans="2:21" x14ac:dyDescent="0.3">
      <c r="B7" s="65"/>
      <c r="C7" s="2">
        <v>1</v>
      </c>
      <c r="D7" s="1">
        <v>135</v>
      </c>
      <c r="E7" s="1">
        <v>5120</v>
      </c>
      <c r="F7" s="1">
        <v>16</v>
      </c>
      <c r="G7" s="1">
        <v>6.1280000000000001E-2</v>
      </c>
      <c r="H7" s="1">
        <v>5.5525999999999999E-2</v>
      </c>
      <c r="I7" s="71">
        <f>(G7-H7)/G7</f>
        <v>9.3896866840731105E-2</v>
      </c>
      <c r="J7" s="1">
        <v>5.1456000000000002E-2</v>
      </c>
      <c r="K7" s="71">
        <f t="shared" si="0"/>
        <v>0.16031331592689294</v>
      </c>
      <c r="L7" s="3" t="s">
        <v>867</v>
      </c>
      <c r="T7" s="85"/>
      <c r="U7" s="85"/>
    </row>
    <row r="8" spans="2:21" x14ac:dyDescent="0.3">
      <c r="B8" s="65"/>
      <c r="C8" s="2">
        <v>1</v>
      </c>
      <c r="D8" s="1">
        <v>135</v>
      </c>
      <c r="E8" s="1">
        <v>2560</v>
      </c>
      <c r="F8" s="1">
        <v>16</v>
      </c>
      <c r="G8" s="1">
        <v>4.8333000000000001E-2</v>
      </c>
      <c r="H8" s="1">
        <v>4.0677999999999999E-2</v>
      </c>
      <c r="I8" s="71">
        <f>(G8-H8)/G8</f>
        <v>0.15838040262346642</v>
      </c>
      <c r="J8" s="1">
        <v>4.1050000000000003E-2</v>
      </c>
      <c r="K8" s="71">
        <f t="shared" si="0"/>
        <v>0.15068379781929525</v>
      </c>
      <c r="L8" s="3" t="s">
        <v>868</v>
      </c>
      <c r="T8" s="85"/>
      <c r="U8" s="85"/>
    </row>
    <row r="9" spans="2:21" x14ac:dyDescent="0.3">
      <c r="B9" s="65"/>
      <c r="C9" s="2">
        <v>1</v>
      </c>
      <c r="D9" s="1">
        <v>135</v>
      </c>
      <c r="E9" s="1">
        <v>2048</v>
      </c>
      <c r="F9" s="1">
        <v>16</v>
      </c>
      <c r="G9" s="1">
        <v>3.4035000000000003E-2</v>
      </c>
      <c r="H9" s="1">
        <v>3.0610999999999999E-2</v>
      </c>
      <c r="I9" s="71">
        <f>(G9-H9)/G9</f>
        <v>0.10060232114000303</v>
      </c>
      <c r="J9" s="1">
        <v>3.1597E-2</v>
      </c>
      <c r="K9" s="71">
        <f t="shared" si="0"/>
        <v>7.163214338181291E-2</v>
      </c>
      <c r="L9" s="3" t="s">
        <v>866</v>
      </c>
      <c r="T9" s="85"/>
      <c r="U9" s="85"/>
    </row>
    <row r="10" spans="2:21" x14ac:dyDescent="0.3">
      <c r="B10" s="65"/>
      <c r="C10" s="2">
        <v>1</v>
      </c>
      <c r="D10" s="1">
        <v>511</v>
      </c>
      <c r="E10" s="1">
        <v>4096</v>
      </c>
      <c r="F10" s="1">
        <v>16</v>
      </c>
      <c r="G10" s="1">
        <v>9.5269999999999994E-2</v>
      </c>
      <c r="H10" s="1">
        <v>9.0194999999999997E-2</v>
      </c>
      <c r="I10" s="71">
        <f>(G10-H10)/G10</f>
        <v>5.3269654665686957E-2</v>
      </c>
      <c r="J10" s="1">
        <v>8.8090000000000002E-2</v>
      </c>
      <c r="K10" s="71">
        <f t="shared" si="0"/>
        <v>7.5364752807809299E-2</v>
      </c>
      <c r="L10" s="3" t="s">
        <v>869</v>
      </c>
      <c r="T10" s="85"/>
      <c r="U10" s="85"/>
    </row>
    <row r="11" spans="2:21" x14ac:dyDescent="0.3">
      <c r="B11" s="65"/>
      <c r="C11" s="2">
        <v>1</v>
      </c>
      <c r="D11" s="1">
        <v>511</v>
      </c>
      <c r="E11" s="1">
        <v>4096</v>
      </c>
      <c r="F11" s="1">
        <v>16</v>
      </c>
      <c r="G11" s="1">
        <v>7.2498999999999994E-2</v>
      </c>
      <c r="H11" s="1">
        <v>6.8197999999999995E-2</v>
      </c>
      <c r="I11" s="71">
        <f>(G11-H11)/G11</f>
        <v>5.9324956206292495E-2</v>
      </c>
      <c r="J11" s="1">
        <v>6.5465999999999996E-2</v>
      </c>
      <c r="K11" s="71">
        <f t="shared" si="0"/>
        <v>9.7008234596339241E-2</v>
      </c>
      <c r="L11" s="3" t="s">
        <v>865</v>
      </c>
      <c r="T11" s="85"/>
      <c r="U11" s="85"/>
    </row>
    <row r="12" spans="2:21" x14ac:dyDescent="0.3">
      <c r="B12" s="65"/>
      <c r="C12" s="2">
        <v>1</v>
      </c>
      <c r="D12" s="1">
        <v>511</v>
      </c>
      <c r="E12" s="1">
        <v>2048</v>
      </c>
      <c r="F12" s="1">
        <v>16</v>
      </c>
      <c r="G12" s="1">
        <v>6.2272000000000001E-2</v>
      </c>
      <c r="H12" s="1">
        <v>6.1530000000000001E-2</v>
      </c>
      <c r="I12" s="71">
        <f>(G12-H12)/G12</f>
        <v>1.1915467625899274E-2</v>
      </c>
      <c r="J12" s="1">
        <v>5.5661000000000002E-2</v>
      </c>
      <c r="K12" s="71">
        <f t="shared" si="0"/>
        <v>0.10616328365878723</v>
      </c>
      <c r="L12" s="3" t="s">
        <v>866</v>
      </c>
      <c r="T12" s="85"/>
      <c r="U12" s="85"/>
    </row>
    <row r="13" spans="2:21" x14ac:dyDescent="0.3">
      <c r="B13" s="65"/>
      <c r="C13" s="2">
        <v>1</v>
      </c>
      <c r="D13" s="1">
        <v>511</v>
      </c>
      <c r="E13" s="1">
        <v>5120</v>
      </c>
      <c r="F13" s="1">
        <v>16</v>
      </c>
      <c r="G13" s="1">
        <v>9.3049999999999994E-2</v>
      </c>
      <c r="H13" s="1">
        <v>8.5024000000000002E-2</v>
      </c>
      <c r="I13" s="71">
        <f>(G13-H13)/G13</f>
        <v>8.6254701773240114E-2</v>
      </c>
      <c r="J13" s="1">
        <v>8.3641999999999994E-2</v>
      </c>
      <c r="K13" s="71">
        <f t="shared" si="0"/>
        <v>0.10110693175711984</v>
      </c>
      <c r="L13" s="3" t="s">
        <v>867</v>
      </c>
      <c r="T13" s="85"/>
      <c r="U13" s="85"/>
    </row>
    <row r="14" spans="2:21" x14ac:dyDescent="0.3">
      <c r="B14" s="65"/>
      <c r="C14" s="2">
        <v>1</v>
      </c>
      <c r="D14" s="1">
        <v>511</v>
      </c>
      <c r="E14" s="1">
        <v>2560</v>
      </c>
      <c r="F14" s="1">
        <v>16</v>
      </c>
      <c r="G14" s="1">
        <v>7.1398000000000003E-2</v>
      </c>
      <c r="H14" s="1">
        <v>6.6642999999999994E-2</v>
      </c>
      <c r="I14" s="71">
        <f>(G14-H14)/G14</f>
        <v>6.6598504159780511E-2</v>
      </c>
      <c r="J14" s="1">
        <v>6.5542000000000003E-2</v>
      </c>
      <c r="K14" s="71">
        <f t="shared" si="0"/>
        <v>8.2019104176587573E-2</v>
      </c>
      <c r="L14" s="3" t="s">
        <v>868</v>
      </c>
      <c r="T14" s="85"/>
      <c r="U14" s="85"/>
    </row>
    <row r="15" spans="2:21" x14ac:dyDescent="0.3">
      <c r="B15" s="65"/>
      <c r="C15" s="2">
        <v>1</v>
      </c>
      <c r="D15" s="1">
        <v>511</v>
      </c>
      <c r="E15" s="1">
        <v>2048</v>
      </c>
      <c r="F15" s="1">
        <v>16</v>
      </c>
      <c r="G15" s="1">
        <v>4.4825999999999998E-2</v>
      </c>
      <c r="H15" s="1">
        <v>4.0070000000000001E-2</v>
      </c>
      <c r="I15" s="71">
        <f t="shared" ref="I15:I57" si="1">(G15-H15)/G15</f>
        <v>0.10609913889260689</v>
      </c>
      <c r="J15" s="1">
        <v>4.0447999999999998E-2</v>
      </c>
      <c r="K15" s="71">
        <f t="shared" si="0"/>
        <v>9.7666532815776558E-2</v>
      </c>
      <c r="L15" s="3" t="s">
        <v>866</v>
      </c>
      <c r="T15" s="85"/>
      <c r="U15" s="85"/>
    </row>
    <row r="16" spans="2:21" x14ac:dyDescent="0.3">
      <c r="B16" s="65"/>
      <c r="C16" s="2">
        <v>1</v>
      </c>
      <c r="D16" s="1">
        <v>1024</v>
      </c>
      <c r="E16" s="1">
        <v>4096</v>
      </c>
      <c r="F16" s="1">
        <v>16</v>
      </c>
      <c r="G16" s="1">
        <v>0.15942999999999999</v>
      </c>
      <c r="H16" s="1">
        <v>0.14887700000000001</v>
      </c>
      <c r="I16" s="71">
        <f t="shared" si="1"/>
        <v>6.6192059210938847E-2</v>
      </c>
      <c r="J16" s="1">
        <v>0.14371800000000001</v>
      </c>
      <c r="K16" s="71">
        <f t="shared" si="0"/>
        <v>9.8551088251897234E-2</v>
      </c>
      <c r="L16" s="3" t="s">
        <v>869</v>
      </c>
      <c r="T16" s="85"/>
      <c r="U16" s="85"/>
    </row>
    <row r="17" spans="2:21" x14ac:dyDescent="0.3">
      <c r="B17" s="65"/>
      <c r="C17" s="2">
        <v>1</v>
      </c>
      <c r="D17" s="1">
        <v>1024</v>
      </c>
      <c r="E17" s="1">
        <v>4096</v>
      </c>
      <c r="F17" s="1">
        <v>16</v>
      </c>
      <c r="G17" s="1">
        <v>0.11479</v>
      </c>
      <c r="H17" s="1">
        <v>0.104486</v>
      </c>
      <c r="I17" s="71">
        <f t="shared" si="1"/>
        <v>8.9763916717484168E-2</v>
      </c>
      <c r="J17" s="1">
        <v>0.10183</v>
      </c>
      <c r="K17" s="71">
        <f t="shared" si="0"/>
        <v>0.11290182071609024</v>
      </c>
      <c r="L17" s="3" t="s">
        <v>865</v>
      </c>
      <c r="T17" s="85"/>
      <c r="U17" s="85"/>
    </row>
    <row r="18" spans="2:21" x14ac:dyDescent="0.3">
      <c r="B18" s="65"/>
      <c r="C18" s="2">
        <v>1</v>
      </c>
      <c r="D18" s="1">
        <v>1024</v>
      </c>
      <c r="E18" s="1">
        <v>2048</v>
      </c>
      <c r="F18" s="1">
        <v>16</v>
      </c>
      <c r="G18" s="1">
        <v>9.7427E-2</v>
      </c>
      <c r="H18" s="1">
        <v>9.0477000000000002E-2</v>
      </c>
      <c r="I18" s="71">
        <f t="shared" si="1"/>
        <v>7.1335461422398286E-2</v>
      </c>
      <c r="J18" s="1">
        <v>8.3917000000000005E-2</v>
      </c>
      <c r="K18" s="71">
        <f t="shared" si="0"/>
        <v>0.1386679257290073</v>
      </c>
      <c r="L18" s="3" t="s">
        <v>866</v>
      </c>
      <c r="T18" s="85"/>
      <c r="U18" s="85"/>
    </row>
    <row r="19" spans="2:21" x14ac:dyDescent="0.3">
      <c r="B19" s="65"/>
      <c r="C19" s="2">
        <v>1</v>
      </c>
      <c r="D19" s="1">
        <v>1024</v>
      </c>
      <c r="E19" s="1">
        <v>5120</v>
      </c>
      <c r="F19" s="1">
        <v>16</v>
      </c>
      <c r="G19" s="1">
        <v>0.15923799999999999</v>
      </c>
      <c r="H19" s="1">
        <v>0.14261799999999999</v>
      </c>
      <c r="I19" s="71">
        <f t="shared" si="1"/>
        <v>0.10437207199286601</v>
      </c>
      <c r="J19" s="1">
        <v>0.13849</v>
      </c>
      <c r="K19" s="71">
        <f t="shared" si="0"/>
        <v>0.13029553247340453</v>
      </c>
      <c r="L19" s="3" t="s">
        <v>867</v>
      </c>
      <c r="T19" s="85"/>
      <c r="U19" s="85"/>
    </row>
    <row r="20" spans="2:21" x14ac:dyDescent="0.3">
      <c r="B20" s="65"/>
      <c r="C20" s="2">
        <v>1</v>
      </c>
      <c r="D20" s="1">
        <v>1024</v>
      </c>
      <c r="E20" s="1">
        <v>2560</v>
      </c>
      <c r="F20" s="1">
        <v>16</v>
      </c>
      <c r="G20" s="1">
        <v>0.11301799999999999</v>
      </c>
      <c r="H20" s="1">
        <v>0.10230400000000001</v>
      </c>
      <c r="I20" s="71">
        <f t="shared" si="1"/>
        <v>9.4799058557043903E-2</v>
      </c>
      <c r="J20" s="1">
        <v>9.8912E-2</v>
      </c>
      <c r="K20" s="71">
        <f t="shared" si="0"/>
        <v>0.12481197685324456</v>
      </c>
      <c r="L20" s="3" t="s">
        <v>868</v>
      </c>
      <c r="T20" s="85"/>
      <c r="U20" s="85"/>
    </row>
    <row r="21" spans="2:21" x14ac:dyDescent="0.3">
      <c r="B21" s="65"/>
      <c r="C21" s="2">
        <v>1</v>
      </c>
      <c r="D21" s="1">
        <v>1024</v>
      </c>
      <c r="E21" s="1">
        <v>2048</v>
      </c>
      <c r="F21" s="1">
        <v>16</v>
      </c>
      <c r="G21" s="1">
        <v>6.3052999999999998E-2</v>
      </c>
      <c r="H21" s="1">
        <v>5.5981000000000003E-2</v>
      </c>
      <c r="I21" s="71">
        <f t="shared" si="1"/>
        <v>0.11215961175519</v>
      </c>
      <c r="J21" s="1">
        <v>5.7106999999999998E-2</v>
      </c>
      <c r="K21" s="71">
        <f t="shared" si="0"/>
        <v>9.4301619272675372E-2</v>
      </c>
      <c r="L21" s="3" t="s">
        <v>866</v>
      </c>
      <c r="T21" s="85"/>
      <c r="U21" s="85"/>
    </row>
    <row r="22" spans="2:21" x14ac:dyDescent="0.3">
      <c r="B22" s="65"/>
      <c r="C22" s="2">
        <v>8</v>
      </c>
      <c r="D22" s="1">
        <v>128</v>
      </c>
      <c r="E22" s="1">
        <v>4096</v>
      </c>
      <c r="F22" s="1">
        <v>16</v>
      </c>
      <c r="G22" s="1">
        <v>0.28576000000000001</v>
      </c>
      <c r="H22" s="1">
        <v>0.245203</v>
      </c>
      <c r="I22" s="71">
        <f t="shared" si="1"/>
        <v>0.14192679171332589</v>
      </c>
      <c r="J22" s="1">
        <v>0.237069</v>
      </c>
      <c r="K22" s="71">
        <f t="shared" si="0"/>
        <v>0.1703912374020157</v>
      </c>
      <c r="L22" s="3" t="s">
        <v>869</v>
      </c>
      <c r="T22" s="85"/>
      <c r="U22" s="85"/>
    </row>
    <row r="23" spans="2:21" x14ac:dyDescent="0.3">
      <c r="B23" s="65"/>
      <c r="C23" s="2">
        <v>8</v>
      </c>
      <c r="D23" s="1">
        <v>128</v>
      </c>
      <c r="E23" s="1">
        <v>4096</v>
      </c>
      <c r="F23" s="1">
        <v>16</v>
      </c>
      <c r="G23" s="1">
        <v>0.21715200000000001</v>
      </c>
      <c r="H23" s="1">
        <v>0.17884800000000001</v>
      </c>
      <c r="I23" s="71">
        <f t="shared" si="1"/>
        <v>0.17639257294429708</v>
      </c>
      <c r="J23" s="1">
        <v>0.170074</v>
      </c>
      <c r="K23" s="71">
        <f t="shared" si="0"/>
        <v>0.21679745063365755</v>
      </c>
      <c r="L23" s="3" t="s">
        <v>865</v>
      </c>
      <c r="T23" s="85"/>
      <c r="U23" s="85"/>
    </row>
    <row r="24" spans="2:21" x14ac:dyDescent="0.3">
      <c r="B24" s="65"/>
      <c r="C24" s="2">
        <v>8</v>
      </c>
      <c r="D24" s="1">
        <v>128</v>
      </c>
      <c r="E24" s="1">
        <v>2048</v>
      </c>
      <c r="F24" s="1">
        <v>16</v>
      </c>
      <c r="G24" s="1">
        <v>0.15895699999999999</v>
      </c>
      <c r="H24" s="1">
        <v>0.13600000000000001</v>
      </c>
      <c r="I24" s="71">
        <f t="shared" si="1"/>
        <v>0.14442270551155331</v>
      </c>
      <c r="J24" s="1">
        <v>0.13219800000000001</v>
      </c>
      <c r="K24" s="71">
        <f t="shared" si="0"/>
        <v>0.16834112370012003</v>
      </c>
      <c r="L24" s="3" t="s">
        <v>866</v>
      </c>
      <c r="T24" s="85"/>
      <c r="U24" s="85"/>
    </row>
    <row r="25" spans="2:21" x14ac:dyDescent="0.3">
      <c r="B25" s="65"/>
      <c r="C25" s="2">
        <v>8</v>
      </c>
      <c r="D25" s="1">
        <v>128</v>
      </c>
      <c r="E25" s="1">
        <v>5120</v>
      </c>
      <c r="F25" s="1">
        <v>16</v>
      </c>
      <c r="G25" s="1">
        <v>0.262963</v>
      </c>
      <c r="H25" s="1">
        <v>0.216531</v>
      </c>
      <c r="I25" s="71">
        <f t="shared" si="1"/>
        <v>0.17657236949684937</v>
      </c>
      <c r="J25" s="1">
        <v>0.20361000000000001</v>
      </c>
      <c r="K25" s="71">
        <f t="shared" si="0"/>
        <v>0.22570855975935775</v>
      </c>
      <c r="L25" s="3" t="s">
        <v>867</v>
      </c>
      <c r="T25" s="85"/>
      <c r="U25" s="85"/>
    </row>
    <row r="26" spans="2:21" x14ac:dyDescent="0.3">
      <c r="B26" s="65"/>
      <c r="C26" s="2">
        <v>8</v>
      </c>
      <c r="D26" s="1">
        <v>128</v>
      </c>
      <c r="E26" s="1">
        <v>2560</v>
      </c>
      <c r="F26" s="1">
        <v>16</v>
      </c>
      <c r="G26" s="1">
        <v>0.142848</v>
      </c>
      <c r="H26" s="1">
        <v>0.12027500000000001</v>
      </c>
      <c r="I26" s="71">
        <f t="shared" si="1"/>
        <v>0.15802111335125446</v>
      </c>
      <c r="J26" s="1">
        <v>0.114317</v>
      </c>
      <c r="K26" s="71">
        <f t="shared" si="0"/>
        <v>0.19972978270609318</v>
      </c>
      <c r="L26" s="3" t="s">
        <v>868</v>
      </c>
      <c r="T26" s="85"/>
      <c r="U26" s="85"/>
    </row>
    <row r="27" spans="2:21" x14ac:dyDescent="0.3">
      <c r="B27" s="65"/>
      <c r="C27" s="2">
        <v>8</v>
      </c>
      <c r="D27" s="1">
        <v>128</v>
      </c>
      <c r="E27" s="1">
        <v>2048</v>
      </c>
      <c r="F27" s="1">
        <v>16</v>
      </c>
      <c r="G27" s="1">
        <v>0.119232</v>
      </c>
      <c r="H27" s="1">
        <v>0.101715</v>
      </c>
      <c r="I27" s="71">
        <f t="shared" si="1"/>
        <v>0.14691525764895333</v>
      </c>
      <c r="J27" s="1">
        <v>9.7997000000000001E-2</v>
      </c>
      <c r="K27" s="71">
        <f t="shared" si="0"/>
        <v>0.17809816156736449</v>
      </c>
      <c r="L27" s="3" t="s">
        <v>866</v>
      </c>
      <c r="T27" s="85"/>
      <c r="U27" s="85"/>
    </row>
    <row r="28" spans="2:21" x14ac:dyDescent="0.3">
      <c r="B28" s="65"/>
      <c r="C28" s="2">
        <v>8</v>
      </c>
      <c r="D28" s="1">
        <v>511</v>
      </c>
      <c r="E28" s="1">
        <v>4096</v>
      </c>
      <c r="F28" s="1">
        <v>16</v>
      </c>
      <c r="G28" s="1">
        <v>0.52838399999999996</v>
      </c>
      <c r="H28" s="1">
        <v>0.46602199999999999</v>
      </c>
      <c r="I28" s="71">
        <f t="shared" si="1"/>
        <v>0.11802401283914725</v>
      </c>
      <c r="J28" s="1">
        <v>0.45182699999999998</v>
      </c>
      <c r="K28" s="71">
        <f t="shared" si="0"/>
        <v>0.14488894440406974</v>
      </c>
      <c r="L28" s="3" t="s">
        <v>869</v>
      </c>
      <c r="T28" s="85"/>
      <c r="U28" s="85"/>
    </row>
    <row r="29" spans="2:21" x14ac:dyDescent="0.3">
      <c r="B29" s="65"/>
      <c r="C29" s="2">
        <v>8</v>
      </c>
      <c r="D29" s="1">
        <v>511</v>
      </c>
      <c r="E29" s="1">
        <v>4096</v>
      </c>
      <c r="F29" s="1">
        <v>16</v>
      </c>
      <c r="G29" s="1">
        <v>0.34999000000000002</v>
      </c>
      <c r="H29" s="1">
        <v>0.29528300000000002</v>
      </c>
      <c r="I29" s="71">
        <f t="shared" si="1"/>
        <v>0.15631018029086546</v>
      </c>
      <c r="J29" s="1">
        <v>0.29652499999999998</v>
      </c>
      <c r="K29" s="71">
        <f t="shared" si="0"/>
        <v>0.15276150747164216</v>
      </c>
      <c r="L29" s="3" t="s">
        <v>865</v>
      </c>
      <c r="T29" s="85"/>
      <c r="U29" s="85"/>
    </row>
    <row r="30" spans="2:21" x14ac:dyDescent="0.3">
      <c r="B30" s="65"/>
      <c r="C30" s="2">
        <v>8</v>
      </c>
      <c r="D30" s="1">
        <v>511</v>
      </c>
      <c r="E30" s="1">
        <v>2048</v>
      </c>
      <c r="F30" s="1">
        <v>16</v>
      </c>
      <c r="G30" s="1">
        <v>0.28472999999999998</v>
      </c>
      <c r="H30" s="1">
        <v>0.250253</v>
      </c>
      <c r="I30" s="71">
        <f t="shared" si="1"/>
        <v>0.121086643486812</v>
      </c>
      <c r="J30" s="1">
        <v>0.24268799999999999</v>
      </c>
      <c r="K30" s="71">
        <f t="shared" si="0"/>
        <v>0.14765567379622799</v>
      </c>
      <c r="L30" s="3" t="s">
        <v>866</v>
      </c>
      <c r="T30" s="85"/>
      <c r="U30" s="85"/>
    </row>
    <row r="31" spans="2:21" x14ac:dyDescent="0.3">
      <c r="B31" s="65"/>
      <c r="C31" s="2">
        <v>8</v>
      </c>
      <c r="D31" s="1">
        <v>511</v>
      </c>
      <c r="E31" s="1">
        <v>5120</v>
      </c>
      <c r="F31" s="1">
        <v>16</v>
      </c>
      <c r="G31" s="1">
        <v>0.43568600000000002</v>
      </c>
      <c r="H31" s="1">
        <v>0.36296299999999998</v>
      </c>
      <c r="I31" s="71">
        <f t="shared" si="1"/>
        <v>0.16691608176530812</v>
      </c>
      <c r="J31" s="1">
        <v>0.35693399999999997</v>
      </c>
      <c r="K31" s="71">
        <f t="shared" si="0"/>
        <v>0.18075402927796633</v>
      </c>
      <c r="L31" s="3" t="s">
        <v>867</v>
      </c>
      <c r="T31" s="85"/>
      <c r="U31" s="85"/>
    </row>
    <row r="32" spans="2:21" x14ac:dyDescent="0.3">
      <c r="B32" s="65"/>
      <c r="C32" s="2">
        <v>8</v>
      </c>
      <c r="D32" s="1">
        <v>511</v>
      </c>
      <c r="E32" s="1">
        <v>2560</v>
      </c>
      <c r="F32" s="1">
        <v>16</v>
      </c>
      <c r="G32" s="1">
        <v>0.231155</v>
      </c>
      <c r="H32" s="1">
        <v>0.19980200000000001</v>
      </c>
      <c r="I32" s="71">
        <f t="shared" si="1"/>
        <v>0.13563626138305462</v>
      </c>
      <c r="J32" s="1">
        <v>0.19742100000000001</v>
      </c>
      <c r="K32" s="71">
        <f t="shared" si="0"/>
        <v>0.14593670913456333</v>
      </c>
      <c r="L32" s="3" t="s">
        <v>868</v>
      </c>
      <c r="T32" s="85"/>
      <c r="U32" s="85"/>
    </row>
    <row r="33" spans="2:21" x14ac:dyDescent="0.3">
      <c r="B33" s="65"/>
      <c r="C33" s="2">
        <v>8</v>
      </c>
      <c r="D33" s="1">
        <v>511</v>
      </c>
      <c r="E33" s="1">
        <v>2048</v>
      </c>
      <c r="F33" s="1">
        <v>16</v>
      </c>
      <c r="G33" s="1">
        <v>0.1888</v>
      </c>
      <c r="H33" s="1">
        <v>0.161882</v>
      </c>
      <c r="I33" s="71">
        <f t="shared" si="1"/>
        <v>0.14257415254237288</v>
      </c>
      <c r="J33" s="1">
        <v>0.16639999999999999</v>
      </c>
      <c r="K33" s="71">
        <f t="shared" si="0"/>
        <v>0.11864406779661019</v>
      </c>
      <c r="L33" s="3" t="s">
        <v>866</v>
      </c>
      <c r="T33" s="85"/>
      <c r="U33" s="85"/>
    </row>
    <row r="34" spans="2:21" x14ac:dyDescent="0.3">
      <c r="B34" s="65"/>
      <c r="C34" s="2">
        <v>16</v>
      </c>
      <c r="D34" s="1">
        <v>96</v>
      </c>
      <c r="E34" s="1">
        <v>4096</v>
      </c>
      <c r="F34" s="1">
        <v>16</v>
      </c>
      <c r="G34" s="1">
        <v>0.36491499999999999</v>
      </c>
      <c r="H34" s="1">
        <v>0.31522600000000001</v>
      </c>
      <c r="I34" s="71">
        <f t="shared" si="1"/>
        <v>0.13616595645561291</v>
      </c>
      <c r="J34" s="1">
        <v>0.30513899999999999</v>
      </c>
      <c r="K34" s="71">
        <f t="shared" si="0"/>
        <v>0.16380801008454024</v>
      </c>
      <c r="L34" s="3" t="s">
        <v>869</v>
      </c>
      <c r="T34" s="85"/>
      <c r="U34" s="85"/>
    </row>
    <row r="35" spans="2:21" x14ac:dyDescent="0.3">
      <c r="B35" s="65"/>
      <c r="C35" s="2">
        <v>16</v>
      </c>
      <c r="D35" s="1">
        <v>96</v>
      </c>
      <c r="E35" s="1">
        <v>4096</v>
      </c>
      <c r="F35" s="1">
        <v>16</v>
      </c>
      <c r="G35" s="1">
        <v>0.312448</v>
      </c>
      <c r="H35" s="1">
        <v>0.25944299999999998</v>
      </c>
      <c r="I35" s="71">
        <f t="shared" si="1"/>
        <v>0.16964422879967234</v>
      </c>
      <c r="J35" s="1">
        <v>0.23582700000000001</v>
      </c>
      <c r="K35" s="71">
        <f t="shared" si="0"/>
        <v>0.24522800594018843</v>
      </c>
      <c r="L35" s="3" t="s">
        <v>865</v>
      </c>
      <c r="T35" s="85"/>
      <c r="U35" s="85"/>
    </row>
    <row r="36" spans="2:21" x14ac:dyDescent="0.3">
      <c r="B36" s="65"/>
      <c r="C36" s="2">
        <v>16</v>
      </c>
      <c r="D36" s="1">
        <v>96</v>
      </c>
      <c r="E36" s="1">
        <v>2048</v>
      </c>
      <c r="F36" s="1">
        <v>16</v>
      </c>
      <c r="G36" s="1">
        <v>0.19312599999999999</v>
      </c>
      <c r="H36" s="1">
        <v>0.16938900000000001</v>
      </c>
      <c r="I36" s="71">
        <f t="shared" si="1"/>
        <v>0.1229093959384028</v>
      </c>
      <c r="J36" s="1">
        <v>0.16100500000000001</v>
      </c>
      <c r="K36" s="71">
        <f t="shared" si="0"/>
        <v>0.16632146888559793</v>
      </c>
      <c r="L36" s="3" t="s">
        <v>866</v>
      </c>
      <c r="T36" s="85"/>
      <c r="U36" s="85"/>
    </row>
    <row r="37" spans="2:21" x14ac:dyDescent="0.3">
      <c r="B37" s="65"/>
      <c r="C37" s="2">
        <v>16</v>
      </c>
      <c r="D37" s="1">
        <v>96</v>
      </c>
      <c r="E37" s="1">
        <v>5120</v>
      </c>
      <c r="F37" s="1">
        <v>16</v>
      </c>
      <c r="G37" s="1">
        <v>0.38620199999999999</v>
      </c>
      <c r="H37" s="1">
        <v>0.31807400000000002</v>
      </c>
      <c r="I37" s="71">
        <f t="shared" si="1"/>
        <v>0.17640509370743798</v>
      </c>
      <c r="J37" s="1">
        <v>0.28978599999999999</v>
      </c>
      <c r="K37" s="71">
        <f t="shared" si="0"/>
        <v>0.24965173665594689</v>
      </c>
      <c r="L37" s="3" t="s">
        <v>867</v>
      </c>
      <c r="T37" s="85"/>
      <c r="U37" s="85"/>
    </row>
    <row r="38" spans="2:21" x14ac:dyDescent="0.3">
      <c r="B38" s="65"/>
      <c r="C38" s="2">
        <v>16</v>
      </c>
      <c r="D38" s="1">
        <v>96</v>
      </c>
      <c r="E38" s="1">
        <v>2560</v>
      </c>
      <c r="F38" s="1">
        <v>16</v>
      </c>
      <c r="G38" s="1">
        <v>0.20083799999999999</v>
      </c>
      <c r="H38" s="1">
        <v>0.16758999999999999</v>
      </c>
      <c r="I38" s="71">
        <f t="shared" si="1"/>
        <v>0.16554636074846393</v>
      </c>
      <c r="J38" s="1">
        <v>0.15864300000000001</v>
      </c>
      <c r="K38" s="71">
        <f t="shared" si="0"/>
        <v>0.21009470319361867</v>
      </c>
      <c r="L38" s="3" t="s">
        <v>868</v>
      </c>
      <c r="T38" s="85"/>
      <c r="U38" s="85"/>
    </row>
    <row r="39" spans="2:21" x14ac:dyDescent="0.3">
      <c r="B39" s="65"/>
      <c r="C39" s="2">
        <v>16</v>
      </c>
      <c r="D39" s="1">
        <v>96</v>
      </c>
      <c r="E39" s="1">
        <v>2048</v>
      </c>
      <c r="F39" s="1">
        <v>16</v>
      </c>
      <c r="G39" s="1">
        <v>0.16744300000000001</v>
      </c>
      <c r="H39" s="1">
        <v>0.13681299999999999</v>
      </c>
      <c r="I39" s="71">
        <f t="shared" si="1"/>
        <v>0.18292792174053271</v>
      </c>
      <c r="J39" s="1">
        <v>0.12911400000000001</v>
      </c>
      <c r="K39" s="71">
        <f t="shared" si="0"/>
        <v>0.2289077477111614</v>
      </c>
      <c r="L39" s="3" t="s">
        <v>866</v>
      </c>
      <c r="T39" s="85"/>
      <c r="U39" s="85"/>
    </row>
    <row r="40" spans="2:21" x14ac:dyDescent="0.3">
      <c r="B40" s="65"/>
      <c r="C40" s="2">
        <v>16</v>
      </c>
      <c r="D40" s="1">
        <v>511</v>
      </c>
      <c r="E40" s="1">
        <v>4096</v>
      </c>
      <c r="F40" s="1">
        <v>16</v>
      </c>
      <c r="G40" s="1">
        <v>1.0134209999999999</v>
      </c>
      <c r="H40" s="1">
        <v>1.127014</v>
      </c>
      <c r="I40" s="71">
        <f t="shared" si="1"/>
        <v>-0.11208865811937987</v>
      </c>
      <c r="J40" s="1">
        <v>1.125702</v>
      </c>
      <c r="K40" s="71">
        <f t="shared" si="0"/>
        <v>-0.11079403327935783</v>
      </c>
      <c r="L40" s="3" t="s">
        <v>869</v>
      </c>
      <c r="T40" s="85"/>
      <c r="U40" s="85"/>
    </row>
    <row r="41" spans="2:21" x14ac:dyDescent="0.3">
      <c r="B41" s="65"/>
      <c r="C41" s="2">
        <v>16</v>
      </c>
      <c r="D41" s="1">
        <v>511</v>
      </c>
      <c r="E41" s="1">
        <v>4096</v>
      </c>
      <c r="F41" s="1">
        <v>16</v>
      </c>
      <c r="G41" s="1">
        <v>0.68666199999999999</v>
      </c>
      <c r="H41" s="1">
        <v>0.55832999999999999</v>
      </c>
      <c r="I41" s="71">
        <f t="shared" si="1"/>
        <v>0.1868925322793456</v>
      </c>
      <c r="J41" s="1">
        <v>0.55136600000000002</v>
      </c>
      <c r="K41" s="71">
        <f t="shared" si="0"/>
        <v>0.19703434877712758</v>
      </c>
      <c r="L41" s="3" t="s">
        <v>865</v>
      </c>
      <c r="T41" s="85"/>
      <c r="U41" s="85"/>
    </row>
    <row r="42" spans="2:21" x14ac:dyDescent="0.3">
      <c r="B42" s="65"/>
      <c r="C42" s="2">
        <v>16</v>
      </c>
      <c r="D42" s="1">
        <v>511</v>
      </c>
      <c r="E42" s="1">
        <v>2048</v>
      </c>
      <c r="F42" s="1">
        <v>16</v>
      </c>
      <c r="G42" s="1">
        <v>0.53053399999999995</v>
      </c>
      <c r="H42" s="1">
        <v>0.57625000000000004</v>
      </c>
      <c r="I42" s="71">
        <f t="shared" si="1"/>
        <v>-8.6169783651943319E-2</v>
      </c>
      <c r="J42" s="1">
        <v>0.57784999999999997</v>
      </c>
      <c r="K42" s="71">
        <f t="shared" si="0"/>
        <v>-8.9185612986161164E-2</v>
      </c>
      <c r="L42" s="3" t="s">
        <v>866</v>
      </c>
      <c r="T42" s="85"/>
      <c r="U42" s="85"/>
    </row>
    <row r="43" spans="2:21" x14ac:dyDescent="0.3">
      <c r="B43" s="65"/>
      <c r="C43" s="2">
        <v>16</v>
      </c>
      <c r="D43" s="1">
        <v>511</v>
      </c>
      <c r="E43" s="1">
        <v>5120</v>
      </c>
      <c r="F43" s="1">
        <v>16</v>
      </c>
      <c r="G43" s="1">
        <v>0.84842200000000001</v>
      </c>
      <c r="H43" s="1">
        <v>0.69199999999999995</v>
      </c>
      <c r="I43" s="71">
        <f t="shared" si="1"/>
        <v>0.18436815641272863</v>
      </c>
      <c r="J43" s="1">
        <v>0.68210599999999999</v>
      </c>
      <c r="K43" s="71">
        <f t="shared" si="0"/>
        <v>0.19602980592205296</v>
      </c>
      <c r="L43" s="3" t="s">
        <v>867</v>
      </c>
      <c r="T43" s="85"/>
      <c r="U43" s="85"/>
    </row>
    <row r="44" spans="2:21" x14ac:dyDescent="0.3">
      <c r="B44" s="65"/>
      <c r="C44" s="2">
        <v>16</v>
      </c>
      <c r="D44" s="1">
        <v>511</v>
      </c>
      <c r="E44" s="1">
        <v>2560</v>
      </c>
      <c r="F44" s="1">
        <v>16</v>
      </c>
      <c r="G44" s="1">
        <v>0.42975999999999998</v>
      </c>
      <c r="H44" s="1">
        <v>0.357651</v>
      </c>
      <c r="I44" s="71">
        <f t="shared" si="1"/>
        <v>0.16778899851079668</v>
      </c>
      <c r="J44" s="1">
        <v>0.35719699999999999</v>
      </c>
      <c r="K44" s="71">
        <f t="shared" si="0"/>
        <v>0.16884540208488458</v>
      </c>
      <c r="L44" s="3" t="s">
        <v>868</v>
      </c>
      <c r="T44" s="85"/>
      <c r="U44" s="85"/>
    </row>
    <row r="45" spans="2:21" x14ac:dyDescent="0.3">
      <c r="B45" s="65"/>
      <c r="C45" s="2">
        <v>16</v>
      </c>
      <c r="D45" s="1">
        <v>511</v>
      </c>
      <c r="E45" s="1">
        <v>2048</v>
      </c>
      <c r="F45" s="1">
        <v>16</v>
      </c>
      <c r="G45" s="1">
        <v>0.35067500000000001</v>
      </c>
      <c r="H45" s="1">
        <v>0.29632599999999998</v>
      </c>
      <c r="I45" s="71">
        <f t="shared" si="1"/>
        <v>0.15498395950666582</v>
      </c>
      <c r="J45" s="1">
        <v>0.29824600000000001</v>
      </c>
      <c r="K45" s="71">
        <f t="shared" si="0"/>
        <v>0.14950880444856349</v>
      </c>
      <c r="L45" s="3" t="s">
        <v>866</v>
      </c>
      <c r="T45" s="85"/>
      <c r="U45" s="85"/>
    </row>
    <row r="46" spans="2:21" x14ac:dyDescent="0.3">
      <c r="B46" s="65"/>
      <c r="C46" s="2">
        <v>16</v>
      </c>
      <c r="D46" s="1">
        <v>1024</v>
      </c>
      <c r="E46" s="1">
        <v>4096</v>
      </c>
      <c r="F46" s="1">
        <v>16</v>
      </c>
      <c r="G46" s="1">
        <v>2.1093250000000001</v>
      </c>
      <c r="H46" s="1">
        <v>1.933133</v>
      </c>
      <c r="I46" s="71">
        <f t="shared" si="1"/>
        <v>8.35300392305596E-2</v>
      </c>
      <c r="J46" s="1">
        <v>1.9230210000000001</v>
      </c>
      <c r="K46" s="71">
        <f t="shared" si="0"/>
        <v>8.8323989901982869E-2</v>
      </c>
      <c r="L46" s="3" t="s">
        <v>869</v>
      </c>
      <c r="T46" s="85"/>
      <c r="U46" s="85"/>
    </row>
    <row r="47" spans="2:21" x14ac:dyDescent="0.3">
      <c r="B47" s="65"/>
      <c r="C47" s="2">
        <v>16</v>
      </c>
      <c r="D47" s="1">
        <v>1024</v>
      </c>
      <c r="E47" s="1">
        <v>4096</v>
      </c>
      <c r="F47" s="1">
        <v>16</v>
      </c>
      <c r="G47" s="1">
        <v>1.4070659999999999</v>
      </c>
      <c r="H47" s="1">
        <v>1.2425980000000001</v>
      </c>
      <c r="I47" s="71">
        <f t="shared" si="1"/>
        <v>0.11688719647834561</v>
      </c>
      <c r="J47" s="1">
        <v>1.175206</v>
      </c>
      <c r="K47" s="71">
        <f t="shared" si="0"/>
        <v>0.16478260436965997</v>
      </c>
      <c r="L47" s="3" t="s">
        <v>865</v>
      </c>
      <c r="T47" s="85"/>
      <c r="U47" s="85"/>
    </row>
    <row r="48" spans="2:21" x14ac:dyDescent="0.3">
      <c r="B48" s="65"/>
      <c r="C48" s="2">
        <v>16</v>
      </c>
      <c r="D48" s="1">
        <v>1024</v>
      </c>
      <c r="E48" s="1">
        <v>2048</v>
      </c>
      <c r="F48" s="1">
        <v>16</v>
      </c>
      <c r="G48" s="1">
        <v>1.0810109999999999</v>
      </c>
      <c r="H48" s="1">
        <v>0.99136599999999997</v>
      </c>
      <c r="I48" s="71">
        <f t="shared" si="1"/>
        <v>8.2927000742823137E-2</v>
      </c>
      <c r="J48" s="1">
        <v>0.98250899999999997</v>
      </c>
      <c r="K48" s="71">
        <f t="shared" si="0"/>
        <v>9.1120256870651631E-2</v>
      </c>
      <c r="L48" s="3" t="s">
        <v>866</v>
      </c>
      <c r="T48" s="85"/>
      <c r="U48" s="85"/>
    </row>
    <row r="49" spans="2:21" x14ac:dyDescent="0.3">
      <c r="B49" s="65"/>
      <c r="C49" s="2">
        <v>16</v>
      </c>
      <c r="D49" s="1">
        <v>1024</v>
      </c>
      <c r="E49" s="1">
        <v>5120</v>
      </c>
      <c r="F49" s="1">
        <v>16</v>
      </c>
      <c r="G49" s="1">
        <v>1.7538819999999999</v>
      </c>
      <c r="H49" s="1">
        <v>1.540448</v>
      </c>
      <c r="I49" s="71">
        <f t="shared" si="1"/>
        <v>0.12169233734082448</v>
      </c>
      <c r="J49" s="1">
        <v>1.4880770000000001</v>
      </c>
      <c r="K49" s="71">
        <f t="shared" si="0"/>
        <v>0.15155238493809722</v>
      </c>
      <c r="L49" s="3" t="s">
        <v>867</v>
      </c>
      <c r="T49" s="85"/>
      <c r="U49" s="85"/>
    </row>
    <row r="50" spans="2:21" x14ac:dyDescent="0.3">
      <c r="B50" s="65"/>
      <c r="C50" s="2">
        <v>16</v>
      </c>
      <c r="D50" s="1">
        <v>1024</v>
      </c>
      <c r="E50" s="1">
        <v>2560</v>
      </c>
      <c r="F50" s="1">
        <v>16</v>
      </c>
      <c r="G50" s="1">
        <v>0.88226599999999999</v>
      </c>
      <c r="H50" s="1">
        <v>0.77965399999999996</v>
      </c>
      <c r="I50" s="71">
        <f t="shared" si="1"/>
        <v>0.11630505992523801</v>
      </c>
      <c r="J50" s="1">
        <v>0.74416599999999999</v>
      </c>
      <c r="K50" s="71">
        <f t="shared" si="0"/>
        <v>0.15652875663348695</v>
      </c>
      <c r="L50" s="3" t="s">
        <v>868</v>
      </c>
      <c r="T50" s="85"/>
      <c r="U50" s="85"/>
    </row>
    <row r="51" spans="2:21" x14ac:dyDescent="0.3">
      <c r="B51" s="65"/>
      <c r="C51" s="2">
        <v>16</v>
      </c>
      <c r="D51" s="1">
        <v>1024</v>
      </c>
      <c r="E51" s="1">
        <v>2048</v>
      </c>
      <c r="F51" s="1">
        <v>16</v>
      </c>
      <c r="G51" s="1">
        <v>0.70805099999999999</v>
      </c>
      <c r="H51" s="1">
        <v>0.63006700000000004</v>
      </c>
      <c r="I51" s="71">
        <f t="shared" si="1"/>
        <v>0.11013895891680112</v>
      </c>
      <c r="J51" s="1">
        <v>0.59506599999999998</v>
      </c>
      <c r="K51" s="71">
        <f t="shared" si="0"/>
        <v>0.15957183875172834</v>
      </c>
      <c r="L51" s="3" t="s">
        <v>866</v>
      </c>
      <c r="T51" s="85"/>
      <c r="U51" s="85"/>
    </row>
    <row r="52" spans="2:21" x14ac:dyDescent="0.3">
      <c r="B52" s="65"/>
      <c r="C52" s="2">
        <v>20</v>
      </c>
      <c r="D52" s="1">
        <v>512</v>
      </c>
      <c r="E52" s="1">
        <v>4096</v>
      </c>
      <c r="F52" s="1">
        <v>16</v>
      </c>
      <c r="G52" s="1">
        <v>1.561331</v>
      </c>
      <c r="H52" s="1">
        <v>1.4351039999999999</v>
      </c>
      <c r="I52" s="71">
        <f t="shared" si="1"/>
        <v>8.0845765567967381E-2</v>
      </c>
      <c r="J52" s="1">
        <v>1.3921539999999999</v>
      </c>
      <c r="K52" s="71">
        <f t="shared" si="0"/>
        <v>0.10835434638779358</v>
      </c>
      <c r="L52" s="3" t="s">
        <v>869</v>
      </c>
      <c r="T52" s="85"/>
      <c r="U52" s="85"/>
    </row>
    <row r="53" spans="2:21" x14ac:dyDescent="0.3">
      <c r="B53" s="65"/>
      <c r="C53" s="2">
        <v>20</v>
      </c>
      <c r="D53" s="1">
        <v>512</v>
      </c>
      <c r="E53" s="1">
        <v>4096</v>
      </c>
      <c r="F53" s="1">
        <v>16</v>
      </c>
      <c r="G53" s="1">
        <v>1.074886</v>
      </c>
      <c r="H53" s="1">
        <v>0.92025000000000001</v>
      </c>
      <c r="I53" s="71">
        <f t="shared" si="1"/>
        <v>0.14386269799774115</v>
      </c>
      <c r="J53" s="1">
        <v>0.88992599999999999</v>
      </c>
      <c r="K53" s="71">
        <f t="shared" si="0"/>
        <v>0.17207406180748472</v>
      </c>
      <c r="L53" s="3" t="s">
        <v>865</v>
      </c>
      <c r="T53" s="85"/>
      <c r="U53" s="85"/>
    </row>
    <row r="54" spans="2:21" x14ac:dyDescent="0.3">
      <c r="B54" s="65"/>
      <c r="C54" s="2">
        <v>20</v>
      </c>
      <c r="D54" s="1">
        <v>512</v>
      </c>
      <c r="E54" s="1">
        <v>2048</v>
      </c>
      <c r="F54" s="1">
        <v>16</v>
      </c>
      <c r="G54" s="1">
        <v>0.80116500000000002</v>
      </c>
      <c r="H54" s="1">
        <v>0.73438700000000001</v>
      </c>
      <c r="I54" s="71">
        <f t="shared" si="1"/>
        <v>8.3351119931599618E-2</v>
      </c>
      <c r="J54" s="1">
        <v>0.70958100000000002</v>
      </c>
      <c r="K54" s="71">
        <f t="shared" si="0"/>
        <v>0.11431353092059687</v>
      </c>
      <c r="L54" s="3" t="s">
        <v>866</v>
      </c>
      <c r="T54" s="85"/>
      <c r="U54" s="85"/>
    </row>
    <row r="55" spans="2:21" x14ac:dyDescent="0.3">
      <c r="B55" s="65"/>
      <c r="C55" s="2">
        <v>20</v>
      </c>
      <c r="D55" s="1">
        <v>512</v>
      </c>
      <c r="E55" s="1">
        <v>5120</v>
      </c>
      <c r="F55" s="1">
        <v>16</v>
      </c>
      <c r="G55" s="1">
        <v>1.3143359999999999</v>
      </c>
      <c r="H55" s="1">
        <v>1.1242620000000001</v>
      </c>
      <c r="I55" s="71">
        <f t="shared" si="1"/>
        <v>0.14461598860565325</v>
      </c>
      <c r="J55" s="1">
        <v>1.1064769999999999</v>
      </c>
      <c r="K55" s="71">
        <f t="shared" si="0"/>
        <v>0.15814753609427121</v>
      </c>
      <c r="L55" s="3" t="s">
        <v>867</v>
      </c>
      <c r="T55" s="85"/>
      <c r="U55" s="85"/>
    </row>
    <row r="56" spans="2:21" x14ac:dyDescent="0.3">
      <c r="B56" s="65"/>
      <c r="C56" s="2">
        <v>20</v>
      </c>
      <c r="D56" s="1">
        <v>512</v>
      </c>
      <c r="E56" s="1">
        <v>2560</v>
      </c>
      <c r="F56" s="1">
        <v>16</v>
      </c>
      <c r="G56" s="1">
        <v>0.67605800000000005</v>
      </c>
      <c r="H56" s="1">
        <v>0.57288300000000003</v>
      </c>
      <c r="I56" s="71">
        <f t="shared" si="1"/>
        <v>0.15261264566057944</v>
      </c>
      <c r="J56" s="1">
        <v>0.56375699999999995</v>
      </c>
      <c r="K56" s="71">
        <f t="shared" si="0"/>
        <v>0.16611148747592674</v>
      </c>
      <c r="L56" s="3" t="s">
        <v>868</v>
      </c>
      <c r="T56" s="85"/>
      <c r="U56" s="85"/>
    </row>
    <row r="57" spans="2:21" ht="14.5" thickBot="1" x14ac:dyDescent="0.35">
      <c r="B57" s="87"/>
      <c r="C57" s="7">
        <v>20</v>
      </c>
      <c r="D57" s="8">
        <v>512</v>
      </c>
      <c r="E57" s="8">
        <v>2048</v>
      </c>
      <c r="F57" s="8">
        <v>16</v>
      </c>
      <c r="G57" s="8">
        <v>0.541018</v>
      </c>
      <c r="H57" s="8">
        <v>0.46301399999999998</v>
      </c>
      <c r="I57" s="76">
        <f t="shared" si="1"/>
        <v>0.1441800457655753</v>
      </c>
      <c r="J57" s="8">
        <v>0.45679999999999998</v>
      </c>
      <c r="K57" s="76">
        <f t="shared" si="0"/>
        <v>0.15566580039850803</v>
      </c>
      <c r="L57" s="9" t="s">
        <v>866</v>
      </c>
      <c r="T57" s="85"/>
      <c r="U57" s="85"/>
    </row>
  </sheetData>
  <mergeCells count="1">
    <mergeCell ref="B4:B5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U55"/>
  <sheetViews>
    <sheetView tabSelected="1" zoomScale="120" zoomScaleNormal="120" workbookViewId="0">
      <selection activeCell="P18" sqref="P18"/>
    </sheetView>
  </sheetViews>
  <sheetFormatPr defaultRowHeight="14" x14ac:dyDescent="0.3"/>
  <cols>
    <col min="4" max="4" width="11.9140625" customWidth="1"/>
    <col min="5" max="5" width="11.5" bestFit="1" customWidth="1"/>
    <col min="6" max="6" width="13" bestFit="1" customWidth="1"/>
    <col min="7" max="7" width="9.58203125" customWidth="1"/>
    <col min="10" max="10" width="14.6640625" customWidth="1"/>
    <col min="11" max="11" width="10.25" customWidth="1"/>
    <col min="12" max="12" width="13.1640625" bestFit="1" customWidth="1"/>
    <col min="16" max="16" width="21" customWidth="1"/>
  </cols>
  <sheetData>
    <row r="4" spans="3:21" ht="16.5" customHeight="1" x14ac:dyDescent="0.3"/>
    <row r="6" spans="3:21" x14ac:dyDescent="0.3">
      <c r="C6" s="41" t="s">
        <v>887</v>
      </c>
      <c r="E6" t="s">
        <v>870</v>
      </c>
      <c r="G6" t="s">
        <v>882</v>
      </c>
    </row>
    <row r="7" spans="3:21" x14ac:dyDescent="0.3">
      <c r="E7" t="s">
        <v>871</v>
      </c>
      <c r="G7">
        <v>38</v>
      </c>
    </row>
    <row r="8" spans="3:21" x14ac:dyDescent="0.3">
      <c r="E8" t="s">
        <v>872</v>
      </c>
    </row>
    <row r="9" spans="3:21" ht="14.5" thickBot="1" x14ac:dyDescent="0.35">
      <c r="E9" t="s">
        <v>880</v>
      </c>
      <c r="F9" t="s">
        <v>895</v>
      </c>
    </row>
    <row r="10" spans="3:21" x14ac:dyDescent="0.3">
      <c r="F10" s="88" t="s">
        <v>879</v>
      </c>
      <c r="G10" s="89"/>
      <c r="H10" s="89"/>
      <c r="I10" s="89"/>
      <c r="J10" s="90"/>
      <c r="K10" s="88" t="s">
        <v>891</v>
      </c>
      <c r="L10" s="89"/>
      <c r="M10" s="90"/>
      <c r="N10" s="88" t="s">
        <v>881</v>
      </c>
      <c r="O10" s="89"/>
      <c r="P10" s="89"/>
      <c r="Q10" s="89"/>
      <c r="R10" s="89"/>
      <c r="S10" s="90"/>
    </row>
    <row r="11" spans="3:21" ht="14.5" thickBot="1" x14ac:dyDescent="0.35">
      <c r="D11" t="s">
        <v>874</v>
      </c>
      <c r="E11" t="s">
        <v>2</v>
      </c>
      <c r="F11" s="91" t="s">
        <v>873</v>
      </c>
      <c r="G11" s="82" t="s">
        <v>875</v>
      </c>
      <c r="H11" s="82" t="s">
        <v>876</v>
      </c>
      <c r="I11" s="104" t="s">
        <v>877</v>
      </c>
      <c r="J11" s="92" t="s">
        <v>878</v>
      </c>
      <c r="K11" s="91" t="s">
        <v>893</v>
      </c>
      <c r="L11" s="82" t="s">
        <v>892</v>
      </c>
      <c r="M11" s="92" t="s">
        <v>894</v>
      </c>
      <c r="N11" s="91" t="s">
        <v>873</v>
      </c>
      <c r="O11" s="82" t="s">
        <v>875</v>
      </c>
      <c r="P11" s="82" t="s">
        <v>876</v>
      </c>
      <c r="Q11" s="104" t="s">
        <v>877</v>
      </c>
      <c r="R11" s="82" t="s">
        <v>878</v>
      </c>
      <c r="S11" s="92"/>
    </row>
    <row r="12" spans="3:21" ht="14.5" thickBot="1" x14ac:dyDescent="0.35">
      <c r="E12">
        <v>128</v>
      </c>
      <c r="F12" s="91">
        <f>64*128*4</f>
        <v>32768</v>
      </c>
      <c r="G12" s="82">
        <f>E12*128*4</f>
        <v>65536</v>
      </c>
      <c r="H12" s="82">
        <f>F12/G7</f>
        <v>862.31578947368416</v>
      </c>
      <c r="I12" s="93">
        <f>G12/G7</f>
        <v>1724.6315789473683</v>
      </c>
      <c r="J12" s="82">
        <f>64*128*E12/(16384/2)</f>
        <v>128</v>
      </c>
      <c r="K12" s="100">
        <f>L12/2</f>
        <v>215.57894736842104</v>
      </c>
      <c r="L12" s="101">
        <f>2*4*16*E12/G7</f>
        <v>431.15789473684208</v>
      </c>
      <c r="M12" s="101">
        <f>2*4*16*E12/G7</f>
        <v>431.15789473684208</v>
      </c>
      <c r="N12" s="82">
        <f>64*E12*4</f>
        <v>32768</v>
      </c>
      <c r="O12" s="82">
        <f>E12*128*4</f>
        <v>65536</v>
      </c>
      <c r="P12" s="82">
        <f>N12/G7</f>
        <v>862.31578947368416</v>
      </c>
      <c r="Q12" s="93">
        <f>O12/G7</f>
        <v>1724.6315789473683</v>
      </c>
      <c r="R12" s="82">
        <f>64*E12*128/(16384/2)</f>
        <v>128</v>
      </c>
      <c r="S12" s="92"/>
      <c r="T12">
        <f>I12+K12+L12+M12+Q12</f>
        <v>4527.1578947368416</v>
      </c>
      <c r="U12">
        <f>T12*2/1000</f>
        <v>9.0543157894736837</v>
      </c>
    </row>
    <row r="13" spans="3:21" ht="14.5" thickBot="1" x14ac:dyDescent="0.35">
      <c r="E13">
        <v>256</v>
      </c>
      <c r="F13" s="91">
        <f t="shared" ref="F13:F15" si="0">64*128*4</f>
        <v>32768</v>
      </c>
      <c r="G13" s="82">
        <f>E13*128*4</f>
        <v>131072</v>
      </c>
      <c r="H13" s="82">
        <f>F13/G7</f>
        <v>862.31578947368416</v>
      </c>
      <c r="I13" s="93">
        <f>G13/G7</f>
        <v>3449.2631578947367</v>
      </c>
      <c r="J13" s="82">
        <f t="shared" ref="J13:J15" si="1">64*128*E13/(16384/2)</f>
        <v>256</v>
      </c>
      <c r="K13" s="102">
        <f t="shared" ref="K13:K15" si="2">L13/2</f>
        <v>431.15789473684208</v>
      </c>
      <c r="L13" s="101">
        <f>2*4*16*E13/G7</f>
        <v>862.31578947368416</v>
      </c>
      <c r="M13" s="101">
        <f>2*4*16*E13/G7</f>
        <v>862.31578947368416</v>
      </c>
      <c r="N13" s="82">
        <f>64*E13*4</f>
        <v>65536</v>
      </c>
      <c r="O13" s="82">
        <f>E13*128*4</f>
        <v>131072</v>
      </c>
      <c r="P13" s="82">
        <f>N13/G7</f>
        <v>1724.6315789473683</v>
      </c>
      <c r="Q13" s="93">
        <f>O13/G7</f>
        <v>3449.2631578947367</v>
      </c>
      <c r="R13" s="82">
        <f t="shared" ref="R13:R15" si="3">64*E13*128/(16384/2)</f>
        <v>256</v>
      </c>
      <c r="S13" s="92"/>
      <c r="T13">
        <f t="shared" ref="T13:T15" si="4">I13+K13+L13+M13+Q13</f>
        <v>9054.3157894736833</v>
      </c>
      <c r="U13">
        <f t="shared" ref="U13:U15" si="5">T13*2/1000</f>
        <v>18.108631578947367</v>
      </c>
    </row>
    <row r="14" spans="3:21" ht="14.5" thickBot="1" x14ac:dyDescent="0.35">
      <c r="E14">
        <v>512</v>
      </c>
      <c r="F14" s="91">
        <f t="shared" si="0"/>
        <v>32768</v>
      </c>
      <c r="G14" s="82">
        <f>E14*128*4</f>
        <v>262144</v>
      </c>
      <c r="H14" s="82">
        <f>F14/G7</f>
        <v>862.31578947368416</v>
      </c>
      <c r="I14" s="93">
        <f>G14/G7</f>
        <v>6898.5263157894733</v>
      </c>
      <c r="J14" s="82">
        <f t="shared" si="1"/>
        <v>512</v>
      </c>
      <c r="K14" s="102">
        <f t="shared" si="2"/>
        <v>862.31578947368416</v>
      </c>
      <c r="L14" s="101">
        <f>2*4*16*E14/G7</f>
        <v>1724.6315789473683</v>
      </c>
      <c r="M14" s="101">
        <f>2*4*16*E14/G7</f>
        <v>1724.6315789473683</v>
      </c>
      <c r="N14" s="82">
        <f>64*E14*4</f>
        <v>131072</v>
      </c>
      <c r="O14" s="82">
        <f>E14*128*4</f>
        <v>262144</v>
      </c>
      <c r="P14" s="82">
        <f>N14/G7</f>
        <v>3449.2631578947367</v>
      </c>
      <c r="Q14" s="93">
        <f>O14/G7</f>
        <v>6898.5263157894733</v>
      </c>
      <c r="R14" s="82">
        <f t="shared" si="3"/>
        <v>512</v>
      </c>
      <c r="S14" s="92"/>
      <c r="T14">
        <f t="shared" si="4"/>
        <v>18108.631578947367</v>
      </c>
      <c r="U14">
        <f t="shared" si="5"/>
        <v>36.217263157894735</v>
      </c>
    </row>
    <row r="15" spans="3:21" ht="14.5" thickBot="1" x14ac:dyDescent="0.35">
      <c r="E15">
        <v>1024</v>
      </c>
      <c r="F15" s="94">
        <f t="shared" si="0"/>
        <v>32768</v>
      </c>
      <c r="G15" s="83">
        <f>E15*128*4</f>
        <v>524288</v>
      </c>
      <c r="H15" s="83">
        <f>F15/G7</f>
        <v>862.31578947368416</v>
      </c>
      <c r="I15" s="95">
        <f>G15/G7</f>
        <v>13797.052631578947</v>
      </c>
      <c r="J15" s="82">
        <f t="shared" si="1"/>
        <v>1024</v>
      </c>
      <c r="K15" s="103">
        <f t="shared" si="2"/>
        <v>1724.6315789473683</v>
      </c>
      <c r="L15" s="101">
        <f>2*4*16*E15/G7</f>
        <v>3449.2631578947367</v>
      </c>
      <c r="M15" s="101">
        <f>2*4*16*E15/G7</f>
        <v>3449.2631578947367</v>
      </c>
      <c r="N15" s="83">
        <f>64*E15*4</f>
        <v>262144</v>
      </c>
      <c r="O15" s="83">
        <f>E15*128*4</f>
        <v>524288</v>
      </c>
      <c r="P15" s="83">
        <f>N15/G7</f>
        <v>6898.5263157894733</v>
      </c>
      <c r="Q15" s="95">
        <f>O15/G7</f>
        <v>13797.052631578947</v>
      </c>
      <c r="R15" s="82">
        <f t="shared" si="3"/>
        <v>1024</v>
      </c>
      <c r="S15" s="96"/>
      <c r="T15">
        <f t="shared" si="4"/>
        <v>36217.263157894733</v>
      </c>
      <c r="U15">
        <f t="shared" si="5"/>
        <v>72.434526315789469</v>
      </c>
    </row>
    <row r="16" spans="3:21" x14ac:dyDescent="0.3">
      <c r="F16" s="82"/>
      <c r="G16" s="82"/>
      <c r="H16" s="82"/>
      <c r="I16" s="93"/>
      <c r="J16" s="82"/>
      <c r="K16" s="93"/>
      <c r="L16" s="93"/>
      <c r="M16" s="93"/>
      <c r="N16" s="82"/>
      <c r="O16" s="82"/>
      <c r="P16" s="82"/>
      <c r="Q16" s="93"/>
      <c r="R16" s="82"/>
      <c r="S16" s="82"/>
    </row>
    <row r="17" spans="4:21" ht="42" x14ac:dyDescent="0.3">
      <c r="D17" s="107" t="s">
        <v>903</v>
      </c>
      <c r="E17" s="77" t="s">
        <v>897</v>
      </c>
      <c r="F17" t="s">
        <v>896</v>
      </c>
      <c r="G17" s="70" t="s">
        <v>899</v>
      </c>
      <c r="H17" s="70" t="s">
        <v>898</v>
      </c>
      <c r="I17" s="70"/>
      <c r="J17" s="70"/>
      <c r="K17" s="70"/>
      <c r="L17" s="70"/>
      <c r="M17" s="70"/>
      <c r="N17" s="70"/>
      <c r="O17" s="70"/>
      <c r="U17" s="69"/>
    </row>
    <row r="18" spans="4:21" x14ac:dyDescent="0.3">
      <c r="D18" s="107"/>
      <c r="E18">
        <v>128</v>
      </c>
      <c r="F18">
        <v>9.0543157894736837</v>
      </c>
      <c r="G18" s="70">
        <v>46.015999999999998</v>
      </c>
      <c r="H18" s="106">
        <f>F18/G18</f>
        <v>0.1967645121147793</v>
      </c>
      <c r="I18" s="70"/>
      <c r="J18" s="70"/>
      <c r="K18" s="70"/>
      <c r="L18" s="70"/>
      <c r="M18" s="70"/>
      <c r="N18" s="70"/>
      <c r="O18" s="70"/>
      <c r="U18" s="69"/>
    </row>
    <row r="19" spans="4:21" x14ac:dyDescent="0.3">
      <c r="D19" s="107"/>
      <c r="E19">
        <v>256</v>
      </c>
      <c r="F19">
        <v>18.108631578947367</v>
      </c>
      <c r="G19" s="70">
        <v>60.076999999999998</v>
      </c>
      <c r="H19" s="106">
        <f t="shared" ref="H19:H21" si="6">F19/G19</f>
        <v>0.30142369923510443</v>
      </c>
      <c r="I19" s="70"/>
      <c r="J19" s="70"/>
      <c r="K19" s="70"/>
      <c r="L19" s="70"/>
      <c r="M19" s="70"/>
      <c r="N19" s="70"/>
      <c r="O19" s="70"/>
      <c r="U19" s="69"/>
    </row>
    <row r="20" spans="4:21" x14ac:dyDescent="0.3">
      <c r="D20" s="107"/>
      <c r="E20">
        <v>512</v>
      </c>
      <c r="F20">
        <v>36.217263157894735</v>
      </c>
      <c r="G20" s="70">
        <v>80.537999999999997</v>
      </c>
      <c r="H20" s="106">
        <f t="shared" si="6"/>
        <v>0.44969161337374575</v>
      </c>
      <c r="I20" s="70"/>
      <c r="J20" s="70"/>
      <c r="K20" s="70"/>
      <c r="L20" s="70"/>
      <c r="M20" s="70"/>
      <c r="N20" s="70"/>
      <c r="O20" s="70"/>
      <c r="U20" s="69"/>
    </row>
    <row r="21" spans="4:21" x14ac:dyDescent="0.3">
      <c r="D21" s="107"/>
      <c r="E21">
        <v>1024</v>
      </c>
      <c r="F21">
        <v>72.434526315789469</v>
      </c>
      <c r="G21" s="70">
        <v>114.47</v>
      </c>
      <c r="H21" s="106">
        <f t="shared" si="6"/>
        <v>0.6327817446998294</v>
      </c>
      <c r="I21" s="70"/>
      <c r="J21" s="70"/>
      <c r="K21" s="70"/>
      <c r="L21" s="70"/>
      <c r="M21" s="70"/>
      <c r="N21" s="70"/>
      <c r="O21" s="70"/>
      <c r="U21" s="69"/>
    </row>
    <row r="22" spans="4:21" x14ac:dyDescent="0.3">
      <c r="D22" s="107"/>
      <c r="G22" s="70"/>
      <c r="H22" s="70"/>
      <c r="I22" s="70"/>
      <c r="J22" s="70"/>
      <c r="K22" s="70"/>
      <c r="L22" s="70"/>
      <c r="M22" s="70"/>
      <c r="N22" s="70"/>
      <c r="O22" s="70"/>
      <c r="U22" s="69"/>
    </row>
    <row r="23" spans="4:21" x14ac:dyDescent="0.3">
      <c r="D23" s="107"/>
      <c r="G23" s="70"/>
      <c r="H23" s="70"/>
      <c r="I23" s="70"/>
      <c r="J23" s="70"/>
      <c r="K23" s="70"/>
      <c r="L23" s="106"/>
      <c r="M23" s="106"/>
      <c r="N23" s="106"/>
      <c r="O23" s="106"/>
    </row>
    <row r="24" spans="4:21" x14ac:dyDescent="0.3">
      <c r="D24" s="107"/>
      <c r="G24" s="70"/>
      <c r="H24" s="70"/>
      <c r="I24" s="70"/>
      <c r="J24" s="70"/>
      <c r="K24" s="70"/>
      <c r="L24" s="70"/>
      <c r="M24" s="70"/>
      <c r="N24" s="70"/>
      <c r="O24" s="70"/>
    </row>
    <row r="25" spans="4:21" x14ac:dyDescent="0.3">
      <c r="D25" s="107"/>
      <c r="G25" s="70" t="s">
        <v>900</v>
      </c>
      <c r="H25" s="70" t="s">
        <v>901</v>
      </c>
      <c r="I25" s="70" t="s">
        <v>902</v>
      </c>
      <c r="J25" s="70" t="s">
        <v>891</v>
      </c>
      <c r="K25" s="70" t="s">
        <v>879</v>
      </c>
      <c r="L25" s="70" t="s">
        <v>901</v>
      </c>
      <c r="M25" s="70" t="s">
        <v>902</v>
      </c>
      <c r="N25" s="70" t="s">
        <v>891</v>
      </c>
      <c r="O25" s="70" t="s">
        <v>879</v>
      </c>
    </row>
    <row r="26" spans="4:21" x14ac:dyDescent="0.3">
      <c r="D26" s="107"/>
      <c r="G26" s="70">
        <v>46.015999999999998</v>
      </c>
      <c r="H26" s="70">
        <v>20.198</v>
      </c>
      <c r="I26" s="70">
        <v>23.001999999999999</v>
      </c>
      <c r="J26" s="70">
        <v>20.16</v>
      </c>
      <c r="K26" s="70">
        <v>21.798999999999999</v>
      </c>
      <c r="L26" s="106">
        <f>H26/G26</f>
        <v>0.43893428372739918</v>
      </c>
      <c r="M26" s="106">
        <f>I26/G26</f>
        <v>0.49986961057023643</v>
      </c>
      <c r="N26" s="106">
        <f>J26/G26</f>
        <v>0.43810848400556329</v>
      </c>
      <c r="O26" s="106">
        <f>K26/G26</f>
        <v>0.47372652990264258</v>
      </c>
    </row>
    <row r="27" spans="4:21" x14ac:dyDescent="0.3">
      <c r="D27" s="107"/>
      <c r="G27" s="70">
        <v>60.076999999999998</v>
      </c>
      <c r="H27" s="70">
        <v>20.422000000000001</v>
      </c>
      <c r="I27" s="70">
        <v>28.486000000000001</v>
      </c>
      <c r="J27" s="70">
        <v>22.515000000000001</v>
      </c>
      <c r="K27" s="70">
        <v>26.541</v>
      </c>
      <c r="L27" s="106">
        <f t="shared" ref="L27:L29" si="7">H27/G27</f>
        <v>0.33993042262429884</v>
      </c>
      <c r="M27" s="106">
        <f t="shared" ref="M27:M29" si="8">I27/G27</f>
        <v>0.4741581636899313</v>
      </c>
      <c r="N27" s="106">
        <f t="shared" ref="N27:N29" si="9">J27/G27</f>
        <v>0.3747690463904656</v>
      </c>
      <c r="O27" s="106">
        <f t="shared" ref="O27:O29" si="10">K27/G27</f>
        <v>0.44178304509213179</v>
      </c>
    </row>
    <row r="28" spans="4:21" x14ac:dyDescent="0.3">
      <c r="D28" s="107"/>
      <c r="G28" s="70">
        <v>80.537999999999997</v>
      </c>
      <c r="H28" s="70">
        <v>20.666</v>
      </c>
      <c r="I28" s="70">
        <v>36.857999999999997</v>
      </c>
      <c r="J28" s="70">
        <v>24.626999999999999</v>
      </c>
      <c r="K28" s="70">
        <v>28.474</v>
      </c>
      <c r="L28" s="106">
        <f t="shared" si="7"/>
        <v>0.25659936924184856</v>
      </c>
      <c r="M28" s="106">
        <f t="shared" si="8"/>
        <v>0.45764732176115619</v>
      </c>
      <c r="N28" s="106">
        <f t="shared" si="9"/>
        <v>0.30578112195485363</v>
      </c>
      <c r="O28" s="106">
        <f t="shared" si="10"/>
        <v>0.35354739377685068</v>
      </c>
    </row>
    <row r="29" spans="4:21" x14ac:dyDescent="0.3">
      <c r="G29" s="70">
        <v>114.47</v>
      </c>
      <c r="H29" s="70">
        <v>20.524999999999999</v>
      </c>
      <c r="I29" s="70">
        <v>42.847999999999999</v>
      </c>
      <c r="J29" s="70">
        <v>29.645</v>
      </c>
      <c r="K29" s="70">
        <v>36.537999999999997</v>
      </c>
      <c r="L29" s="106">
        <f t="shared" si="7"/>
        <v>0.17930462129815672</v>
      </c>
      <c r="M29" s="106">
        <f t="shared" si="8"/>
        <v>0.37431641478116534</v>
      </c>
      <c r="N29" s="106">
        <f t="shared" si="9"/>
        <v>0.2589761509565825</v>
      </c>
      <c r="O29" s="106">
        <f t="shared" si="10"/>
        <v>0.31919280160740804</v>
      </c>
    </row>
    <row r="30" spans="4:21" ht="14.5" thickBot="1" x14ac:dyDescent="0.35">
      <c r="G30" s="70"/>
      <c r="H30" s="70"/>
      <c r="I30" s="70"/>
      <c r="J30" s="70"/>
      <c r="K30" s="70"/>
      <c r="L30" s="106"/>
      <c r="M30" s="106"/>
      <c r="N30" s="106"/>
      <c r="O30" s="106"/>
    </row>
    <row r="31" spans="4:21" ht="14.5" thickBot="1" x14ac:dyDescent="0.35">
      <c r="D31" s="108" t="s">
        <v>904</v>
      </c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10"/>
    </row>
    <row r="32" spans="4:21" x14ac:dyDescent="0.3">
      <c r="G32" s="70"/>
      <c r="H32" s="111" t="s">
        <v>905</v>
      </c>
      <c r="I32" s="112" t="s">
        <v>879</v>
      </c>
      <c r="J32" s="112" t="s">
        <v>891</v>
      </c>
      <c r="K32" s="112" t="s">
        <v>902</v>
      </c>
      <c r="L32" s="113" t="s">
        <v>910</v>
      </c>
      <c r="M32" s="106"/>
      <c r="N32" s="106"/>
      <c r="O32" s="106"/>
    </row>
    <row r="33" spans="6:16" x14ac:dyDescent="0.3">
      <c r="G33" s="70"/>
      <c r="H33" s="114" t="s">
        <v>906</v>
      </c>
      <c r="I33" s="115">
        <f>I12*100*2/1000</f>
        <v>344.92631578947368</v>
      </c>
      <c r="J33" s="116">
        <f>(K12+L12+M12)*2*100/1000</f>
        <v>215.57894736842104</v>
      </c>
      <c r="K33" s="117">
        <f>Q12*2*100/1000</f>
        <v>344.92631578947368</v>
      </c>
      <c r="L33" s="118">
        <f>I33+J33+K33</f>
        <v>905.43157894736828</v>
      </c>
      <c r="M33" s="106"/>
      <c r="N33" s="106"/>
      <c r="O33" s="106"/>
    </row>
    <row r="34" spans="6:16" x14ac:dyDescent="0.3">
      <c r="G34" s="70"/>
      <c r="H34" s="114" t="s">
        <v>908</v>
      </c>
      <c r="I34" s="115">
        <f>I13*100*2/1000</f>
        <v>689.85263157894735</v>
      </c>
      <c r="J34" s="116">
        <f>(K13+L13+M13)*2*100/1000</f>
        <v>431.15789473684208</v>
      </c>
      <c r="K34" s="117">
        <f>Q13*2*100/1000</f>
        <v>689.85263157894735</v>
      </c>
      <c r="L34" s="118">
        <f t="shared" ref="L34:L36" si="11">I34+J34+K34</f>
        <v>1810.8631578947366</v>
      </c>
      <c r="M34" s="106"/>
      <c r="N34" s="106"/>
      <c r="O34" s="106"/>
    </row>
    <row r="35" spans="6:16" x14ac:dyDescent="0.3">
      <c r="G35" s="70"/>
      <c r="H35" s="114" t="s">
        <v>907</v>
      </c>
      <c r="I35" s="115">
        <f>I14*100*2/1000</f>
        <v>1379.7052631578947</v>
      </c>
      <c r="J35" s="116">
        <f>(K14+L14+M14)*2*100/1000</f>
        <v>862.31578947368416</v>
      </c>
      <c r="K35" s="117">
        <f>Q14*2*100/1000</f>
        <v>1379.7052631578947</v>
      </c>
      <c r="L35" s="118">
        <f t="shared" si="11"/>
        <v>3621.7263157894731</v>
      </c>
      <c r="M35" s="106"/>
      <c r="N35" s="106"/>
      <c r="O35" s="106"/>
    </row>
    <row r="36" spans="6:16" ht="14.5" thickBot="1" x14ac:dyDescent="0.35">
      <c r="H36" s="119" t="s">
        <v>909</v>
      </c>
      <c r="I36" s="120">
        <f>I15*100*2/1000</f>
        <v>2759.4105263157894</v>
      </c>
      <c r="J36" s="121">
        <f>(K15+L15+M15)*2*100/1000</f>
        <v>1724.6315789473683</v>
      </c>
      <c r="K36" s="122">
        <f>Q15*2*100/1000</f>
        <v>2759.4105263157894</v>
      </c>
      <c r="L36" s="123">
        <f t="shared" si="11"/>
        <v>7243.4526315789462</v>
      </c>
    </row>
    <row r="38" spans="6:16" ht="14.5" thickBot="1" x14ac:dyDescent="0.35">
      <c r="F38" s="77"/>
    </row>
    <row r="39" spans="6:16" x14ac:dyDescent="0.3">
      <c r="F39" s="111" t="s">
        <v>911</v>
      </c>
      <c r="G39" s="112" t="s">
        <v>912</v>
      </c>
      <c r="H39" s="112" t="s">
        <v>901</v>
      </c>
      <c r="I39" s="112" t="s">
        <v>902</v>
      </c>
      <c r="J39" s="112" t="s">
        <v>891</v>
      </c>
      <c r="K39" s="112" t="s">
        <v>879</v>
      </c>
      <c r="L39" s="112" t="s">
        <v>901</v>
      </c>
      <c r="M39" s="112" t="s">
        <v>902</v>
      </c>
      <c r="N39" s="112" t="s">
        <v>891</v>
      </c>
      <c r="O39" s="124" t="s">
        <v>879</v>
      </c>
      <c r="P39" s="130"/>
    </row>
    <row r="40" spans="6:16" x14ac:dyDescent="0.3">
      <c r="F40" s="114" t="s">
        <v>906</v>
      </c>
      <c r="G40" s="105">
        <v>2168</v>
      </c>
      <c r="H40" s="105">
        <v>81.760000000000005</v>
      </c>
      <c r="I40" s="115">
        <v>1215</v>
      </c>
      <c r="J40" s="116">
        <v>483</v>
      </c>
      <c r="K40" s="117">
        <v>786</v>
      </c>
      <c r="L40" s="125">
        <f>H40/G40</f>
        <v>3.7712177121771218E-2</v>
      </c>
      <c r="M40" s="125">
        <f>I40/G40</f>
        <v>0.56042435424354242</v>
      </c>
      <c r="N40" s="125">
        <f>J40/G40</f>
        <v>0.22278597785977861</v>
      </c>
      <c r="O40" s="126">
        <f>K40/G40</f>
        <v>0.36254612546125459</v>
      </c>
      <c r="P40" s="131" t="s">
        <v>913</v>
      </c>
    </row>
    <row r="41" spans="6:16" x14ac:dyDescent="0.3">
      <c r="F41" s="114" t="s">
        <v>908</v>
      </c>
      <c r="G41" s="105">
        <v>2969</v>
      </c>
      <c r="H41" s="105">
        <v>82.21</v>
      </c>
      <c r="I41" s="115">
        <v>1525</v>
      </c>
      <c r="J41" s="116">
        <v>648</v>
      </c>
      <c r="K41" s="117">
        <v>1091</v>
      </c>
      <c r="L41" s="125">
        <f t="shared" ref="L41:L43" si="12">H41/G41</f>
        <v>2.7689457729875376E-2</v>
      </c>
      <c r="M41" s="125">
        <f t="shared" ref="M41:M43" si="13">I41/G41</f>
        <v>0.51364095655102726</v>
      </c>
      <c r="N41" s="125">
        <f t="shared" ref="N41:N43" si="14">J41/G41</f>
        <v>0.21825530481643651</v>
      </c>
      <c r="O41" s="126">
        <f t="shared" ref="O41:O43" si="15">K41/G41</f>
        <v>0.36746379252273492</v>
      </c>
      <c r="P41" s="131"/>
    </row>
    <row r="42" spans="6:16" x14ac:dyDescent="0.3">
      <c r="F42" s="114" t="s">
        <v>907</v>
      </c>
      <c r="G42" s="105">
        <v>4743</v>
      </c>
      <c r="H42" s="105">
        <v>82.42</v>
      </c>
      <c r="I42" s="115">
        <v>2378</v>
      </c>
      <c r="J42" s="116">
        <v>856</v>
      </c>
      <c r="K42" s="117">
        <v>1919</v>
      </c>
      <c r="L42" s="125">
        <f t="shared" si="12"/>
        <v>1.7377187434113432E-2</v>
      </c>
      <c r="M42" s="125">
        <f t="shared" si="13"/>
        <v>0.50137044064937808</v>
      </c>
      <c r="N42" s="125">
        <f t="shared" si="14"/>
        <v>0.18047649167193761</v>
      </c>
      <c r="O42" s="126">
        <f t="shared" si="15"/>
        <v>0.40459624710099096</v>
      </c>
      <c r="P42" s="131"/>
    </row>
    <row r="43" spans="6:16" ht="14.5" thickBot="1" x14ac:dyDescent="0.35">
      <c r="F43" s="119" t="s">
        <v>909</v>
      </c>
      <c r="G43" s="127">
        <v>8058</v>
      </c>
      <c r="H43" s="127">
        <v>82.36</v>
      </c>
      <c r="I43" s="120">
        <v>3918</v>
      </c>
      <c r="J43" s="121">
        <v>1402</v>
      </c>
      <c r="K43" s="122">
        <v>3382</v>
      </c>
      <c r="L43" s="128">
        <f t="shared" si="12"/>
        <v>1.0220898485976669E-2</v>
      </c>
      <c r="M43" s="128">
        <f t="shared" si="13"/>
        <v>0.48622486969471335</v>
      </c>
      <c r="N43" s="128">
        <f t="shared" si="14"/>
        <v>0.17398858277488211</v>
      </c>
      <c r="O43" s="129">
        <f t="shared" si="15"/>
        <v>0.4197071233556714</v>
      </c>
      <c r="P43" s="132"/>
    </row>
    <row r="44" spans="6:16" ht="14.5" thickBot="1" x14ac:dyDescent="0.35"/>
    <row r="45" spans="6:16" x14ac:dyDescent="0.3">
      <c r="F45" s="97"/>
      <c r="G45" s="97" t="s">
        <v>896</v>
      </c>
      <c r="H45" s="112" t="s">
        <v>899</v>
      </c>
      <c r="I45" s="99"/>
    </row>
    <row r="46" spans="6:16" x14ac:dyDescent="0.3">
      <c r="F46" s="114" t="s">
        <v>906</v>
      </c>
      <c r="G46" s="91">
        <v>905.43157894736828</v>
      </c>
      <c r="H46" s="105">
        <v>2168</v>
      </c>
      <c r="I46" s="133">
        <f>G46/H46</f>
        <v>0.41763449213439496</v>
      </c>
    </row>
    <row r="47" spans="6:16" x14ac:dyDescent="0.3">
      <c r="F47" s="114" t="s">
        <v>908</v>
      </c>
      <c r="G47" s="91">
        <v>1810.8631578947366</v>
      </c>
      <c r="H47" s="105">
        <v>2969</v>
      </c>
      <c r="I47" s="133">
        <f t="shared" ref="I47:I49" si="16">G47/H47</f>
        <v>0.60992359646168293</v>
      </c>
    </row>
    <row r="48" spans="6:16" x14ac:dyDescent="0.3">
      <c r="F48" s="114" t="s">
        <v>907</v>
      </c>
      <c r="G48" s="91">
        <v>3621.7263157894731</v>
      </c>
      <c r="H48" s="105">
        <v>4743</v>
      </c>
      <c r="I48" s="133">
        <f t="shared" si="16"/>
        <v>0.76359399447385057</v>
      </c>
    </row>
    <row r="49" spans="6:9" ht="14.5" thickBot="1" x14ac:dyDescent="0.35">
      <c r="F49" s="119" t="s">
        <v>909</v>
      </c>
      <c r="G49" s="94">
        <v>7243.4526315789462</v>
      </c>
      <c r="H49" s="127">
        <v>8058</v>
      </c>
      <c r="I49" s="134">
        <f t="shared" si="16"/>
        <v>0.89891444919073549</v>
      </c>
    </row>
    <row r="50" spans="6:9" ht="14.5" thickBot="1" x14ac:dyDescent="0.35"/>
    <row r="51" spans="6:9" x14ac:dyDescent="0.3">
      <c r="F51" s="97"/>
      <c r="G51" s="98"/>
      <c r="H51" s="99" t="s">
        <v>914</v>
      </c>
    </row>
    <row r="52" spans="6:9" x14ac:dyDescent="0.3">
      <c r="F52" s="114" t="s">
        <v>906</v>
      </c>
      <c r="G52" s="82"/>
      <c r="H52" s="92">
        <v>1906</v>
      </c>
      <c r="I52">
        <f>H52/H46</f>
        <v>0.87915129151291516</v>
      </c>
    </row>
    <row r="53" spans="6:9" x14ac:dyDescent="0.3">
      <c r="F53" s="114" t="s">
        <v>908</v>
      </c>
      <c r="G53" s="82"/>
      <c r="H53" s="92">
        <v>2566</v>
      </c>
      <c r="I53">
        <f t="shared" ref="I53:I55" si="17">H53/H47</f>
        <v>0.86426406197372851</v>
      </c>
    </row>
    <row r="54" spans="6:9" x14ac:dyDescent="0.3">
      <c r="F54" s="114" t="s">
        <v>907</v>
      </c>
      <c r="G54" s="82"/>
      <c r="H54" s="92">
        <v>4292</v>
      </c>
      <c r="I54">
        <f t="shared" si="17"/>
        <v>0.90491250263546275</v>
      </c>
    </row>
    <row r="55" spans="6:9" ht="14.5" thickBot="1" x14ac:dyDescent="0.35">
      <c r="F55" s="119" t="s">
        <v>909</v>
      </c>
      <c r="G55" s="83"/>
      <c r="H55" s="96">
        <v>7256</v>
      </c>
      <c r="I55">
        <f t="shared" si="17"/>
        <v>0.90047158103747826</v>
      </c>
    </row>
  </sheetData>
  <mergeCells count="6">
    <mergeCell ref="D17:D28"/>
    <mergeCell ref="D31:T31"/>
    <mergeCell ref="P40:P43"/>
    <mergeCell ref="F10:J10"/>
    <mergeCell ref="N10:S10"/>
    <mergeCell ref="K10:M10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Q15"/>
  <sheetViews>
    <sheetView workbookViewId="0">
      <selection activeCell="K23" sqref="K23"/>
    </sheetView>
  </sheetViews>
  <sheetFormatPr defaultRowHeight="14" x14ac:dyDescent="0.3"/>
  <sheetData>
    <row r="4" spans="3:17" x14ac:dyDescent="0.3">
      <c r="C4" s="41" t="s">
        <v>888</v>
      </c>
    </row>
    <row r="5" spans="3:17" x14ac:dyDescent="0.3">
      <c r="E5" t="s">
        <v>889</v>
      </c>
    </row>
    <row r="6" spans="3:17" x14ac:dyDescent="0.3">
      <c r="E6" t="s">
        <v>871</v>
      </c>
    </row>
    <row r="7" spans="3:17" x14ac:dyDescent="0.3">
      <c r="E7" t="s">
        <v>890</v>
      </c>
    </row>
    <row r="8" spans="3:17" x14ac:dyDescent="0.3">
      <c r="E8" t="s">
        <v>880</v>
      </c>
    </row>
    <row r="10" spans="3:17" x14ac:dyDescent="0.3">
      <c r="F10" s="80" t="s">
        <v>879</v>
      </c>
      <c r="G10" s="80"/>
      <c r="H10" s="80"/>
      <c r="I10" s="80"/>
      <c r="J10" s="80"/>
      <c r="K10" s="80" t="s">
        <v>881</v>
      </c>
      <c r="L10" s="80"/>
      <c r="M10" s="80"/>
      <c r="N10" s="80"/>
      <c r="O10" s="80"/>
      <c r="P10" s="80"/>
      <c r="Q10" s="80"/>
    </row>
    <row r="11" spans="3:17" x14ac:dyDescent="0.3">
      <c r="E11" t="s">
        <v>2</v>
      </c>
      <c r="F11" t="s">
        <v>873</v>
      </c>
      <c r="G11" t="s">
        <v>875</v>
      </c>
      <c r="H11" t="s">
        <v>876</v>
      </c>
      <c r="I11" t="s">
        <v>877</v>
      </c>
      <c r="J11" t="s">
        <v>878</v>
      </c>
      <c r="K11" t="s">
        <v>873</v>
      </c>
      <c r="L11" t="s">
        <v>875</v>
      </c>
      <c r="M11" t="s">
        <v>876</v>
      </c>
      <c r="N11" t="s">
        <v>877</v>
      </c>
      <c r="O11" t="s">
        <v>878</v>
      </c>
    </row>
    <row r="12" spans="3:17" x14ac:dyDescent="0.3">
      <c r="E12">
        <v>128</v>
      </c>
      <c r="F12">
        <f>E12*128*4</f>
        <v>65536</v>
      </c>
      <c r="G12">
        <f>E12*128*4</f>
        <v>65536</v>
      </c>
      <c r="H12">
        <f>F12/decoder理论计算!G7</f>
        <v>1724.6315789473683</v>
      </c>
      <c r="I12" s="69">
        <f>G12/decoder理论计算!G7</f>
        <v>1724.6315789473683</v>
      </c>
      <c r="J12">
        <f>E12*128*E12/16384</f>
        <v>128</v>
      </c>
      <c r="K12">
        <f>E12*E12*4</f>
        <v>65536</v>
      </c>
      <c r="L12">
        <f>E12*128*4</f>
        <v>65536</v>
      </c>
      <c r="M12" s="69">
        <f>K12/decoder理论计算!G7</f>
        <v>1724.6315789473683</v>
      </c>
      <c r="N12" s="69">
        <f>L12/decoder理论计算!G7</f>
        <v>1724.6315789473683</v>
      </c>
      <c r="O12">
        <f>E12*E12*128/16384</f>
        <v>128</v>
      </c>
    </row>
    <row r="13" spans="3:17" x14ac:dyDescent="0.3">
      <c r="E13">
        <v>256</v>
      </c>
      <c r="F13">
        <f>E13*128*4</f>
        <v>131072</v>
      </c>
      <c r="G13">
        <f>E13*128*4</f>
        <v>131072</v>
      </c>
      <c r="H13">
        <f>F13/decoder理论计算!G7</f>
        <v>3449.2631578947367</v>
      </c>
      <c r="I13" s="69">
        <f>G13/decoder理论计算!G7</f>
        <v>3449.2631578947367</v>
      </c>
      <c r="J13">
        <f>E13*128*E13/16384</f>
        <v>512</v>
      </c>
      <c r="K13">
        <f>E13*E13*4</f>
        <v>262144</v>
      </c>
      <c r="L13">
        <f>E13*128*4</f>
        <v>131072</v>
      </c>
      <c r="M13" s="69">
        <f>K13/decoder理论计算!G7</f>
        <v>6898.5263157894733</v>
      </c>
      <c r="N13" s="69">
        <f>L13/decoder理论计算!G7</f>
        <v>3449.2631578947367</v>
      </c>
      <c r="O13">
        <f>E13*E13*128/16384</f>
        <v>512</v>
      </c>
    </row>
    <row r="14" spans="3:17" x14ac:dyDescent="0.3">
      <c r="E14">
        <v>512</v>
      </c>
      <c r="F14">
        <f>E14*128*4</f>
        <v>262144</v>
      </c>
      <c r="G14">
        <f>E14*128*4</f>
        <v>262144</v>
      </c>
      <c r="H14">
        <f>F14/decoder理论计算!G7</f>
        <v>6898.5263157894733</v>
      </c>
      <c r="I14" s="69">
        <f>G14/7</f>
        <v>37449.142857142855</v>
      </c>
      <c r="J14">
        <f>E14*128*E14/16384</f>
        <v>2048</v>
      </c>
      <c r="K14">
        <f>E14*E14*4</f>
        <v>1048576</v>
      </c>
      <c r="L14">
        <f>E14*128*4</f>
        <v>262144</v>
      </c>
      <c r="M14" s="69">
        <f>K14/decoder理论计算!G7</f>
        <v>27594.105263157893</v>
      </c>
      <c r="N14" s="69">
        <f>L14/decoder理论计算!G7</f>
        <v>6898.5263157894733</v>
      </c>
      <c r="O14">
        <f>E14*E14*128/16384</f>
        <v>2048</v>
      </c>
    </row>
    <row r="15" spans="3:17" x14ac:dyDescent="0.3">
      <c r="E15">
        <v>1024</v>
      </c>
      <c r="F15">
        <f>E15*128*4</f>
        <v>524288</v>
      </c>
      <c r="G15">
        <f>E15*128*4</f>
        <v>524288</v>
      </c>
      <c r="H15">
        <f>F15/decoder理论计算!G7</f>
        <v>13797.052631578947</v>
      </c>
      <c r="I15" s="69">
        <f>G15/decoder理论计算!G7</f>
        <v>13797.052631578947</v>
      </c>
      <c r="J15">
        <f>E15*128*E15/16384</f>
        <v>8192</v>
      </c>
      <c r="K15">
        <f>E15*E15*4</f>
        <v>4194304</v>
      </c>
      <c r="L15">
        <f>E15*128*4</f>
        <v>524288</v>
      </c>
      <c r="M15" s="69">
        <f>K15/decoder理论计算!G7</f>
        <v>110376.42105263157</v>
      </c>
      <c r="N15" s="69">
        <f>L15/decoder理论计算!G7</f>
        <v>13797.052631578947</v>
      </c>
      <c r="O15">
        <f>E15*E15*128/16384</f>
        <v>8192</v>
      </c>
    </row>
  </sheetData>
  <mergeCells count="2">
    <mergeCell ref="F10:J10"/>
    <mergeCell ref="K10:Q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分段分析</vt:lpstr>
      <vt:lpstr>softmax_pingpong</vt:lpstr>
      <vt:lpstr>NUMA_UMA</vt:lpstr>
      <vt:lpstr>score_GMB_HBM</vt:lpstr>
      <vt:lpstr>unroll</vt:lpstr>
      <vt:lpstr>vcore</vt:lpstr>
      <vt:lpstr>模型性能1113</vt:lpstr>
      <vt:lpstr>exp</vt:lpstr>
      <vt:lpstr>decoder</vt:lpstr>
      <vt:lpstr>decoder理论计算</vt:lpstr>
      <vt:lpstr>encoder理论计算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2023-11-17T09:29:31Z</dcterms:modified>
</cp:coreProperties>
</file>