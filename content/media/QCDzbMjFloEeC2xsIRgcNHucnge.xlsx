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01243\AppData\Local\Temp\OneNote\16.0\NT\30\"/>
    </mc:Choice>
  </mc:AlternateContent>
  <bookViews>
    <workbookView xWindow="0" yWindow="0" windowWidth="38400" windowHeight="17810" activeTab="1"/>
  </bookViews>
  <sheets>
    <sheet name="encoder" sheetId="1" r:id="rId1"/>
    <sheet name="decoder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V4" i="2" l="1"/>
  <c r="V5" i="2"/>
  <c r="V6" i="2"/>
  <c r="V7" i="2"/>
  <c r="V8" i="2"/>
  <c r="V9" i="2"/>
  <c r="V10" i="2"/>
  <c r="V11" i="2"/>
  <c r="V12" i="2"/>
  <c r="V13" i="2"/>
  <c r="V14" i="2"/>
  <c r="V17" i="2"/>
  <c r="V18" i="2"/>
  <c r="V19" i="2"/>
  <c r="V20" i="2"/>
  <c r="V21" i="2"/>
  <c r="V22" i="2"/>
  <c r="V23" i="2"/>
  <c r="V24" i="2"/>
  <c r="V25" i="2"/>
  <c r="V26" i="2"/>
  <c r="V27" i="2"/>
  <c r="V28" i="2"/>
  <c r="V31" i="2"/>
  <c r="V32" i="2"/>
  <c r="V33" i="2"/>
  <c r="V34" i="2"/>
  <c r="V35" i="2"/>
  <c r="V36" i="2"/>
  <c r="V37" i="2"/>
  <c r="V38" i="2"/>
  <c r="V39" i="2"/>
  <c r="V40" i="2"/>
  <c r="V41" i="2"/>
  <c r="V42" i="2"/>
  <c r="V45" i="2"/>
  <c r="V46" i="2"/>
  <c r="V47" i="2"/>
  <c r="V48" i="2"/>
  <c r="V49" i="2"/>
  <c r="V50" i="2"/>
  <c r="V51" i="2"/>
  <c r="V52" i="2"/>
  <c r="V53" i="2"/>
  <c r="V54" i="2"/>
  <c r="V55" i="2"/>
  <c r="V56" i="2"/>
  <c r="V3" i="2"/>
  <c r="T4" i="2"/>
  <c r="T5" i="2"/>
  <c r="T6" i="2"/>
  <c r="T7" i="2"/>
  <c r="T8" i="2"/>
  <c r="T9" i="2"/>
  <c r="T10" i="2"/>
  <c r="T11" i="2"/>
  <c r="T12" i="2"/>
  <c r="T13" i="2"/>
  <c r="T14" i="2"/>
  <c r="T17" i="2"/>
  <c r="T18" i="2"/>
  <c r="T19" i="2"/>
  <c r="T20" i="2"/>
  <c r="T21" i="2"/>
  <c r="T22" i="2"/>
  <c r="T23" i="2"/>
  <c r="T24" i="2"/>
  <c r="T25" i="2"/>
  <c r="T26" i="2"/>
  <c r="T27" i="2"/>
  <c r="T28" i="2"/>
  <c r="T31" i="2"/>
  <c r="T32" i="2"/>
  <c r="T33" i="2"/>
  <c r="T34" i="2"/>
  <c r="T35" i="2"/>
  <c r="T36" i="2"/>
  <c r="T37" i="2"/>
  <c r="T38" i="2"/>
  <c r="T39" i="2"/>
  <c r="T40" i="2"/>
  <c r="T41" i="2"/>
  <c r="T42" i="2"/>
  <c r="T46" i="2"/>
  <c r="T47" i="2"/>
  <c r="T48" i="2"/>
  <c r="T49" i="2"/>
  <c r="T50" i="2"/>
  <c r="T51" i="2"/>
  <c r="T52" i="2"/>
  <c r="T53" i="2"/>
  <c r="T54" i="2"/>
  <c r="T55" i="2"/>
  <c r="T56" i="2"/>
  <c r="T3" i="2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3" i="1"/>
  <c r="R110" i="1"/>
  <c r="R111" i="1"/>
  <c r="R112" i="1"/>
  <c r="R113" i="1"/>
  <c r="R114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3" i="1"/>
  <c r="P17" i="2"/>
  <c r="P18" i="2"/>
  <c r="P19" i="2"/>
  <c r="P20" i="2"/>
  <c r="P21" i="2"/>
  <c r="P22" i="2"/>
  <c r="P23" i="2"/>
  <c r="P24" i="2"/>
  <c r="P25" i="2"/>
  <c r="P26" i="2"/>
  <c r="P27" i="2"/>
  <c r="P28" i="2"/>
  <c r="P31" i="2"/>
  <c r="P32" i="2"/>
  <c r="P33" i="2"/>
  <c r="P34" i="2"/>
  <c r="P35" i="2"/>
  <c r="P36" i="2"/>
  <c r="P37" i="2"/>
  <c r="P38" i="2"/>
  <c r="P39" i="2"/>
  <c r="P40" i="2"/>
  <c r="P41" i="2"/>
  <c r="P42" i="2"/>
  <c r="P45" i="2"/>
  <c r="P46" i="2"/>
  <c r="P47" i="2"/>
  <c r="P48" i="2"/>
  <c r="P49" i="2"/>
  <c r="P50" i="2"/>
  <c r="P51" i="2"/>
  <c r="P52" i="2"/>
  <c r="P53" i="2"/>
  <c r="P54" i="2"/>
  <c r="P55" i="2"/>
  <c r="P56" i="2"/>
  <c r="N17" i="2"/>
  <c r="N18" i="2"/>
  <c r="N19" i="2"/>
  <c r="N20" i="2"/>
  <c r="N21" i="2"/>
  <c r="N22" i="2"/>
  <c r="N23" i="2"/>
  <c r="N24" i="2"/>
  <c r="N25" i="2"/>
  <c r="N26" i="2"/>
  <c r="N27" i="2"/>
  <c r="N28" i="2"/>
  <c r="N31" i="2"/>
  <c r="N32" i="2"/>
  <c r="N33" i="2"/>
  <c r="N34" i="2"/>
  <c r="N35" i="2"/>
  <c r="N36" i="2"/>
  <c r="N37" i="2"/>
  <c r="N38" i="2"/>
  <c r="N39" i="2"/>
  <c r="N40" i="2"/>
  <c r="N41" i="2"/>
  <c r="N42" i="2"/>
  <c r="N45" i="2"/>
  <c r="N46" i="2"/>
  <c r="N47" i="2"/>
  <c r="N48" i="2"/>
  <c r="N49" i="2"/>
  <c r="N50" i="2"/>
  <c r="N51" i="2"/>
  <c r="N52" i="2"/>
  <c r="N53" i="2"/>
  <c r="N54" i="2"/>
  <c r="N55" i="2"/>
  <c r="N56" i="2"/>
  <c r="P4" i="2"/>
  <c r="P5" i="2"/>
  <c r="P6" i="2"/>
  <c r="P7" i="2"/>
  <c r="P8" i="2"/>
  <c r="P9" i="2"/>
  <c r="P10" i="2"/>
  <c r="P11" i="2"/>
  <c r="P12" i="2"/>
  <c r="P13" i="2"/>
  <c r="P14" i="2"/>
  <c r="P3" i="2"/>
  <c r="N4" i="2"/>
  <c r="N5" i="2"/>
  <c r="N6" i="2"/>
  <c r="N7" i="2"/>
  <c r="N8" i="2"/>
  <c r="N9" i="2"/>
  <c r="N10" i="2"/>
  <c r="N11" i="2"/>
  <c r="N12" i="2"/>
  <c r="N13" i="2"/>
  <c r="N14" i="2"/>
  <c r="N3" i="2"/>
  <c r="Y22" i="1" l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21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1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</calcChain>
</file>

<file path=xl/sharedStrings.xml><?xml version="1.0" encoding="utf-8"?>
<sst xmlns="http://schemas.openxmlformats.org/spreadsheetml/2006/main" count="52" uniqueCount="37">
  <si>
    <t>model name</t>
    <phoneticPr fontId="5" type="noConversion"/>
  </si>
  <si>
    <t>batch size</t>
    <phoneticPr fontId="5" type="noConversion"/>
  </si>
  <si>
    <t>seq_length</t>
    <phoneticPr fontId="5" type="noConversion"/>
  </si>
  <si>
    <t>L_H</t>
    <phoneticPr fontId="5" type="noConversion"/>
  </si>
  <si>
    <t>L_K</t>
    <phoneticPr fontId="5" type="noConversion"/>
  </si>
  <si>
    <t>L_W</t>
    <phoneticPr fontId="5" type="noConversion"/>
  </si>
  <si>
    <t>理论性能</t>
    <phoneticPr fontId="5" type="noConversion"/>
  </si>
  <si>
    <t>llama1 7b
单卡 BF16</t>
    <phoneticPr fontId="5" type="noConversion"/>
  </si>
  <si>
    <t>baichuan1 13b
2卡 BF16</t>
    <phoneticPr fontId="5" type="noConversion"/>
  </si>
  <si>
    <t>codellama 33b int8
2卡 12SPC</t>
    <phoneticPr fontId="5" type="noConversion"/>
  </si>
  <si>
    <t>llama2 70b int8
4卡</t>
    <phoneticPr fontId="5" type="noConversion"/>
  </si>
  <si>
    <t>1000MHZ</t>
    <phoneticPr fontId="1" type="noConversion"/>
  </si>
  <si>
    <t>ctc</t>
    <phoneticPr fontId="1" type="noConversion"/>
  </si>
  <si>
    <t>CBI</t>
    <phoneticPr fontId="1" type="noConversion"/>
  </si>
  <si>
    <t>model name</t>
  </si>
  <si>
    <t>batch size</t>
  </si>
  <si>
    <t>seq_length</t>
  </si>
  <si>
    <t>L_H</t>
  </si>
  <si>
    <t>L_K</t>
  </si>
  <si>
    <t>L_W</t>
  </si>
  <si>
    <t>理论</t>
    <phoneticPr fontId="5" type="noConversion"/>
  </si>
  <si>
    <t>llama1 7b
单卡</t>
  </si>
  <si>
    <t>baichuan1 13b
2卡</t>
  </si>
  <si>
    <t>codellama 33b int8
2卡</t>
    <phoneticPr fontId="5" type="noConversion"/>
  </si>
  <si>
    <t>1000MHZ</t>
    <phoneticPr fontId="1" type="noConversion"/>
  </si>
  <si>
    <t>CTC</t>
    <phoneticPr fontId="1" type="noConversion"/>
  </si>
  <si>
    <t>CBI</t>
    <phoneticPr fontId="1" type="noConversion"/>
  </si>
  <si>
    <t>800MHZ</t>
    <phoneticPr fontId="1" type="noConversion"/>
  </si>
  <si>
    <t>800MHZ</t>
    <phoneticPr fontId="1" type="noConversion"/>
  </si>
  <si>
    <t>CTC</t>
    <phoneticPr fontId="1" type="noConversion"/>
  </si>
  <si>
    <t>K不折叠</t>
    <phoneticPr fontId="1" type="noConversion"/>
  </si>
  <si>
    <t>ratio</t>
    <phoneticPr fontId="1" type="noConversion"/>
  </si>
  <si>
    <t>ratio</t>
    <phoneticPr fontId="1" type="noConversion"/>
  </si>
  <si>
    <t xml:space="preserve"> </t>
    <phoneticPr fontId="1" type="noConversion"/>
  </si>
  <si>
    <t>500MHZ</t>
    <phoneticPr fontId="1" type="noConversion"/>
  </si>
  <si>
    <t>CTC</t>
    <phoneticPr fontId="1" type="noConversion"/>
  </si>
  <si>
    <t>CBI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</si>
</sst>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%"/>
  </numFmts>
  <fonts count="7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76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</fills>
  <borders count="6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3" fillId="2" borderId="1" applyNumberFormat="0" applyAlignment="0" applyProtection="0">
      <alignment vertical="center"/>
    </xf>
  </cellStyleXfs>
  <cellXfs count="27">
    <xf numFmtId="0" fontId="0" fillId="0" borderId="0" xfId="0">
      <alignment vertical="center"/>
    </xf>
    <xf numFmtId="0" fontId="4" fillId="2" borderId="1" xfId="2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4" borderId="1" xfId="2" applyFont="1" applyFill="1" applyAlignment="1">
      <alignment horizontal="center" vertical="center" wrapText="1"/>
    </xf>
    <xf numFmtId="0" fontId="4" fillId="4" borderId="1" xfId="2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6" fillId="0" borderId="0" xfId="0" applyFont="1">
      <alignment vertical="center"/>
    </xf>
    <xf numFmtId="176" fontId="0" fillId="0" borderId="0" xfId="1" applyNumberFormat="1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176" fontId="0" fillId="0" borderId="0" xfId="1" applyNumberFormat="1" applyFont="1">
      <alignment vertical="center"/>
    </xf>
    <xf numFmtId="0" fontId="0" fillId="5" borderId="2" xfId="0" applyFill="1" applyBorder="1" applyAlignment="1">
      <alignment horizontal="center" vertical="center"/>
    </xf>
    <xf numFmtId="0" fontId="4" fillId="2" borderId="1" xfId="2" applyFont="1" applyAlignment="1">
      <alignment horizontal="center" vertical="center" wrapText="1"/>
    </xf>
    <xf numFmtId="0" fontId="4" fillId="2" borderId="1" xfId="2" applyFont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7" borderId="0" xfId="0" applyFill="1" applyAlignment="1">
      <alignment horizontal="center" vertical="center" wrapText="1"/>
    </xf>
    <xf numFmtId="0" fontId="0" fillId="7" borderId="0" xfId="0" applyFill="1" applyAlignment="1">
      <alignment horizontal="center" vertical="center"/>
    </xf>
    <xf numFmtId="0" fontId="0" fillId="3" borderId="0" xfId="0" applyFill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10" fontId="0" fillId="0" borderId="0" xfId="1" applyNumberFormat="1" applyFont="1" applyAlignment="1">
      <alignment horizontal="center" vertical="center"/>
    </xf>
    <xf numFmtId="10" fontId="0" fillId="0" borderId="0" xfId="1" applyNumberFormat="1" applyFont="1">
      <alignment vertical="center"/>
    </xf>
  </cellXfs>
  <cellStyles count="3">
    <cellStyle name="百分比" xfId="1" builtinId="5"/>
    <cellStyle name="常规" xfId="0" builtinId="0"/>
    <cellStyle name="输入" xfId="2" builtinId="2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52"/>
  <sheetViews>
    <sheetView topLeftCell="E1" zoomScale="130" zoomScaleNormal="130" workbookViewId="0">
      <pane ySplit="1" topLeftCell="A2" activePane="bottomLeft" state="frozen"/>
      <selection pane="bottomLeft" activeCell="T39" sqref="T39:T40"/>
    </sheetView>
  </sheetViews>
  <sheetFormatPr defaultRowHeight="14" x14ac:dyDescent="0.3"/>
  <cols>
    <col min="1" max="1" width="19.33203125" style="5" customWidth="1"/>
    <col min="2" max="2" width="15.1640625" style="5" customWidth="1"/>
    <col min="3" max="3" width="16.6640625" style="5" customWidth="1"/>
    <col min="4" max="4" width="17.5" style="5" customWidth="1"/>
    <col min="5" max="5" width="13.83203125" style="5" customWidth="1"/>
    <col min="6" max="6" width="14.9140625" style="5" customWidth="1"/>
    <col min="7" max="7" width="15.4140625" style="5" customWidth="1"/>
    <col min="8" max="8" width="8.6640625" style="5"/>
    <col min="9" max="9" width="13.5" style="5" customWidth="1"/>
    <col min="10" max="10" width="13.33203125" style="5" customWidth="1"/>
    <col min="11" max="11" width="8.6640625" style="5"/>
    <col min="12" max="13" width="13" style="5" customWidth="1"/>
    <col min="14" max="15" width="11.58203125" style="5" customWidth="1"/>
    <col min="16" max="16" width="8.6640625" style="5"/>
    <col min="17" max="17" width="12.5" style="5" customWidth="1"/>
    <col min="18" max="18" width="8.6640625" style="5"/>
    <col min="19" max="19" width="13.33203125" style="5" customWidth="1"/>
    <col min="20" max="16384" width="8.6640625" style="5"/>
  </cols>
  <sheetData>
    <row r="1" spans="1:25" x14ac:dyDescent="0.3">
      <c r="I1" s="13" t="s">
        <v>11</v>
      </c>
      <c r="J1" s="13"/>
      <c r="K1" s="11"/>
      <c r="L1" s="22" t="s">
        <v>28</v>
      </c>
      <c r="M1" s="23"/>
      <c r="N1" s="23"/>
      <c r="O1" s="24"/>
      <c r="P1" s="11"/>
      <c r="Q1" s="22" t="s">
        <v>34</v>
      </c>
      <c r="R1" s="23"/>
      <c r="S1" s="23"/>
      <c r="T1" s="24"/>
      <c r="U1" s="11"/>
      <c r="V1" s="13" t="s">
        <v>30</v>
      </c>
      <c r="W1" s="13"/>
      <c r="X1" s="13"/>
      <c r="Y1" s="13"/>
    </row>
    <row r="2" spans="1:25" x14ac:dyDescent="0.3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3" t="s">
        <v>6</v>
      </c>
      <c r="I2" s="3" t="s">
        <v>12</v>
      </c>
      <c r="J2" s="3" t="s">
        <v>13</v>
      </c>
      <c r="L2" s="2" t="s">
        <v>29</v>
      </c>
      <c r="M2" s="2" t="s">
        <v>32</v>
      </c>
      <c r="N2" s="2" t="s">
        <v>13</v>
      </c>
      <c r="O2" s="2" t="s">
        <v>32</v>
      </c>
      <c r="Q2" s="2" t="s">
        <v>35</v>
      </c>
      <c r="R2" s="2" t="s">
        <v>32</v>
      </c>
      <c r="S2" s="2" t="s">
        <v>36</v>
      </c>
      <c r="T2" s="2" t="s">
        <v>32</v>
      </c>
      <c r="V2" s="5" t="s">
        <v>29</v>
      </c>
      <c r="X2" s="5" t="s">
        <v>13</v>
      </c>
    </row>
    <row r="3" spans="1:25" x14ac:dyDescent="0.3">
      <c r="A3" s="14" t="s">
        <v>7</v>
      </c>
      <c r="B3" s="4">
        <v>1</v>
      </c>
      <c r="C3" s="4">
        <v>255</v>
      </c>
      <c r="D3" s="4">
        <v>255</v>
      </c>
      <c r="E3" s="4">
        <v>4096</v>
      </c>
      <c r="F3" s="4">
        <v>4096</v>
      </c>
      <c r="G3" s="4">
        <v>81110</v>
      </c>
      <c r="I3" s="5">
        <v>79515</v>
      </c>
      <c r="J3" s="5">
        <v>118456</v>
      </c>
      <c r="L3" s="5">
        <v>70211</v>
      </c>
      <c r="M3" s="25">
        <f>(L3/0.8-I3)/I3</f>
        <v>0.1037382883732629</v>
      </c>
      <c r="N3" s="5">
        <v>101602</v>
      </c>
      <c r="O3" s="25">
        <f>(N3/0.8-J3)/J3</f>
        <v>7.2149152427905719E-2</v>
      </c>
      <c r="Q3" s="5">
        <v>63487</v>
      </c>
      <c r="R3" s="25">
        <f>(Q3/0.5-I3)/I3</f>
        <v>0.59685593913098156</v>
      </c>
      <c r="S3" s="5">
        <v>82248</v>
      </c>
      <c r="T3" s="25">
        <f>(S3/0.5-J3)/J3</f>
        <v>0.38866752211791722</v>
      </c>
    </row>
    <row r="4" spans="1:25" x14ac:dyDescent="0.3">
      <c r="A4" s="14"/>
      <c r="B4" s="5">
        <v>1</v>
      </c>
      <c r="C4" s="5">
        <v>511</v>
      </c>
      <c r="D4" s="5">
        <v>511</v>
      </c>
      <c r="E4" s="5">
        <v>4096</v>
      </c>
      <c r="F4" s="5">
        <v>4096</v>
      </c>
      <c r="G4" s="5">
        <v>120431</v>
      </c>
      <c r="I4" s="5">
        <v>124835</v>
      </c>
      <c r="J4" s="5">
        <v>158559</v>
      </c>
      <c r="L4" s="5">
        <v>115064</v>
      </c>
      <c r="M4" s="25">
        <f t="shared" ref="M4:M67" si="0">(L4/0.8-I4)/I4</f>
        <v>0.1521608523250691</v>
      </c>
      <c r="N4" s="5">
        <v>133322</v>
      </c>
      <c r="O4" s="25">
        <f t="shared" ref="O4:O67" si="1">(N4/0.8-J4)/J4</f>
        <v>5.1044090843156177E-2</v>
      </c>
      <c r="Q4" s="5">
        <v>105238</v>
      </c>
      <c r="R4" s="25">
        <f t="shared" ref="R4:R67" si="2">(Q4/0.5-I4)/I4</f>
        <v>0.68603356430488249</v>
      </c>
      <c r="S4" s="5">
        <v>113841</v>
      </c>
      <c r="T4" s="25">
        <f t="shared" ref="T4:T67" si="3">(S4/0.5-J4)/J4</f>
        <v>0.43594497947136396</v>
      </c>
    </row>
    <row r="5" spans="1:25" x14ac:dyDescent="0.3">
      <c r="A5" s="14"/>
      <c r="B5" s="5">
        <v>1</v>
      </c>
      <c r="C5" s="5">
        <v>1023</v>
      </c>
      <c r="D5" s="5">
        <v>1023</v>
      </c>
      <c r="E5" s="5">
        <v>4096</v>
      </c>
      <c r="F5" s="5">
        <v>4096</v>
      </c>
      <c r="G5" s="5">
        <v>199074</v>
      </c>
      <c r="I5" s="5">
        <v>231267</v>
      </c>
      <c r="J5" s="5">
        <v>240183</v>
      </c>
      <c r="L5" s="5">
        <v>211191</v>
      </c>
      <c r="M5" s="25">
        <f t="shared" si="0"/>
        <v>0.1414890581016747</v>
      </c>
      <c r="N5" s="5">
        <v>215076</v>
      </c>
      <c r="O5" s="25">
        <f t="shared" si="1"/>
        <v>0.11933400781903798</v>
      </c>
      <c r="Q5" s="5">
        <v>188764</v>
      </c>
      <c r="R5" s="25">
        <f t="shared" si="2"/>
        <v>0.63243350759079331</v>
      </c>
      <c r="S5" s="5">
        <v>192424</v>
      </c>
      <c r="T5" s="25">
        <f t="shared" si="3"/>
        <v>0.60231157076062836</v>
      </c>
    </row>
    <row r="6" spans="1:25" x14ac:dyDescent="0.3">
      <c r="A6" s="14"/>
      <c r="B6" s="5">
        <v>8</v>
      </c>
      <c r="C6" s="5">
        <v>255</v>
      </c>
      <c r="D6" s="5">
        <v>2040</v>
      </c>
      <c r="E6" s="5">
        <v>4096</v>
      </c>
      <c r="F6" s="5">
        <v>4096</v>
      </c>
      <c r="G6" s="5">
        <v>355286</v>
      </c>
      <c r="I6" s="5">
        <v>477698</v>
      </c>
      <c r="J6" s="5">
        <v>447021</v>
      </c>
      <c r="L6" s="5">
        <v>422081</v>
      </c>
      <c r="M6" s="25">
        <f t="shared" si="0"/>
        <v>0.10446610620098891</v>
      </c>
      <c r="N6" s="5">
        <v>390787</v>
      </c>
      <c r="O6" s="25">
        <f t="shared" si="1"/>
        <v>9.2753472431943915E-2</v>
      </c>
      <c r="Q6" s="5">
        <v>350485</v>
      </c>
      <c r="R6" s="25">
        <f t="shared" si="2"/>
        <v>0.46739153188834787</v>
      </c>
      <c r="S6" s="5">
        <v>341904</v>
      </c>
      <c r="T6" s="25">
        <f t="shared" si="3"/>
        <v>0.52969994698235656</v>
      </c>
    </row>
    <row r="7" spans="1:25" x14ac:dyDescent="0.3">
      <c r="A7" s="14"/>
      <c r="B7" s="5">
        <v>8</v>
      </c>
      <c r="C7" s="5">
        <v>511</v>
      </c>
      <c r="D7" s="5">
        <v>4088</v>
      </c>
      <c r="E7" s="5">
        <v>4096</v>
      </c>
      <c r="F7" s="5">
        <v>4096</v>
      </c>
      <c r="G7" s="5">
        <v>669858</v>
      </c>
      <c r="I7" s="5">
        <v>932231</v>
      </c>
      <c r="J7" s="5">
        <v>891042</v>
      </c>
      <c r="L7" s="5">
        <v>805696</v>
      </c>
      <c r="M7" s="25">
        <f t="shared" si="0"/>
        <v>8.0333093407106176E-2</v>
      </c>
      <c r="N7" s="5">
        <v>798204</v>
      </c>
      <c r="O7" s="25">
        <f t="shared" si="1"/>
        <v>0.11976203141939437</v>
      </c>
      <c r="Q7" s="5">
        <v>653246</v>
      </c>
      <c r="R7" s="25">
        <f t="shared" si="2"/>
        <v>0.40146809106326653</v>
      </c>
      <c r="S7" s="5">
        <v>642353</v>
      </c>
      <c r="T7" s="25">
        <f t="shared" si="3"/>
        <v>0.44180184547978657</v>
      </c>
    </row>
    <row r="8" spans="1:25" x14ac:dyDescent="0.3">
      <c r="A8" s="14"/>
      <c r="B8" s="5">
        <v>8</v>
      </c>
      <c r="C8" s="5">
        <v>1023</v>
      </c>
      <c r="D8" s="5">
        <v>8184</v>
      </c>
      <c r="E8" s="5">
        <v>4096</v>
      </c>
      <c r="F8" s="5">
        <v>4096</v>
      </c>
      <c r="G8" s="5">
        <v>1299003</v>
      </c>
      <c r="I8" s="5">
        <v>1927675</v>
      </c>
      <c r="J8" s="5">
        <v>1905317</v>
      </c>
      <c r="L8" s="5">
        <v>1665430</v>
      </c>
      <c r="M8" s="25">
        <f t="shared" si="0"/>
        <v>7.9947345895962751E-2</v>
      </c>
      <c r="N8" s="5">
        <v>1630457</v>
      </c>
      <c r="O8" s="25">
        <f t="shared" si="1"/>
        <v>6.9675676016117002E-2</v>
      </c>
      <c r="Q8" s="5">
        <v>1307970</v>
      </c>
      <c r="R8" s="25">
        <f t="shared" si="2"/>
        <v>0.35704410753887456</v>
      </c>
      <c r="S8" s="5">
        <v>1301019</v>
      </c>
      <c r="T8" s="25">
        <f t="shared" si="3"/>
        <v>0.36567195904933403</v>
      </c>
    </row>
    <row r="9" spans="1:25" x14ac:dyDescent="0.3">
      <c r="A9" s="14"/>
      <c r="B9" s="5">
        <v>16</v>
      </c>
      <c r="C9" s="5">
        <v>255</v>
      </c>
      <c r="D9" s="5">
        <v>4080</v>
      </c>
      <c r="E9" s="5">
        <v>4096</v>
      </c>
      <c r="F9" s="5">
        <v>4096</v>
      </c>
      <c r="G9" s="5">
        <v>668630</v>
      </c>
      <c r="I9" s="5">
        <v>922402</v>
      </c>
      <c r="J9" s="5">
        <v>895919</v>
      </c>
      <c r="L9" s="5">
        <v>811300</v>
      </c>
      <c r="M9" s="25">
        <f t="shared" si="0"/>
        <v>9.9439290027558483E-2</v>
      </c>
      <c r="N9" s="5">
        <v>791267</v>
      </c>
      <c r="O9" s="25">
        <f t="shared" si="1"/>
        <v>0.10398791631832788</v>
      </c>
      <c r="Q9" s="5">
        <v>655715</v>
      </c>
      <c r="R9" s="25">
        <f t="shared" si="2"/>
        <v>0.42175537347056924</v>
      </c>
      <c r="S9" s="5">
        <v>649182</v>
      </c>
      <c r="T9" s="25">
        <f t="shared" si="3"/>
        <v>0.44919797437045089</v>
      </c>
    </row>
    <row r="10" spans="1:25" x14ac:dyDescent="0.3">
      <c r="A10" s="14"/>
      <c r="B10" s="5">
        <v>16</v>
      </c>
      <c r="C10" s="5">
        <v>511</v>
      </c>
      <c r="D10" s="5">
        <v>8176</v>
      </c>
      <c r="E10" s="5">
        <v>4096</v>
      </c>
      <c r="F10" s="5">
        <v>4096</v>
      </c>
      <c r="G10" s="5">
        <v>1297775</v>
      </c>
      <c r="I10" s="5">
        <v>1921940</v>
      </c>
      <c r="J10" s="5">
        <v>1902474</v>
      </c>
      <c r="L10" s="5">
        <v>1675880</v>
      </c>
      <c r="M10" s="25">
        <f t="shared" si="0"/>
        <v>8.9966388128661659E-2</v>
      </c>
      <c r="N10" s="5">
        <v>1649230</v>
      </c>
      <c r="O10" s="25">
        <f t="shared" si="1"/>
        <v>8.3608764167079283E-2</v>
      </c>
      <c r="Q10" s="5">
        <v>1309710</v>
      </c>
      <c r="R10" s="25">
        <f t="shared" si="2"/>
        <v>0.36290414893284911</v>
      </c>
      <c r="S10" s="5">
        <v>1304444</v>
      </c>
      <c r="T10" s="25">
        <f t="shared" si="3"/>
        <v>0.37131335303399676</v>
      </c>
    </row>
    <row r="11" spans="1:25" x14ac:dyDescent="0.3">
      <c r="A11" s="14"/>
      <c r="B11" s="5">
        <v>16</v>
      </c>
      <c r="C11" s="5">
        <v>1023</v>
      </c>
      <c r="D11" s="5">
        <v>16368</v>
      </c>
      <c r="E11" s="5">
        <v>4096</v>
      </c>
      <c r="F11" s="5">
        <v>4096</v>
      </c>
      <c r="G11" s="5">
        <v>2556066</v>
      </c>
      <c r="I11" s="5">
        <v>3833706</v>
      </c>
      <c r="J11" s="5">
        <v>3785589</v>
      </c>
      <c r="L11" s="5">
        <v>3319908</v>
      </c>
      <c r="M11" s="25">
        <f t="shared" si="0"/>
        <v>8.2473460406197033E-2</v>
      </c>
      <c r="N11" s="5">
        <v>3290115</v>
      </c>
      <c r="O11" s="25">
        <f t="shared" si="1"/>
        <v>8.6394679929596166E-2</v>
      </c>
      <c r="Q11" s="5">
        <v>2586892</v>
      </c>
      <c r="R11" s="25">
        <f t="shared" si="2"/>
        <v>0.34955158272439252</v>
      </c>
      <c r="S11" s="5">
        <v>2579038</v>
      </c>
      <c r="T11" s="25">
        <f t="shared" si="3"/>
        <v>0.36255573439166272</v>
      </c>
    </row>
    <row r="12" spans="1:25" x14ac:dyDescent="0.3">
      <c r="A12" s="14"/>
      <c r="B12" s="5">
        <v>32</v>
      </c>
      <c r="C12" s="5">
        <v>255</v>
      </c>
      <c r="D12" s="5">
        <v>8160</v>
      </c>
      <c r="E12" s="5">
        <v>4096</v>
      </c>
      <c r="F12" s="5">
        <v>4096</v>
      </c>
      <c r="G12" s="5">
        <v>1295318</v>
      </c>
      <c r="I12" s="5">
        <v>1830074</v>
      </c>
      <c r="J12" s="5">
        <v>1786220</v>
      </c>
      <c r="L12" s="5">
        <v>1580095</v>
      </c>
      <c r="M12" s="25">
        <f t="shared" si="0"/>
        <v>7.9256221333126417E-2</v>
      </c>
      <c r="N12" s="5">
        <v>1578560</v>
      </c>
      <c r="O12" s="25">
        <f t="shared" si="1"/>
        <v>0.1046791548633427</v>
      </c>
      <c r="Q12" s="5">
        <v>1269655</v>
      </c>
      <c r="R12" s="25">
        <f t="shared" si="2"/>
        <v>0.38754498451975167</v>
      </c>
      <c r="S12" s="5">
        <v>1263205</v>
      </c>
      <c r="T12" s="25">
        <f t="shared" si="3"/>
        <v>0.41438904502244966</v>
      </c>
    </row>
    <row r="13" spans="1:25" x14ac:dyDescent="0.3">
      <c r="A13" s="14"/>
      <c r="B13" s="5">
        <v>32</v>
      </c>
      <c r="C13" s="5">
        <v>511</v>
      </c>
      <c r="D13" s="5">
        <v>16352</v>
      </c>
      <c r="E13" s="5">
        <v>4096</v>
      </c>
      <c r="F13" s="5">
        <v>4096</v>
      </c>
      <c r="G13" s="5">
        <v>2553609</v>
      </c>
      <c r="I13" s="5">
        <v>3838100</v>
      </c>
      <c r="J13" s="5">
        <v>3782598</v>
      </c>
      <c r="L13" s="5">
        <v>3301785</v>
      </c>
      <c r="M13" s="25">
        <f t="shared" si="0"/>
        <v>7.5331869935645238E-2</v>
      </c>
      <c r="N13" s="5">
        <v>3299663</v>
      </c>
      <c r="O13" s="25">
        <f t="shared" si="1"/>
        <v>9.0408959662115831E-2</v>
      </c>
      <c r="Q13" s="5">
        <v>2579295</v>
      </c>
      <c r="R13" s="25">
        <f t="shared" si="2"/>
        <v>0.34404783616893775</v>
      </c>
      <c r="S13" s="5">
        <v>2573330</v>
      </c>
      <c r="T13" s="25">
        <f t="shared" si="3"/>
        <v>0.36061511162433862</v>
      </c>
    </row>
    <row r="14" spans="1:25" x14ac:dyDescent="0.3">
      <c r="A14" s="14"/>
      <c r="B14" s="5">
        <v>32</v>
      </c>
      <c r="C14" s="5">
        <v>1023</v>
      </c>
      <c r="D14" s="5">
        <v>32736</v>
      </c>
      <c r="E14" s="5">
        <v>4096</v>
      </c>
      <c r="F14" s="5">
        <v>4096</v>
      </c>
      <c r="G14" s="5">
        <v>5070191</v>
      </c>
      <c r="I14" s="5">
        <v>7584855</v>
      </c>
      <c r="J14" s="5">
        <v>7527895</v>
      </c>
      <c r="L14" s="5">
        <v>6467293</v>
      </c>
      <c r="M14" s="25">
        <f t="shared" si="0"/>
        <v>6.5823440263525143E-2</v>
      </c>
      <c r="N14" s="5">
        <v>6454452</v>
      </c>
      <c r="O14" s="25">
        <f t="shared" si="1"/>
        <v>7.1755782991128336E-2</v>
      </c>
      <c r="Q14" s="5">
        <v>5126395</v>
      </c>
      <c r="R14" s="25">
        <f t="shared" si="2"/>
        <v>0.35174502347111447</v>
      </c>
      <c r="S14" s="5">
        <v>5121853</v>
      </c>
      <c r="T14" s="25">
        <f t="shared" si="3"/>
        <v>0.3607663231222008</v>
      </c>
    </row>
    <row r="15" spans="1:25" x14ac:dyDescent="0.3">
      <c r="A15" s="14"/>
      <c r="B15" s="5">
        <v>64</v>
      </c>
      <c r="C15" s="5">
        <v>255</v>
      </c>
      <c r="D15" s="5">
        <v>16320</v>
      </c>
      <c r="E15" s="5">
        <v>4096</v>
      </c>
      <c r="F15" s="5">
        <v>4096</v>
      </c>
      <c r="G15" s="5">
        <v>2548694</v>
      </c>
      <c r="I15" s="5">
        <v>3657617</v>
      </c>
      <c r="J15" s="5">
        <v>3524476</v>
      </c>
      <c r="L15" s="5">
        <v>3110782</v>
      </c>
      <c r="M15" s="25">
        <f t="shared" si="0"/>
        <v>6.3117734853047766E-2</v>
      </c>
      <c r="N15" s="5">
        <v>3105055</v>
      </c>
      <c r="O15" s="25">
        <f t="shared" si="1"/>
        <v>0.10124703643889191</v>
      </c>
      <c r="Q15" s="5">
        <v>2499478</v>
      </c>
      <c r="R15" s="25">
        <f t="shared" si="2"/>
        <v>0.36672483751032436</v>
      </c>
      <c r="S15" s="5">
        <v>2491028</v>
      </c>
      <c r="T15" s="25">
        <f t="shared" si="3"/>
        <v>0.41355934896421481</v>
      </c>
    </row>
    <row r="16" spans="1:25" x14ac:dyDescent="0.3">
      <c r="A16" s="14"/>
      <c r="B16" s="5">
        <v>64</v>
      </c>
      <c r="C16" s="5">
        <v>511</v>
      </c>
      <c r="D16" s="5">
        <v>32704</v>
      </c>
      <c r="E16" s="5">
        <v>4096</v>
      </c>
      <c r="F16" s="5">
        <v>4096</v>
      </c>
      <c r="G16" s="5">
        <v>5065276</v>
      </c>
      <c r="I16" s="5">
        <v>7539558</v>
      </c>
      <c r="J16" s="5">
        <v>7504442</v>
      </c>
      <c r="L16" s="5">
        <v>6514001</v>
      </c>
      <c r="M16" s="25">
        <f t="shared" si="0"/>
        <v>7.9970636209708845E-2</v>
      </c>
      <c r="N16" s="5">
        <v>6485549</v>
      </c>
      <c r="O16" s="25">
        <f t="shared" si="1"/>
        <v>8.028501652754462E-2</v>
      </c>
      <c r="Q16" s="5">
        <v>5123392</v>
      </c>
      <c r="R16" s="25">
        <f t="shared" si="2"/>
        <v>0.35906959002105959</v>
      </c>
      <c r="S16" s="5">
        <v>5127700</v>
      </c>
      <c r="T16" s="25">
        <f t="shared" si="3"/>
        <v>0.36657728849126958</v>
      </c>
      <c r="V16" s="5" t="s">
        <v>33</v>
      </c>
    </row>
    <row r="17" spans="1:25" x14ac:dyDescent="0.3">
      <c r="A17" s="14"/>
      <c r="B17" s="5">
        <v>64</v>
      </c>
      <c r="C17" s="5">
        <v>1023</v>
      </c>
      <c r="D17" s="5">
        <v>65472</v>
      </c>
      <c r="E17" s="5">
        <v>4096</v>
      </c>
      <c r="F17" s="5">
        <v>4096</v>
      </c>
      <c r="G17" s="5">
        <v>10098440</v>
      </c>
      <c r="I17" s="5">
        <v>14832182</v>
      </c>
      <c r="J17" s="5">
        <v>14835092</v>
      </c>
      <c r="L17" s="5">
        <v>12910609</v>
      </c>
      <c r="M17" s="25">
        <f t="shared" si="0"/>
        <v>8.8057121332518709E-2</v>
      </c>
      <c r="N17" s="5">
        <v>12866910</v>
      </c>
      <c r="O17" s="25">
        <f t="shared" si="1"/>
        <v>8.4161628387609599E-2</v>
      </c>
      <c r="Q17" s="5">
        <v>10154777</v>
      </c>
      <c r="R17" s="25">
        <f t="shared" si="2"/>
        <v>0.36928969722728588</v>
      </c>
      <c r="S17" s="5">
        <v>10168918</v>
      </c>
      <c r="T17" s="25">
        <f t="shared" si="3"/>
        <v>0.37092752778344751</v>
      </c>
    </row>
    <row r="18" spans="1:25" x14ac:dyDescent="0.3">
      <c r="A18" s="14"/>
      <c r="B18" s="5">
        <v>128</v>
      </c>
      <c r="C18" s="5">
        <v>255</v>
      </c>
      <c r="D18" s="5">
        <v>32640</v>
      </c>
      <c r="E18" s="5">
        <v>4096</v>
      </c>
      <c r="F18" s="5">
        <v>4096</v>
      </c>
      <c r="G18" s="5">
        <v>5055446</v>
      </c>
      <c r="I18" s="5">
        <v>7275128</v>
      </c>
      <c r="J18" s="5">
        <v>7230303</v>
      </c>
      <c r="L18" s="5">
        <v>6156448</v>
      </c>
      <c r="M18" s="25">
        <f t="shared" si="0"/>
        <v>5.7790323414240959E-2</v>
      </c>
      <c r="N18" s="5">
        <v>6164628</v>
      </c>
      <c r="O18" s="25">
        <f t="shared" si="1"/>
        <v>6.5762389211074551E-2</v>
      </c>
      <c r="Q18" s="5">
        <v>4942873</v>
      </c>
      <c r="R18" s="25">
        <f t="shared" si="2"/>
        <v>0.35884152141378128</v>
      </c>
      <c r="S18" s="5">
        <v>4954168</v>
      </c>
      <c r="T18" s="25">
        <f t="shared" si="3"/>
        <v>0.3703901482413669</v>
      </c>
    </row>
    <row r="19" spans="1:25" x14ac:dyDescent="0.3">
      <c r="A19" s="14"/>
      <c r="B19" s="5">
        <v>128</v>
      </c>
      <c r="C19" s="5">
        <v>511</v>
      </c>
      <c r="D19" s="5">
        <v>65408</v>
      </c>
      <c r="E19" s="5">
        <v>4096</v>
      </c>
      <c r="F19" s="5">
        <v>4096</v>
      </c>
      <c r="G19" s="5">
        <v>10088610</v>
      </c>
      <c r="I19" s="5">
        <v>14891100</v>
      </c>
      <c r="J19" s="5">
        <v>14860403</v>
      </c>
      <c r="L19" s="5">
        <v>12895694</v>
      </c>
      <c r="M19" s="25">
        <f t="shared" si="0"/>
        <v>8.2500117519860861E-2</v>
      </c>
      <c r="N19" s="5">
        <v>12883499</v>
      </c>
      <c r="O19" s="25">
        <f t="shared" si="1"/>
        <v>8.3710431675372468E-2</v>
      </c>
      <c r="Q19" s="5">
        <v>10130713</v>
      </c>
      <c r="R19" s="25">
        <f t="shared" si="2"/>
        <v>0.36063997958512134</v>
      </c>
      <c r="S19" s="5">
        <v>10178862</v>
      </c>
      <c r="T19" s="25">
        <f t="shared" si="3"/>
        <v>0.36993081546980927</v>
      </c>
    </row>
    <row r="20" spans="1:25" x14ac:dyDescent="0.3">
      <c r="A20" s="14"/>
      <c r="B20" s="5">
        <v>128</v>
      </c>
      <c r="C20" s="5">
        <v>1023</v>
      </c>
      <c r="D20" s="5">
        <v>130944</v>
      </c>
      <c r="E20" s="5">
        <v>4096</v>
      </c>
      <c r="F20" s="5">
        <v>4096</v>
      </c>
      <c r="G20" s="5">
        <v>20154939</v>
      </c>
      <c r="I20" s="5">
        <v>29693929</v>
      </c>
      <c r="J20" s="5">
        <v>29691009</v>
      </c>
      <c r="L20" s="5">
        <v>25830061</v>
      </c>
      <c r="M20" s="25">
        <f t="shared" si="0"/>
        <v>8.7346044708330781E-2</v>
      </c>
      <c r="N20" s="5">
        <v>25829438</v>
      </c>
      <c r="O20" s="25">
        <f t="shared" si="1"/>
        <v>8.7426752657681656E-2</v>
      </c>
      <c r="Q20" s="5">
        <v>20167091</v>
      </c>
      <c r="R20" s="25">
        <f t="shared" si="2"/>
        <v>0.35833092346923845</v>
      </c>
      <c r="S20" s="5">
        <v>20176207</v>
      </c>
      <c r="T20" s="25">
        <f t="shared" si="3"/>
        <v>0.35907856819550998</v>
      </c>
    </row>
    <row r="21" spans="1:25" x14ac:dyDescent="0.3">
      <c r="A21" s="14"/>
      <c r="B21" s="5">
        <v>1</v>
      </c>
      <c r="C21" s="5">
        <v>255</v>
      </c>
      <c r="D21" s="5">
        <v>255</v>
      </c>
      <c r="E21" s="5">
        <v>11008</v>
      </c>
      <c r="F21" s="5">
        <v>4096</v>
      </c>
      <c r="G21" s="5">
        <v>234628</v>
      </c>
      <c r="I21" s="5">
        <v>287492</v>
      </c>
      <c r="J21" s="5">
        <v>318394</v>
      </c>
      <c r="L21" s="5">
        <v>243066</v>
      </c>
      <c r="M21" s="25">
        <f t="shared" si="0"/>
        <v>5.683810332113589E-2</v>
      </c>
      <c r="N21" s="5">
        <v>276912</v>
      </c>
      <c r="O21" s="25">
        <f t="shared" si="1"/>
        <v>8.7143601952298103E-2</v>
      </c>
      <c r="Q21" s="5">
        <v>197026</v>
      </c>
      <c r="R21" s="25">
        <f t="shared" si="2"/>
        <v>0.37065379210551946</v>
      </c>
      <c r="S21" s="5">
        <v>215378</v>
      </c>
      <c r="T21" s="25">
        <f t="shared" si="3"/>
        <v>0.35290237881367109</v>
      </c>
      <c r="V21" s="5">
        <v>258220</v>
      </c>
      <c r="W21" s="10">
        <f>(V21-I21)/I21</f>
        <v>-0.10181848538394112</v>
      </c>
      <c r="X21" s="5">
        <v>293079</v>
      </c>
      <c r="Y21" s="10">
        <f>(X21-J21)/J21</f>
        <v>-7.9508407821755431E-2</v>
      </c>
    </row>
    <row r="22" spans="1:25" x14ac:dyDescent="0.3">
      <c r="A22" s="14"/>
      <c r="B22" s="5">
        <v>1</v>
      </c>
      <c r="C22" s="5">
        <v>511</v>
      </c>
      <c r="D22" s="5">
        <v>511</v>
      </c>
      <c r="E22" s="5">
        <v>11008</v>
      </c>
      <c r="F22" s="5">
        <v>4096</v>
      </c>
      <c r="G22" s="5">
        <v>343854</v>
      </c>
      <c r="I22" s="5">
        <v>367012</v>
      </c>
      <c r="J22" s="5">
        <v>385900</v>
      </c>
      <c r="L22" s="5">
        <v>307034</v>
      </c>
      <c r="M22" s="25">
        <f t="shared" si="0"/>
        <v>4.5721938247250772E-2</v>
      </c>
      <c r="N22" s="5">
        <v>322621</v>
      </c>
      <c r="O22" s="25">
        <f t="shared" si="1"/>
        <v>4.5027856957761077E-2</v>
      </c>
      <c r="Q22" s="5">
        <v>276816</v>
      </c>
      <c r="R22" s="25">
        <f t="shared" si="2"/>
        <v>0.50848473619391188</v>
      </c>
      <c r="S22" s="5">
        <v>283227</v>
      </c>
      <c r="T22" s="25">
        <f t="shared" si="3"/>
        <v>0.46787768852034206</v>
      </c>
      <c r="V22" s="5">
        <v>344484</v>
      </c>
      <c r="W22" s="10">
        <f t="shared" ref="W22:W38" si="4">(V22-I22)/I22</f>
        <v>-6.1382189138229813E-2</v>
      </c>
      <c r="X22" s="5">
        <v>367291</v>
      </c>
      <c r="Y22" s="10">
        <f t="shared" ref="Y22:Y38" si="5">(X22-J22)/J22</f>
        <v>-4.8222337393107023E-2</v>
      </c>
    </row>
    <row r="23" spans="1:25" x14ac:dyDescent="0.3">
      <c r="A23" s="14"/>
      <c r="B23" s="5">
        <v>1</v>
      </c>
      <c r="C23" s="5">
        <v>1023</v>
      </c>
      <c r="D23" s="5">
        <v>1023</v>
      </c>
      <c r="E23" s="5">
        <v>11008</v>
      </c>
      <c r="F23" s="5">
        <v>4096</v>
      </c>
      <c r="G23" s="5">
        <v>562307</v>
      </c>
      <c r="I23" s="5">
        <v>599856</v>
      </c>
      <c r="J23" s="5">
        <v>601475</v>
      </c>
      <c r="L23" s="5">
        <v>550112</v>
      </c>
      <c r="M23" s="25">
        <f t="shared" si="0"/>
        <v>0.14634178869595368</v>
      </c>
      <c r="N23" s="5">
        <v>550379</v>
      </c>
      <c r="O23" s="25">
        <f t="shared" si="1"/>
        <v>0.14381104784072488</v>
      </c>
      <c r="Q23" s="5">
        <v>506750</v>
      </c>
      <c r="R23" s="25">
        <f t="shared" si="2"/>
        <v>0.68957216398602328</v>
      </c>
      <c r="S23" s="5">
        <v>511020</v>
      </c>
      <c r="T23" s="25">
        <f t="shared" si="3"/>
        <v>0.69922274408745166</v>
      </c>
      <c r="V23" s="5">
        <v>582744</v>
      </c>
      <c r="W23" s="10">
        <f t="shared" si="4"/>
        <v>-2.8526846443146354E-2</v>
      </c>
      <c r="X23" s="5">
        <v>580325</v>
      </c>
      <c r="Y23" s="10">
        <f t="shared" si="5"/>
        <v>-3.5163556257533563E-2</v>
      </c>
    </row>
    <row r="24" spans="1:25" x14ac:dyDescent="0.3">
      <c r="A24" s="14"/>
      <c r="B24" s="5">
        <v>8</v>
      </c>
      <c r="C24" s="5">
        <v>255</v>
      </c>
      <c r="D24" s="5">
        <v>2040</v>
      </c>
      <c r="E24" s="5">
        <v>11008</v>
      </c>
      <c r="F24" s="5">
        <v>4096</v>
      </c>
      <c r="G24" s="5">
        <v>996228</v>
      </c>
      <c r="I24" s="5">
        <v>1155069</v>
      </c>
      <c r="J24" s="5">
        <v>1141094</v>
      </c>
      <c r="L24" s="5">
        <v>1047781</v>
      </c>
      <c r="M24" s="25">
        <f t="shared" si="0"/>
        <v>0.13389438206721849</v>
      </c>
      <c r="N24" s="5">
        <v>1041107</v>
      </c>
      <c r="O24" s="25">
        <f t="shared" si="1"/>
        <v>0.14047024171540645</v>
      </c>
      <c r="Q24" s="5">
        <v>952846</v>
      </c>
      <c r="R24" s="25">
        <f t="shared" si="2"/>
        <v>0.6498512210093077</v>
      </c>
      <c r="S24" s="5">
        <v>954310</v>
      </c>
      <c r="T24" s="25">
        <f t="shared" si="3"/>
        <v>0.67262293903920278</v>
      </c>
      <c r="V24" s="5">
        <v>1091658</v>
      </c>
      <c r="W24" s="10">
        <f t="shared" si="4"/>
        <v>-5.4898019079379676E-2</v>
      </c>
      <c r="X24" s="5">
        <v>1077425</v>
      </c>
      <c r="Y24" s="10">
        <f t="shared" si="5"/>
        <v>-5.5796454980921818E-2</v>
      </c>
    </row>
    <row r="25" spans="1:25" x14ac:dyDescent="0.3">
      <c r="A25" s="14"/>
      <c r="B25" s="5">
        <v>8</v>
      </c>
      <c r="C25" s="5">
        <v>511</v>
      </c>
      <c r="D25" s="5">
        <v>4088</v>
      </c>
      <c r="E25" s="5">
        <v>11008</v>
      </c>
      <c r="F25" s="5">
        <v>4096</v>
      </c>
      <c r="G25" s="5">
        <v>1995869</v>
      </c>
      <c r="I25" s="5">
        <v>2422446</v>
      </c>
      <c r="J25" s="5">
        <v>2404887</v>
      </c>
      <c r="L25" s="5">
        <v>2158932</v>
      </c>
      <c r="M25" s="25">
        <f t="shared" si="0"/>
        <v>0.11402483275168981</v>
      </c>
      <c r="N25" s="5">
        <v>2159121</v>
      </c>
      <c r="O25" s="25">
        <f t="shared" si="1"/>
        <v>0.12225699170064955</v>
      </c>
      <c r="Q25" s="5">
        <v>1893510</v>
      </c>
      <c r="R25" s="25">
        <f t="shared" si="2"/>
        <v>0.56330419749294725</v>
      </c>
      <c r="S25" s="5">
        <v>1890390</v>
      </c>
      <c r="T25" s="25">
        <f t="shared" si="3"/>
        <v>0.57212376298761647</v>
      </c>
      <c r="V25" s="5">
        <v>2298412</v>
      </c>
      <c r="W25" s="10">
        <f t="shared" si="4"/>
        <v>-5.12019669375499E-2</v>
      </c>
      <c r="X25" s="5">
        <v>2307582</v>
      </c>
      <c r="Y25" s="10">
        <f t="shared" si="5"/>
        <v>-4.0461360554570752E-2</v>
      </c>
    </row>
    <row r="26" spans="1:25" x14ac:dyDescent="0.3">
      <c r="A26" s="14"/>
      <c r="B26" s="5">
        <v>8</v>
      </c>
      <c r="C26" s="5">
        <v>1023</v>
      </c>
      <c r="D26" s="5">
        <v>8184</v>
      </c>
      <c r="E26" s="5">
        <v>11008</v>
      </c>
      <c r="F26" s="5">
        <v>4096</v>
      </c>
      <c r="G26" s="5">
        <v>3995155</v>
      </c>
      <c r="I26" s="5">
        <v>4945491</v>
      </c>
      <c r="J26" s="5">
        <v>4979161</v>
      </c>
      <c r="L26" s="5">
        <v>4399625</v>
      </c>
      <c r="M26" s="25">
        <f t="shared" si="0"/>
        <v>0.11202937180554974</v>
      </c>
      <c r="N26" s="5">
        <v>4374238</v>
      </c>
      <c r="O26" s="25">
        <f t="shared" si="1"/>
        <v>9.8136312523334754E-2</v>
      </c>
      <c r="Q26" s="5">
        <v>3797350</v>
      </c>
      <c r="R26" s="25">
        <f t="shared" si="2"/>
        <v>0.53568169469927251</v>
      </c>
      <c r="S26" s="5">
        <v>3787309</v>
      </c>
      <c r="T26" s="25">
        <f t="shared" si="3"/>
        <v>0.52126392378153674</v>
      </c>
      <c r="V26" s="5">
        <v>4772574</v>
      </c>
      <c r="W26" s="10">
        <f t="shared" si="4"/>
        <v>-3.4964576823615694E-2</v>
      </c>
      <c r="X26" s="5">
        <v>4745004</v>
      </c>
      <c r="Y26" s="10">
        <f t="shared" si="5"/>
        <v>-4.7027400801058654E-2</v>
      </c>
    </row>
    <row r="27" spans="1:25" x14ac:dyDescent="0.3">
      <c r="A27" s="14"/>
      <c r="B27" s="5">
        <v>16</v>
      </c>
      <c r="C27" s="5">
        <v>255</v>
      </c>
      <c r="D27" s="5">
        <v>4080</v>
      </c>
      <c r="E27" s="5">
        <v>11008</v>
      </c>
      <c r="F27" s="5">
        <v>4096</v>
      </c>
      <c r="G27" s="5">
        <v>1992457</v>
      </c>
      <c r="I27" s="5">
        <v>2427730</v>
      </c>
      <c r="J27" s="5">
        <v>2415839</v>
      </c>
      <c r="L27" s="5">
        <v>2161973</v>
      </c>
      <c r="M27" s="25">
        <f t="shared" si="0"/>
        <v>0.11316589983235369</v>
      </c>
      <c r="N27" s="5">
        <v>2148730</v>
      </c>
      <c r="O27" s="25">
        <f t="shared" si="1"/>
        <v>0.11179283884397925</v>
      </c>
      <c r="Q27" s="5">
        <v>1894120</v>
      </c>
      <c r="R27" s="25">
        <f t="shared" si="2"/>
        <v>0.56040416356019818</v>
      </c>
      <c r="S27" s="5">
        <v>1892204</v>
      </c>
      <c r="T27" s="25">
        <f t="shared" si="3"/>
        <v>0.5664984297380744</v>
      </c>
      <c r="V27" s="5">
        <v>2298108</v>
      </c>
      <c r="W27" s="10">
        <f t="shared" si="4"/>
        <v>-5.3392263554843417E-2</v>
      </c>
      <c r="X27" s="5">
        <v>2297819</v>
      </c>
      <c r="Y27" s="10">
        <f t="shared" si="5"/>
        <v>-4.885259323986408E-2</v>
      </c>
    </row>
    <row r="28" spans="1:25" x14ac:dyDescent="0.3">
      <c r="A28" s="14"/>
      <c r="B28" s="5">
        <v>16</v>
      </c>
      <c r="C28" s="5">
        <v>511</v>
      </c>
      <c r="D28" s="5">
        <v>8176</v>
      </c>
      <c r="E28" s="5">
        <v>11008</v>
      </c>
      <c r="F28" s="5">
        <v>4096</v>
      </c>
      <c r="G28" s="5">
        <v>3991742</v>
      </c>
      <c r="I28" s="5">
        <v>4939175</v>
      </c>
      <c r="J28" s="5">
        <v>4944043</v>
      </c>
      <c r="L28" s="5">
        <v>4402093</v>
      </c>
      <c r="M28" s="25">
        <f t="shared" si="0"/>
        <v>0.11407598434961304</v>
      </c>
      <c r="N28" s="5">
        <v>4366597</v>
      </c>
      <c r="O28" s="25">
        <f t="shared" si="1"/>
        <v>0.10400460716057688</v>
      </c>
      <c r="Q28" s="5">
        <v>3791342</v>
      </c>
      <c r="R28" s="25">
        <f t="shared" si="2"/>
        <v>0.53521266203363926</v>
      </c>
      <c r="S28" s="5">
        <v>3791973</v>
      </c>
      <c r="T28" s="25">
        <f t="shared" si="3"/>
        <v>0.53395631874560967</v>
      </c>
      <c r="V28" s="5">
        <v>4793973</v>
      </c>
      <c r="W28" s="10">
        <f t="shared" si="4"/>
        <v>-2.9398026998435974E-2</v>
      </c>
      <c r="X28" s="5">
        <v>4753399</v>
      </c>
      <c r="Y28" s="10">
        <f t="shared" si="5"/>
        <v>-3.8560344236488235E-2</v>
      </c>
    </row>
    <row r="29" spans="1:25" x14ac:dyDescent="0.3">
      <c r="A29" s="14"/>
      <c r="B29" s="5">
        <v>16</v>
      </c>
      <c r="C29" s="5">
        <v>1023</v>
      </c>
      <c r="D29" s="5">
        <v>16368</v>
      </c>
      <c r="E29" s="5">
        <v>11008</v>
      </c>
      <c r="F29" s="5">
        <v>4096</v>
      </c>
      <c r="G29" s="5">
        <v>7990311</v>
      </c>
      <c r="I29" s="5">
        <v>10060683</v>
      </c>
      <c r="J29" s="5">
        <v>9957025</v>
      </c>
      <c r="L29" s="5">
        <v>8754971</v>
      </c>
      <c r="M29" s="25">
        <f t="shared" si="0"/>
        <v>8.7770457532555191E-2</v>
      </c>
      <c r="N29" s="5">
        <v>8760854</v>
      </c>
      <c r="O29" s="25">
        <f t="shared" si="1"/>
        <v>9.9833283535995937E-2</v>
      </c>
      <c r="Q29" s="5">
        <v>7545689</v>
      </c>
      <c r="R29" s="25">
        <f t="shared" si="2"/>
        <v>0.50003513677948108</v>
      </c>
      <c r="S29" s="5">
        <v>7564328</v>
      </c>
      <c r="T29" s="25">
        <f t="shared" si="3"/>
        <v>0.51939520087576363</v>
      </c>
      <c r="V29" s="5">
        <v>9612954</v>
      </c>
      <c r="W29" s="10">
        <f t="shared" si="4"/>
        <v>-4.4502843395423548E-2</v>
      </c>
      <c r="X29" s="5">
        <v>9554141</v>
      </c>
      <c r="Y29" s="10">
        <f t="shared" si="5"/>
        <v>-4.0462286676994384E-2</v>
      </c>
    </row>
    <row r="30" spans="1:25" x14ac:dyDescent="0.3">
      <c r="A30" s="14"/>
      <c r="B30" s="5">
        <v>32</v>
      </c>
      <c r="C30" s="5">
        <v>255</v>
      </c>
      <c r="D30" s="5">
        <v>8160</v>
      </c>
      <c r="E30" s="5">
        <v>11008</v>
      </c>
      <c r="F30" s="5">
        <v>4096</v>
      </c>
      <c r="G30" s="5">
        <v>3984916</v>
      </c>
      <c r="I30" s="5">
        <v>4871122</v>
      </c>
      <c r="J30" s="5">
        <v>4868978</v>
      </c>
      <c r="L30" s="5">
        <v>4363429</v>
      </c>
      <c r="M30" s="25">
        <f t="shared" si="0"/>
        <v>0.11971867056501562</v>
      </c>
      <c r="N30" s="5">
        <v>4327199</v>
      </c>
      <c r="O30" s="25">
        <f t="shared" si="1"/>
        <v>0.11091049292069095</v>
      </c>
      <c r="Q30" s="5">
        <v>3770049</v>
      </c>
      <c r="R30" s="25">
        <f t="shared" si="2"/>
        <v>0.54791811824873204</v>
      </c>
      <c r="S30" s="5">
        <v>3763311</v>
      </c>
      <c r="T30" s="25">
        <f t="shared" si="3"/>
        <v>0.54583200006243615</v>
      </c>
      <c r="V30" s="5">
        <v>4723462</v>
      </c>
      <c r="W30" s="10">
        <f t="shared" si="4"/>
        <v>-3.0313344646264249E-2</v>
      </c>
      <c r="X30" s="5">
        <v>4723256</v>
      </c>
      <c r="Y30" s="10">
        <f t="shared" si="5"/>
        <v>-2.9928662647479613E-2</v>
      </c>
    </row>
    <row r="31" spans="1:25" x14ac:dyDescent="0.3">
      <c r="A31" s="14"/>
      <c r="B31" s="5">
        <v>32</v>
      </c>
      <c r="C31" s="5">
        <v>511</v>
      </c>
      <c r="D31" s="5">
        <v>16352</v>
      </c>
      <c r="E31" s="5">
        <v>11008</v>
      </c>
      <c r="F31" s="5">
        <v>4096</v>
      </c>
      <c r="G31" s="5">
        <v>7983485</v>
      </c>
      <c r="I31" s="5">
        <v>10047486</v>
      </c>
      <c r="J31" s="5">
        <v>9960191</v>
      </c>
      <c r="L31" s="5">
        <v>8806105</v>
      </c>
      <c r="M31" s="25">
        <f t="shared" si="0"/>
        <v>9.5560745245128975E-2</v>
      </c>
      <c r="N31" s="5">
        <v>8756955</v>
      </c>
      <c r="O31" s="25">
        <f t="shared" si="1"/>
        <v>9.8994361654309637E-2</v>
      </c>
      <c r="Q31" s="5">
        <v>7551964</v>
      </c>
      <c r="R31" s="25">
        <f t="shared" si="2"/>
        <v>0.50325444593801871</v>
      </c>
      <c r="S31" s="5">
        <v>7557437</v>
      </c>
      <c r="T31" s="25">
        <f t="shared" si="3"/>
        <v>0.51752852932237947</v>
      </c>
      <c r="V31" s="5">
        <v>9583009</v>
      </c>
      <c r="W31" s="10">
        <f t="shared" si="4"/>
        <v>-4.6228180860366466E-2</v>
      </c>
      <c r="X31" s="5">
        <v>9612575</v>
      </c>
      <c r="Y31" s="10">
        <f t="shared" si="5"/>
        <v>-3.4900535541938907E-2</v>
      </c>
    </row>
    <row r="32" spans="1:25" x14ac:dyDescent="0.3">
      <c r="A32" s="14"/>
      <c r="B32" s="5">
        <v>32</v>
      </c>
      <c r="C32" s="5">
        <v>1023</v>
      </c>
      <c r="D32" s="5">
        <v>32736</v>
      </c>
      <c r="E32" s="5">
        <v>11008</v>
      </c>
      <c r="F32" s="5">
        <v>4096</v>
      </c>
      <c r="G32" s="5">
        <v>15980624</v>
      </c>
      <c r="I32" s="5">
        <v>19988023</v>
      </c>
      <c r="J32" s="5">
        <v>19864206</v>
      </c>
      <c r="L32" s="5">
        <v>17537971</v>
      </c>
      <c r="M32" s="25">
        <f t="shared" si="0"/>
        <v>9.677999419952639E-2</v>
      </c>
      <c r="N32" s="5">
        <v>17540434</v>
      </c>
      <c r="O32" s="25">
        <f t="shared" si="1"/>
        <v>0.10377140168602762</v>
      </c>
      <c r="Q32" s="5">
        <v>15035909</v>
      </c>
      <c r="R32" s="25">
        <f t="shared" si="2"/>
        <v>0.50449186495332732</v>
      </c>
      <c r="S32" s="5">
        <v>15034808</v>
      </c>
      <c r="T32" s="25">
        <f t="shared" si="3"/>
        <v>0.51375876790645447</v>
      </c>
      <c r="V32" s="5">
        <v>19241337</v>
      </c>
      <c r="W32" s="10">
        <f t="shared" si="4"/>
        <v>-3.7356671042453771E-2</v>
      </c>
      <c r="X32" s="5">
        <v>19172468</v>
      </c>
      <c r="Y32" s="10">
        <f t="shared" si="5"/>
        <v>-3.4823340031814011E-2</v>
      </c>
    </row>
    <row r="33" spans="1:25" x14ac:dyDescent="0.3">
      <c r="A33" s="14"/>
      <c r="B33" s="5">
        <v>64</v>
      </c>
      <c r="C33" s="5">
        <v>255</v>
      </c>
      <c r="D33" s="5">
        <v>16320</v>
      </c>
      <c r="E33" s="5">
        <v>11008</v>
      </c>
      <c r="F33" s="5">
        <v>4096</v>
      </c>
      <c r="G33" s="5">
        <v>7969832</v>
      </c>
      <c r="I33" s="5">
        <v>9805242</v>
      </c>
      <c r="J33" s="5">
        <v>9775740</v>
      </c>
      <c r="L33" s="5">
        <v>8736157</v>
      </c>
      <c r="M33" s="25">
        <f t="shared" si="0"/>
        <v>0.11371001857985759</v>
      </c>
      <c r="N33" s="5">
        <v>8783143</v>
      </c>
      <c r="O33" s="25">
        <f t="shared" si="1"/>
        <v>0.12307904567838343</v>
      </c>
      <c r="Q33" s="5">
        <v>7500450</v>
      </c>
      <c r="R33" s="25">
        <f t="shared" si="2"/>
        <v>0.52988574886779949</v>
      </c>
      <c r="S33" s="5">
        <v>7510216</v>
      </c>
      <c r="T33" s="25">
        <f t="shared" si="3"/>
        <v>0.53650076618240661</v>
      </c>
      <c r="V33" s="5">
        <v>9640912</v>
      </c>
      <c r="W33" s="10">
        <f t="shared" si="4"/>
        <v>-1.6759402776596436E-2</v>
      </c>
      <c r="X33" s="5">
        <v>9599385</v>
      </c>
      <c r="Y33" s="10">
        <f t="shared" si="5"/>
        <v>-1.8040066532047701E-2</v>
      </c>
    </row>
    <row r="34" spans="1:25" x14ac:dyDescent="0.3">
      <c r="A34" s="14"/>
      <c r="B34" s="5">
        <v>64</v>
      </c>
      <c r="C34" s="5">
        <v>511</v>
      </c>
      <c r="D34" s="5">
        <v>32704</v>
      </c>
      <c r="E34" s="5">
        <v>11008</v>
      </c>
      <c r="F34" s="5">
        <v>4096</v>
      </c>
      <c r="G34" s="5">
        <v>15966971</v>
      </c>
      <c r="I34" s="5">
        <v>20000090</v>
      </c>
      <c r="J34" s="5">
        <v>19874472</v>
      </c>
      <c r="L34" s="5">
        <v>17575747</v>
      </c>
      <c r="M34" s="25">
        <f t="shared" si="0"/>
        <v>9.8479244343400454E-2</v>
      </c>
      <c r="N34" s="5">
        <v>17497256</v>
      </c>
      <c r="O34" s="25">
        <f t="shared" si="1"/>
        <v>0.1004855877429096</v>
      </c>
      <c r="Q34" s="5">
        <v>15045209</v>
      </c>
      <c r="R34" s="25">
        <f t="shared" si="2"/>
        <v>0.5045141296864164</v>
      </c>
      <c r="S34" s="5">
        <v>15054583</v>
      </c>
      <c r="T34" s="25">
        <f t="shared" si="3"/>
        <v>0.51496683786115172</v>
      </c>
      <c r="V34" s="5">
        <v>19234487</v>
      </c>
      <c r="W34" s="10">
        <f t="shared" si="4"/>
        <v>-3.8279977740100168E-2</v>
      </c>
      <c r="X34" s="5">
        <v>19225219</v>
      </c>
      <c r="Y34" s="10">
        <f t="shared" si="5"/>
        <v>-3.2667685461027593E-2</v>
      </c>
    </row>
    <row r="35" spans="1:25" x14ac:dyDescent="0.3">
      <c r="A35" s="14"/>
      <c r="B35" s="5">
        <v>64</v>
      </c>
      <c r="C35" s="5">
        <v>1023</v>
      </c>
      <c r="D35" s="5">
        <v>65472</v>
      </c>
      <c r="E35" s="5">
        <v>11008</v>
      </c>
      <c r="F35" s="5">
        <v>4096</v>
      </c>
      <c r="G35" s="5">
        <v>31961250</v>
      </c>
      <c r="I35" s="5">
        <v>39763616</v>
      </c>
      <c r="J35" s="5">
        <v>39751484</v>
      </c>
      <c r="L35" s="5">
        <v>34986183</v>
      </c>
      <c r="M35" s="25">
        <f t="shared" si="0"/>
        <v>9.9817701438420489E-2</v>
      </c>
      <c r="N35" s="5">
        <v>34930486</v>
      </c>
      <c r="O35" s="25">
        <f t="shared" si="1"/>
        <v>9.8401948968747932E-2</v>
      </c>
      <c r="Q35" s="5">
        <v>29905581</v>
      </c>
      <c r="R35" s="25">
        <f t="shared" si="2"/>
        <v>0.50416808169558824</v>
      </c>
      <c r="S35" s="5">
        <v>29925635</v>
      </c>
      <c r="T35" s="25">
        <f t="shared" si="3"/>
        <v>0.50563611662900432</v>
      </c>
      <c r="V35" s="5">
        <v>38424820</v>
      </c>
      <c r="W35" s="10">
        <f t="shared" si="4"/>
        <v>-3.3668869551501557E-2</v>
      </c>
      <c r="X35" s="5">
        <v>38429507</v>
      </c>
      <c r="Y35" s="10">
        <f t="shared" si="5"/>
        <v>-3.325604145998675E-2</v>
      </c>
    </row>
    <row r="36" spans="1:25" x14ac:dyDescent="0.3">
      <c r="A36" s="14"/>
      <c r="B36" s="5">
        <v>128</v>
      </c>
      <c r="C36" s="5">
        <v>255</v>
      </c>
      <c r="D36" s="5">
        <v>32640</v>
      </c>
      <c r="E36" s="5">
        <v>11008</v>
      </c>
      <c r="F36" s="5">
        <v>4096</v>
      </c>
      <c r="G36" s="5">
        <v>15939665</v>
      </c>
      <c r="I36" s="5">
        <v>19749243</v>
      </c>
      <c r="J36" s="5">
        <v>19783311</v>
      </c>
      <c r="L36" s="5">
        <v>17487644</v>
      </c>
      <c r="M36" s="25">
        <f t="shared" si="0"/>
        <v>0.10685533617668282</v>
      </c>
      <c r="N36" s="5">
        <v>17539317</v>
      </c>
      <c r="O36" s="25">
        <f t="shared" si="1"/>
        <v>0.10821420388124112</v>
      </c>
      <c r="Q36" s="5">
        <v>14961548</v>
      </c>
      <c r="R36" s="25">
        <f t="shared" si="2"/>
        <v>0.51515154277052544</v>
      </c>
      <c r="S36" s="5">
        <v>14977079</v>
      </c>
      <c r="T36" s="25">
        <f t="shared" si="3"/>
        <v>0.51411247591467368</v>
      </c>
      <c r="V36" s="5">
        <v>19310988</v>
      </c>
      <c r="W36" s="10">
        <f t="shared" si="4"/>
        <v>-2.2190977142769474E-2</v>
      </c>
      <c r="X36" s="5">
        <v>19383807</v>
      </c>
      <c r="Y36" s="10">
        <f t="shared" si="5"/>
        <v>-2.019399078344368E-2</v>
      </c>
    </row>
    <row r="37" spans="1:25" x14ac:dyDescent="0.3">
      <c r="A37" s="14"/>
      <c r="B37" s="5">
        <v>128</v>
      </c>
      <c r="C37" s="5">
        <v>511</v>
      </c>
      <c r="D37" s="5">
        <v>65408</v>
      </c>
      <c r="E37" s="5">
        <v>11008</v>
      </c>
      <c r="F37" s="5">
        <v>4096</v>
      </c>
      <c r="G37" s="5">
        <v>31933943</v>
      </c>
      <c r="I37" s="5">
        <v>39634236</v>
      </c>
      <c r="J37" s="5">
        <v>39597394</v>
      </c>
      <c r="L37" s="5">
        <v>34918115</v>
      </c>
      <c r="M37" s="25">
        <f t="shared" si="0"/>
        <v>0.10126113570096318</v>
      </c>
      <c r="N37" s="5">
        <v>34892670</v>
      </c>
      <c r="O37" s="25">
        <f t="shared" si="1"/>
        <v>0.10148252432975766</v>
      </c>
      <c r="Q37" s="5">
        <v>29925697</v>
      </c>
      <c r="R37" s="25">
        <f t="shared" si="2"/>
        <v>0.51009329409049287</v>
      </c>
      <c r="S37" s="5">
        <v>29926440</v>
      </c>
      <c r="T37" s="25">
        <f t="shared" si="3"/>
        <v>0.51153583490873167</v>
      </c>
      <c r="V37" s="5">
        <v>38459950</v>
      </c>
      <c r="W37" s="10">
        <f t="shared" si="4"/>
        <v>-2.9628072053665928E-2</v>
      </c>
      <c r="X37" s="5">
        <v>38215124</v>
      </c>
      <c r="Y37" s="10">
        <f t="shared" si="5"/>
        <v>-3.4908105316223591E-2</v>
      </c>
    </row>
    <row r="38" spans="1:25" x14ac:dyDescent="0.3">
      <c r="A38" s="14"/>
      <c r="B38" s="5">
        <v>128</v>
      </c>
      <c r="C38" s="5">
        <v>1023</v>
      </c>
      <c r="D38" s="5">
        <v>130944</v>
      </c>
      <c r="E38" s="5">
        <v>11008</v>
      </c>
      <c r="F38" s="5">
        <v>4096</v>
      </c>
      <c r="G38" s="5">
        <v>63922502</v>
      </c>
      <c r="I38" s="5">
        <v>79792129</v>
      </c>
      <c r="J38" s="5">
        <v>79566678</v>
      </c>
      <c r="L38" s="5">
        <v>70076254</v>
      </c>
      <c r="M38" s="25">
        <f t="shared" si="0"/>
        <v>9.7793962860672642E-2</v>
      </c>
      <c r="N38" s="5">
        <v>70096350</v>
      </c>
      <c r="O38" s="25">
        <f t="shared" si="1"/>
        <v>0.10122025579602557</v>
      </c>
      <c r="Q38" s="5">
        <v>59824146</v>
      </c>
      <c r="R38" s="25">
        <f t="shared" si="2"/>
        <v>0.49949993187924591</v>
      </c>
      <c r="S38" s="5">
        <v>59794997</v>
      </c>
      <c r="T38" s="25">
        <f t="shared" si="3"/>
        <v>0.50301604900483587</v>
      </c>
      <c r="V38" s="5">
        <v>77141373</v>
      </c>
      <c r="W38" s="10">
        <f t="shared" si="4"/>
        <v>-3.3220770434637732E-2</v>
      </c>
      <c r="X38" s="5">
        <v>76801464</v>
      </c>
      <c r="Y38" s="10">
        <f t="shared" si="5"/>
        <v>-3.4753417756111418E-2</v>
      </c>
    </row>
    <row r="39" spans="1:25" x14ac:dyDescent="0.3">
      <c r="A39" s="6"/>
      <c r="M39" s="25"/>
      <c r="O39" s="25"/>
      <c r="R39" s="25"/>
      <c r="T39" s="25"/>
      <c r="Y39" s="10"/>
    </row>
    <row r="40" spans="1:25" x14ac:dyDescent="0.3">
      <c r="A40" s="6"/>
      <c r="M40" s="25"/>
      <c r="O40" s="25"/>
      <c r="R40" s="25"/>
      <c r="T40" s="25"/>
    </row>
    <row r="41" spans="1:25" x14ac:dyDescent="0.3">
      <c r="A41" s="14" t="s">
        <v>8</v>
      </c>
      <c r="B41" s="4">
        <v>1</v>
      </c>
      <c r="C41" s="4">
        <v>255</v>
      </c>
      <c r="D41" s="4">
        <v>255</v>
      </c>
      <c r="E41" s="4">
        <v>2560</v>
      </c>
      <c r="F41" s="4">
        <v>5120</v>
      </c>
      <c r="G41" s="4">
        <v>92684</v>
      </c>
      <c r="I41" s="5">
        <v>92727</v>
      </c>
      <c r="J41" s="5">
        <v>131639</v>
      </c>
      <c r="L41" s="5">
        <v>87036</v>
      </c>
      <c r="M41" s="25">
        <f t="shared" si="0"/>
        <v>0.17328286259665471</v>
      </c>
      <c r="N41" s="5">
        <v>119869</v>
      </c>
      <c r="O41" s="25">
        <f t="shared" si="1"/>
        <v>0.13823600908545339</v>
      </c>
      <c r="Q41" s="5">
        <v>81902</v>
      </c>
      <c r="R41" s="25">
        <f t="shared" si="2"/>
        <v>0.76651892113408182</v>
      </c>
      <c r="S41" s="5">
        <v>98665</v>
      </c>
      <c r="T41" s="25">
        <f t="shared" si="3"/>
        <v>0.49902384551690609</v>
      </c>
    </row>
    <row r="42" spans="1:25" x14ac:dyDescent="0.3">
      <c r="A42" s="14"/>
      <c r="B42" s="5">
        <v>1</v>
      </c>
      <c r="C42" s="5">
        <v>511</v>
      </c>
      <c r="D42" s="5">
        <v>511</v>
      </c>
      <c r="E42" s="5">
        <v>2560</v>
      </c>
      <c r="F42" s="5">
        <v>5120</v>
      </c>
      <c r="G42" s="5">
        <v>133097</v>
      </c>
      <c r="I42" s="5">
        <v>132317</v>
      </c>
      <c r="J42" s="5">
        <v>164802</v>
      </c>
      <c r="L42" s="5">
        <v>125067</v>
      </c>
      <c r="M42" s="25">
        <f t="shared" si="0"/>
        <v>0.18150917871475319</v>
      </c>
      <c r="N42" s="5">
        <v>144749</v>
      </c>
      <c r="O42" s="25">
        <f t="shared" si="1"/>
        <v>9.7900814310505943E-2</v>
      </c>
      <c r="Q42" s="5">
        <v>117524</v>
      </c>
      <c r="R42" s="25">
        <f t="shared" si="2"/>
        <v>0.7764006136777587</v>
      </c>
      <c r="S42" s="5">
        <v>131956</v>
      </c>
      <c r="T42" s="25">
        <f t="shared" si="3"/>
        <v>0.60138833266586567</v>
      </c>
    </row>
    <row r="43" spans="1:25" x14ac:dyDescent="0.3">
      <c r="A43" s="14"/>
      <c r="B43" s="5">
        <v>1</v>
      </c>
      <c r="C43" s="5">
        <v>1023</v>
      </c>
      <c r="D43" s="5">
        <v>1023</v>
      </c>
      <c r="E43" s="5">
        <v>2560</v>
      </c>
      <c r="F43" s="5">
        <v>5120</v>
      </c>
      <c r="G43" s="5">
        <v>213925</v>
      </c>
      <c r="I43" s="5">
        <v>219714</v>
      </c>
      <c r="J43" s="5">
        <v>236007</v>
      </c>
      <c r="L43" s="5">
        <v>211819</v>
      </c>
      <c r="M43" s="25">
        <f t="shared" si="0"/>
        <v>0.20508365420501198</v>
      </c>
      <c r="N43" s="5">
        <v>222708</v>
      </c>
      <c r="O43" s="25">
        <f t="shared" si="1"/>
        <v>0.17956247060468544</v>
      </c>
      <c r="Q43" s="5">
        <v>205174</v>
      </c>
      <c r="R43" s="25">
        <f t="shared" si="2"/>
        <v>0.86764612177649125</v>
      </c>
      <c r="S43" s="5">
        <v>213199</v>
      </c>
      <c r="T43" s="25">
        <f t="shared" si="3"/>
        <v>0.80671759735940041</v>
      </c>
    </row>
    <row r="44" spans="1:25" x14ac:dyDescent="0.3">
      <c r="A44" s="14"/>
      <c r="B44" s="5">
        <v>8</v>
      </c>
      <c r="C44" s="5">
        <v>255</v>
      </c>
      <c r="D44" s="5">
        <v>2040</v>
      </c>
      <c r="E44" s="5">
        <v>2560</v>
      </c>
      <c r="F44" s="5">
        <v>5120</v>
      </c>
      <c r="G44" s="5">
        <v>414732</v>
      </c>
      <c r="I44" s="5">
        <v>401239</v>
      </c>
      <c r="J44" s="5">
        <v>397159</v>
      </c>
      <c r="L44" s="5">
        <v>382974</v>
      </c>
      <c r="M44" s="25">
        <f t="shared" si="0"/>
        <v>0.1930981285468262</v>
      </c>
      <c r="N44" s="5">
        <v>381748</v>
      </c>
      <c r="O44" s="25">
        <f t="shared" si="1"/>
        <v>0.20149612623659541</v>
      </c>
      <c r="Q44" s="5">
        <v>364249</v>
      </c>
      <c r="R44" s="25">
        <f t="shared" si="2"/>
        <v>0.81562111360062206</v>
      </c>
      <c r="S44" s="5">
        <v>363786</v>
      </c>
      <c r="T44" s="25">
        <f t="shared" si="3"/>
        <v>0.83194136353450376</v>
      </c>
    </row>
    <row r="45" spans="1:25" x14ac:dyDescent="0.3">
      <c r="A45" s="14"/>
      <c r="B45" s="5">
        <v>8</v>
      </c>
      <c r="C45" s="5">
        <v>511</v>
      </c>
      <c r="D45" s="5">
        <v>4088</v>
      </c>
      <c r="E45" s="5">
        <v>2560</v>
      </c>
      <c r="F45" s="5">
        <v>5120</v>
      </c>
      <c r="G45" s="5">
        <v>778456</v>
      </c>
      <c r="I45" s="5">
        <v>774993</v>
      </c>
      <c r="J45" s="5">
        <v>744555</v>
      </c>
      <c r="L45" s="5">
        <v>712825</v>
      </c>
      <c r="M45" s="25">
        <f t="shared" si="0"/>
        <v>0.14972812657662715</v>
      </c>
      <c r="N45" s="5">
        <v>705111</v>
      </c>
      <c r="O45" s="25">
        <f t="shared" si="1"/>
        <v>0.18377923726252593</v>
      </c>
      <c r="Q45" s="5">
        <v>671361</v>
      </c>
      <c r="R45" s="25">
        <f t="shared" si="2"/>
        <v>0.73256016505955535</v>
      </c>
      <c r="S45" s="5">
        <v>672980</v>
      </c>
      <c r="T45" s="25">
        <f t="shared" si="3"/>
        <v>0.80773750763879093</v>
      </c>
    </row>
    <row r="46" spans="1:25" x14ac:dyDescent="0.3">
      <c r="A46" s="14"/>
      <c r="B46" s="5">
        <v>8</v>
      </c>
      <c r="C46" s="5">
        <v>1023</v>
      </c>
      <c r="D46" s="5">
        <v>8184</v>
      </c>
      <c r="E46" s="5">
        <v>2560</v>
      </c>
      <c r="F46" s="5">
        <v>5120</v>
      </c>
      <c r="G46" s="5">
        <v>1505906</v>
      </c>
      <c r="I46" s="5">
        <v>1632214</v>
      </c>
      <c r="J46" s="5">
        <v>1651174</v>
      </c>
      <c r="L46" s="5">
        <v>1473999</v>
      </c>
      <c r="M46" s="25">
        <f t="shared" si="0"/>
        <v>0.12883405607352957</v>
      </c>
      <c r="N46" s="5">
        <v>1465705</v>
      </c>
      <c r="O46" s="25">
        <f t="shared" si="1"/>
        <v>0.10959308346667281</v>
      </c>
      <c r="Q46" s="5">
        <v>1306851</v>
      </c>
      <c r="R46" s="25">
        <f t="shared" si="2"/>
        <v>0.60132311081757661</v>
      </c>
      <c r="S46" s="5">
        <v>1309730</v>
      </c>
      <c r="T46" s="25">
        <f t="shared" si="3"/>
        <v>0.58642275132723742</v>
      </c>
    </row>
    <row r="47" spans="1:25" x14ac:dyDescent="0.3">
      <c r="A47" s="14"/>
      <c r="B47" s="5">
        <v>16</v>
      </c>
      <c r="C47" s="5">
        <v>255</v>
      </c>
      <c r="D47" s="5">
        <v>4080</v>
      </c>
      <c r="E47" s="5">
        <v>2560</v>
      </c>
      <c r="F47" s="5">
        <v>5120</v>
      </c>
      <c r="G47" s="5">
        <v>696524</v>
      </c>
      <c r="I47" s="5">
        <v>759314</v>
      </c>
      <c r="J47" s="5">
        <v>748086</v>
      </c>
      <c r="L47" s="5">
        <v>715831</v>
      </c>
      <c r="M47" s="25">
        <f t="shared" si="0"/>
        <v>0.17841729508477389</v>
      </c>
      <c r="N47" s="5">
        <v>710592</v>
      </c>
      <c r="O47" s="25">
        <f t="shared" si="1"/>
        <v>0.18735011749985964</v>
      </c>
      <c r="Q47" s="5">
        <v>673495</v>
      </c>
      <c r="R47" s="25">
        <f t="shared" si="2"/>
        <v>0.77395649230753016</v>
      </c>
      <c r="S47" s="5">
        <v>674698</v>
      </c>
      <c r="T47" s="25">
        <f t="shared" si="3"/>
        <v>0.80379795905818319</v>
      </c>
    </row>
    <row r="48" spans="1:25" x14ac:dyDescent="0.3">
      <c r="A48" s="14"/>
      <c r="B48" s="5">
        <v>16</v>
      </c>
      <c r="C48" s="5">
        <v>511</v>
      </c>
      <c r="D48" s="5">
        <v>8176</v>
      </c>
      <c r="E48" s="5">
        <v>2560</v>
      </c>
      <c r="F48" s="5">
        <v>5120</v>
      </c>
      <c r="G48" s="5">
        <v>1343145</v>
      </c>
      <c r="I48" s="5">
        <v>1646080</v>
      </c>
      <c r="J48" s="5">
        <v>1651117</v>
      </c>
      <c r="L48" s="5">
        <v>1482497</v>
      </c>
      <c r="M48" s="25">
        <f t="shared" si="0"/>
        <v>0.12577836435653189</v>
      </c>
      <c r="N48" s="5">
        <v>1460262</v>
      </c>
      <c r="O48" s="25">
        <f t="shared" si="1"/>
        <v>0.10551069366980051</v>
      </c>
      <c r="Q48" s="5">
        <v>1309454</v>
      </c>
      <c r="R48" s="25">
        <f t="shared" si="2"/>
        <v>0.59099679237947123</v>
      </c>
      <c r="S48" s="5">
        <v>1310337</v>
      </c>
      <c r="T48" s="25">
        <f t="shared" si="3"/>
        <v>0.58721277777407654</v>
      </c>
    </row>
    <row r="49" spans="1:20" x14ac:dyDescent="0.3">
      <c r="A49" s="14"/>
      <c r="B49" s="5">
        <v>16</v>
      </c>
      <c r="C49" s="5">
        <v>1023</v>
      </c>
      <c r="D49" s="5">
        <v>16368</v>
      </c>
      <c r="E49" s="5">
        <v>2560</v>
      </c>
      <c r="F49" s="5">
        <v>5120</v>
      </c>
      <c r="G49" s="5">
        <v>2636389</v>
      </c>
      <c r="I49" s="5">
        <v>3165616</v>
      </c>
      <c r="J49" s="5">
        <v>3172195</v>
      </c>
      <c r="L49" s="5">
        <v>2836106</v>
      </c>
      <c r="M49" s="25">
        <f t="shared" si="0"/>
        <v>0.11988709306498324</v>
      </c>
      <c r="N49" s="5">
        <v>2846779</v>
      </c>
      <c r="O49" s="25">
        <f t="shared" si="1"/>
        <v>0.121770178062824</v>
      </c>
      <c r="Q49" s="5">
        <v>2570072</v>
      </c>
      <c r="R49" s="25">
        <f t="shared" si="2"/>
        <v>0.62374210896078364</v>
      </c>
      <c r="S49" s="5">
        <v>2565192</v>
      </c>
      <c r="T49" s="25">
        <f t="shared" si="3"/>
        <v>0.61729780167990933</v>
      </c>
    </row>
    <row r="50" spans="1:20" x14ac:dyDescent="0.3">
      <c r="A50" s="14"/>
      <c r="B50" s="5">
        <v>32</v>
      </c>
      <c r="C50" s="5">
        <v>255</v>
      </c>
      <c r="D50" s="5">
        <v>8160</v>
      </c>
      <c r="E50" s="5">
        <v>2560</v>
      </c>
      <c r="F50" s="5">
        <v>5120</v>
      </c>
      <c r="G50" s="5">
        <v>1340620</v>
      </c>
      <c r="I50" s="5">
        <v>1446445</v>
      </c>
      <c r="J50" s="5">
        <v>1424500</v>
      </c>
      <c r="L50" s="5">
        <v>1361624</v>
      </c>
      <c r="M50" s="25">
        <f t="shared" si="0"/>
        <v>0.17669873379215939</v>
      </c>
      <c r="N50" s="5">
        <v>1370319</v>
      </c>
      <c r="O50" s="25">
        <f t="shared" si="1"/>
        <v>0.20245612495612494</v>
      </c>
      <c r="Q50" s="5">
        <v>1295566</v>
      </c>
      <c r="R50" s="25">
        <f t="shared" si="2"/>
        <v>0.79137955470135402</v>
      </c>
      <c r="S50" s="5">
        <v>1292752</v>
      </c>
      <c r="T50" s="25">
        <f t="shared" si="3"/>
        <v>0.81502562302562298</v>
      </c>
    </row>
    <row r="51" spans="1:20" x14ac:dyDescent="0.3">
      <c r="A51" s="14"/>
      <c r="B51" s="5">
        <v>32</v>
      </c>
      <c r="C51" s="5">
        <v>511</v>
      </c>
      <c r="D51" s="5">
        <v>16352</v>
      </c>
      <c r="E51" s="5">
        <v>2560</v>
      </c>
      <c r="F51" s="5">
        <v>5120</v>
      </c>
      <c r="G51" s="5">
        <v>2633863</v>
      </c>
      <c r="I51" s="5">
        <v>3171315</v>
      </c>
      <c r="J51" s="5">
        <v>3181289</v>
      </c>
      <c r="L51" s="5">
        <v>2843517</v>
      </c>
      <c r="M51" s="25">
        <f t="shared" si="0"/>
        <v>0.12079571092748592</v>
      </c>
      <c r="N51" s="5">
        <v>2831763</v>
      </c>
      <c r="O51" s="25">
        <f t="shared" si="1"/>
        <v>0.11266337324273275</v>
      </c>
      <c r="Q51" s="5">
        <v>2566871</v>
      </c>
      <c r="R51" s="25">
        <f t="shared" si="2"/>
        <v>0.618805448213123</v>
      </c>
      <c r="S51" s="5">
        <v>2569213</v>
      </c>
      <c r="T51" s="25">
        <f t="shared" si="3"/>
        <v>0.61520251696717898</v>
      </c>
    </row>
    <row r="52" spans="1:20" x14ac:dyDescent="0.3">
      <c r="A52" s="14"/>
      <c r="B52" s="5">
        <v>32</v>
      </c>
      <c r="C52" s="5">
        <v>1023</v>
      </c>
      <c r="D52" s="5">
        <v>32736</v>
      </c>
      <c r="E52" s="5">
        <v>2560</v>
      </c>
      <c r="F52" s="5">
        <v>5120</v>
      </c>
      <c r="G52" s="5">
        <v>5220351</v>
      </c>
      <c r="I52" s="5">
        <v>6246332</v>
      </c>
      <c r="J52" s="5">
        <v>6176324</v>
      </c>
      <c r="L52" s="5">
        <v>5593952</v>
      </c>
      <c r="M52" s="25">
        <f t="shared" si="0"/>
        <v>0.11944738127912509</v>
      </c>
      <c r="N52" s="5">
        <v>5594077</v>
      </c>
      <c r="O52" s="25">
        <f t="shared" si="1"/>
        <v>0.13216150091866943</v>
      </c>
      <c r="Q52" s="5">
        <v>5068834</v>
      </c>
      <c r="R52" s="25">
        <f t="shared" si="2"/>
        <v>0.62297937413509241</v>
      </c>
      <c r="S52" s="5">
        <v>5109738</v>
      </c>
      <c r="T52" s="25">
        <f t="shared" si="3"/>
        <v>0.65462109824549364</v>
      </c>
    </row>
    <row r="53" spans="1:20" x14ac:dyDescent="0.3">
      <c r="A53" s="14"/>
      <c r="B53" s="5">
        <v>64</v>
      </c>
      <c r="C53" s="5">
        <v>255</v>
      </c>
      <c r="D53" s="5">
        <v>16320</v>
      </c>
      <c r="E53" s="5">
        <v>2560</v>
      </c>
      <c r="F53" s="5">
        <v>5120</v>
      </c>
      <c r="G53" s="5">
        <v>2628812</v>
      </c>
      <c r="I53" s="5">
        <v>2799799</v>
      </c>
      <c r="J53" s="5">
        <v>2808632</v>
      </c>
      <c r="L53" s="5">
        <v>2659525</v>
      </c>
      <c r="M53" s="25">
        <f t="shared" si="0"/>
        <v>0.18737318286062679</v>
      </c>
      <c r="N53" s="5">
        <v>2649670</v>
      </c>
      <c r="O53" s="25">
        <f t="shared" si="1"/>
        <v>0.17925292455544195</v>
      </c>
      <c r="Q53" s="5">
        <v>2534128</v>
      </c>
      <c r="R53" s="25">
        <f t="shared" si="2"/>
        <v>0.81022137660596349</v>
      </c>
      <c r="S53" s="5">
        <v>2538117</v>
      </c>
      <c r="T53" s="25">
        <f t="shared" si="3"/>
        <v>0.8073688543034474</v>
      </c>
    </row>
    <row r="54" spans="1:20" x14ac:dyDescent="0.3">
      <c r="A54" s="14"/>
      <c r="B54" s="5">
        <v>64</v>
      </c>
      <c r="C54" s="5">
        <v>511</v>
      </c>
      <c r="D54" s="5">
        <v>32704</v>
      </c>
      <c r="E54" s="5">
        <v>2560</v>
      </c>
      <c r="F54" s="5">
        <v>5120</v>
      </c>
      <c r="G54" s="5">
        <v>5215299</v>
      </c>
      <c r="I54" s="5">
        <v>6249720</v>
      </c>
      <c r="J54" s="5">
        <v>6144897</v>
      </c>
      <c r="L54" s="5">
        <v>5608465</v>
      </c>
      <c r="M54" s="25">
        <f t="shared" si="0"/>
        <v>0.12174325409778358</v>
      </c>
      <c r="N54" s="5">
        <v>5562181</v>
      </c>
      <c r="O54" s="25">
        <f t="shared" si="1"/>
        <v>0.13146343217795189</v>
      </c>
      <c r="Q54" s="5">
        <v>5069708</v>
      </c>
      <c r="R54" s="25">
        <f t="shared" si="2"/>
        <v>0.62237924259006805</v>
      </c>
      <c r="S54" s="5">
        <v>5104003</v>
      </c>
      <c r="T54" s="25">
        <f t="shared" si="3"/>
        <v>0.66121677873526608</v>
      </c>
    </row>
    <row r="55" spans="1:20" x14ac:dyDescent="0.3">
      <c r="A55" s="14"/>
      <c r="B55" s="5">
        <v>64</v>
      </c>
      <c r="C55" s="5">
        <v>1023</v>
      </c>
      <c r="D55" s="5">
        <v>65472</v>
      </c>
      <c r="E55" s="5">
        <v>2560</v>
      </c>
      <c r="F55" s="5">
        <v>5120</v>
      </c>
      <c r="G55" s="5">
        <v>10388274</v>
      </c>
      <c r="I55" s="5">
        <v>12202089</v>
      </c>
      <c r="J55" s="5">
        <v>12115571</v>
      </c>
      <c r="L55" s="5">
        <v>10966571</v>
      </c>
      <c r="M55" s="25">
        <f t="shared" si="0"/>
        <v>0.12343171320910706</v>
      </c>
      <c r="N55" s="5">
        <v>10989264</v>
      </c>
      <c r="O55" s="25">
        <f t="shared" si="1"/>
        <v>0.13379550992685363</v>
      </c>
      <c r="Q55" s="5">
        <v>10064222</v>
      </c>
      <c r="R55" s="25">
        <f t="shared" si="2"/>
        <v>0.6495900005318761</v>
      </c>
      <c r="S55" s="5">
        <v>10073947</v>
      </c>
      <c r="T55" s="25">
        <f t="shared" si="3"/>
        <v>0.66297519118166204</v>
      </c>
    </row>
    <row r="56" spans="1:20" x14ac:dyDescent="0.3">
      <c r="A56" s="14"/>
      <c r="B56" s="5">
        <v>128</v>
      </c>
      <c r="C56" s="5">
        <v>255</v>
      </c>
      <c r="D56" s="5">
        <v>32640</v>
      </c>
      <c r="E56" s="5">
        <v>2560</v>
      </c>
      <c r="F56" s="5">
        <v>5120</v>
      </c>
      <c r="G56" s="5">
        <v>5205196</v>
      </c>
      <c r="I56" s="5">
        <v>5614701</v>
      </c>
      <c r="J56" s="5">
        <v>5589078</v>
      </c>
      <c r="L56" s="5">
        <v>5254684</v>
      </c>
      <c r="M56" s="25">
        <f t="shared" si="0"/>
        <v>0.16984947194872888</v>
      </c>
      <c r="N56" s="5">
        <v>5326089</v>
      </c>
      <c r="O56" s="25">
        <f t="shared" si="1"/>
        <v>0.19118238285456027</v>
      </c>
      <c r="Q56" s="5">
        <v>5007229</v>
      </c>
      <c r="R56" s="25">
        <f t="shared" si="2"/>
        <v>0.78361376678829375</v>
      </c>
      <c r="S56" s="5">
        <v>5020421</v>
      </c>
      <c r="T56" s="25">
        <f t="shared" si="3"/>
        <v>0.79651133872169977</v>
      </c>
    </row>
    <row r="57" spans="1:20" x14ac:dyDescent="0.3">
      <c r="A57" s="14"/>
      <c r="B57" s="5">
        <v>128</v>
      </c>
      <c r="C57" s="5">
        <v>511</v>
      </c>
      <c r="D57" s="5">
        <v>65408</v>
      </c>
      <c r="E57" s="5">
        <v>2560</v>
      </c>
      <c r="F57" s="5">
        <v>5120</v>
      </c>
      <c r="G57" s="5">
        <v>10378170</v>
      </c>
      <c r="I57" s="5">
        <v>12201753</v>
      </c>
      <c r="J57" s="5">
        <v>12187573</v>
      </c>
      <c r="L57" s="5">
        <v>10990765</v>
      </c>
      <c r="M57" s="25">
        <f t="shared" si="0"/>
        <v>0.12594118648361427</v>
      </c>
      <c r="N57" s="5">
        <v>10968172</v>
      </c>
      <c r="O57" s="25">
        <f t="shared" si="1"/>
        <v>0.12493397988262306</v>
      </c>
      <c r="Q57" s="5">
        <v>10061400</v>
      </c>
      <c r="R57" s="25">
        <f t="shared" si="2"/>
        <v>0.64917286884925474</v>
      </c>
      <c r="S57" s="5">
        <v>10056230</v>
      </c>
      <c r="T57" s="25">
        <f t="shared" si="3"/>
        <v>0.65024324367123787</v>
      </c>
    </row>
    <row r="58" spans="1:20" x14ac:dyDescent="0.3">
      <c r="A58" s="14"/>
      <c r="B58" s="5">
        <v>128</v>
      </c>
      <c r="C58" s="5">
        <v>1023</v>
      </c>
      <c r="D58" s="5">
        <v>130944</v>
      </c>
      <c r="E58" s="5">
        <v>2560</v>
      </c>
      <c r="F58" s="5">
        <v>5120</v>
      </c>
      <c r="G58" s="5">
        <v>20724120</v>
      </c>
      <c r="I58" s="5">
        <v>24387824</v>
      </c>
      <c r="J58" s="5">
        <v>24265309</v>
      </c>
      <c r="L58" s="5">
        <v>21813264</v>
      </c>
      <c r="M58" s="25">
        <f t="shared" si="0"/>
        <v>0.11804070752683798</v>
      </c>
      <c r="N58" s="5">
        <v>21726412</v>
      </c>
      <c r="O58" s="25">
        <f t="shared" si="1"/>
        <v>0.11921158720871843</v>
      </c>
      <c r="Q58" s="5">
        <v>20016631</v>
      </c>
      <c r="R58" s="25">
        <f t="shared" si="2"/>
        <v>0.6415266077039099</v>
      </c>
      <c r="S58" s="5">
        <v>20061371</v>
      </c>
      <c r="T58" s="25">
        <f t="shared" si="3"/>
        <v>0.65350220761664313</v>
      </c>
    </row>
    <row r="59" spans="1:20" x14ac:dyDescent="0.3">
      <c r="A59" s="14"/>
      <c r="B59" s="5">
        <v>1</v>
      </c>
      <c r="C59" s="5">
        <v>255</v>
      </c>
      <c r="D59" s="5">
        <v>255</v>
      </c>
      <c r="E59" s="5">
        <f>13696/2</f>
        <v>6848</v>
      </c>
      <c r="F59" s="5">
        <v>5120</v>
      </c>
      <c r="G59" s="5">
        <v>179929</v>
      </c>
      <c r="I59" s="5">
        <v>188774</v>
      </c>
      <c r="J59" s="5">
        <v>253898</v>
      </c>
      <c r="L59" s="5">
        <v>167994</v>
      </c>
      <c r="M59" s="25">
        <f t="shared" si="0"/>
        <v>0.11240160191551803</v>
      </c>
      <c r="N59" s="5">
        <v>221452</v>
      </c>
      <c r="O59" s="25">
        <f t="shared" si="1"/>
        <v>9.0260655853925592E-2</v>
      </c>
      <c r="Q59" s="5">
        <v>145357</v>
      </c>
      <c r="R59" s="25">
        <f t="shared" si="2"/>
        <v>0.54001080657293909</v>
      </c>
      <c r="S59" s="5">
        <v>176942</v>
      </c>
      <c r="T59" s="25">
        <f t="shared" si="3"/>
        <v>0.39380381097921213</v>
      </c>
    </row>
    <row r="60" spans="1:20" x14ac:dyDescent="0.3">
      <c r="A60" s="14"/>
      <c r="B60" s="5">
        <v>1</v>
      </c>
      <c r="C60" s="5">
        <v>511</v>
      </c>
      <c r="D60" s="5">
        <v>511</v>
      </c>
      <c r="E60" s="5">
        <f t="shared" ref="E60:E76" si="6">13696/2</f>
        <v>6848</v>
      </c>
      <c r="F60" s="5">
        <v>5120</v>
      </c>
      <c r="G60" s="5">
        <v>255295</v>
      </c>
      <c r="I60" s="5">
        <v>255564</v>
      </c>
      <c r="J60" s="5">
        <v>300091</v>
      </c>
      <c r="L60" s="5">
        <v>224040</v>
      </c>
      <c r="M60" s="25">
        <f t="shared" si="0"/>
        <v>9.5811616659623428E-2</v>
      </c>
      <c r="N60" s="5">
        <v>260126</v>
      </c>
      <c r="O60" s="25">
        <f t="shared" si="1"/>
        <v>8.3529662668990409E-2</v>
      </c>
      <c r="Q60" s="5">
        <v>203243</v>
      </c>
      <c r="R60" s="25">
        <f t="shared" si="2"/>
        <v>0.59054483417069692</v>
      </c>
      <c r="S60" s="5">
        <v>213904</v>
      </c>
      <c r="T60" s="25">
        <f t="shared" si="3"/>
        <v>0.42559423641495414</v>
      </c>
    </row>
    <row r="61" spans="1:20" x14ac:dyDescent="0.3">
      <c r="A61" s="14"/>
      <c r="B61" s="5">
        <v>1</v>
      </c>
      <c r="C61" s="5">
        <v>1023</v>
      </c>
      <c r="D61" s="5">
        <v>1023</v>
      </c>
      <c r="E61" s="5">
        <f t="shared" si="6"/>
        <v>6848</v>
      </c>
      <c r="F61" s="5">
        <v>5120</v>
      </c>
      <c r="G61" s="5">
        <v>406028</v>
      </c>
      <c r="I61" s="5">
        <v>418600</v>
      </c>
      <c r="J61" s="5">
        <v>435046</v>
      </c>
      <c r="L61" s="5">
        <v>391110</v>
      </c>
      <c r="M61" s="25">
        <f t="shared" si="0"/>
        <v>0.16791089345437171</v>
      </c>
      <c r="N61" s="5">
        <v>399944</v>
      </c>
      <c r="O61" s="25">
        <f t="shared" si="1"/>
        <v>0.14914284926191712</v>
      </c>
      <c r="Q61" s="5">
        <v>362544</v>
      </c>
      <c r="R61" s="25">
        <f t="shared" si="2"/>
        <v>0.73217391304347823</v>
      </c>
      <c r="S61" s="5">
        <v>369454</v>
      </c>
      <c r="T61" s="25">
        <f t="shared" si="3"/>
        <v>0.69845947325110447</v>
      </c>
    </row>
    <row r="62" spans="1:20" x14ac:dyDescent="0.3">
      <c r="A62" s="14"/>
      <c r="B62" s="5">
        <v>8</v>
      </c>
      <c r="C62" s="5">
        <v>255</v>
      </c>
      <c r="D62" s="5">
        <v>2040</v>
      </c>
      <c r="E62" s="5">
        <f t="shared" si="6"/>
        <v>6848</v>
      </c>
      <c r="F62" s="5">
        <v>5120</v>
      </c>
      <c r="G62" s="5">
        <v>885363</v>
      </c>
      <c r="I62" s="5">
        <v>809236</v>
      </c>
      <c r="J62" s="5">
        <v>795722</v>
      </c>
      <c r="L62" s="5">
        <v>739841</v>
      </c>
      <c r="M62" s="25">
        <f t="shared" si="0"/>
        <v>0.14280784591886669</v>
      </c>
      <c r="N62" s="5">
        <v>728121</v>
      </c>
      <c r="O62" s="25">
        <f t="shared" si="1"/>
        <v>0.14380556274678846</v>
      </c>
      <c r="Q62" s="5">
        <v>664730</v>
      </c>
      <c r="R62" s="25">
        <f t="shared" si="2"/>
        <v>0.64285820205724908</v>
      </c>
      <c r="S62" s="5">
        <v>666787</v>
      </c>
      <c r="T62" s="25">
        <f t="shared" si="3"/>
        <v>0.67592953317867299</v>
      </c>
    </row>
    <row r="63" spans="1:20" x14ac:dyDescent="0.3">
      <c r="A63" s="14"/>
      <c r="B63" s="5">
        <v>8</v>
      </c>
      <c r="C63" s="5">
        <v>511</v>
      </c>
      <c r="D63" s="5">
        <v>4088</v>
      </c>
      <c r="E63" s="5">
        <f t="shared" si="6"/>
        <v>6848</v>
      </c>
      <c r="F63" s="5">
        <v>5120</v>
      </c>
      <c r="G63" s="5">
        <v>1668517</v>
      </c>
      <c r="I63" s="5">
        <v>1735449</v>
      </c>
      <c r="J63" s="5">
        <v>1717031</v>
      </c>
      <c r="L63" s="5">
        <v>1543358</v>
      </c>
      <c r="M63" s="25">
        <f t="shared" si="0"/>
        <v>0.11164171347011638</v>
      </c>
      <c r="N63" s="5">
        <v>1547779</v>
      </c>
      <c r="O63" s="25">
        <f t="shared" si="1"/>
        <v>0.12678440284421189</v>
      </c>
      <c r="Q63" s="5">
        <v>1320700</v>
      </c>
      <c r="R63" s="25">
        <f t="shared" si="2"/>
        <v>0.52202686451748226</v>
      </c>
      <c r="S63" s="5">
        <v>1321158</v>
      </c>
      <c r="T63" s="25">
        <f t="shared" si="3"/>
        <v>0.53888660134849053</v>
      </c>
    </row>
    <row r="64" spans="1:20" x14ac:dyDescent="0.3">
      <c r="A64" s="14"/>
      <c r="B64" s="5">
        <v>8</v>
      </c>
      <c r="C64" s="5">
        <v>1023</v>
      </c>
      <c r="D64" s="5">
        <v>8184</v>
      </c>
      <c r="E64" s="5">
        <f t="shared" si="6"/>
        <v>6848</v>
      </c>
      <c r="F64" s="5">
        <v>5120</v>
      </c>
      <c r="G64" s="5">
        <v>3339685</v>
      </c>
      <c r="I64" s="5">
        <v>3742803</v>
      </c>
      <c r="J64" s="5">
        <v>3670218</v>
      </c>
      <c r="L64" s="5">
        <v>3193678</v>
      </c>
      <c r="M64" s="25">
        <f t="shared" si="0"/>
        <v>6.6606364267635776E-2</v>
      </c>
      <c r="N64" s="5">
        <v>3163410</v>
      </c>
      <c r="O64" s="25">
        <f t="shared" si="1"/>
        <v>7.7391724415279958E-2</v>
      </c>
      <c r="Q64" s="5">
        <v>2671850</v>
      </c>
      <c r="R64" s="25">
        <f t="shared" si="2"/>
        <v>0.42772675986419806</v>
      </c>
      <c r="S64" s="5">
        <v>2676437</v>
      </c>
      <c r="T64" s="25">
        <f t="shared" si="3"/>
        <v>0.45846214039602007</v>
      </c>
    </row>
    <row r="65" spans="1:20" x14ac:dyDescent="0.3">
      <c r="A65" s="14"/>
      <c r="B65" s="5">
        <v>16</v>
      </c>
      <c r="C65" s="5">
        <v>255</v>
      </c>
      <c r="D65" s="5">
        <v>4080</v>
      </c>
      <c r="E65" s="5">
        <f t="shared" si="6"/>
        <v>6848</v>
      </c>
      <c r="F65" s="5">
        <v>5120</v>
      </c>
      <c r="G65" s="5">
        <v>1410867</v>
      </c>
      <c r="I65" s="5">
        <v>1752349</v>
      </c>
      <c r="J65" s="5">
        <v>1720744</v>
      </c>
      <c r="L65" s="5">
        <v>1540717</v>
      </c>
      <c r="M65" s="25">
        <f t="shared" si="0"/>
        <v>9.9036921298211719E-2</v>
      </c>
      <c r="N65" s="5">
        <v>1533296</v>
      </c>
      <c r="O65" s="25">
        <f t="shared" si="1"/>
        <v>0.11383215632307886</v>
      </c>
      <c r="Q65" s="5">
        <v>1313470</v>
      </c>
      <c r="R65" s="25">
        <f t="shared" si="2"/>
        <v>0.4990963558058355</v>
      </c>
      <c r="S65" s="5">
        <v>1324853</v>
      </c>
      <c r="T65" s="25">
        <f t="shared" si="3"/>
        <v>0.53986066492168505</v>
      </c>
    </row>
    <row r="66" spans="1:20" x14ac:dyDescent="0.3">
      <c r="A66" s="14"/>
      <c r="B66" s="5">
        <v>16</v>
      </c>
      <c r="C66" s="5">
        <v>511</v>
      </c>
      <c r="D66" s="5">
        <v>8176</v>
      </c>
      <c r="E66" s="5">
        <f t="shared" si="6"/>
        <v>6848</v>
      </c>
      <c r="F66" s="5">
        <v>5120</v>
      </c>
      <c r="G66" s="5">
        <v>2826444</v>
      </c>
      <c r="I66" s="5">
        <v>3748894</v>
      </c>
      <c r="J66" s="5">
        <v>3721824</v>
      </c>
      <c r="L66" s="5">
        <v>3223201</v>
      </c>
      <c r="M66" s="25">
        <f t="shared" si="0"/>
        <v>7.4717303289983661E-2</v>
      </c>
      <c r="N66" s="5">
        <v>3225734</v>
      </c>
      <c r="O66" s="25">
        <f t="shared" si="1"/>
        <v>8.3384786599258853E-2</v>
      </c>
      <c r="Q66" s="5">
        <v>2655370</v>
      </c>
      <c r="R66" s="25">
        <f t="shared" si="2"/>
        <v>0.41661514035872982</v>
      </c>
      <c r="S66" s="5">
        <v>2670736</v>
      </c>
      <c r="T66" s="25">
        <f t="shared" si="3"/>
        <v>0.43517587075584446</v>
      </c>
    </row>
    <row r="67" spans="1:20" x14ac:dyDescent="0.3">
      <c r="A67" s="14"/>
      <c r="B67" s="5">
        <v>16</v>
      </c>
      <c r="C67" s="5">
        <v>1023</v>
      </c>
      <c r="D67" s="5">
        <v>16368</v>
      </c>
      <c r="E67" s="5">
        <f t="shared" si="6"/>
        <v>6848</v>
      </c>
      <c r="F67" s="5">
        <v>5120</v>
      </c>
      <c r="G67" s="5">
        <v>5657599</v>
      </c>
      <c r="I67" s="5">
        <v>7486295</v>
      </c>
      <c r="J67" s="5">
        <v>7417740</v>
      </c>
      <c r="L67" s="5">
        <v>6445498</v>
      </c>
      <c r="M67" s="25">
        <f t="shared" si="0"/>
        <v>7.6216272535346255E-2</v>
      </c>
      <c r="N67" s="5">
        <v>6499560</v>
      </c>
      <c r="O67" s="25">
        <f t="shared" si="1"/>
        <v>9.5272953756804626E-2</v>
      </c>
      <c r="Q67" s="5">
        <v>5315557</v>
      </c>
      <c r="R67" s="25">
        <f t="shared" si="2"/>
        <v>0.42007682037643451</v>
      </c>
      <c r="S67" s="5">
        <v>5357179</v>
      </c>
      <c r="T67" s="25">
        <f t="shared" si="3"/>
        <v>0.44442350365475197</v>
      </c>
    </row>
    <row r="68" spans="1:20" x14ac:dyDescent="0.3">
      <c r="A68" s="14"/>
      <c r="B68" s="5">
        <v>32</v>
      </c>
      <c r="C68" s="5">
        <v>255</v>
      </c>
      <c r="D68" s="5">
        <v>8160</v>
      </c>
      <c r="E68" s="5">
        <f t="shared" si="6"/>
        <v>6848</v>
      </c>
      <c r="F68" s="5">
        <v>5120</v>
      </c>
      <c r="G68" s="5">
        <v>2821734</v>
      </c>
      <c r="I68" s="5">
        <v>3550271</v>
      </c>
      <c r="J68" s="5">
        <v>3500388</v>
      </c>
      <c r="L68" s="5">
        <v>3111723</v>
      </c>
      <c r="M68" s="25">
        <f t="shared" ref="M68:M131" si="7">(L68/0.8-I68)/I68</f>
        <v>9.5593477230329738E-2</v>
      </c>
      <c r="N68" s="5">
        <v>3114514</v>
      </c>
      <c r="O68" s="25">
        <f t="shared" ref="O68:O131" si="8">(N68/0.8-J68)/J68</f>
        <v>0.11220313290983742</v>
      </c>
      <c r="Q68" s="5">
        <v>2601375</v>
      </c>
      <c r="R68" s="25">
        <f t="shared" ref="R68:R109" si="9">(Q68/0.5-I68)/I68</f>
        <v>0.46545151060299339</v>
      </c>
      <c r="S68" s="5">
        <v>2601814</v>
      </c>
      <c r="T68" s="25">
        <f t="shared" ref="T68:T131" si="10">(S68/0.5-J68)/J68</f>
        <v>0.48658605845980502</v>
      </c>
    </row>
    <row r="69" spans="1:20" x14ac:dyDescent="0.3">
      <c r="A69" s="14"/>
      <c r="B69" s="5">
        <v>32</v>
      </c>
      <c r="C69" s="5">
        <v>511</v>
      </c>
      <c r="D69" s="5">
        <v>16352</v>
      </c>
      <c r="E69" s="5">
        <f t="shared" si="6"/>
        <v>6848</v>
      </c>
      <c r="F69" s="5">
        <v>5120</v>
      </c>
      <c r="G69" s="5">
        <v>5652888</v>
      </c>
      <c r="I69" s="5">
        <v>7575229</v>
      </c>
      <c r="J69" s="5">
        <v>7539475</v>
      </c>
      <c r="L69" s="5">
        <v>6417505</v>
      </c>
      <c r="M69" s="25">
        <f t="shared" si="7"/>
        <v>5.8962210911379709E-2</v>
      </c>
      <c r="N69" s="5">
        <v>6495265</v>
      </c>
      <c r="O69" s="25">
        <f t="shared" si="8"/>
        <v>7.6876208224047435E-2</v>
      </c>
      <c r="Q69" s="5">
        <v>5297612</v>
      </c>
      <c r="R69" s="25">
        <f t="shared" si="9"/>
        <v>0.39866715580479484</v>
      </c>
      <c r="S69" s="5">
        <v>5302924</v>
      </c>
      <c r="T69" s="25">
        <f t="shared" si="10"/>
        <v>0.4067090878343651</v>
      </c>
    </row>
    <row r="70" spans="1:20" x14ac:dyDescent="0.3">
      <c r="A70" s="14"/>
      <c r="B70" s="5">
        <v>32</v>
      </c>
      <c r="C70" s="5">
        <v>1023</v>
      </c>
      <c r="D70" s="5">
        <v>32736</v>
      </c>
      <c r="E70" s="5">
        <f t="shared" si="6"/>
        <v>6848</v>
      </c>
      <c r="F70" s="5">
        <v>5120</v>
      </c>
      <c r="G70" s="5">
        <v>11315199</v>
      </c>
      <c r="I70" s="5">
        <v>14989959</v>
      </c>
      <c r="J70" s="5">
        <v>14920273</v>
      </c>
      <c r="L70" s="5">
        <v>12852520</v>
      </c>
      <c r="M70" s="25">
        <f t="shared" si="7"/>
        <v>7.1760769992766496E-2</v>
      </c>
      <c r="N70" s="5">
        <v>12826905</v>
      </c>
      <c r="O70" s="25">
        <f t="shared" si="8"/>
        <v>7.4620501246860566E-2</v>
      </c>
      <c r="Q70" s="5">
        <v>10601054</v>
      </c>
      <c r="R70" s="25">
        <f t="shared" si="9"/>
        <v>0.41442067986977149</v>
      </c>
      <c r="S70" s="5">
        <v>10663683</v>
      </c>
      <c r="T70" s="25">
        <f t="shared" si="10"/>
        <v>0.42942196835138341</v>
      </c>
    </row>
    <row r="71" spans="1:20" x14ac:dyDescent="0.3">
      <c r="A71" s="14"/>
      <c r="B71" s="5">
        <v>64</v>
      </c>
      <c r="C71" s="5">
        <v>255</v>
      </c>
      <c r="D71" s="5">
        <v>16320</v>
      </c>
      <c r="E71" s="5">
        <f t="shared" si="6"/>
        <v>6848</v>
      </c>
      <c r="F71" s="5">
        <v>5120</v>
      </c>
      <c r="G71" s="5">
        <v>5643468</v>
      </c>
      <c r="I71" s="5">
        <v>7200549</v>
      </c>
      <c r="J71" s="5">
        <v>7122643</v>
      </c>
      <c r="L71" s="5">
        <v>6261904</v>
      </c>
      <c r="M71" s="25">
        <f t="shared" si="7"/>
        <v>8.7053223302834271E-2</v>
      </c>
      <c r="N71" s="5">
        <v>6256589</v>
      </c>
      <c r="O71" s="25">
        <f t="shared" si="8"/>
        <v>9.8010422535567202E-2</v>
      </c>
      <c r="Q71" s="5">
        <v>5208400</v>
      </c>
      <c r="R71" s="25">
        <f t="shared" si="9"/>
        <v>0.44666746938323731</v>
      </c>
      <c r="S71" s="5">
        <v>5208141</v>
      </c>
      <c r="T71" s="25">
        <f t="shared" si="10"/>
        <v>0.46241809395753797</v>
      </c>
    </row>
    <row r="72" spans="1:20" x14ac:dyDescent="0.3">
      <c r="A72" s="14"/>
      <c r="B72" s="5">
        <v>64</v>
      </c>
      <c r="C72" s="5">
        <v>511</v>
      </c>
      <c r="D72" s="5">
        <v>32704</v>
      </c>
      <c r="E72" s="5">
        <f t="shared" si="6"/>
        <v>6848</v>
      </c>
      <c r="F72" s="5">
        <v>5120</v>
      </c>
      <c r="G72" s="5">
        <v>11305778</v>
      </c>
      <c r="I72" s="5">
        <v>15027783</v>
      </c>
      <c r="J72" s="5">
        <v>15007608</v>
      </c>
      <c r="L72" s="5">
        <v>12993181</v>
      </c>
      <c r="M72" s="25">
        <f t="shared" si="7"/>
        <v>8.0763293560999649E-2</v>
      </c>
      <c r="N72" s="5">
        <v>12926386</v>
      </c>
      <c r="O72" s="25">
        <f t="shared" si="8"/>
        <v>7.6652755055968941E-2</v>
      </c>
      <c r="Q72" s="5">
        <v>10556436</v>
      </c>
      <c r="R72" s="25">
        <f t="shared" si="9"/>
        <v>0.40492260235591637</v>
      </c>
      <c r="S72" s="5">
        <v>10563477</v>
      </c>
      <c r="T72" s="25">
        <f t="shared" si="10"/>
        <v>0.40774958940825212</v>
      </c>
    </row>
    <row r="73" spans="1:20" x14ac:dyDescent="0.3">
      <c r="A73" s="14"/>
      <c r="B73" s="5">
        <v>64</v>
      </c>
      <c r="C73" s="5">
        <v>1023</v>
      </c>
      <c r="D73" s="5">
        <v>65472</v>
      </c>
      <c r="E73" s="5">
        <f t="shared" si="6"/>
        <v>6848</v>
      </c>
      <c r="F73" s="5">
        <v>5120</v>
      </c>
      <c r="G73" s="5">
        <v>22630399</v>
      </c>
      <c r="I73" s="5">
        <v>29785610</v>
      </c>
      <c r="J73" s="5">
        <v>29801131</v>
      </c>
      <c r="L73" s="5">
        <v>25898496</v>
      </c>
      <c r="M73" s="25">
        <f t="shared" si="7"/>
        <v>8.6871143481701399E-2</v>
      </c>
      <c r="N73" s="5">
        <v>25807976</v>
      </c>
      <c r="O73" s="25">
        <f t="shared" si="8"/>
        <v>8.2508244401865147E-2</v>
      </c>
      <c r="Q73" s="5">
        <v>20823493</v>
      </c>
      <c r="R73" s="25">
        <f t="shared" si="9"/>
        <v>0.39822504894141836</v>
      </c>
      <c r="S73" s="5">
        <v>21148147</v>
      </c>
      <c r="T73" s="25">
        <f t="shared" si="10"/>
        <v>0.41928485868539689</v>
      </c>
    </row>
    <row r="74" spans="1:20" x14ac:dyDescent="0.3">
      <c r="A74" s="14"/>
      <c r="B74" s="5">
        <v>128</v>
      </c>
      <c r="C74" s="5">
        <v>255</v>
      </c>
      <c r="D74" s="5">
        <v>32640</v>
      </c>
      <c r="E74" s="5">
        <f t="shared" si="6"/>
        <v>6848</v>
      </c>
      <c r="F74" s="5">
        <v>5120</v>
      </c>
      <c r="G74" s="5">
        <v>11286937</v>
      </c>
      <c r="I74" s="5">
        <v>14520718</v>
      </c>
      <c r="J74" s="5">
        <v>14438851</v>
      </c>
      <c r="L74" s="5">
        <v>12715404</v>
      </c>
      <c r="M74" s="25">
        <f t="shared" si="7"/>
        <v>9.4591534661027099E-2</v>
      </c>
      <c r="N74" s="5">
        <v>12660683</v>
      </c>
      <c r="O74" s="25">
        <f t="shared" si="8"/>
        <v>9.6060465614611582E-2</v>
      </c>
      <c r="Q74" s="5">
        <v>10412742</v>
      </c>
      <c r="R74" s="25">
        <f t="shared" si="9"/>
        <v>0.43419106410578318</v>
      </c>
      <c r="S74" s="5">
        <v>10379226</v>
      </c>
      <c r="T74" s="25">
        <f t="shared" si="10"/>
        <v>0.43768032511728255</v>
      </c>
    </row>
    <row r="75" spans="1:20" x14ac:dyDescent="0.3">
      <c r="A75" s="14"/>
      <c r="B75" s="5">
        <v>128</v>
      </c>
      <c r="C75" s="5">
        <v>511</v>
      </c>
      <c r="D75" s="5">
        <v>65408</v>
      </c>
      <c r="E75" s="5">
        <f t="shared" si="6"/>
        <v>6848</v>
      </c>
      <c r="F75" s="5">
        <v>5120</v>
      </c>
      <c r="G75" s="5">
        <v>22611557</v>
      </c>
      <c r="I75" s="5">
        <v>29891591</v>
      </c>
      <c r="J75" s="5">
        <v>29807025</v>
      </c>
      <c r="L75" s="5">
        <v>25719220</v>
      </c>
      <c r="M75" s="25">
        <f t="shared" si="7"/>
        <v>7.5520704133814759E-2</v>
      </c>
      <c r="N75" s="5">
        <v>25627754</v>
      </c>
      <c r="O75" s="25">
        <f t="shared" si="8"/>
        <v>7.4736324742237778E-2</v>
      </c>
      <c r="Q75" s="5">
        <v>21154813</v>
      </c>
      <c r="R75" s="25">
        <f t="shared" si="9"/>
        <v>0.41543573241049631</v>
      </c>
      <c r="S75" s="5">
        <v>20885653</v>
      </c>
      <c r="T75" s="25">
        <f t="shared" si="10"/>
        <v>0.40139131630882319</v>
      </c>
    </row>
    <row r="76" spans="1:20" x14ac:dyDescent="0.3">
      <c r="A76" s="14"/>
      <c r="B76" s="5">
        <v>128</v>
      </c>
      <c r="C76" s="5">
        <v>1023</v>
      </c>
      <c r="D76" s="5">
        <v>130944</v>
      </c>
      <c r="E76" s="5">
        <f t="shared" si="6"/>
        <v>6848</v>
      </c>
      <c r="F76" s="5">
        <v>5120</v>
      </c>
      <c r="G76" s="5">
        <v>45260799</v>
      </c>
      <c r="I76" s="5">
        <v>61071750</v>
      </c>
      <c r="J76" s="5">
        <v>59967339</v>
      </c>
      <c r="L76" s="5">
        <v>51600334</v>
      </c>
      <c r="M76" s="25">
        <f t="shared" si="7"/>
        <v>5.6141628494352953E-2</v>
      </c>
      <c r="N76" s="5">
        <v>51592468</v>
      </c>
      <c r="O76" s="25">
        <f t="shared" si="8"/>
        <v>7.5428492833407204E-2</v>
      </c>
      <c r="Q76" s="5">
        <v>42107323</v>
      </c>
      <c r="R76" s="25">
        <f t="shared" si="9"/>
        <v>0.3789460102256772</v>
      </c>
      <c r="S76" s="5">
        <v>41724321</v>
      </c>
      <c r="T76" s="25">
        <f t="shared" si="10"/>
        <v>0.39156820014975152</v>
      </c>
    </row>
    <row r="77" spans="1:20" x14ac:dyDescent="0.3">
      <c r="A77" s="6"/>
      <c r="M77" s="25"/>
      <c r="O77" s="25"/>
      <c r="R77" s="25"/>
      <c r="T77" s="25"/>
    </row>
    <row r="78" spans="1:20" x14ac:dyDescent="0.3">
      <c r="A78" s="6"/>
      <c r="M78" s="25"/>
      <c r="O78" s="25"/>
      <c r="R78" s="25"/>
      <c r="T78" s="25"/>
    </row>
    <row r="79" spans="1:20" x14ac:dyDescent="0.3">
      <c r="A79" s="14" t="s">
        <v>9</v>
      </c>
      <c r="B79" s="4">
        <v>1</v>
      </c>
      <c r="C79" s="4">
        <v>255</v>
      </c>
      <c r="D79" s="4">
        <v>255</v>
      </c>
      <c r="E79" s="4">
        <v>4096</v>
      </c>
      <c r="F79" s="4">
        <v>8192</v>
      </c>
      <c r="G79" s="4">
        <v>199985</v>
      </c>
      <c r="I79" s="5">
        <v>221337</v>
      </c>
      <c r="J79" s="5">
        <v>279590</v>
      </c>
      <c r="L79" s="5">
        <v>187503</v>
      </c>
      <c r="M79" s="25">
        <f t="shared" si="7"/>
        <v>5.8922593149812276E-2</v>
      </c>
      <c r="N79" s="5">
        <v>239472</v>
      </c>
      <c r="O79" s="25">
        <f t="shared" si="8"/>
        <v>7.0639150184198293E-2</v>
      </c>
      <c r="Q79" s="5">
        <v>155314</v>
      </c>
      <c r="R79" s="25">
        <f t="shared" si="9"/>
        <v>0.40341650966625553</v>
      </c>
      <c r="S79" s="5">
        <v>193745</v>
      </c>
      <c r="T79" s="25">
        <f t="shared" si="10"/>
        <v>0.3859222432848099</v>
      </c>
    </row>
    <row r="80" spans="1:20" x14ac:dyDescent="0.3">
      <c r="A80" s="15"/>
      <c r="B80" s="5">
        <v>1</v>
      </c>
      <c r="C80" s="5">
        <v>511</v>
      </c>
      <c r="D80" s="5">
        <v>511</v>
      </c>
      <c r="E80" s="5">
        <v>4096</v>
      </c>
      <c r="F80" s="5">
        <v>8192</v>
      </c>
      <c r="G80" s="5">
        <v>316498</v>
      </c>
      <c r="I80" s="5">
        <v>392984</v>
      </c>
      <c r="J80" s="5">
        <v>436142</v>
      </c>
      <c r="L80" s="5">
        <v>335450</v>
      </c>
      <c r="M80" s="25">
        <f t="shared" si="7"/>
        <v>6.6996366264275395E-2</v>
      </c>
      <c r="N80" s="5">
        <v>371487</v>
      </c>
      <c r="O80" s="25">
        <f t="shared" si="8"/>
        <v>6.4696245718137674E-2</v>
      </c>
      <c r="Q80" s="5">
        <v>271950</v>
      </c>
      <c r="R80" s="25">
        <f t="shared" si="9"/>
        <v>0.38402581275573561</v>
      </c>
      <c r="S80" s="5">
        <v>289532</v>
      </c>
      <c r="T80" s="25">
        <f t="shared" si="10"/>
        <v>0.3276960256063392</v>
      </c>
    </row>
    <row r="81" spans="1:20" x14ac:dyDescent="0.3">
      <c r="A81" s="15"/>
      <c r="B81" s="5">
        <v>1</v>
      </c>
      <c r="C81" s="5">
        <v>1023</v>
      </c>
      <c r="D81" s="5">
        <v>1023</v>
      </c>
      <c r="E81" s="5">
        <v>4096</v>
      </c>
      <c r="F81" s="5">
        <v>8192</v>
      </c>
      <c r="G81" s="5">
        <v>549526</v>
      </c>
      <c r="I81" s="5">
        <v>778252</v>
      </c>
      <c r="J81" s="5">
        <v>788966</v>
      </c>
      <c r="L81" s="5">
        <v>643885</v>
      </c>
      <c r="M81" s="25">
        <f t="shared" si="7"/>
        <v>3.4184621433674442E-2</v>
      </c>
      <c r="N81" s="5">
        <v>650545</v>
      </c>
      <c r="O81" s="25">
        <f t="shared" si="8"/>
        <v>3.0692387251161649E-2</v>
      </c>
      <c r="Q81" s="5">
        <v>512754</v>
      </c>
      <c r="R81" s="25">
        <f t="shared" si="9"/>
        <v>0.31770686101674006</v>
      </c>
      <c r="S81" s="5">
        <v>527253</v>
      </c>
      <c r="T81" s="25">
        <f t="shared" si="10"/>
        <v>0.33656710175089927</v>
      </c>
    </row>
    <row r="82" spans="1:20" x14ac:dyDescent="0.3">
      <c r="A82" s="15"/>
      <c r="B82" s="5">
        <v>8</v>
      </c>
      <c r="C82" s="5">
        <v>255</v>
      </c>
      <c r="D82" s="5">
        <v>2040</v>
      </c>
      <c r="E82" s="5">
        <v>4096</v>
      </c>
      <c r="F82" s="5">
        <v>8192</v>
      </c>
      <c r="G82" s="5">
        <v>1212384</v>
      </c>
      <c r="I82" s="5">
        <v>1427669</v>
      </c>
      <c r="J82" s="5">
        <v>1432682</v>
      </c>
      <c r="L82" s="5">
        <v>1159477</v>
      </c>
      <c r="M82" s="25">
        <f t="shared" si="7"/>
        <v>1.5183666522142036E-2</v>
      </c>
      <c r="N82" s="5">
        <v>1153257</v>
      </c>
      <c r="O82" s="25">
        <f t="shared" si="8"/>
        <v>6.2046218211717604E-3</v>
      </c>
      <c r="Q82" s="5">
        <v>908180</v>
      </c>
      <c r="R82" s="25">
        <f t="shared" si="9"/>
        <v>0.27225568391552946</v>
      </c>
      <c r="S82" s="5">
        <v>916425</v>
      </c>
      <c r="T82" s="25">
        <f t="shared" si="10"/>
        <v>0.27931390217787339</v>
      </c>
    </row>
    <row r="83" spans="1:20" x14ac:dyDescent="0.3">
      <c r="A83" s="15"/>
      <c r="B83" s="5">
        <v>8</v>
      </c>
      <c r="C83" s="5">
        <v>511</v>
      </c>
      <c r="D83" s="5">
        <v>4088</v>
      </c>
      <c r="E83" s="5">
        <v>4096</v>
      </c>
      <c r="F83" s="5">
        <v>8192</v>
      </c>
      <c r="G83" s="5">
        <v>2344937</v>
      </c>
      <c r="I83" s="5">
        <v>2793359</v>
      </c>
      <c r="J83" s="5">
        <v>2869900</v>
      </c>
      <c r="L83" s="5">
        <v>2319274</v>
      </c>
      <c r="M83" s="25">
        <f t="shared" si="7"/>
        <v>3.785174050310039E-2</v>
      </c>
      <c r="N83" s="5">
        <v>2334359</v>
      </c>
      <c r="O83" s="25">
        <f t="shared" si="8"/>
        <v>1.6742308094358688E-2</v>
      </c>
      <c r="Q83" s="5">
        <v>1765487</v>
      </c>
      <c r="R83" s="25">
        <f t="shared" si="9"/>
        <v>0.26406022283566127</v>
      </c>
      <c r="S83" s="5">
        <v>1778769</v>
      </c>
      <c r="T83" s="25">
        <f t="shared" si="10"/>
        <v>0.23960347050419875</v>
      </c>
    </row>
    <row r="84" spans="1:20" x14ac:dyDescent="0.3">
      <c r="A84" s="15"/>
      <c r="B84" s="5">
        <v>8</v>
      </c>
      <c r="C84" s="5">
        <v>1023</v>
      </c>
      <c r="D84" s="5">
        <v>8184</v>
      </c>
      <c r="E84" s="5">
        <v>4096</v>
      </c>
      <c r="F84" s="5">
        <v>8192</v>
      </c>
      <c r="G84" s="5">
        <v>4693973</v>
      </c>
      <c r="I84" s="5">
        <v>6222565</v>
      </c>
      <c r="J84" s="5">
        <v>6356845</v>
      </c>
      <c r="L84" s="5">
        <v>5187411</v>
      </c>
      <c r="M84" s="25">
        <f t="shared" si="7"/>
        <v>4.2056410820939596E-2</v>
      </c>
      <c r="N84" s="5">
        <v>5090685</v>
      </c>
      <c r="O84" s="25">
        <f t="shared" si="8"/>
        <v>1.0242895650279344E-3</v>
      </c>
      <c r="Q84" s="5">
        <v>3633874</v>
      </c>
      <c r="R84" s="25">
        <f t="shared" si="9"/>
        <v>0.1679665861264607</v>
      </c>
      <c r="S84" s="5">
        <v>3616822</v>
      </c>
      <c r="T84" s="25">
        <f t="shared" si="10"/>
        <v>0.13792990076051878</v>
      </c>
    </row>
    <row r="85" spans="1:20" x14ac:dyDescent="0.3">
      <c r="A85" s="15"/>
      <c r="B85" s="5">
        <v>16</v>
      </c>
      <c r="C85" s="5">
        <v>255</v>
      </c>
      <c r="D85" s="5">
        <v>4080</v>
      </c>
      <c r="E85" s="5">
        <v>4096</v>
      </c>
      <c r="F85" s="5">
        <v>8192</v>
      </c>
      <c r="G85" s="5">
        <v>2224783</v>
      </c>
      <c r="I85" s="5">
        <v>2841097</v>
      </c>
      <c r="J85" s="5">
        <v>2816566</v>
      </c>
      <c r="L85" s="5">
        <v>2321066</v>
      </c>
      <c r="M85" s="25">
        <f t="shared" si="7"/>
        <v>2.120149364840412E-2</v>
      </c>
      <c r="N85" s="5">
        <v>2323825</v>
      </c>
      <c r="O85" s="25">
        <f t="shared" si="8"/>
        <v>3.1320143039431703E-2</v>
      </c>
      <c r="Q85" s="5">
        <v>1767948</v>
      </c>
      <c r="R85" s="25">
        <f t="shared" si="9"/>
        <v>0.24455307228158701</v>
      </c>
      <c r="S85" s="5">
        <v>1765042</v>
      </c>
      <c r="T85" s="25">
        <f t="shared" si="10"/>
        <v>0.25332905389044674</v>
      </c>
    </row>
    <row r="86" spans="1:20" x14ac:dyDescent="0.3">
      <c r="A86" s="15"/>
      <c r="B86" s="5">
        <v>16</v>
      </c>
      <c r="C86" s="5">
        <v>511</v>
      </c>
      <c r="D86" s="5">
        <v>8176</v>
      </c>
      <c r="E86" s="5">
        <v>4096</v>
      </c>
      <c r="F86" s="5">
        <v>8192</v>
      </c>
      <c r="G86" s="5">
        <v>4541231</v>
      </c>
      <c r="I86" s="5">
        <v>6292279</v>
      </c>
      <c r="J86" s="5">
        <v>6350621</v>
      </c>
      <c r="L86" s="5">
        <v>5058405</v>
      </c>
      <c r="M86" s="25">
        <f t="shared" si="7"/>
        <v>4.8833260572202853E-3</v>
      </c>
      <c r="N86" s="5">
        <v>5068589</v>
      </c>
      <c r="O86" s="25">
        <f t="shared" si="8"/>
        <v>-2.3438259030101149E-3</v>
      </c>
      <c r="Q86" s="5">
        <v>3586106</v>
      </c>
      <c r="R86" s="25">
        <f t="shared" si="9"/>
        <v>0.13984329048346394</v>
      </c>
      <c r="S86" s="5">
        <v>3594745</v>
      </c>
      <c r="T86" s="25">
        <f t="shared" si="10"/>
        <v>0.13209243631449585</v>
      </c>
    </row>
    <row r="87" spans="1:20" x14ac:dyDescent="0.3">
      <c r="A87" s="15"/>
      <c r="B87" s="5">
        <v>16</v>
      </c>
      <c r="C87" s="5">
        <v>1023</v>
      </c>
      <c r="D87" s="5">
        <v>16368</v>
      </c>
      <c r="E87" s="5">
        <v>4096</v>
      </c>
      <c r="F87" s="5">
        <v>8192</v>
      </c>
      <c r="G87" s="5">
        <v>8670566</v>
      </c>
      <c r="I87" s="5">
        <v>12005230</v>
      </c>
      <c r="J87" s="5">
        <v>12171737</v>
      </c>
      <c r="L87" s="5">
        <v>9725630</v>
      </c>
      <c r="M87" s="25">
        <f t="shared" si="7"/>
        <v>1.2645113837885654E-2</v>
      </c>
      <c r="N87" s="5">
        <v>9983518</v>
      </c>
      <c r="O87" s="25">
        <f t="shared" si="8"/>
        <v>2.5276630607447399E-2</v>
      </c>
      <c r="Q87" s="5">
        <v>7125455</v>
      </c>
      <c r="R87" s="25">
        <f t="shared" si="9"/>
        <v>0.18705847368188697</v>
      </c>
      <c r="S87" s="5">
        <v>7182390</v>
      </c>
      <c r="T87" s="25">
        <f t="shared" si="10"/>
        <v>0.1801750234991111</v>
      </c>
    </row>
    <row r="88" spans="1:20" x14ac:dyDescent="0.3">
      <c r="A88" s="15"/>
      <c r="B88" s="5">
        <v>32</v>
      </c>
      <c r="C88" s="5">
        <v>255</v>
      </c>
      <c r="D88" s="5">
        <v>8160</v>
      </c>
      <c r="E88" s="5">
        <v>4096</v>
      </c>
      <c r="F88" s="5">
        <v>8192</v>
      </c>
      <c r="G88" s="5">
        <v>4333508</v>
      </c>
      <c r="I88" s="5">
        <v>5590462</v>
      </c>
      <c r="J88" s="5">
        <v>5565376</v>
      </c>
      <c r="L88" s="5">
        <v>4491386</v>
      </c>
      <c r="M88" s="25">
        <f t="shared" si="7"/>
        <v>4.251974165999161E-3</v>
      </c>
      <c r="N88" s="5">
        <v>4536256</v>
      </c>
      <c r="O88" s="25">
        <f t="shared" si="8"/>
        <v>1.8856587587253764E-2</v>
      </c>
      <c r="Q88" s="5">
        <v>3455164</v>
      </c>
      <c r="R88" s="25">
        <f t="shared" si="9"/>
        <v>0.23609247321598822</v>
      </c>
      <c r="S88" s="5">
        <v>3457810</v>
      </c>
      <c r="T88" s="25">
        <f t="shared" si="10"/>
        <v>0.2426150542209547</v>
      </c>
    </row>
    <row r="89" spans="1:20" x14ac:dyDescent="0.3">
      <c r="A89" s="15"/>
      <c r="B89" s="5">
        <v>32</v>
      </c>
      <c r="C89" s="5">
        <v>511</v>
      </c>
      <c r="D89" s="5">
        <v>16352</v>
      </c>
      <c r="E89" s="5">
        <v>4096</v>
      </c>
      <c r="F89" s="5">
        <v>8192</v>
      </c>
      <c r="G89" s="5">
        <v>8430255</v>
      </c>
      <c r="I89" s="5">
        <v>12180181</v>
      </c>
      <c r="J89" s="5">
        <v>12197503</v>
      </c>
      <c r="L89" s="5">
        <v>10052541</v>
      </c>
      <c r="M89" s="25">
        <f t="shared" si="7"/>
        <v>3.1649385998451088E-2</v>
      </c>
      <c r="N89" s="5">
        <v>9848117</v>
      </c>
      <c r="O89" s="25">
        <f t="shared" si="8"/>
        <v>9.2349434142381445E-3</v>
      </c>
      <c r="Q89" s="5">
        <v>7170135</v>
      </c>
      <c r="R89" s="25">
        <f t="shared" si="9"/>
        <v>0.17734457312251764</v>
      </c>
      <c r="S89" s="5">
        <v>7154389</v>
      </c>
      <c r="T89" s="25">
        <f t="shared" si="10"/>
        <v>0.17309075472250346</v>
      </c>
    </row>
    <row r="90" spans="1:20" x14ac:dyDescent="0.3">
      <c r="A90" s="15"/>
      <c r="B90" s="5">
        <v>32</v>
      </c>
      <c r="C90" s="5">
        <v>1023</v>
      </c>
      <c r="D90" s="5">
        <v>32736</v>
      </c>
      <c r="E90" s="5">
        <v>4096</v>
      </c>
      <c r="F90" s="5">
        <v>8192</v>
      </c>
      <c r="G90" s="5">
        <v>16875531</v>
      </c>
      <c r="I90" s="5">
        <v>24004776</v>
      </c>
      <c r="J90" s="5">
        <v>23529838</v>
      </c>
      <c r="L90" s="5">
        <v>19246339</v>
      </c>
      <c r="M90" s="25">
        <f t="shared" si="7"/>
        <v>2.214048987584804E-3</v>
      </c>
      <c r="N90" s="5">
        <v>19146629</v>
      </c>
      <c r="O90" s="25">
        <f t="shared" si="8"/>
        <v>1.7146240020862021E-2</v>
      </c>
      <c r="Q90" s="5">
        <v>14209869</v>
      </c>
      <c r="R90" s="25">
        <f t="shared" si="9"/>
        <v>0.18392014989017186</v>
      </c>
      <c r="S90" s="5">
        <v>14282968</v>
      </c>
      <c r="T90" s="25">
        <f t="shared" si="10"/>
        <v>0.21403028784133576</v>
      </c>
    </row>
    <row r="91" spans="1:20" x14ac:dyDescent="0.3">
      <c r="A91" s="15"/>
      <c r="B91" s="5">
        <v>64</v>
      </c>
      <c r="C91" s="5">
        <v>255</v>
      </c>
      <c r="D91" s="5">
        <v>16320</v>
      </c>
      <c r="E91" s="5">
        <v>4096</v>
      </c>
      <c r="F91" s="5">
        <v>8192</v>
      </c>
      <c r="G91" s="5">
        <v>8299178</v>
      </c>
      <c r="I91" s="5">
        <v>10866723</v>
      </c>
      <c r="J91" s="5">
        <v>10933082</v>
      </c>
      <c r="L91" s="5">
        <v>8904646</v>
      </c>
      <c r="M91" s="25">
        <f t="shared" si="7"/>
        <v>2.4302128617799498E-2</v>
      </c>
      <c r="N91" s="5">
        <v>8889244</v>
      </c>
      <c r="O91" s="25">
        <f t="shared" si="8"/>
        <v>1.6324125255806184E-2</v>
      </c>
      <c r="Q91" s="5">
        <v>6868075</v>
      </c>
      <c r="R91" s="25">
        <f t="shared" si="9"/>
        <v>0.2640563305055259</v>
      </c>
      <c r="S91" s="5">
        <v>6879854</v>
      </c>
      <c r="T91" s="25">
        <f t="shared" si="10"/>
        <v>0.25853880909335536</v>
      </c>
    </row>
    <row r="92" spans="1:20" x14ac:dyDescent="0.3">
      <c r="A92" s="15"/>
      <c r="B92" s="5">
        <v>64</v>
      </c>
      <c r="C92" s="5">
        <v>511</v>
      </c>
      <c r="D92" s="5">
        <v>32704</v>
      </c>
      <c r="E92" s="5">
        <v>4096</v>
      </c>
      <c r="F92" s="5">
        <v>8192</v>
      </c>
      <c r="G92" s="5">
        <v>16795793</v>
      </c>
      <c r="I92" s="5">
        <v>23585159</v>
      </c>
      <c r="J92" s="5">
        <v>23584862</v>
      </c>
      <c r="L92" s="5">
        <v>18974349</v>
      </c>
      <c r="M92" s="25">
        <f t="shared" si="7"/>
        <v>5.6296949280689604E-3</v>
      </c>
      <c r="N92" s="5">
        <v>19137334</v>
      </c>
      <c r="O92" s="25">
        <f t="shared" si="8"/>
        <v>1.4280579636209023E-2</v>
      </c>
      <c r="Q92" s="5">
        <v>14252544</v>
      </c>
      <c r="R92" s="25">
        <f t="shared" si="9"/>
        <v>0.20860274887271271</v>
      </c>
      <c r="S92" s="5">
        <v>14216750</v>
      </c>
      <c r="T92" s="25">
        <f t="shared" si="10"/>
        <v>0.20558263177456795</v>
      </c>
    </row>
    <row r="93" spans="1:20" x14ac:dyDescent="0.3">
      <c r="A93" s="15"/>
      <c r="B93" s="5">
        <v>64</v>
      </c>
      <c r="C93" s="5">
        <v>1023</v>
      </c>
      <c r="D93" s="5">
        <v>65472</v>
      </c>
      <c r="E93" s="5">
        <v>4096</v>
      </c>
      <c r="F93" s="5">
        <v>8192</v>
      </c>
      <c r="G93" s="5">
        <v>33033683</v>
      </c>
      <c r="I93" s="5">
        <v>46694207</v>
      </c>
      <c r="J93" s="5">
        <v>46470050</v>
      </c>
      <c r="L93" s="5">
        <v>38197761</v>
      </c>
      <c r="M93" s="25">
        <f t="shared" si="7"/>
        <v>2.255085411344495E-2</v>
      </c>
      <c r="N93" s="5">
        <v>37452308</v>
      </c>
      <c r="O93" s="25">
        <f t="shared" si="8"/>
        <v>7.4313455655847151E-3</v>
      </c>
      <c r="Q93" s="5">
        <v>28284777</v>
      </c>
      <c r="R93" s="25">
        <f t="shared" si="9"/>
        <v>0.21148976788491128</v>
      </c>
      <c r="S93" s="5">
        <v>28181067</v>
      </c>
      <c r="T93" s="25">
        <f t="shared" si="10"/>
        <v>0.21287009590047784</v>
      </c>
    </row>
    <row r="94" spans="1:20" x14ac:dyDescent="0.3">
      <c r="A94" s="15"/>
      <c r="B94" s="5">
        <v>128</v>
      </c>
      <c r="C94" s="5">
        <v>255</v>
      </c>
      <c r="D94" s="5">
        <v>32640</v>
      </c>
      <c r="E94" s="5">
        <v>4096</v>
      </c>
      <c r="F94" s="5">
        <v>8192</v>
      </c>
      <c r="G94" s="5">
        <v>16650151</v>
      </c>
      <c r="I94" s="5">
        <v>21766843</v>
      </c>
      <c r="J94" s="5">
        <v>21675515</v>
      </c>
      <c r="L94" s="5">
        <v>17555336</v>
      </c>
      <c r="M94" s="25">
        <f t="shared" si="7"/>
        <v>8.1466568211108984E-3</v>
      </c>
      <c r="N94" s="5">
        <v>17583075</v>
      </c>
      <c r="O94" s="25">
        <f t="shared" si="8"/>
        <v>1.3994073497215638E-2</v>
      </c>
      <c r="Q94" s="5">
        <v>13695030</v>
      </c>
      <c r="R94" s="25">
        <f t="shared" si="9"/>
        <v>0.2583386575627894</v>
      </c>
      <c r="S94" s="5">
        <v>13678151</v>
      </c>
      <c r="T94" s="25">
        <f t="shared" si="10"/>
        <v>0.26208313850905041</v>
      </c>
    </row>
    <row r="95" spans="1:20" x14ac:dyDescent="0.3">
      <c r="A95" s="15"/>
      <c r="B95" s="5">
        <v>128</v>
      </c>
      <c r="C95" s="5">
        <v>511</v>
      </c>
      <c r="D95" s="5">
        <v>65408</v>
      </c>
      <c r="E95" s="5">
        <v>4096</v>
      </c>
      <c r="F95" s="5">
        <v>8192</v>
      </c>
      <c r="G95" s="5">
        <v>33526868</v>
      </c>
      <c r="I95" s="5">
        <v>46820924</v>
      </c>
      <c r="J95" s="5">
        <v>46531169</v>
      </c>
      <c r="L95" s="5">
        <v>37755925</v>
      </c>
      <c r="M95" s="25">
        <f t="shared" si="7"/>
        <v>7.9875025533455938E-3</v>
      </c>
      <c r="N95" s="5">
        <v>38131786</v>
      </c>
      <c r="O95" s="25">
        <f t="shared" si="8"/>
        <v>2.4361380218064155E-2</v>
      </c>
      <c r="Q95" s="5">
        <v>28189239</v>
      </c>
      <c r="R95" s="25">
        <f t="shared" si="9"/>
        <v>0.20412997402614266</v>
      </c>
      <c r="S95" s="5">
        <v>28282511</v>
      </c>
      <c r="T95" s="25">
        <f t="shared" si="10"/>
        <v>0.21563724307033852</v>
      </c>
    </row>
    <row r="96" spans="1:20" x14ac:dyDescent="0.3">
      <c r="A96" s="15"/>
      <c r="B96" s="5">
        <v>128</v>
      </c>
      <c r="C96" s="5">
        <v>1023</v>
      </c>
      <c r="D96" s="5">
        <v>130944</v>
      </c>
      <c r="E96" s="5">
        <v>4096</v>
      </c>
      <c r="F96" s="5">
        <v>8192</v>
      </c>
      <c r="G96" s="5">
        <v>67867794</v>
      </c>
      <c r="I96" s="5">
        <v>92884331</v>
      </c>
      <c r="J96" s="5">
        <v>93568357</v>
      </c>
      <c r="L96" s="5">
        <v>76338291</v>
      </c>
      <c r="M96" s="25">
        <f t="shared" si="7"/>
        <v>2.7330042889580589E-2</v>
      </c>
      <c r="N96" s="5">
        <v>76264768</v>
      </c>
      <c r="O96" s="25">
        <f t="shared" si="8"/>
        <v>1.8837596988050136E-2</v>
      </c>
      <c r="Q96" s="5">
        <v>56213293</v>
      </c>
      <c r="R96" s="25">
        <f t="shared" si="9"/>
        <v>0.21039345161456779</v>
      </c>
      <c r="S96" s="5">
        <v>56273639</v>
      </c>
      <c r="T96" s="25">
        <f t="shared" si="10"/>
        <v>0.2028348216053425</v>
      </c>
    </row>
    <row r="97" spans="1:20" x14ac:dyDescent="0.3">
      <c r="A97" s="15"/>
      <c r="B97" s="5">
        <v>1</v>
      </c>
      <c r="C97" s="5">
        <v>255</v>
      </c>
      <c r="D97" s="5">
        <v>255</v>
      </c>
      <c r="E97" s="5">
        <v>11008</v>
      </c>
      <c r="F97" s="5">
        <v>8192</v>
      </c>
      <c r="G97" s="5">
        <v>388360</v>
      </c>
      <c r="I97" s="5">
        <v>627812</v>
      </c>
      <c r="J97" s="5">
        <v>641781</v>
      </c>
      <c r="L97" s="5">
        <v>528279</v>
      </c>
      <c r="M97" s="25">
        <f t="shared" si="7"/>
        <v>5.1825626142858051E-2</v>
      </c>
      <c r="N97" s="5">
        <v>538650</v>
      </c>
      <c r="O97" s="25">
        <f t="shared" si="8"/>
        <v>4.9131245705310689E-2</v>
      </c>
      <c r="Q97" s="5">
        <v>393992</v>
      </c>
      <c r="R97" s="25">
        <f t="shared" si="9"/>
        <v>0.25512733111186153</v>
      </c>
      <c r="S97" s="5">
        <v>410801</v>
      </c>
      <c r="T97" s="25">
        <f t="shared" si="10"/>
        <v>0.28019059461093426</v>
      </c>
    </row>
    <row r="98" spans="1:20" x14ac:dyDescent="0.3">
      <c r="A98" s="15"/>
      <c r="B98" s="5">
        <v>1</v>
      </c>
      <c r="C98" s="5">
        <v>511</v>
      </c>
      <c r="D98" s="5">
        <v>511</v>
      </c>
      <c r="E98" s="5">
        <v>11008</v>
      </c>
      <c r="F98" s="5">
        <v>8192</v>
      </c>
      <c r="G98" s="5">
        <v>609731</v>
      </c>
      <c r="I98" s="5">
        <v>986622</v>
      </c>
      <c r="J98" s="5">
        <v>998779</v>
      </c>
      <c r="L98" s="5">
        <v>798751</v>
      </c>
      <c r="M98" s="25">
        <f t="shared" si="7"/>
        <v>1.1976978011842427E-2</v>
      </c>
      <c r="N98" s="5">
        <v>828876</v>
      </c>
      <c r="O98" s="25">
        <f t="shared" si="8"/>
        <v>3.7361618536232738E-2</v>
      </c>
      <c r="Q98" s="5">
        <v>591943</v>
      </c>
      <c r="R98" s="25">
        <f t="shared" si="9"/>
        <v>0.19993878101238366</v>
      </c>
      <c r="S98" s="5">
        <v>606160</v>
      </c>
      <c r="T98" s="25">
        <f t="shared" si="10"/>
        <v>0.21380205230586546</v>
      </c>
    </row>
    <row r="99" spans="1:20" x14ac:dyDescent="0.3">
      <c r="A99" s="15"/>
      <c r="B99" s="5">
        <v>1</v>
      </c>
      <c r="C99" s="5">
        <v>1023</v>
      </c>
      <c r="D99" s="5">
        <v>1023</v>
      </c>
      <c r="E99" s="5">
        <v>11008</v>
      </c>
      <c r="F99" s="5">
        <v>8192</v>
      </c>
      <c r="G99" s="5">
        <v>1052474</v>
      </c>
      <c r="I99" s="5">
        <v>1743987</v>
      </c>
      <c r="J99" s="5">
        <v>1754992</v>
      </c>
      <c r="L99" s="5">
        <v>1439326</v>
      </c>
      <c r="M99" s="25">
        <f t="shared" si="7"/>
        <v>3.1634696818267569E-2</v>
      </c>
      <c r="N99" s="5">
        <v>1447837</v>
      </c>
      <c r="O99" s="25">
        <f t="shared" si="8"/>
        <v>3.1227635225687639E-2</v>
      </c>
      <c r="Q99" s="5">
        <v>1031537</v>
      </c>
      <c r="R99" s="25">
        <f t="shared" si="9"/>
        <v>0.18296409319564882</v>
      </c>
      <c r="S99" s="5">
        <v>1032718</v>
      </c>
      <c r="T99" s="25">
        <f t="shared" si="10"/>
        <v>0.17689197443635071</v>
      </c>
    </row>
    <row r="100" spans="1:20" x14ac:dyDescent="0.3">
      <c r="A100" s="15"/>
      <c r="B100" s="5">
        <v>8</v>
      </c>
      <c r="C100" s="5">
        <v>255</v>
      </c>
      <c r="D100" s="5">
        <v>2040</v>
      </c>
      <c r="E100" s="5">
        <v>11008</v>
      </c>
      <c r="F100" s="5">
        <v>8192</v>
      </c>
      <c r="G100" s="5">
        <v>2320271</v>
      </c>
      <c r="I100" s="5">
        <v>3318161</v>
      </c>
      <c r="J100" s="5">
        <v>3339694</v>
      </c>
      <c r="L100" s="5">
        <v>2726689</v>
      </c>
      <c r="M100" s="25">
        <f t="shared" si="7"/>
        <v>2.7183807536765095E-2</v>
      </c>
      <c r="N100" s="5">
        <v>2703328</v>
      </c>
      <c r="O100" s="25">
        <f t="shared" si="8"/>
        <v>1.1817250322933778E-2</v>
      </c>
      <c r="Q100" s="5">
        <v>1828455</v>
      </c>
      <c r="R100" s="25">
        <f t="shared" si="9"/>
        <v>0.10208938023200201</v>
      </c>
      <c r="S100" s="5">
        <v>1828511</v>
      </c>
      <c r="T100" s="25">
        <f t="shared" si="10"/>
        <v>9.5017088391930515E-2</v>
      </c>
    </row>
    <row r="101" spans="1:20" x14ac:dyDescent="0.3">
      <c r="A101" s="15"/>
      <c r="B101" s="5">
        <v>8</v>
      </c>
      <c r="C101" s="5">
        <v>511</v>
      </c>
      <c r="D101" s="5">
        <v>4088</v>
      </c>
      <c r="E101" s="5">
        <v>11008</v>
      </c>
      <c r="F101" s="5">
        <v>8192</v>
      </c>
      <c r="G101" s="5">
        <v>4480468</v>
      </c>
      <c r="I101" s="5">
        <v>6742401</v>
      </c>
      <c r="J101" s="5">
        <v>6717503</v>
      </c>
      <c r="L101" s="5">
        <v>5438558</v>
      </c>
      <c r="M101" s="25">
        <f t="shared" si="7"/>
        <v>8.2754644821629569E-3</v>
      </c>
      <c r="N101" s="5">
        <v>5441254</v>
      </c>
      <c r="O101" s="25">
        <f t="shared" si="8"/>
        <v>1.2514248225866069E-2</v>
      </c>
      <c r="Q101" s="5">
        <v>3645789</v>
      </c>
      <c r="R101" s="25">
        <f t="shared" si="9"/>
        <v>8.1451251564539098E-2</v>
      </c>
      <c r="S101" s="5">
        <v>3629684</v>
      </c>
      <c r="T101" s="25">
        <f t="shared" si="10"/>
        <v>8.0664645776860833E-2</v>
      </c>
    </row>
    <row r="102" spans="1:20" x14ac:dyDescent="0.3">
      <c r="A102" s="15"/>
      <c r="B102" s="5">
        <v>8</v>
      </c>
      <c r="C102" s="5">
        <v>1023</v>
      </c>
      <c r="D102" s="5">
        <v>8184</v>
      </c>
      <c r="E102" s="5">
        <v>11008</v>
      </c>
      <c r="F102" s="5">
        <v>8192</v>
      </c>
      <c r="G102" s="5">
        <v>8968723</v>
      </c>
      <c r="I102" s="5">
        <v>15747749</v>
      </c>
      <c r="J102" s="5">
        <v>15516586</v>
      </c>
      <c r="L102" s="5">
        <v>12458363</v>
      </c>
      <c r="M102" s="25">
        <f t="shared" si="7"/>
        <v>-1.1099697486923368E-2</v>
      </c>
      <c r="N102" s="5">
        <v>12678577</v>
      </c>
      <c r="O102" s="25">
        <f t="shared" si="8"/>
        <v>2.1372952142952064E-2</v>
      </c>
      <c r="Q102" s="5">
        <v>7969151</v>
      </c>
      <c r="R102" s="25">
        <f t="shared" si="9"/>
        <v>1.210033256181566E-2</v>
      </c>
      <c r="S102" s="5">
        <v>8092995</v>
      </c>
      <c r="T102" s="25">
        <f t="shared" si="10"/>
        <v>4.3141190981057301E-2</v>
      </c>
    </row>
    <row r="103" spans="1:20" x14ac:dyDescent="0.3">
      <c r="A103" s="15"/>
      <c r="B103" s="5">
        <v>16</v>
      </c>
      <c r="C103" s="5">
        <v>255</v>
      </c>
      <c r="D103" s="5">
        <v>4080</v>
      </c>
      <c r="E103" s="5">
        <v>11008</v>
      </c>
      <c r="F103" s="5">
        <v>8192</v>
      </c>
      <c r="G103" s="5">
        <v>4252180</v>
      </c>
      <c r="I103" s="5">
        <v>6629635</v>
      </c>
      <c r="J103" s="5">
        <v>6698623</v>
      </c>
      <c r="L103" s="5">
        <v>5422039</v>
      </c>
      <c r="M103" s="25">
        <f t="shared" si="7"/>
        <v>2.2310994496680437E-2</v>
      </c>
      <c r="N103" s="5">
        <v>5414815</v>
      </c>
      <c r="O103" s="25">
        <f t="shared" si="8"/>
        <v>1.0434345984241837E-2</v>
      </c>
      <c r="Q103" s="5">
        <v>3621100</v>
      </c>
      <c r="R103" s="25">
        <f t="shared" si="9"/>
        <v>9.2397997778158228E-2</v>
      </c>
      <c r="S103" s="5">
        <v>3648825</v>
      </c>
      <c r="T103" s="25">
        <f t="shared" si="10"/>
        <v>8.9425393845869519E-2</v>
      </c>
    </row>
    <row r="104" spans="1:20" x14ac:dyDescent="0.3">
      <c r="A104" s="15"/>
      <c r="B104" s="5">
        <v>16</v>
      </c>
      <c r="C104" s="5">
        <v>511</v>
      </c>
      <c r="D104" s="5">
        <v>8176</v>
      </c>
      <c r="E104" s="5">
        <v>11008</v>
      </c>
      <c r="F104" s="5">
        <v>8192</v>
      </c>
      <c r="G104" s="5">
        <v>8686916</v>
      </c>
      <c r="I104" s="5">
        <v>15399290</v>
      </c>
      <c r="J104" s="5">
        <v>15798214</v>
      </c>
      <c r="L104" s="5">
        <v>12889723</v>
      </c>
      <c r="M104" s="25">
        <f t="shared" si="7"/>
        <v>4.6291988137115415E-2</v>
      </c>
      <c r="N104" s="5">
        <v>12510303</v>
      </c>
      <c r="O104" s="25">
        <f t="shared" si="8"/>
        <v>-1.014894784942146E-2</v>
      </c>
      <c r="Q104" s="5">
        <v>8005143</v>
      </c>
      <c r="R104" s="25">
        <f t="shared" si="9"/>
        <v>3.9676894194472602E-2</v>
      </c>
      <c r="S104" s="5">
        <v>7964045</v>
      </c>
      <c r="T104" s="25">
        <f t="shared" si="10"/>
        <v>8.2209292771955114E-3</v>
      </c>
    </row>
    <row r="105" spans="1:20" x14ac:dyDescent="0.3">
      <c r="A105" s="15"/>
      <c r="B105" s="5">
        <v>16</v>
      </c>
      <c r="C105" s="5">
        <v>1023</v>
      </c>
      <c r="D105" s="5">
        <v>16368</v>
      </c>
      <c r="E105" s="5">
        <v>11008</v>
      </c>
      <c r="F105" s="5">
        <v>8192</v>
      </c>
      <c r="G105" s="5">
        <v>16549263</v>
      </c>
      <c r="I105" s="5">
        <v>31352701</v>
      </c>
      <c r="J105" s="5">
        <v>30843614</v>
      </c>
      <c r="L105" s="5">
        <v>24968043</v>
      </c>
      <c r="M105" s="25">
        <f t="shared" si="7"/>
        <v>-4.5497595247057021E-3</v>
      </c>
      <c r="N105" s="5">
        <v>25112025</v>
      </c>
      <c r="O105" s="25">
        <f t="shared" si="8"/>
        <v>1.7715733636142639E-2</v>
      </c>
      <c r="Q105" s="5">
        <v>15889873</v>
      </c>
      <c r="R105" s="25">
        <f t="shared" si="9"/>
        <v>1.3620676572649993E-2</v>
      </c>
      <c r="S105" s="5">
        <v>16160626</v>
      </c>
      <c r="T105" s="25">
        <f t="shared" si="10"/>
        <v>4.7907420965649483E-2</v>
      </c>
    </row>
    <row r="106" spans="1:20" x14ac:dyDescent="0.3">
      <c r="A106" s="15"/>
      <c r="B106" s="5">
        <v>32</v>
      </c>
      <c r="C106" s="5">
        <v>255</v>
      </c>
      <c r="D106" s="5">
        <v>8160</v>
      </c>
      <c r="E106" s="5">
        <v>11008</v>
      </c>
      <c r="F106" s="5">
        <v>8192</v>
      </c>
      <c r="G106" s="5">
        <v>8283855</v>
      </c>
      <c r="I106" s="5">
        <v>13472015</v>
      </c>
      <c r="J106" s="5">
        <v>13486792</v>
      </c>
      <c r="L106" s="5">
        <v>10976511</v>
      </c>
      <c r="M106" s="25">
        <f t="shared" si="7"/>
        <v>1.8454830253677716E-2</v>
      </c>
      <c r="N106" s="5">
        <v>10900949</v>
      </c>
      <c r="O106" s="25">
        <f t="shared" si="8"/>
        <v>1.0335612056595816E-2</v>
      </c>
      <c r="Q106" s="5">
        <v>7325018</v>
      </c>
      <c r="R106" s="25">
        <f t="shared" si="9"/>
        <v>8.7442079005998735E-2</v>
      </c>
      <c r="S106" s="5">
        <v>7377103</v>
      </c>
      <c r="T106" s="25">
        <f t="shared" si="10"/>
        <v>9.3974460346092678E-2</v>
      </c>
    </row>
    <row r="107" spans="1:20" x14ac:dyDescent="0.3">
      <c r="A107" s="15"/>
      <c r="B107" s="5">
        <v>32</v>
      </c>
      <c r="C107" s="5">
        <v>511</v>
      </c>
      <c r="D107" s="5">
        <v>16352</v>
      </c>
      <c r="E107" s="5">
        <v>11008</v>
      </c>
      <c r="F107" s="5">
        <v>8192</v>
      </c>
      <c r="G107" s="5">
        <v>16092683</v>
      </c>
      <c r="I107" s="5">
        <v>31605448</v>
      </c>
      <c r="J107" s="5">
        <v>31210484</v>
      </c>
      <c r="L107" s="5">
        <v>25252635</v>
      </c>
      <c r="M107" s="25">
        <f t="shared" si="7"/>
        <v>-1.2546650185119982E-3</v>
      </c>
      <c r="N107" s="5">
        <v>25062159</v>
      </c>
      <c r="O107" s="25">
        <f t="shared" si="8"/>
        <v>3.7556210278571777E-3</v>
      </c>
      <c r="Q107" s="5">
        <v>15751704</v>
      </c>
      <c r="R107" s="25">
        <f t="shared" si="9"/>
        <v>-3.2285573044242245E-3</v>
      </c>
      <c r="S107" s="5">
        <v>15791786</v>
      </c>
      <c r="T107" s="25">
        <f t="shared" si="10"/>
        <v>1.1953931890322496E-2</v>
      </c>
    </row>
    <row r="108" spans="1:20" x14ac:dyDescent="0.3">
      <c r="A108" s="15"/>
      <c r="B108" s="5">
        <v>32</v>
      </c>
      <c r="C108" s="5">
        <v>1023</v>
      </c>
      <c r="D108" s="5">
        <v>32736</v>
      </c>
      <c r="E108" s="5">
        <v>11008</v>
      </c>
      <c r="F108" s="5">
        <v>8192</v>
      </c>
      <c r="G108" s="5">
        <v>32213903</v>
      </c>
      <c r="I108" s="5">
        <v>59002702</v>
      </c>
      <c r="J108" s="5">
        <v>62115508</v>
      </c>
      <c r="L108" s="5">
        <v>49436403</v>
      </c>
      <c r="M108" s="25">
        <f t="shared" si="7"/>
        <v>4.7333455169561556E-2</v>
      </c>
      <c r="N108" s="5">
        <v>47810082</v>
      </c>
      <c r="O108" s="25">
        <f t="shared" si="8"/>
        <v>-3.7879517945824413E-2</v>
      </c>
      <c r="Q108" s="5">
        <v>31706257</v>
      </c>
      <c r="R108" s="25">
        <f t="shared" si="9"/>
        <v>7.4739153471310521E-2</v>
      </c>
      <c r="S108" s="5">
        <v>31494597</v>
      </c>
      <c r="T108" s="25">
        <f t="shared" si="10"/>
        <v>1.4065505187529014E-2</v>
      </c>
    </row>
    <row r="109" spans="1:20" x14ac:dyDescent="0.3">
      <c r="A109" s="15"/>
      <c r="B109" s="5">
        <v>64</v>
      </c>
      <c r="C109" s="5">
        <v>255</v>
      </c>
      <c r="D109" s="5">
        <v>16320</v>
      </c>
      <c r="E109" s="5">
        <v>11008</v>
      </c>
      <c r="F109" s="5">
        <v>8192</v>
      </c>
      <c r="G109" s="5">
        <v>15843641</v>
      </c>
      <c r="I109" s="5">
        <v>27086612</v>
      </c>
      <c r="J109" s="5">
        <v>26993645</v>
      </c>
      <c r="L109" s="5">
        <v>21880316</v>
      </c>
      <c r="M109" s="25">
        <f t="shared" si="7"/>
        <v>9.7385010720425283E-3</v>
      </c>
      <c r="N109" s="5">
        <v>21922352</v>
      </c>
      <c r="O109" s="25">
        <f t="shared" si="8"/>
        <v>1.5162642910951818E-2</v>
      </c>
      <c r="Q109" s="5">
        <v>14734991</v>
      </c>
      <c r="R109" s="25">
        <f t="shared" si="9"/>
        <v>8.7990701827160955E-2</v>
      </c>
      <c r="S109" s="5">
        <v>14615393</v>
      </c>
      <c r="T109" s="25">
        <f t="shared" si="10"/>
        <v>8.2876580765583893E-2</v>
      </c>
    </row>
    <row r="110" spans="1:20" x14ac:dyDescent="0.3">
      <c r="A110" s="15"/>
      <c r="B110" s="5">
        <v>64</v>
      </c>
      <c r="C110" s="5">
        <v>511</v>
      </c>
      <c r="D110" s="5">
        <v>32704</v>
      </c>
      <c r="E110" s="5">
        <v>11008</v>
      </c>
      <c r="F110" s="5">
        <v>8192</v>
      </c>
      <c r="G110" s="5">
        <v>32079198</v>
      </c>
      <c r="I110" s="5">
        <v>62386891</v>
      </c>
      <c r="J110" s="5">
        <v>62266673</v>
      </c>
      <c r="L110" s="5">
        <v>50062452</v>
      </c>
      <c r="M110" s="25">
        <f t="shared" si="7"/>
        <v>3.064329652202095E-3</v>
      </c>
      <c r="N110" s="5">
        <v>49348773</v>
      </c>
      <c r="O110" s="25">
        <f t="shared" si="8"/>
        <v>-9.3261245867432164E-3</v>
      </c>
      <c r="Q110" s="5">
        <v>31566601</v>
      </c>
      <c r="R110" s="25">
        <f>(Q110/0.5-I110)/I110</f>
        <v>1.1962625289341635E-2</v>
      </c>
      <c r="S110" s="5">
        <v>31467672</v>
      </c>
      <c r="T110" s="25">
        <f t="shared" si="10"/>
        <v>1.0738826530847409E-2</v>
      </c>
    </row>
    <row r="111" spans="1:20" x14ac:dyDescent="0.3">
      <c r="A111" s="15"/>
      <c r="B111" s="5">
        <v>64</v>
      </c>
      <c r="C111" s="5">
        <v>1023</v>
      </c>
      <c r="D111" s="5">
        <v>65472</v>
      </c>
      <c r="E111" s="5">
        <v>11008</v>
      </c>
      <c r="F111" s="5">
        <v>8192</v>
      </c>
      <c r="G111" s="5">
        <v>63039627</v>
      </c>
      <c r="I111" s="5">
        <v>117927708</v>
      </c>
      <c r="J111" s="5">
        <v>121392525</v>
      </c>
      <c r="L111" s="5">
        <v>96881666</v>
      </c>
      <c r="M111" s="25">
        <f t="shared" si="7"/>
        <v>2.6917969948165192E-2</v>
      </c>
      <c r="N111" s="5">
        <v>96591239</v>
      </c>
      <c r="O111" s="25">
        <f t="shared" si="8"/>
        <v>-5.3831671266414468E-3</v>
      </c>
      <c r="Q111" s="5">
        <v>61876504</v>
      </c>
      <c r="R111" s="25">
        <f t="shared" ref="R111:R152" si="11">(Q111/0.5-I111)/I111</f>
        <v>4.9397212061477527E-2</v>
      </c>
      <c r="S111" s="5">
        <v>62662820</v>
      </c>
      <c r="T111" s="25">
        <f t="shared" si="10"/>
        <v>3.2399976851951964E-2</v>
      </c>
    </row>
    <row r="112" spans="1:20" x14ac:dyDescent="0.3">
      <c r="A112" s="15"/>
      <c r="B112" s="5">
        <v>128</v>
      </c>
      <c r="C112" s="5">
        <v>255</v>
      </c>
      <c r="D112" s="5">
        <v>32640</v>
      </c>
      <c r="E112" s="5">
        <v>11008</v>
      </c>
      <c r="F112" s="5">
        <v>8192</v>
      </c>
      <c r="G112" s="5">
        <v>31802484</v>
      </c>
      <c r="I112" s="5">
        <v>54563096</v>
      </c>
      <c r="J112" s="5">
        <v>54152829</v>
      </c>
      <c r="L112" s="5">
        <v>44041764</v>
      </c>
      <c r="M112" s="25">
        <f t="shared" si="7"/>
        <v>8.9640991046402493E-3</v>
      </c>
      <c r="N112" s="5">
        <v>44127659</v>
      </c>
      <c r="O112" s="25">
        <f t="shared" si="8"/>
        <v>1.8590806216236645E-2</v>
      </c>
      <c r="Q112" s="5">
        <v>29385924</v>
      </c>
      <c r="R112" s="25">
        <f t="shared" si="11"/>
        <v>7.7135505653858058E-2</v>
      </c>
      <c r="S112" s="5">
        <v>29347491</v>
      </c>
      <c r="T112" s="25">
        <f t="shared" si="10"/>
        <v>8.3876559800781597E-2</v>
      </c>
    </row>
    <row r="113" spans="1:25" x14ac:dyDescent="0.3">
      <c r="A113" s="15"/>
      <c r="B113" s="5">
        <v>128</v>
      </c>
      <c r="C113" s="5">
        <v>511</v>
      </c>
      <c r="D113" s="5">
        <v>65408</v>
      </c>
      <c r="E113" s="5">
        <v>11008</v>
      </c>
      <c r="F113" s="5">
        <v>8192</v>
      </c>
      <c r="G113" s="5">
        <v>64052226</v>
      </c>
      <c r="I113" s="5">
        <v>117315014</v>
      </c>
      <c r="J113" s="5">
        <v>122219027</v>
      </c>
      <c r="L113" s="5">
        <v>96515034</v>
      </c>
      <c r="M113" s="25">
        <f t="shared" si="7"/>
        <v>2.8374701468304817E-2</v>
      </c>
      <c r="N113" s="5">
        <v>94911400</v>
      </c>
      <c r="O113" s="25">
        <f t="shared" si="8"/>
        <v>-2.9289850262021803E-2</v>
      </c>
      <c r="Q113" s="5">
        <v>62151022</v>
      </c>
      <c r="R113" s="25">
        <f t="shared" si="11"/>
        <v>5.955784994408303E-2</v>
      </c>
      <c r="S113" s="5">
        <v>62140975</v>
      </c>
      <c r="T113" s="25">
        <f t="shared" si="10"/>
        <v>1.6878902169626994E-2</v>
      </c>
    </row>
    <row r="114" spans="1:25" x14ac:dyDescent="0.3">
      <c r="A114" s="15"/>
      <c r="B114" s="5">
        <v>128</v>
      </c>
      <c r="C114" s="5">
        <v>1023</v>
      </c>
      <c r="D114" s="5">
        <v>130944</v>
      </c>
      <c r="E114" s="5">
        <v>11008</v>
      </c>
      <c r="F114" s="5">
        <v>8192</v>
      </c>
      <c r="G114" s="5">
        <v>129726691</v>
      </c>
      <c r="I114" s="5">
        <v>236781371</v>
      </c>
      <c r="J114" s="5">
        <v>235573820</v>
      </c>
      <c r="L114" s="5">
        <v>189823284</v>
      </c>
      <c r="M114" s="25">
        <f t="shared" si="7"/>
        <v>2.102082600070763E-3</v>
      </c>
      <c r="N114" s="5">
        <v>188415446</v>
      </c>
      <c r="O114" s="25">
        <f t="shared" si="8"/>
        <v>-2.3140304809761967E-4</v>
      </c>
      <c r="Q114" s="5">
        <v>122861854</v>
      </c>
      <c r="R114" s="25">
        <f t="shared" si="11"/>
        <v>3.7766218525696435E-2</v>
      </c>
      <c r="S114" s="5">
        <v>122898752</v>
      </c>
      <c r="T114" s="25">
        <f t="shared" si="10"/>
        <v>4.3399067010077778E-2</v>
      </c>
    </row>
    <row r="115" spans="1:25" x14ac:dyDescent="0.3">
      <c r="A115" s="7"/>
      <c r="M115" s="25"/>
      <c r="O115" s="25"/>
      <c r="R115" s="25"/>
      <c r="T115" s="25"/>
    </row>
    <row r="116" spans="1:25" x14ac:dyDescent="0.3">
      <c r="A116" s="7"/>
      <c r="M116" s="25"/>
      <c r="O116" s="25"/>
      <c r="R116" s="25"/>
      <c r="T116" s="25"/>
    </row>
    <row r="117" spans="1:25" x14ac:dyDescent="0.3">
      <c r="A117" s="14" t="s">
        <v>10</v>
      </c>
      <c r="B117" s="4">
        <v>1</v>
      </c>
      <c r="C117" s="4">
        <v>255</v>
      </c>
      <c r="D117" s="4">
        <v>255</v>
      </c>
      <c r="E117" s="4">
        <v>2048</v>
      </c>
      <c r="F117" s="4">
        <v>8192</v>
      </c>
      <c r="G117" s="4">
        <v>85462</v>
      </c>
      <c r="I117" s="5">
        <v>87515</v>
      </c>
      <c r="J117" s="5">
        <v>119718</v>
      </c>
      <c r="L117" s="5">
        <v>83820</v>
      </c>
      <c r="M117" s="25">
        <f t="shared" si="7"/>
        <v>0.19722333314288978</v>
      </c>
      <c r="N117" s="5">
        <v>109175</v>
      </c>
      <c r="O117" s="25">
        <f t="shared" si="8"/>
        <v>0.13991839155348401</v>
      </c>
      <c r="Q117" s="5">
        <v>78745</v>
      </c>
      <c r="R117" s="25">
        <f t="shared" si="11"/>
        <v>0.79957721533451409</v>
      </c>
      <c r="S117" s="5">
        <v>95904</v>
      </c>
      <c r="T117" s="25">
        <f t="shared" si="10"/>
        <v>0.60216508795669821</v>
      </c>
      <c r="V117" s="5">
        <v>57229</v>
      </c>
      <c r="W117" s="10">
        <f>(V117-I117)/I117</f>
        <v>-0.34606638861909389</v>
      </c>
      <c r="X117" s="5">
        <v>83156</v>
      </c>
      <c r="Y117" s="10">
        <f>(X117-J117)/J117</f>
        <v>-0.30540102574383132</v>
      </c>
    </row>
    <row r="118" spans="1:25" x14ac:dyDescent="0.3">
      <c r="A118" s="15"/>
      <c r="B118" s="5">
        <v>1</v>
      </c>
      <c r="C118" s="5">
        <v>511</v>
      </c>
      <c r="D118" s="5">
        <v>511</v>
      </c>
      <c r="E118" s="5">
        <v>2048</v>
      </c>
      <c r="F118" s="5">
        <v>8192</v>
      </c>
      <c r="G118" s="5">
        <v>129152</v>
      </c>
      <c r="I118" s="5">
        <v>137259</v>
      </c>
      <c r="J118" s="5">
        <v>161181</v>
      </c>
      <c r="L118" s="5">
        <v>132857</v>
      </c>
      <c r="M118" s="25">
        <f t="shared" si="7"/>
        <v>0.20991155406931422</v>
      </c>
      <c r="N118" s="5">
        <v>151740</v>
      </c>
      <c r="O118" s="25">
        <f t="shared" si="8"/>
        <v>0.17678262326204702</v>
      </c>
      <c r="Q118" s="5">
        <v>125734</v>
      </c>
      <c r="R118" s="25">
        <f t="shared" si="11"/>
        <v>0.83206929964519627</v>
      </c>
      <c r="S118" s="5">
        <v>138371</v>
      </c>
      <c r="T118" s="25">
        <f t="shared" si="10"/>
        <v>0.71696415830650018</v>
      </c>
      <c r="V118" s="5">
        <v>90266</v>
      </c>
      <c r="W118" s="10">
        <f t="shared" ref="W118:W152" si="12">(V118-I118)/I118</f>
        <v>-0.34236734931771323</v>
      </c>
      <c r="X118" s="5">
        <v>113820</v>
      </c>
      <c r="Y118" s="10">
        <f t="shared" ref="Y118:Y152" si="13">(X118-J118)/J118</f>
        <v>-0.29383736296461743</v>
      </c>
    </row>
    <row r="119" spans="1:25" x14ac:dyDescent="0.3">
      <c r="A119" s="15"/>
      <c r="B119" s="5">
        <v>1</v>
      </c>
      <c r="C119" s="5">
        <v>1023</v>
      </c>
      <c r="D119" s="5">
        <v>1023</v>
      </c>
      <c r="E119" s="5">
        <v>2048</v>
      </c>
      <c r="F119" s="5">
        <v>8192</v>
      </c>
      <c r="G119" s="5">
        <v>216533</v>
      </c>
      <c r="I119" s="5">
        <v>230176</v>
      </c>
      <c r="J119" s="5">
        <v>246005</v>
      </c>
      <c r="L119" s="5">
        <v>221140</v>
      </c>
      <c r="M119" s="25">
        <f t="shared" si="7"/>
        <v>0.20092885444181843</v>
      </c>
      <c r="N119" s="5">
        <v>234127</v>
      </c>
      <c r="O119" s="25">
        <f t="shared" si="8"/>
        <v>0.18964553565984432</v>
      </c>
      <c r="Q119" s="5">
        <v>210700</v>
      </c>
      <c r="R119" s="25">
        <f t="shared" si="11"/>
        <v>0.83077297372445436</v>
      </c>
      <c r="S119" s="5">
        <v>221183</v>
      </c>
      <c r="T119" s="25">
        <f t="shared" si="10"/>
        <v>0.79819922359301643</v>
      </c>
      <c r="V119" s="5">
        <v>162418</v>
      </c>
      <c r="W119" s="10">
        <f t="shared" si="12"/>
        <v>-0.2943747393299041</v>
      </c>
      <c r="X119" s="5">
        <v>176044</v>
      </c>
      <c r="Y119" s="10">
        <f t="shared" si="13"/>
        <v>-0.28438852868844128</v>
      </c>
    </row>
    <row r="120" spans="1:25" x14ac:dyDescent="0.3">
      <c r="A120" s="15"/>
      <c r="B120" s="5">
        <v>8</v>
      </c>
      <c r="C120" s="5">
        <v>255</v>
      </c>
      <c r="D120" s="5">
        <v>2040</v>
      </c>
      <c r="E120" s="5">
        <v>2048</v>
      </c>
      <c r="F120" s="5">
        <v>8192</v>
      </c>
      <c r="G120" s="5">
        <v>390102</v>
      </c>
      <c r="I120" s="5">
        <v>432822</v>
      </c>
      <c r="J120" s="5">
        <v>420325</v>
      </c>
      <c r="L120" s="5">
        <v>403713</v>
      </c>
      <c r="M120" s="25">
        <f t="shared" si="7"/>
        <v>0.16593253115599485</v>
      </c>
      <c r="N120" s="5">
        <v>390314</v>
      </c>
      <c r="O120" s="25">
        <f t="shared" si="8"/>
        <v>0.16075060964729673</v>
      </c>
      <c r="Q120" s="5">
        <v>366015</v>
      </c>
      <c r="R120" s="25">
        <f t="shared" si="11"/>
        <v>0.69129572896017299</v>
      </c>
      <c r="S120" s="5">
        <v>367289</v>
      </c>
      <c r="T120" s="25">
        <f t="shared" si="10"/>
        <v>0.74764289537857609</v>
      </c>
      <c r="V120" s="5">
        <v>334806</v>
      </c>
      <c r="W120" s="10">
        <f t="shared" si="12"/>
        <v>-0.22645798965856634</v>
      </c>
      <c r="X120" s="5">
        <v>304858</v>
      </c>
      <c r="Y120" s="10">
        <f t="shared" si="13"/>
        <v>-0.27470885624219354</v>
      </c>
    </row>
    <row r="121" spans="1:25" x14ac:dyDescent="0.3">
      <c r="A121" s="15"/>
      <c r="B121" s="5">
        <v>8</v>
      </c>
      <c r="C121" s="5">
        <v>511</v>
      </c>
      <c r="D121" s="5">
        <v>4088</v>
      </c>
      <c r="E121" s="5">
        <v>2048</v>
      </c>
      <c r="F121" s="5">
        <v>8192</v>
      </c>
      <c r="G121" s="5">
        <v>739627</v>
      </c>
      <c r="I121" s="5">
        <v>827128</v>
      </c>
      <c r="J121" s="5">
        <v>811157</v>
      </c>
      <c r="L121" s="5">
        <v>759514</v>
      </c>
      <c r="M121" s="25">
        <f t="shared" si="7"/>
        <v>0.14781811279511756</v>
      </c>
      <c r="N121" s="5">
        <v>744922</v>
      </c>
      <c r="O121" s="25">
        <f t="shared" si="8"/>
        <v>0.14793128827095126</v>
      </c>
      <c r="Q121" s="5">
        <v>698805</v>
      </c>
      <c r="R121" s="25">
        <f t="shared" si="11"/>
        <v>0.68971428847772054</v>
      </c>
      <c r="S121" s="5">
        <v>697597</v>
      </c>
      <c r="T121" s="25">
        <f t="shared" si="10"/>
        <v>0.72000488191558476</v>
      </c>
      <c r="V121" s="5">
        <v>678968</v>
      </c>
      <c r="W121" s="10">
        <f t="shared" si="12"/>
        <v>-0.17912584267489434</v>
      </c>
      <c r="X121" s="5">
        <v>625456</v>
      </c>
      <c r="Y121" s="10">
        <f t="shared" si="13"/>
        <v>-0.22893348636577135</v>
      </c>
    </row>
    <row r="122" spans="1:25" x14ac:dyDescent="0.3">
      <c r="A122" s="15"/>
      <c r="B122" s="5">
        <v>8</v>
      </c>
      <c r="C122" s="5">
        <v>1023</v>
      </c>
      <c r="D122" s="5">
        <v>8184</v>
      </c>
      <c r="E122" s="5">
        <v>2048</v>
      </c>
      <c r="F122" s="5">
        <v>8192</v>
      </c>
      <c r="G122" s="5">
        <v>1438677</v>
      </c>
      <c r="I122" s="5">
        <v>1756764</v>
      </c>
      <c r="J122" s="5">
        <v>1749456</v>
      </c>
      <c r="L122" s="5">
        <v>1541457</v>
      </c>
      <c r="M122" s="25">
        <f t="shared" si="7"/>
        <v>9.6801420111067848E-2</v>
      </c>
      <c r="N122" s="5">
        <v>1526001</v>
      </c>
      <c r="O122" s="25">
        <f t="shared" si="8"/>
        <v>9.0339654155348864E-2</v>
      </c>
      <c r="Q122" s="5">
        <v>1353835</v>
      </c>
      <c r="R122" s="25">
        <f t="shared" si="11"/>
        <v>0.54128272209585349</v>
      </c>
      <c r="S122" s="5">
        <v>1354223</v>
      </c>
      <c r="T122" s="25">
        <f t="shared" si="10"/>
        <v>0.54816468662258444</v>
      </c>
      <c r="V122" s="5">
        <v>1652166</v>
      </c>
      <c r="W122" s="10">
        <f t="shared" si="12"/>
        <v>-5.9540154511362936E-2</v>
      </c>
      <c r="X122" s="5">
        <v>1555413</v>
      </c>
      <c r="Y122" s="10">
        <f t="shared" si="13"/>
        <v>-0.11091619337668396</v>
      </c>
    </row>
    <row r="123" spans="1:25" x14ac:dyDescent="0.3">
      <c r="A123" s="15"/>
      <c r="B123" s="5">
        <v>16</v>
      </c>
      <c r="C123" s="5">
        <v>255</v>
      </c>
      <c r="D123" s="5">
        <v>4080</v>
      </c>
      <c r="E123" s="5">
        <v>2048</v>
      </c>
      <c r="F123" s="5">
        <v>8192</v>
      </c>
      <c r="G123" s="5">
        <v>738262</v>
      </c>
      <c r="I123" s="5">
        <v>820860</v>
      </c>
      <c r="J123" s="5">
        <v>822347</v>
      </c>
      <c r="L123" s="5">
        <v>759976</v>
      </c>
      <c r="M123" s="25">
        <f t="shared" si="7"/>
        <v>0.15728626075091975</v>
      </c>
      <c r="N123" s="5">
        <v>738325</v>
      </c>
      <c r="O123" s="25">
        <f t="shared" si="8"/>
        <v>0.12228323323365926</v>
      </c>
      <c r="Q123" s="5">
        <v>698338</v>
      </c>
      <c r="R123" s="25">
        <f t="shared" si="11"/>
        <v>0.70147893672489825</v>
      </c>
      <c r="S123" s="5">
        <v>692381</v>
      </c>
      <c r="T123" s="25">
        <f t="shared" si="10"/>
        <v>0.68391445460371347</v>
      </c>
      <c r="V123" s="5">
        <v>669611</v>
      </c>
      <c r="W123" s="10">
        <f t="shared" si="12"/>
        <v>-0.18425675511049389</v>
      </c>
      <c r="X123" s="5">
        <v>632842</v>
      </c>
      <c r="Y123" s="10">
        <f t="shared" si="13"/>
        <v>-0.23044408260746377</v>
      </c>
    </row>
    <row r="124" spans="1:25" x14ac:dyDescent="0.3">
      <c r="A124" s="15"/>
      <c r="B124" s="5">
        <v>16</v>
      </c>
      <c r="C124" s="5">
        <v>511</v>
      </c>
      <c r="D124" s="5">
        <v>8176</v>
      </c>
      <c r="E124" s="5">
        <v>2048</v>
      </c>
      <c r="F124" s="5">
        <v>8192</v>
      </c>
      <c r="G124" s="5">
        <v>1437312</v>
      </c>
      <c r="I124" s="5">
        <v>1826903</v>
      </c>
      <c r="J124" s="5">
        <v>1758118</v>
      </c>
      <c r="L124" s="5">
        <v>1552132</v>
      </c>
      <c r="M124" s="25">
        <f t="shared" si="7"/>
        <v>6.1996723416623649E-2</v>
      </c>
      <c r="N124" s="5">
        <v>1538779</v>
      </c>
      <c r="O124" s="25">
        <f t="shared" si="8"/>
        <v>9.4052702947128697E-2</v>
      </c>
      <c r="Q124" s="5">
        <v>1351584</v>
      </c>
      <c r="R124" s="25">
        <f t="shared" si="11"/>
        <v>0.47964506052045458</v>
      </c>
      <c r="S124" s="5">
        <v>1349077</v>
      </c>
      <c r="T124" s="25">
        <f t="shared" si="10"/>
        <v>0.53468311000740565</v>
      </c>
      <c r="V124" s="5">
        <v>1575057</v>
      </c>
      <c r="W124" s="10">
        <f t="shared" si="12"/>
        <v>-0.13785406231201108</v>
      </c>
      <c r="X124" s="5">
        <v>1547953</v>
      </c>
      <c r="Y124" s="10">
        <f t="shared" si="13"/>
        <v>-0.119539757854706</v>
      </c>
    </row>
    <row r="125" spans="1:25" x14ac:dyDescent="0.3">
      <c r="A125" s="15"/>
      <c r="B125" s="5">
        <v>16</v>
      </c>
      <c r="C125" s="5">
        <v>1023</v>
      </c>
      <c r="D125" s="5">
        <v>16368</v>
      </c>
      <c r="E125" s="5">
        <v>2048</v>
      </c>
      <c r="F125" s="5">
        <v>8192</v>
      </c>
      <c r="G125" s="5">
        <v>2835413</v>
      </c>
      <c r="I125" s="5">
        <v>3389928</v>
      </c>
      <c r="J125" s="5">
        <v>3407409</v>
      </c>
      <c r="L125" s="5">
        <v>3010198</v>
      </c>
      <c r="M125" s="25">
        <f t="shared" si="7"/>
        <v>0.10997858951576553</v>
      </c>
      <c r="N125" s="5">
        <v>3015332</v>
      </c>
      <c r="O125" s="25">
        <f t="shared" si="8"/>
        <v>0.10616747211737716</v>
      </c>
      <c r="Q125" s="5">
        <v>2678999</v>
      </c>
      <c r="R125" s="25">
        <f t="shared" si="11"/>
        <v>0.58056395298071228</v>
      </c>
      <c r="S125" s="5">
        <v>2678953</v>
      </c>
      <c r="T125" s="25">
        <f t="shared" si="10"/>
        <v>0.57242819984334137</v>
      </c>
      <c r="V125" s="5">
        <v>3205429</v>
      </c>
      <c r="W125" s="10">
        <f t="shared" si="12"/>
        <v>-5.442563971860169E-2</v>
      </c>
      <c r="X125" s="5">
        <v>3127560</v>
      </c>
      <c r="Y125" s="10">
        <f t="shared" si="13"/>
        <v>-8.2129559439445041E-2</v>
      </c>
    </row>
    <row r="126" spans="1:25" x14ac:dyDescent="0.3">
      <c r="A126" s="15"/>
      <c r="B126" s="5">
        <v>32</v>
      </c>
      <c r="C126" s="5">
        <v>255</v>
      </c>
      <c r="D126" s="5">
        <v>8160</v>
      </c>
      <c r="E126" s="5">
        <v>2048</v>
      </c>
      <c r="F126" s="5">
        <v>8192</v>
      </c>
      <c r="G126" s="5">
        <v>1434582</v>
      </c>
      <c r="I126" s="5">
        <v>1582186</v>
      </c>
      <c r="J126" s="5">
        <v>1534233</v>
      </c>
      <c r="L126" s="5">
        <v>1479861</v>
      </c>
      <c r="M126" s="25">
        <f t="shared" si="7"/>
        <v>0.16915852497746789</v>
      </c>
      <c r="N126" s="5">
        <v>1443363</v>
      </c>
      <c r="O126" s="25">
        <f t="shared" si="8"/>
        <v>0.17596463509779806</v>
      </c>
      <c r="Q126" s="5">
        <v>1363231</v>
      </c>
      <c r="R126" s="25">
        <f t="shared" si="11"/>
        <v>0.72322470303744313</v>
      </c>
      <c r="S126" s="5">
        <v>1363390</v>
      </c>
      <c r="T126" s="25">
        <f t="shared" si="10"/>
        <v>0.77729197586025067</v>
      </c>
      <c r="V126" s="5">
        <v>1316767</v>
      </c>
      <c r="W126" s="10">
        <f t="shared" si="12"/>
        <v>-0.16775461292161603</v>
      </c>
      <c r="X126" s="5">
        <v>1266596</v>
      </c>
      <c r="Y126" s="10">
        <f t="shared" si="13"/>
        <v>-0.17444351672790248</v>
      </c>
    </row>
    <row r="127" spans="1:25" x14ac:dyDescent="0.3">
      <c r="A127" s="15"/>
      <c r="B127" s="5">
        <v>32</v>
      </c>
      <c r="C127" s="5">
        <v>511</v>
      </c>
      <c r="D127" s="5">
        <v>16352</v>
      </c>
      <c r="E127" s="5">
        <v>2048</v>
      </c>
      <c r="F127" s="5">
        <v>8192</v>
      </c>
      <c r="G127" s="5">
        <v>2832683</v>
      </c>
      <c r="I127" s="5">
        <v>3402622</v>
      </c>
      <c r="J127" s="5">
        <v>3415138</v>
      </c>
      <c r="L127" s="5">
        <v>3028682</v>
      </c>
      <c r="M127" s="25">
        <f t="shared" si="7"/>
        <v>0.11262799688005309</v>
      </c>
      <c r="N127" s="5">
        <v>3005272</v>
      </c>
      <c r="O127" s="25">
        <f t="shared" si="8"/>
        <v>9.9981904098750921E-2</v>
      </c>
      <c r="Q127" s="5">
        <v>2671967</v>
      </c>
      <c r="R127" s="25">
        <f t="shared" si="11"/>
        <v>0.57053413514636653</v>
      </c>
      <c r="S127" s="5">
        <v>2669955</v>
      </c>
      <c r="T127" s="25">
        <f t="shared" si="10"/>
        <v>0.56360006535607055</v>
      </c>
      <c r="V127" s="5">
        <v>3240786</v>
      </c>
      <c r="W127" s="10">
        <f t="shared" si="12"/>
        <v>-4.7562144722511052E-2</v>
      </c>
      <c r="X127" s="5">
        <v>3156508</v>
      </c>
      <c r="Y127" s="10">
        <f t="shared" si="13"/>
        <v>-7.5730468285615402E-2</v>
      </c>
    </row>
    <row r="128" spans="1:25" x14ac:dyDescent="0.3">
      <c r="A128" s="15"/>
      <c r="B128" s="5">
        <v>32</v>
      </c>
      <c r="C128" s="5">
        <v>1023</v>
      </c>
      <c r="D128" s="5">
        <v>32736</v>
      </c>
      <c r="E128" s="5">
        <v>2048</v>
      </c>
      <c r="F128" s="5">
        <v>8192</v>
      </c>
      <c r="G128" s="5">
        <v>5628885</v>
      </c>
      <c r="I128" s="5">
        <v>6767578</v>
      </c>
      <c r="J128" s="5">
        <v>6633600</v>
      </c>
      <c r="L128" s="5">
        <v>5953349</v>
      </c>
      <c r="M128" s="25">
        <f t="shared" si="7"/>
        <v>9.9608493614702337E-2</v>
      </c>
      <c r="N128" s="5">
        <v>5929043</v>
      </c>
      <c r="O128" s="25">
        <f t="shared" si="8"/>
        <v>0.1172370583092137</v>
      </c>
      <c r="Q128" s="5">
        <v>5328912</v>
      </c>
      <c r="R128" s="25">
        <f t="shared" si="11"/>
        <v>0.57483578320043005</v>
      </c>
      <c r="S128" s="5">
        <v>5279056</v>
      </c>
      <c r="T128" s="25">
        <f t="shared" si="10"/>
        <v>0.59161119150988906</v>
      </c>
      <c r="V128" s="5">
        <v>6210784</v>
      </c>
      <c r="W128" s="10">
        <f t="shared" si="12"/>
        <v>-8.2273746974175985E-2</v>
      </c>
      <c r="X128" s="5">
        <v>6185011</v>
      </c>
      <c r="Y128" s="10">
        <f t="shared" si="13"/>
        <v>-6.7623763868789197E-2</v>
      </c>
    </row>
    <row r="129" spans="1:25" x14ac:dyDescent="0.3">
      <c r="A129" s="15"/>
      <c r="B129" s="5">
        <v>64</v>
      </c>
      <c r="C129" s="5">
        <v>255</v>
      </c>
      <c r="D129" s="5">
        <v>16320</v>
      </c>
      <c r="E129" s="5">
        <v>2048</v>
      </c>
      <c r="F129" s="5">
        <v>8192</v>
      </c>
      <c r="G129" s="5">
        <v>2827222</v>
      </c>
      <c r="I129" s="5">
        <v>3165238</v>
      </c>
      <c r="J129" s="5">
        <v>3053657</v>
      </c>
      <c r="L129" s="5">
        <v>2862051</v>
      </c>
      <c r="M129" s="25">
        <f t="shared" si="7"/>
        <v>0.13026690252044237</v>
      </c>
      <c r="N129" s="5">
        <v>2829006</v>
      </c>
      <c r="O129" s="25">
        <f t="shared" si="8"/>
        <v>0.15804017936526599</v>
      </c>
      <c r="Q129" s="5">
        <v>2683530</v>
      </c>
      <c r="R129" s="25">
        <f t="shared" si="11"/>
        <v>0.69562604770952452</v>
      </c>
      <c r="S129" s="5">
        <v>2661216</v>
      </c>
      <c r="T129" s="25">
        <f t="shared" si="10"/>
        <v>0.74296982274040602</v>
      </c>
      <c r="V129" s="5">
        <v>2553358</v>
      </c>
      <c r="W129" s="10">
        <f t="shared" si="12"/>
        <v>-0.19331247760831888</v>
      </c>
      <c r="X129" s="5">
        <v>2512899</v>
      </c>
      <c r="Y129" s="10">
        <f t="shared" si="13"/>
        <v>-0.17708537664839241</v>
      </c>
    </row>
    <row r="130" spans="1:25" x14ac:dyDescent="0.3">
      <c r="A130" s="15"/>
      <c r="B130" s="5">
        <v>64</v>
      </c>
      <c r="C130" s="5">
        <v>511</v>
      </c>
      <c r="D130" s="5">
        <v>32704</v>
      </c>
      <c r="E130" s="5">
        <v>2048</v>
      </c>
      <c r="F130" s="5">
        <v>8192</v>
      </c>
      <c r="G130" s="5">
        <v>5623424</v>
      </c>
      <c r="I130" s="5">
        <v>6739063</v>
      </c>
      <c r="J130" s="5">
        <v>6658589</v>
      </c>
      <c r="L130" s="5">
        <v>5953053</v>
      </c>
      <c r="M130" s="25">
        <f t="shared" si="7"/>
        <v>0.1042063637036781</v>
      </c>
      <c r="N130" s="5">
        <v>5851495</v>
      </c>
      <c r="O130" s="25">
        <f t="shared" si="8"/>
        <v>9.8486293417419213E-2</v>
      </c>
      <c r="Q130" s="5">
        <v>5317596</v>
      </c>
      <c r="R130" s="25">
        <f t="shared" si="11"/>
        <v>0.57814105610824529</v>
      </c>
      <c r="S130" s="5">
        <v>5301890</v>
      </c>
      <c r="T130" s="25">
        <f t="shared" si="10"/>
        <v>0.59249654844292088</v>
      </c>
      <c r="V130" s="5">
        <v>6203196</v>
      </c>
      <c r="W130" s="10">
        <f t="shared" si="12"/>
        <v>-7.9516544065547395E-2</v>
      </c>
      <c r="X130" s="5">
        <v>6255133</v>
      </c>
      <c r="Y130" s="10">
        <f t="shared" si="13"/>
        <v>-6.0591816073945995E-2</v>
      </c>
    </row>
    <row r="131" spans="1:25" x14ac:dyDescent="0.3">
      <c r="A131" s="15"/>
      <c r="B131" s="5">
        <v>64</v>
      </c>
      <c r="C131" s="5">
        <v>1023</v>
      </c>
      <c r="D131" s="5">
        <v>65472</v>
      </c>
      <c r="E131" s="5">
        <v>2048</v>
      </c>
      <c r="F131" s="5">
        <v>8192</v>
      </c>
      <c r="G131" s="5">
        <v>11215829</v>
      </c>
      <c r="I131" s="5">
        <v>13589037</v>
      </c>
      <c r="J131" s="5">
        <v>13467243</v>
      </c>
      <c r="L131" s="5">
        <v>11920746</v>
      </c>
      <c r="M131" s="25">
        <f t="shared" si="7"/>
        <v>9.6540726175077751E-2</v>
      </c>
      <c r="N131" s="5">
        <v>11765988</v>
      </c>
      <c r="O131" s="25">
        <f t="shared" si="8"/>
        <v>9.20932369008267E-2</v>
      </c>
      <c r="Q131" s="5">
        <v>10590202</v>
      </c>
      <c r="R131" s="25">
        <f t="shared" si="11"/>
        <v>0.558639070597865</v>
      </c>
      <c r="S131" s="5">
        <v>10604448</v>
      </c>
      <c r="T131" s="25">
        <f t="shared" si="10"/>
        <v>0.57485062087318095</v>
      </c>
      <c r="V131" s="5">
        <v>11833262</v>
      </c>
      <c r="W131" s="10">
        <f t="shared" si="12"/>
        <v>-0.12920525567779378</v>
      </c>
      <c r="X131" s="5">
        <v>11871449</v>
      </c>
      <c r="Y131" s="10">
        <f t="shared" si="13"/>
        <v>-0.11849448324352653</v>
      </c>
    </row>
    <row r="132" spans="1:25" x14ac:dyDescent="0.3">
      <c r="A132" s="15"/>
      <c r="B132" s="5">
        <v>128</v>
      </c>
      <c r="C132" s="5">
        <v>255</v>
      </c>
      <c r="D132" s="5">
        <v>32640</v>
      </c>
      <c r="E132" s="5">
        <v>2048</v>
      </c>
      <c r="F132" s="5">
        <v>8192</v>
      </c>
      <c r="G132" s="5">
        <v>5612502</v>
      </c>
      <c r="I132" s="5">
        <v>6246952</v>
      </c>
      <c r="J132" s="5">
        <v>6188881</v>
      </c>
      <c r="L132" s="5">
        <v>5675310</v>
      </c>
      <c r="M132" s="25">
        <f t="shared" ref="M132:M152" si="14">(L132/0.8-I132)/I132</f>
        <v>0.1356158171216939</v>
      </c>
      <c r="N132" s="5">
        <v>5628718</v>
      </c>
      <c r="O132" s="25">
        <f t="shared" ref="O132:O152" si="15">(N132/0.8-J132)/J132</f>
        <v>0.13686100928423087</v>
      </c>
      <c r="Q132" s="5">
        <v>5296538</v>
      </c>
      <c r="R132" s="25">
        <f t="shared" si="11"/>
        <v>0.69571912830449156</v>
      </c>
      <c r="S132" s="5">
        <v>5269199</v>
      </c>
      <c r="T132" s="25">
        <f t="shared" ref="T132:T152" si="16">(S132/0.5-J132)/J132</f>
        <v>0.70279538417364951</v>
      </c>
      <c r="V132" s="5">
        <v>5221699</v>
      </c>
      <c r="W132" s="10">
        <f t="shared" si="12"/>
        <v>-0.16412051829436181</v>
      </c>
      <c r="X132" s="5">
        <v>5159942</v>
      </c>
      <c r="Y132" s="10">
        <f t="shared" si="13"/>
        <v>-0.16625606470701246</v>
      </c>
    </row>
    <row r="133" spans="1:25" x14ac:dyDescent="0.3">
      <c r="A133" s="15"/>
      <c r="B133" s="5">
        <v>128</v>
      </c>
      <c r="C133" s="5">
        <v>511</v>
      </c>
      <c r="D133" s="5">
        <v>65408</v>
      </c>
      <c r="E133" s="5">
        <v>2048</v>
      </c>
      <c r="F133" s="5">
        <v>8192</v>
      </c>
      <c r="G133" s="5">
        <v>11204907</v>
      </c>
      <c r="I133" s="5">
        <v>13514637</v>
      </c>
      <c r="J133" s="5">
        <v>13472984</v>
      </c>
      <c r="L133" s="5">
        <v>11758469</v>
      </c>
      <c r="M133" s="25">
        <f t="shared" si="14"/>
        <v>8.7567964274586144E-2</v>
      </c>
      <c r="N133" s="5">
        <v>11747046</v>
      </c>
      <c r="O133" s="25">
        <f t="shared" si="15"/>
        <v>8.9870477096981635E-2</v>
      </c>
      <c r="Q133" s="5">
        <v>10619259</v>
      </c>
      <c r="R133" s="25">
        <f t="shared" si="11"/>
        <v>0.57151967899692757</v>
      </c>
      <c r="S133" s="5">
        <v>10589265</v>
      </c>
      <c r="T133" s="25">
        <f t="shared" si="16"/>
        <v>0.57192571445197293</v>
      </c>
      <c r="V133" s="5">
        <v>12218869</v>
      </c>
      <c r="W133" s="10">
        <f t="shared" si="12"/>
        <v>-9.587886082326888E-2</v>
      </c>
      <c r="X133" s="5">
        <v>11763272</v>
      </c>
      <c r="Y133" s="10">
        <f t="shared" si="13"/>
        <v>-0.12689928229707687</v>
      </c>
    </row>
    <row r="134" spans="1:25" x14ac:dyDescent="0.3">
      <c r="A134" s="15"/>
      <c r="B134" s="5">
        <v>128</v>
      </c>
      <c r="C134" s="5">
        <v>1023</v>
      </c>
      <c r="D134" s="5">
        <v>130944</v>
      </c>
      <c r="E134" s="5">
        <v>2048</v>
      </c>
      <c r="F134" s="5">
        <v>8192</v>
      </c>
      <c r="G134" s="5">
        <v>22389717</v>
      </c>
      <c r="I134" s="5">
        <v>26990283</v>
      </c>
      <c r="J134" s="5">
        <v>26743895</v>
      </c>
      <c r="L134" s="5">
        <v>23670522</v>
      </c>
      <c r="M134" s="25">
        <f t="shared" si="14"/>
        <v>9.6252028924631874E-2</v>
      </c>
      <c r="N134" s="5">
        <v>23601619</v>
      </c>
      <c r="O134" s="25">
        <f t="shared" si="15"/>
        <v>0.10313115385773089</v>
      </c>
      <c r="Q134" s="5">
        <v>21207171</v>
      </c>
      <c r="R134" s="25">
        <f t="shared" si="11"/>
        <v>0.57146710910737764</v>
      </c>
      <c r="S134" s="5">
        <v>21143037</v>
      </c>
      <c r="T134" s="25">
        <f t="shared" si="16"/>
        <v>0.5811486696309569</v>
      </c>
      <c r="V134" s="5">
        <v>23927570</v>
      </c>
      <c r="W134" s="10">
        <f t="shared" si="12"/>
        <v>-0.11347465308162942</v>
      </c>
      <c r="X134" s="5">
        <v>23353394</v>
      </c>
      <c r="Y134" s="10">
        <f t="shared" si="13"/>
        <v>-0.1267766344431131</v>
      </c>
    </row>
    <row r="135" spans="1:25" x14ac:dyDescent="0.3">
      <c r="A135" s="15"/>
      <c r="B135" s="5">
        <v>1</v>
      </c>
      <c r="C135" s="5">
        <v>255</v>
      </c>
      <c r="D135" s="5">
        <v>255</v>
      </c>
      <c r="E135" s="5">
        <v>7168</v>
      </c>
      <c r="F135" s="5">
        <v>8192</v>
      </c>
      <c r="G135" s="5">
        <v>162221</v>
      </c>
      <c r="I135" s="5">
        <v>154391</v>
      </c>
      <c r="J135" s="5">
        <v>234156</v>
      </c>
      <c r="L135" s="5">
        <v>144016</v>
      </c>
      <c r="M135" s="25">
        <f t="shared" si="14"/>
        <v>0.16600060884377976</v>
      </c>
      <c r="N135" s="5">
        <v>209752</v>
      </c>
      <c r="O135" s="25">
        <f t="shared" si="15"/>
        <v>0.11972360306804011</v>
      </c>
      <c r="Q135" s="5">
        <v>133004</v>
      </c>
      <c r="R135" s="25">
        <f t="shared" si="11"/>
        <v>0.72295017196598244</v>
      </c>
      <c r="S135" s="5">
        <v>170259</v>
      </c>
      <c r="T135" s="25">
        <f t="shared" si="16"/>
        <v>0.45423563777994158</v>
      </c>
      <c r="V135" s="5">
        <v>141069</v>
      </c>
      <c r="W135" s="10">
        <f t="shared" si="12"/>
        <v>-8.6287413126412804E-2</v>
      </c>
      <c r="X135" s="5">
        <v>226563</v>
      </c>
      <c r="Y135" s="10">
        <f t="shared" si="13"/>
        <v>-3.2427099882129863E-2</v>
      </c>
    </row>
    <row r="136" spans="1:25" x14ac:dyDescent="0.3">
      <c r="A136" s="15"/>
      <c r="B136" s="5">
        <v>1</v>
      </c>
      <c r="C136" s="5">
        <v>511</v>
      </c>
      <c r="D136" s="5">
        <v>511</v>
      </c>
      <c r="E136" s="5">
        <v>7168</v>
      </c>
      <c r="F136" s="5">
        <v>8192</v>
      </c>
      <c r="G136" s="5">
        <v>240864</v>
      </c>
      <c r="I136" s="5">
        <v>260779</v>
      </c>
      <c r="J136" s="5">
        <v>322704</v>
      </c>
      <c r="L136" s="5">
        <v>236082</v>
      </c>
      <c r="M136" s="25">
        <f t="shared" si="14"/>
        <v>0.13161911043450586</v>
      </c>
      <c r="N136" s="5">
        <v>281556</v>
      </c>
      <c r="O136" s="25">
        <f t="shared" si="15"/>
        <v>9.061244979919679E-2</v>
      </c>
      <c r="Q136" s="5">
        <v>204697</v>
      </c>
      <c r="R136" s="25">
        <f t="shared" si="11"/>
        <v>0.56988867968663126</v>
      </c>
      <c r="S136" s="5">
        <v>234186</v>
      </c>
      <c r="T136" s="25">
        <f t="shared" si="16"/>
        <v>0.45139818533392828</v>
      </c>
      <c r="V136" s="5">
        <v>234960</v>
      </c>
      <c r="W136" s="10">
        <f t="shared" si="12"/>
        <v>-9.9007205334785395E-2</v>
      </c>
      <c r="X136" s="5">
        <v>303772</v>
      </c>
      <c r="Y136" s="10">
        <f t="shared" si="13"/>
        <v>-5.8666765828747088E-2</v>
      </c>
    </row>
    <row r="137" spans="1:25" x14ac:dyDescent="0.3">
      <c r="A137" s="15"/>
      <c r="B137" s="5">
        <v>1</v>
      </c>
      <c r="C137" s="5">
        <v>1023</v>
      </c>
      <c r="D137" s="5">
        <v>1023</v>
      </c>
      <c r="E137" s="5">
        <v>7168</v>
      </c>
      <c r="F137" s="5">
        <v>8192</v>
      </c>
      <c r="G137" s="5">
        <v>398150</v>
      </c>
      <c r="I137" s="5">
        <v>481074</v>
      </c>
      <c r="J137" s="5">
        <v>489527</v>
      </c>
      <c r="L137" s="5">
        <v>424777</v>
      </c>
      <c r="M137" s="25">
        <f t="shared" si="14"/>
        <v>0.1037205294819508</v>
      </c>
      <c r="N137" s="5">
        <v>433653</v>
      </c>
      <c r="O137" s="25">
        <f t="shared" si="15"/>
        <v>0.10732656217123877</v>
      </c>
      <c r="Q137" s="5">
        <v>353468</v>
      </c>
      <c r="R137" s="25">
        <f t="shared" si="11"/>
        <v>0.4694953375156421</v>
      </c>
      <c r="S137" s="5">
        <v>361854</v>
      </c>
      <c r="T137" s="25">
        <f t="shared" si="16"/>
        <v>0.47838219342344751</v>
      </c>
      <c r="V137" s="5">
        <v>448613</v>
      </c>
      <c r="W137" s="10">
        <f t="shared" si="12"/>
        <v>-6.7476105547171539E-2</v>
      </c>
      <c r="X137" s="5">
        <v>453057</v>
      </c>
      <c r="Y137" s="10">
        <f t="shared" si="13"/>
        <v>-7.4500487204995844E-2</v>
      </c>
    </row>
    <row r="138" spans="1:25" x14ac:dyDescent="0.3">
      <c r="A138" s="15"/>
      <c r="B138" s="5">
        <v>8</v>
      </c>
      <c r="C138" s="5">
        <v>255</v>
      </c>
      <c r="D138" s="5">
        <v>2040</v>
      </c>
      <c r="E138" s="5">
        <v>7168</v>
      </c>
      <c r="F138" s="5">
        <v>8192</v>
      </c>
      <c r="G138" s="5">
        <v>710573</v>
      </c>
      <c r="I138" s="5">
        <v>919758</v>
      </c>
      <c r="J138" s="5">
        <v>875372</v>
      </c>
      <c r="L138" s="5">
        <v>812362</v>
      </c>
      <c r="M138" s="25">
        <f t="shared" si="14"/>
        <v>0.10404312873603709</v>
      </c>
      <c r="N138" s="5">
        <v>782767</v>
      </c>
      <c r="O138" s="25">
        <f t="shared" si="15"/>
        <v>0.11776336231910547</v>
      </c>
      <c r="Q138" s="5">
        <v>667927</v>
      </c>
      <c r="R138" s="25">
        <f t="shared" si="11"/>
        <v>0.45239726101865924</v>
      </c>
      <c r="S138" s="5">
        <v>661199</v>
      </c>
      <c r="T138" s="25">
        <f t="shared" si="16"/>
        <v>0.51066974954647848</v>
      </c>
      <c r="V138" s="5">
        <v>869165</v>
      </c>
      <c r="W138" s="10">
        <f t="shared" si="12"/>
        <v>-5.5006860500262024E-2</v>
      </c>
      <c r="X138" s="5">
        <v>823225</v>
      </c>
      <c r="Y138" s="10">
        <f t="shared" si="13"/>
        <v>-5.9571245139209389E-2</v>
      </c>
    </row>
    <row r="139" spans="1:25" x14ac:dyDescent="0.3">
      <c r="A139" s="15"/>
      <c r="B139" s="5">
        <v>8</v>
      </c>
      <c r="C139" s="5">
        <v>511</v>
      </c>
      <c r="D139" s="5">
        <v>4088</v>
      </c>
      <c r="E139" s="5">
        <v>7168</v>
      </c>
      <c r="F139" s="5">
        <v>8192</v>
      </c>
      <c r="G139" s="5">
        <v>1339718</v>
      </c>
      <c r="I139" s="5">
        <v>1767591</v>
      </c>
      <c r="J139" s="5">
        <v>1767222</v>
      </c>
      <c r="L139" s="5">
        <v>1570349</v>
      </c>
      <c r="M139" s="25">
        <f t="shared" si="14"/>
        <v>0.11051496075732452</v>
      </c>
      <c r="N139" s="5">
        <v>1568336</v>
      </c>
      <c r="O139" s="25">
        <f t="shared" si="15"/>
        <v>0.1093229939419043</v>
      </c>
      <c r="Q139" s="5">
        <v>1292432</v>
      </c>
      <c r="R139" s="25">
        <f t="shared" si="11"/>
        <v>0.46236544539998226</v>
      </c>
      <c r="S139" s="5">
        <v>1287517</v>
      </c>
      <c r="T139" s="25">
        <f t="shared" si="16"/>
        <v>0.45710838819344712</v>
      </c>
      <c r="V139" s="5">
        <v>1678919</v>
      </c>
      <c r="W139" s="10">
        <f t="shared" si="12"/>
        <v>-5.0165451170547937E-2</v>
      </c>
      <c r="X139" s="5">
        <v>1673108</v>
      </c>
      <c r="Y139" s="10">
        <f t="shared" si="13"/>
        <v>-5.3255335209724641E-2</v>
      </c>
    </row>
    <row r="140" spans="1:25" x14ac:dyDescent="0.3">
      <c r="A140" s="15"/>
      <c r="B140" s="5">
        <v>8</v>
      </c>
      <c r="C140" s="5">
        <v>1023</v>
      </c>
      <c r="D140" s="5">
        <v>8184</v>
      </c>
      <c r="E140" s="5">
        <v>7168</v>
      </c>
      <c r="F140" s="5">
        <v>8192</v>
      </c>
      <c r="G140" s="5">
        <v>2598009</v>
      </c>
      <c r="I140" s="5">
        <v>3627644</v>
      </c>
      <c r="J140" s="5">
        <v>3620964</v>
      </c>
      <c r="L140" s="5">
        <v>3186654</v>
      </c>
      <c r="M140" s="25">
        <f t="shared" si="14"/>
        <v>9.804531536170584E-2</v>
      </c>
      <c r="N140" s="5">
        <v>3173087</v>
      </c>
      <c r="O140" s="25">
        <f t="shared" si="15"/>
        <v>9.5387512828075616E-2</v>
      </c>
      <c r="Q140" s="5">
        <v>2583738</v>
      </c>
      <c r="R140" s="25">
        <f t="shared" si="11"/>
        <v>0.42447164054686731</v>
      </c>
      <c r="S140" s="5">
        <v>2587950</v>
      </c>
      <c r="T140" s="25">
        <f t="shared" si="16"/>
        <v>0.4294259760660421</v>
      </c>
      <c r="V140" s="5">
        <v>3469182</v>
      </c>
      <c r="W140" s="10">
        <f t="shared" si="12"/>
        <v>-4.3681794575211902E-2</v>
      </c>
      <c r="X140" s="5">
        <v>3505714</v>
      </c>
      <c r="Y140" s="10">
        <f t="shared" si="13"/>
        <v>-3.182854068695519E-2</v>
      </c>
    </row>
    <row r="141" spans="1:25" x14ac:dyDescent="0.3">
      <c r="A141" s="15"/>
      <c r="B141" s="5">
        <v>16</v>
      </c>
      <c r="C141" s="5">
        <v>255</v>
      </c>
      <c r="D141" s="5">
        <v>4080</v>
      </c>
      <c r="E141" s="5">
        <v>7168</v>
      </c>
      <c r="F141" s="5">
        <v>8192</v>
      </c>
      <c r="G141" s="5">
        <v>1337261</v>
      </c>
      <c r="I141" s="5">
        <v>1755410</v>
      </c>
      <c r="J141" s="5">
        <v>1762560</v>
      </c>
      <c r="L141" s="5">
        <v>1568752</v>
      </c>
      <c r="M141" s="25">
        <f t="shared" si="14"/>
        <v>0.11708375821033262</v>
      </c>
      <c r="N141" s="5">
        <v>1547898</v>
      </c>
      <c r="O141" s="25">
        <f t="shared" si="15"/>
        <v>9.7762629357298472E-2</v>
      </c>
      <c r="Q141" s="5">
        <v>1294666</v>
      </c>
      <c r="R141" s="25">
        <f t="shared" si="11"/>
        <v>0.47505824850035033</v>
      </c>
      <c r="S141" s="5">
        <v>1296669</v>
      </c>
      <c r="T141" s="25">
        <f t="shared" si="16"/>
        <v>0.47134735838779956</v>
      </c>
      <c r="V141" s="5">
        <v>1661277</v>
      </c>
      <c r="W141" s="10">
        <f t="shared" si="12"/>
        <v>-5.3624509373878471E-2</v>
      </c>
      <c r="X141" s="5">
        <v>1661210</v>
      </c>
      <c r="Y141" s="10">
        <f t="shared" si="13"/>
        <v>-5.7501588598402327E-2</v>
      </c>
    </row>
    <row r="142" spans="1:25" x14ac:dyDescent="0.3">
      <c r="A142" s="15"/>
      <c r="B142" s="5">
        <v>16</v>
      </c>
      <c r="C142" s="5">
        <v>511</v>
      </c>
      <c r="D142" s="5">
        <v>8176</v>
      </c>
      <c r="E142" s="5">
        <v>7168</v>
      </c>
      <c r="F142" s="5">
        <v>8192</v>
      </c>
      <c r="G142" s="5">
        <v>2595552</v>
      </c>
      <c r="I142" s="5">
        <v>3644591</v>
      </c>
      <c r="J142" s="5">
        <v>3619097</v>
      </c>
      <c r="L142" s="5">
        <v>3185849</v>
      </c>
      <c r="M142" s="25">
        <f t="shared" si="14"/>
        <v>9.266341545594553E-2</v>
      </c>
      <c r="N142" s="5">
        <v>3187246</v>
      </c>
      <c r="O142" s="25">
        <f t="shared" si="15"/>
        <v>0.10084297270838555</v>
      </c>
      <c r="Q142" s="5">
        <v>2578606</v>
      </c>
      <c r="R142" s="25">
        <f t="shared" si="11"/>
        <v>0.41503175527788988</v>
      </c>
      <c r="S142" s="5">
        <v>2592533</v>
      </c>
      <c r="T142" s="25">
        <f t="shared" si="16"/>
        <v>0.43269605650249221</v>
      </c>
      <c r="V142" s="5">
        <v>3484897</v>
      </c>
      <c r="W142" s="10">
        <f t="shared" si="12"/>
        <v>-4.3816713590084592E-2</v>
      </c>
      <c r="X142" s="5">
        <v>3468700</v>
      </c>
      <c r="Y142" s="10">
        <f t="shared" si="13"/>
        <v>-4.1556498761984001E-2</v>
      </c>
    </row>
    <row r="143" spans="1:25" x14ac:dyDescent="0.3">
      <c r="A143" s="15"/>
      <c r="B143" s="5">
        <v>16</v>
      </c>
      <c r="C143" s="5">
        <v>1023</v>
      </c>
      <c r="D143" s="5">
        <v>16368</v>
      </c>
      <c r="E143" s="5">
        <v>7168</v>
      </c>
      <c r="F143" s="5">
        <v>8192</v>
      </c>
      <c r="G143" s="5">
        <v>5112134</v>
      </c>
      <c r="I143" s="5">
        <v>7269962</v>
      </c>
      <c r="J143" s="5">
        <v>7246964</v>
      </c>
      <c r="L143" s="5">
        <v>6388686</v>
      </c>
      <c r="M143" s="25">
        <f t="shared" si="14"/>
        <v>9.847307317424768E-2</v>
      </c>
      <c r="N143" s="5">
        <v>6397281</v>
      </c>
      <c r="O143" s="25">
        <f t="shared" si="15"/>
        <v>0.10344155842363782</v>
      </c>
      <c r="Q143" s="5">
        <v>5168848</v>
      </c>
      <c r="R143" s="25">
        <f t="shared" si="11"/>
        <v>0.42197387001472636</v>
      </c>
      <c r="S143" s="5">
        <v>5190078</v>
      </c>
      <c r="T143" s="25">
        <f t="shared" si="16"/>
        <v>0.43234546218250841</v>
      </c>
      <c r="V143" s="5">
        <v>6926803</v>
      </c>
      <c r="W143" s="10">
        <f t="shared" si="12"/>
        <v>-4.7202309998319113E-2</v>
      </c>
      <c r="X143" s="5">
        <v>6965872</v>
      </c>
      <c r="Y143" s="10">
        <f t="shared" si="13"/>
        <v>-3.8787552967007977E-2</v>
      </c>
    </row>
    <row r="144" spans="1:25" x14ac:dyDescent="0.3">
      <c r="A144" s="15"/>
      <c r="B144" s="5">
        <v>32</v>
      </c>
      <c r="C144" s="5">
        <v>255</v>
      </c>
      <c r="D144" s="5">
        <v>8160</v>
      </c>
      <c r="E144" s="5">
        <v>7168</v>
      </c>
      <c r="F144" s="5">
        <v>8192</v>
      </c>
      <c r="G144" s="5">
        <v>2590637</v>
      </c>
      <c r="I144" s="5">
        <v>3468159</v>
      </c>
      <c r="J144" s="5">
        <v>3533795</v>
      </c>
      <c r="L144" s="5">
        <v>3145345</v>
      </c>
      <c r="M144" s="25">
        <f t="shared" si="14"/>
        <v>0.13365080724384321</v>
      </c>
      <c r="N144" s="5">
        <v>3133713</v>
      </c>
      <c r="O144" s="25">
        <f t="shared" si="15"/>
        <v>0.10848004765415085</v>
      </c>
      <c r="Q144" s="5">
        <v>2580111</v>
      </c>
      <c r="R144" s="25">
        <f t="shared" si="11"/>
        <v>0.48788507101318018</v>
      </c>
      <c r="S144" s="5">
        <v>2586394</v>
      </c>
      <c r="T144" s="25">
        <f t="shared" si="16"/>
        <v>0.46380534241516558</v>
      </c>
      <c r="V144" s="5">
        <v>3309689</v>
      </c>
      <c r="W144" s="10">
        <f t="shared" si="12"/>
        <v>-4.5692830115343613E-2</v>
      </c>
      <c r="X144" s="5">
        <v>3254834</v>
      </c>
      <c r="Y144" s="10">
        <f t="shared" si="13"/>
        <v>-7.8940911965747873E-2</v>
      </c>
    </row>
    <row r="145" spans="1:25" x14ac:dyDescent="0.3">
      <c r="A145" s="15"/>
      <c r="B145" s="5">
        <v>32</v>
      </c>
      <c r="C145" s="5">
        <v>511</v>
      </c>
      <c r="D145" s="5">
        <v>16352</v>
      </c>
      <c r="E145" s="5">
        <v>7168</v>
      </c>
      <c r="F145" s="5">
        <v>8192</v>
      </c>
      <c r="G145" s="5">
        <v>5107219</v>
      </c>
      <c r="I145" s="5">
        <v>7202301</v>
      </c>
      <c r="J145" s="5">
        <v>7189543</v>
      </c>
      <c r="L145" s="5">
        <v>6385792</v>
      </c>
      <c r="M145" s="25">
        <f t="shared" si="14"/>
        <v>0.10829025335097769</v>
      </c>
      <c r="N145" s="5">
        <v>6351473</v>
      </c>
      <c r="O145" s="25">
        <f t="shared" si="15"/>
        <v>0.10429011273734645</v>
      </c>
      <c r="Q145" s="5">
        <v>5173840</v>
      </c>
      <c r="R145" s="25">
        <f t="shared" si="11"/>
        <v>0.43671862645007475</v>
      </c>
      <c r="S145" s="5">
        <v>5172099</v>
      </c>
      <c r="T145" s="25">
        <f t="shared" si="16"/>
        <v>0.43878380030552705</v>
      </c>
      <c r="V145" s="5">
        <v>6928546</v>
      </c>
      <c r="W145" s="10">
        <f t="shared" si="12"/>
        <v>-3.8009380613223467E-2</v>
      </c>
      <c r="X145" s="5">
        <v>6935311</v>
      </c>
      <c r="Y145" s="10">
        <f t="shared" si="13"/>
        <v>-3.5361357460411601E-2</v>
      </c>
    </row>
    <row r="146" spans="1:25" x14ac:dyDescent="0.3">
      <c r="A146" s="15"/>
      <c r="B146" s="5">
        <v>32</v>
      </c>
      <c r="C146" s="5">
        <v>1023</v>
      </c>
      <c r="D146" s="5">
        <v>32736</v>
      </c>
      <c r="E146" s="5">
        <v>7168</v>
      </c>
      <c r="F146" s="5">
        <v>8192</v>
      </c>
      <c r="G146" s="5">
        <v>10140383</v>
      </c>
      <c r="I146" s="5">
        <v>14336247</v>
      </c>
      <c r="J146" s="5">
        <v>14180022</v>
      </c>
      <c r="L146" s="5">
        <v>12618411</v>
      </c>
      <c r="M146" s="25">
        <f t="shared" si="14"/>
        <v>0.10021916823838205</v>
      </c>
      <c r="N146" s="5">
        <v>12634059</v>
      </c>
      <c r="O146" s="25">
        <f t="shared" si="15"/>
        <v>0.11371997518762665</v>
      </c>
      <c r="Q146" s="5">
        <v>10340889</v>
      </c>
      <c r="R146" s="25">
        <f t="shared" si="11"/>
        <v>0.44262148943164831</v>
      </c>
      <c r="S146" s="5">
        <v>10352074</v>
      </c>
      <c r="T146" s="25">
        <f t="shared" si="16"/>
        <v>0.46009279816350074</v>
      </c>
      <c r="V146" s="5">
        <v>13626940</v>
      </c>
      <c r="W146" s="10">
        <f t="shared" si="12"/>
        <v>-4.9476477351429564E-2</v>
      </c>
      <c r="X146" s="5">
        <v>13639921</v>
      </c>
      <c r="Y146" s="10">
        <f t="shared" si="13"/>
        <v>-3.808886897354602E-2</v>
      </c>
    </row>
    <row r="147" spans="1:25" x14ac:dyDescent="0.3">
      <c r="A147" s="15"/>
      <c r="B147" s="5">
        <v>64</v>
      </c>
      <c r="C147" s="5">
        <v>255</v>
      </c>
      <c r="D147" s="5">
        <v>16320</v>
      </c>
      <c r="E147" s="5">
        <v>7168</v>
      </c>
      <c r="F147" s="5">
        <v>8192</v>
      </c>
      <c r="G147" s="5">
        <v>5097389</v>
      </c>
      <c r="I147" s="5">
        <v>6852277</v>
      </c>
      <c r="J147" s="5">
        <v>6919745</v>
      </c>
      <c r="L147" s="5">
        <v>6155640</v>
      </c>
      <c r="M147" s="25">
        <f t="shared" si="14"/>
        <v>0.12291870279032795</v>
      </c>
      <c r="N147" s="5">
        <v>6206802</v>
      </c>
      <c r="O147" s="25">
        <f t="shared" si="15"/>
        <v>0.12121219784833112</v>
      </c>
      <c r="Q147" s="5">
        <v>5114216</v>
      </c>
      <c r="R147" s="25">
        <f t="shared" si="11"/>
        <v>0.49270556342074323</v>
      </c>
      <c r="S147" s="5">
        <v>5133562</v>
      </c>
      <c r="T147" s="25">
        <f t="shared" si="16"/>
        <v>0.48374311481131171</v>
      </c>
      <c r="V147" s="5">
        <v>6474310</v>
      </c>
      <c r="W147" s="10">
        <f t="shared" si="12"/>
        <v>-5.5159328789539594E-2</v>
      </c>
      <c r="X147" s="5">
        <v>6530059</v>
      </c>
      <c r="Y147" s="10">
        <f t="shared" si="13"/>
        <v>-5.6315080974804706E-2</v>
      </c>
    </row>
    <row r="148" spans="1:25" x14ac:dyDescent="0.3">
      <c r="A148" s="15"/>
      <c r="B148" s="5">
        <v>64</v>
      </c>
      <c r="C148" s="5">
        <v>511</v>
      </c>
      <c r="D148" s="5">
        <v>32704</v>
      </c>
      <c r="E148" s="5">
        <v>7168</v>
      </c>
      <c r="F148" s="5">
        <v>8192</v>
      </c>
      <c r="G148" s="5">
        <v>10130553</v>
      </c>
      <c r="I148" s="5">
        <v>14263564</v>
      </c>
      <c r="J148" s="5">
        <v>14202378</v>
      </c>
      <c r="L148" s="5">
        <v>12600915</v>
      </c>
      <c r="M148" s="25">
        <f t="shared" si="14"/>
        <v>0.10429228978115147</v>
      </c>
      <c r="N148" s="5">
        <v>12645547</v>
      </c>
      <c r="O148" s="25">
        <f t="shared" si="15"/>
        <v>0.11297796397194892</v>
      </c>
      <c r="Q148" s="5">
        <v>10349658</v>
      </c>
      <c r="R148" s="25">
        <f t="shared" si="11"/>
        <v>0.45120223809420984</v>
      </c>
      <c r="S148" s="5">
        <v>10335582</v>
      </c>
      <c r="T148" s="25">
        <f t="shared" si="16"/>
        <v>0.45547203433115213</v>
      </c>
      <c r="V148" s="5">
        <v>13649402</v>
      </c>
      <c r="W148" s="10">
        <f t="shared" si="12"/>
        <v>-4.305810244900924E-2</v>
      </c>
      <c r="X148" s="5">
        <v>13617589</v>
      </c>
      <c r="Y148" s="10">
        <f t="shared" si="13"/>
        <v>-4.117542850922571E-2</v>
      </c>
    </row>
    <row r="149" spans="1:25" x14ac:dyDescent="0.3">
      <c r="A149" s="15"/>
      <c r="B149" s="5">
        <v>64</v>
      </c>
      <c r="C149" s="5">
        <v>1023</v>
      </c>
      <c r="D149" s="5">
        <v>65472</v>
      </c>
      <c r="E149" s="5">
        <v>7168</v>
      </c>
      <c r="F149" s="5">
        <v>8192</v>
      </c>
      <c r="G149" s="5">
        <v>20196882</v>
      </c>
      <c r="I149" s="5">
        <v>28208476</v>
      </c>
      <c r="J149" s="5">
        <v>28198491</v>
      </c>
      <c r="L149" s="5">
        <v>25055424</v>
      </c>
      <c r="M149" s="25">
        <f t="shared" si="14"/>
        <v>0.11027905229619636</v>
      </c>
      <c r="N149" s="5">
        <v>24978382</v>
      </c>
      <c r="O149" s="25">
        <f t="shared" si="15"/>
        <v>0.10725703371857735</v>
      </c>
      <c r="Q149" s="5">
        <v>20516148</v>
      </c>
      <c r="R149" s="25">
        <f t="shared" si="11"/>
        <v>0.45460874951202612</v>
      </c>
      <c r="S149" s="5">
        <v>20494680</v>
      </c>
      <c r="T149" s="25">
        <f t="shared" si="16"/>
        <v>0.45360118738268657</v>
      </c>
      <c r="V149" s="5">
        <v>27114083</v>
      </c>
      <c r="W149" s="10">
        <f t="shared" si="12"/>
        <v>-3.8796601418665796E-2</v>
      </c>
      <c r="X149" s="5">
        <v>26962035</v>
      </c>
      <c r="Y149" s="10">
        <f t="shared" si="13"/>
        <v>-4.3848303797532996E-2</v>
      </c>
    </row>
    <row r="150" spans="1:25" x14ac:dyDescent="0.3">
      <c r="A150" s="15"/>
      <c r="B150" s="5">
        <v>128</v>
      </c>
      <c r="C150" s="5">
        <v>255</v>
      </c>
      <c r="D150" s="5">
        <v>32640</v>
      </c>
      <c r="E150" s="5">
        <v>7168</v>
      </c>
      <c r="F150" s="5">
        <v>8192</v>
      </c>
      <c r="G150" s="5">
        <v>10110893</v>
      </c>
      <c r="I150" s="5">
        <v>13766714</v>
      </c>
      <c r="J150" s="5">
        <v>13871133</v>
      </c>
      <c r="L150" s="5">
        <v>12326755</v>
      </c>
      <c r="M150" s="25">
        <f t="shared" si="14"/>
        <v>0.11925356697320799</v>
      </c>
      <c r="N150" s="5">
        <v>12347746</v>
      </c>
      <c r="O150" s="25">
        <f t="shared" si="15"/>
        <v>0.11271966752824013</v>
      </c>
      <c r="Q150" s="5">
        <v>10169615</v>
      </c>
      <c r="R150" s="25">
        <f t="shared" si="11"/>
        <v>0.47742082823831455</v>
      </c>
      <c r="S150" s="5">
        <v>10166210</v>
      </c>
      <c r="T150" s="25">
        <f t="shared" si="16"/>
        <v>0.46580816433668398</v>
      </c>
      <c r="V150" s="5">
        <v>12825563</v>
      </c>
      <c r="W150" s="10">
        <f t="shared" si="12"/>
        <v>-6.83642443650678E-2</v>
      </c>
      <c r="X150" s="5">
        <v>12938248</v>
      </c>
      <c r="Y150" s="10">
        <f t="shared" si="13"/>
        <v>-6.7253698742561263E-2</v>
      </c>
    </row>
    <row r="151" spans="1:25" x14ac:dyDescent="0.3">
      <c r="A151" s="15"/>
      <c r="B151" s="5">
        <v>128</v>
      </c>
      <c r="C151" s="5">
        <v>511</v>
      </c>
      <c r="D151" s="5">
        <v>65408</v>
      </c>
      <c r="E151" s="5">
        <v>7168</v>
      </c>
      <c r="F151" s="5">
        <v>8192</v>
      </c>
      <c r="G151" s="5">
        <v>20177222</v>
      </c>
      <c r="I151" s="5">
        <v>28191544</v>
      </c>
      <c r="J151" s="5">
        <v>28127930</v>
      </c>
      <c r="L151" s="5">
        <v>25013885</v>
      </c>
      <c r="M151" s="25">
        <f t="shared" si="14"/>
        <v>0.10910407212886247</v>
      </c>
      <c r="N151" s="5">
        <v>24924736</v>
      </c>
      <c r="O151" s="25">
        <f t="shared" si="15"/>
        <v>0.10765065186097945</v>
      </c>
      <c r="Q151" s="5">
        <v>20474600</v>
      </c>
      <c r="R151" s="25">
        <f t="shared" si="11"/>
        <v>0.45253484520039061</v>
      </c>
      <c r="S151" s="5">
        <v>20465756</v>
      </c>
      <c r="T151" s="25">
        <f t="shared" si="16"/>
        <v>0.45519105031902451</v>
      </c>
      <c r="V151" s="5">
        <v>27060242</v>
      </c>
      <c r="W151" s="10">
        <f t="shared" si="12"/>
        <v>-4.0129125244080278E-2</v>
      </c>
      <c r="X151" s="5">
        <v>26932523</v>
      </c>
      <c r="Y151" s="10">
        <f t="shared" si="13"/>
        <v>-4.2498932555648426E-2</v>
      </c>
    </row>
    <row r="152" spans="1:25" x14ac:dyDescent="0.3">
      <c r="A152" s="15"/>
      <c r="B152" s="5">
        <v>128</v>
      </c>
      <c r="C152" s="5">
        <v>1023</v>
      </c>
      <c r="D152" s="5">
        <v>130944</v>
      </c>
      <c r="E152" s="5">
        <v>7168</v>
      </c>
      <c r="F152" s="5">
        <v>8192</v>
      </c>
      <c r="G152" s="5">
        <v>40309881</v>
      </c>
      <c r="I152" s="5">
        <v>56802139</v>
      </c>
      <c r="J152" s="5">
        <v>56827395</v>
      </c>
      <c r="L152" s="5">
        <v>50196141</v>
      </c>
      <c r="M152" s="25">
        <f t="shared" si="14"/>
        <v>0.10462699740937573</v>
      </c>
      <c r="N152" s="5">
        <v>50152919</v>
      </c>
      <c r="O152" s="25">
        <f t="shared" si="15"/>
        <v>0.10318533429167394</v>
      </c>
      <c r="Q152" s="5">
        <v>40768480</v>
      </c>
      <c r="R152" s="25">
        <f t="shared" si="11"/>
        <v>0.4354558021133676</v>
      </c>
      <c r="S152" s="5">
        <v>40823249</v>
      </c>
      <c r="T152" s="25">
        <f t="shared" si="16"/>
        <v>0.43674539366092707</v>
      </c>
      <c r="V152" s="5">
        <v>54179192</v>
      </c>
      <c r="W152" s="10">
        <f t="shared" si="12"/>
        <v>-4.6176905415480918E-2</v>
      </c>
      <c r="X152" s="5">
        <v>54080095</v>
      </c>
      <c r="Y152" s="10">
        <f t="shared" si="13"/>
        <v>-4.834464081980179E-2</v>
      </c>
    </row>
  </sheetData>
  <mergeCells count="8">
    <mergeCell ref="V1:Y1"/>
    <mergeCell ref="A3:A38"/>
    <mergeCell ref="A41:A76"/>
    <mergeCell ref="A79:A114"/>
    <mergeCell ref="A117:A152"/>
    <mergeCell ref="I1:J1"/>
    <mergeCell ref="L1:O1"/>
    <mergeCell ref="Q1:T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6"/>
  <sheetViews>
    <sheetView tabSelected="1" zoomScale="115" zoomScaleNormal="115" workbookViewId="0">
      <selection activeCell="V26" sqref="V26"/>
    </sheetView>
  </sheetViews>
  <sheetFormatPr defaultRowHeight="14" x14ac:dyDescent="0.3"/>
  <cols>
    <col min="1" max="1" width="23.58203125" customWidth="1"/>
    <col min="2" max="2" width="11.33203125" customWidth="1"/>
    <col min="3" max="3" width="12.83203125" customWidth="1"/>
  </cols>
  <sheetData>
    <row r="1" spans="1:22" x14ac:dyDescent="0.3">
      <c r="I1" s="16" t="s">
        <v>24</v>
      </c>
      <c r="J1" s="16"/>
      <c r="M1" s="16" t="s">
        <v>27</v>
      </c>
      <c r="N1" s="16"/>
      <c r="O1" s="16"/>
      <c r="P1" s="16"/>
      <c r="S1" s="16" t="s">
        <v>27</v>
      </c>
      <c r="T1" s="16"/>
      <c r="U1" s="16"/>
      <c r="V1" s="16"/>
    </row>
    <row r="2" spans="1:22" x14ac:dyDescent="0.3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I2" s="2" t="s">
        <v>25</v>
      </c>
      <c r="J2" s="2" t="s">
        <v>26</v>
      </c>
      <c r="M2" s="9" t="s">
        <v>25</v>
      </c>
      <c r="N2" s="9" t="s">
        <v>31</v>
      </c>
      <c r="O2" s="9" t="s">
        <v>26</v>
      </c>
      <c r="P2" s="9" t="s">
        <v>31</v>
      </c>
      <c r="S2" s="9" t="s">
        <v>25</v>
      </c>
      <c r="T2" s="9" t="s">
        <v>31</v>
      </c>
      <c r="U2" s="9" t="s">
        <v>13</v>
      </c>
      <c r="V2" s="9" t="s">
        <v>31</v>
      </c>
    </row>
    <row r="3" spans="1:22" x14ac:dyDescent="0.3">
      <c r="A3" s="16" t="s">
        <v>21</v>
      </c>
      <c r="B3" s="5">
        <v>1</v>
      </c>
      <c r="C3" s="5">
        <v>1</v>
      </c>
      <c r="D3" s="5">
        <v>1</v>
      </c>
      <c r="E3" s="5">
        <v>4096</v>
      </c>
      <c r="F3" s="5">
        <v>4096</v>
      </c>
      <c r="G3" s="5">
        <v>47112</v>
      </c>
      <c r="I3">
        <v>16570</v>
      </c>
      <c r="J3">
        <v>66213</v>
      </c>
      <c r="M3">
        <v>15563</v>
      </c>
      <c r="N3" s="12">
        <f>(M3/0.8-I3)/I3</f>
        <v>0.17403439951719976</v>
      </c>
      <c r="O3">
        <v>53098</v>
      </c>
      <c r="P3" s="12">
        <f>(O3/0.8-J3)/J3</f>
        <v>2.4088925135547401E-3</v>
      </c>
      <c r="S3">
        <v>13777</v>
      </c>
      <c r="T3" s="26">
        <f>(S3/0.5-I3)/I3</f>
        <v>0.6628847314423657</v>
      </c>
      <c r="U3">
        <v>35100</v>
      </c>
      <c r="V3" s="26">
        <f>(U3/0.5-J3)/J3</f>
        <v>6.0214761451678672E-2</v>
      </c>
    </row>
    <row r="4" spans="1:22" x14ac:dyDescent="0.3">
      <c r="A4" s="16"/>
      <c r="B4" s="5">
        <v>8</v>
      </c>
      <c r="C4" s="5">
        <v>1</v>
      </c>
      <c r="D4" s="5">
        <v>8</v>
      </c>
      <c r="E4" s="5">
        <v>4096</v>
      </c>
      <c r="F4" s="5">
        <v>4096</v>
      </c>
      <c r="G4" s="5">
        <v>47112</v>
      </c>
      <c r="I4">
        <v>16579</v>
      </c>
      <c r="J4">
        <v>65551</v>
      </c>
      <c r="M4">
        <v>15479</v>
      </c>
      <c r="N4" s="12">
        <f t="shared" ref="N4:N56" si="0">(M4/0.8-I4)/I4</f>
        <v>0.16706375535315762</v>
      </c>
      <c r="O4">
        <v>53337</v>
      </c>
      <c r="P4" s="12">
        <f t="shared" ref="P4:P56" si="1">(O4/0.8-J4)/J4</f>
        <v>1.7089746914616101E-2</v>
      </c>
      <c r="S4">
        <v>13721</v>
      </c>
      <c r="T4" s="26">
        <f t="shared" ref="T4:T56" si="2">(S4/0.5-I4)/I4</f>
        <v>0.65522649134447197</v>
      </c>
      <c r="U4">
        <v>35304</v>
      </c>
      <c r="V4" s="26">
        <f t="shared" ref="V4:V56" si="3">(U4/0.5-J4)/J4</f>
        <v>7.7146038962029567E-2</v>
      </c>
    </row>
    <row r="5" spans="1:22" x14ac:dyDescent="0.3">
      <c r="A5" s="16"/>
      <c r="B5" s="5">
        <v>16</v>
      </c>
      <c r="C5" s="5">
        <v>1</v>
      </c>
      <c r="D5" s="5">
        <v>16</v>
      </c>
      <c r="E5" s="5">
        <v>4096</v>
      </c>
      <c r="F5" s="5">
        <v>4096</v>
      </c>
      <c r="G5" s="5">
        <v>47112</v>
      </c>
      <c r="I5">
        <v>17258</v>
      </c>
      <c r="J5">
        <v>66857</v>
      </c>
      <c r="M5">
        <v>16228</v>
      </c>
      <c r="N5" s="12">
        <f t="shared" si="0"/>
        <v>0.17539691737165372</v>
      </c>
      <c r="O5">
        <v>53614</v>
      </c>
      <c r="P5" s="12">
        <f t="shared" si="1"/>
        <v>2.4006461552268273E-3</v>
      </c>
      <c r="S5">
        <v>14733</v>
      </c>
      <c r="T5" s="26">
        <f t="shared" si="2"/>
        <v>0.70738208367134081</v>
      </c>
      <c r="U5">
        <v>35343</v>
      </c>
      <c r="V5" s="26">
        <f t="shared" si="3"/>
        <v>5.727148989634593E-2</v>
      </c>
    </row>
    <row r="6" spans="1:22" x14ac:dyDescent="0.3">
      <c r="A6" s="16"/>
      <c r="B6" s="5">
        <v>32</v>
      </c>
      <c r="C6" s="5">
        <v>1</v>
      </c>
      <c r="D6" s="5">
        <v>32</v>
      </c>
      <c r="E6" s="5">
        <v>4096</v>
      </c>
      <c r="F6" s="5">
        <v>4096</v>
      </c>
      <c r="G6" s="5">
        <v>47112</v>
      </c>
      <c r="I6">
        <v>20454</v>
      </c>
      <c r="J6">
        <v>71078</v>
      </c>
      <c r="M6">
        <v>18588</v>
      </c>
      <c r="N6" s="12">
        <f t="shared" si="0"/>
        <v>0.13596362569668524</v>
      </c>
      <c r="O6">
        <v>56148</v>
      </c>
      <c r="P6" s="12">
        <f t="shared" si="1"/>
        <v>-1.2563662455330764E-2</v>
      </c>
      <c r="S6">
        <v>15724</v>
      </c>
      <c r="T6" s="26">
        <f t="shared" si="2"/>
        <v>0.53749877774518429</v>
      </c>
      <c r="U6">
        <v>36238</v>
      </c>
      <c r="V6" s="26">
        <f t="shared" si="3"/>
        <v>1.9668533160752975E-2</v>
      </c>
    </row>
    <row r="7" spans="1:22" x14ac:dyDescent="0.3">
      <c r="A7" s="16"/>
      <c r="B7" s="5">
        <v>64</v>
      </c>
      <c r="C7" s="5">
        <v>1</v>
      </c>
      <c r="D7" s="5">
        <v>64</v>
      </c>
      <c r="E7" s="5">
        <v>4096</v>
      </c>
      <c r="F7" s="5">
        <v>4096</v>
      </c>
      <c r="G7" s="5">
        <v>47112</v>
      </c>
      <c r="I7">
        <v>23064</v>
      </c>
      <c r="J7">
        <v>72009</v>
      </c>
      <c r="M7">
        <v>21002</v>
      </c>
      <c r="N7" s="12">
        <f t="shared" si="0"/>
        <v>0.13824575095386749</v>
      </c>
      <c r="O7">
        <v>58863</v>
      </c>
      <c r="P7" s="12">
        <f t="shared" si="1"/>
        <v>2.1799358413531641E-2</v>
      </c>
      <c r="S7">
        <v>16283</v>
      </c>
      <c r="T7" s="26">
        <f t="shared" si="2"/>
        <v>0.4119840443981963</v>
      </c>
      <c r="U7">
        <v>37407</v>
      </c>
      <c r="V7" s="26">
        <f t="shared" si="3"/>
        <v>3.8953464150314546E-2</v>
      </c>
    </row>
    <row r="8" spans="1:22" x14ac:dyDescent="0.3">
      <c r="A8" s="16"/>
      <c r="B8" s="5">
        <v>128</v>
      </c>
      <c r="C8" s="5">
        <v>1</v>
      </c>
      <c r="D8" s="5">
        <v>128</v>
      </c>
      <c r="E8" s="5">
        <v>4096</v>
      </c>
      <c r="F8" s="5">
        <v>4096</v>
      </c>
      <c r="G8" s="5">
        <v>94224</v>
      </c>
      <c r="I8">
        <v>39316</v>
      </c>
      <c r="J8">
        <v>89413</v>
      </c>
      <c r="M8">
        <v>36407</v>
      </c>
      <c r="N8" s="12">
        <f t="shared" si="0"/>
        <v>0.15751220876996644</v>
      </c>
      <c r="O8">
        <v>75485</v>
      </c>
      <c r="P8" s="12">
        <f t="shared" si="1"/>
        <v>5.5285584870209029E-2</v>
      </c>
      <c r="S8">
        <v>31032</v>
      </c>
      <c r="T8" s="26">
        <f t="shared" si="2"/>
        <v>0.57859395665886659</v>
      </c>
      <c r="U8">
        <v>51364</v>
      </c>
      <c r="V8" s="26">
        <f t="shared" si="3"/>
        <v>0.1489157057698545</v>
      </c>
    </row>
    <row r="9" spans="1:22" x14ac:dyDescent="0.3">
      <c r="A9" s="16"/>
      <c r="B9" s="5">
        <v>1</v>
      </c>
      <c r="C9" s="5">
        <v>1</v>
      </c>
      <c r="D9" s="5">
        <v>1</v>
      </c>
      <c r="E9" s="5">
        <v>11008</v>
      </c>
      <c r="F9" s="5">
        <v>4096</v>
      </c>
      <c r="G9" s="5">
        <v>139154</v>
      </c>
      <c r="I9">
        <v>121615</v>
      </c>
      <c r="J9">
        <v>159630</v>
      </c>
      <c r="M9">
        <v>98814</v>
      </c>
      <c r="N9" s="12">
        <f t="shared" si="0"/>
        <v>1.5643629486494264E-2</v>
      </c>
      <c r="O9">
        <v>128367</v>
      </c>
      <c r="P9" s="12">
        <f t="shared" si="1"/>
        <v>5.1916932907348241E-3</v>
      </c>
      <c r="S9">
        <v>64940</v>
      </c>
      <c r="T9" s="26">
        <f t="shared" si="2"/>
        <v>6.7960366731077582E-2</v>
      </c>
      <c r="U9">
        <v>83009</v>
      </c>
      <c r="V9" s="26">
        <f t="shared" si="3"/>
        <v>4.0017540562550899E-2</v>
      </c>
    </row>
    <row r="10" spans="1:22" x14ac:dyDescent="0.3">
      <c r="A10" s="16"/>
      <c r="B10" s="5">
        <v>8</v>
      </c>
      <c r="C10" s="5">
        <v>1</v>
      </c>
      <c r="D10" s="5">
        <v>8</v>
      </c>
      <c r="E10" s="5">
        <v>11008</v>
      </c>
      <c r="F10" s="5">
        <v>4096</v>
      </c>
      <c r="G10" s="5">
        <v>139154</v>
      </c>
      <c r="I10">
        <v>122097</v>
      </c>
      <c r="J10">
        <v>158912</v>
      </c>
      <c r="M10">
        <v>99106</v>
      </c>
      <c r="N10" s="12">
        <f t="shared" si="0"/>
        <v>1.4623618925935937E-2</v>
      </c>
      <c r="O10">
        <v>128498</v>
      </c>
      <c r="P10" s="12">
        <f t="shared" si="1"/>
        <v>1.0763818968989126E-2</v>
      </c>
      <c r="S10">
        <v>65339</v>
      </c>
      <c r="T10" s="26">
        <f t="shared" si="2"/>
        <v>7.0280187064383243E-2</v>
      </c>
      <c r="U10">
        <v>83383</v>
      </c>
      <c r="V10" s="26">
        <f t="shared" si="3"/>
        <v>4.9423580346355217E-2</v>
      </c>
    </row>
    <row r="11" spans="1:22" x14ac:dyDescent="0.3">
      <c r="A11" s="16"/>
      <c r="B11" s="5">
        <v>16</v>
      </c>
      <c r="C11" s="5">
        <v>1</v>
      </c>
      <c r="D11" s="5">
        <v>16</v>
      </c>
      <c r="E11" s="5">
        <v>11008</v>
      </c>
      <c r="F11" s="5">
        <v>4096</v>
      </c>
      <c r="G11" s="5">
        <v>139154</v>
      </c>
      <c r="I11">
        <v>123805</v>
      </c>
      <c r="J11">
        <v>162397</v>
      </c>
      <c r="M11">
        <v>100225</v>
      </c>
      <c r="N11" s="12">
        <f t="shared" si="0"/>
        <v>1.1923993376681071E-2</v>
      </c>
      <c r="O11">
        <v>130652</v>
      </c>
      <c r="P11" s="12">
        <f t="shared" si="1"/>
        <v>5.6528137835058527E-3</v>
      </c>
      <c r="S11">
        <v>67234</v>
      </c>
      <c r="T11" s="26">
        <f t="shared" si="2"/>
        <v>8.61273777311094E-2</v>
      </c>
      <c r="U11">
        <v>84247</v>
      </c>
      <c r="V11" s="26">
        <f t="shared" si="3"/>
        <v>3.7543796991323729E-2</v>
      </c>
    </row>
    <row r="12" spans="1:22" x14ac:dyDescent="0.3">
      <c r="A12" s="16"/>
      <c r="B12" s="5">
        <v>32</v>
      </c>
      <c r="C12" s="5">
        <v>1</v>
      </c>
      <c r="D12" s="5">
        <v>32</v>
      </c>
      <c r="E12" s="5">
        <v>11008</v>
      </c>
      <c r="F12" s="5">
        <v>4096</v>
      </c>
      <c r="G12" s="5">
        <v>139154</v>
      </c>
      <c r="I12">
        <v>129131</v>
      </c>
      <c r="J12">
        <v>165285</v>
      </c>
      <c r="M12">
        <v>103729</v>
      </c>
      <c r="N12" s="12">
        <f t="shared" si="0"/>
        <v>4.1062951576306232E-3</v>
      </c>
      <c r="O12">
        <v>132927</v>
      </c>
      <c r="P12" s="12">
        <f t="shared" si="1"/>
        <v>5.2863236228332883E-3</v>
      </c>
      <c r="S12">
        <v>68913</v>
      </c>
      <c r="T12" s="26">
        <f t="shared" si="2"/>
        <v>6.7334722103909977E-2</v>
      </c>
      <c r="U12">
        <v>86277</v>
      </c>
      <c r="V12" s="26">
        <f t="shared" si="3"/>
        <v>4.3978582448498046E-2</v>
      </c>
    </row>
    <row r="13" spans="1:22" x14ac:dyDescent="0.3">
      <c r="A13" s="16"/>
      <c r="B13" s="5">
        <v>64</v>
      </c>
      <c r="C13" s="5">
        <v>1</v>
      </c>
      <c r="D13" s="5">
        <v>64</v>
      </c>
      <c r="E13" s="5">
        <v>11008</v>
      </c>
      <c r="F13" s="5">
        <v>4096</v>
      </c>
      <c r="G13" s="5">
        <v>139154</v>
      </c>
      <c r="I13">
        <v>138049</v>
      </c>
      <c r="J13">
        <v>173138</v>
      </c>
      <c r="M13">
        <v>110403</v>
      </c>
      <c r="N13" s="12">
        <f t="shared" si="0"/>
        <v>-3.2778216430397905E-4</v>
      </c>
      <c r="O13">
        <v>139924</v>
      </c>
      <c r="P13" s="12">
        <f t="shared" si="1"/>
        <v>1.0205731843962619E-2</v>
      </c>
      <c r="S13">
        <v>71410</v>
      </c>
      <c r="T13" s="26">
        <f t="shared" si="2"/>
        <v>3.4560192395453791E-2</v>
      </c>
      <c r="U13">
        <v>90342</v>
      </c>
      <c r="V13" s="26">
        <f t="shared" si="3"/>
        <v>4.3583730896741328E-2</v>
      </c>
    </row>
    <row r="14" spans="1:22" x14ac:dyDescent="0.3">
      <c r="A14" s="16"/>
      <c r="B14" s="5">
        <v>128</v>
      </c>
      <c r="C14" s="5">
        <v>1</v>
      </c>
      <c r="D14" s="5">
        <v>128</v>
      </c>
      <c r="E14" s="5">
        <v>11008</v>
      </c>
      <c r="F14" s="5">
        <v>4096</v>
      </c>
      <c r="G14" s="5">
        <v>278308</v>
      </c>
      <c r="I14">
        <v>322488</v>
      </c>
      <c r="J14">
        <v>304065</v>
      </c>
      <c r="M14">
        <v>261366</v>
      </c>
      <c r="N14" s="12">
        <f t="shared" si="0"/>
        <v>1.3084207784475702E-2</v>
      </c>
      <c r="O14">
        <v>243551</v>
      </c>
      <c r="P14" s="12">
        <f t="shared" si="1"/>
        <v>1.2291779718152369E-3</v>
      </c>
      <c r="S14">
        <v>165188</v>
      </c>
      <c r="T14" s="26">
        <f t="shared" si="2"/>
        <v>2.4459824861700279E-2</v>
      </c>
      <c r="U14">
        <v>156908</v>
      </c>
      <c r="V14" s="26">
        <f t="shared" si="3"/>
        <v>3.2068801078716722E-2</v>
      </c>
    </row>
    <row r="15" spans="1:22" x14ac:dyDescent="0.3">
      <c r="A15" s="8"/>
      <c r="B15" s="5"/>
      <c r="C15" s="5"/>
      <c r="D15" s="5"/>
      <c r="E15" s="5"/>
      <c r="F15" s="5"/>
      <c r="G15" s="5"/>
      <c r="N15" s="12"/>
      <c r="P15" s="12"/>
      <c r="T15" s="26"/>
      <c r="V15" s="26"/>
    </row>
    <row r="16" spans="1:22" x14ac:dyDescent="0.3">
      <c r="A16" s="8"/>
      <c r="B16" s="5"/>
      <c r="C16" s="5"/>
      <c r="D16" s="5"/>
      <c r="E16" s="5"/>
      <c r="F16" s="5"/>
      <c r="G16" s="5"/>
      <c r="N16" s="12"/>
      <c r="P16" s="12"/>
      <c r="T16" s="26"/>
      <c r="V16" s="26"/>
    </row>
    <row r="17" spans="1:22" x14ac:dyDescent="0.3">
      <c r="A17" s="17" t="s">
        <v>22</v>
      </c>
      <c r="B17" s="5">
        <v>1</v>
      </c>
      <c r="C17" s="5">
        <v>1</v>
      </c>
      <c r="D17" s="5">
        <v>1</v>
      </c>
      <c r="E17" s="5">
        <v>2560</v>
      </c>
      <c r="F17" s="5">
        <v>5120</v>
      </c>
      <c r="G17" s="5">
        <v>56706</v>
      </c>
      <c r="I17">
        <v>19107</v>
      </c>
      <c r="J17">
        <v>56188</v>
      </c>
      <c r="M17">
        <v>18069</v>
      </c>
      <c r="N17" s="12">
        <f t="shared" si="0"/>
        <v>0.18209295022766525</v>
      </c>
      <c r="O17">
        <v>46350</v>
      </c>
      <c r="P17" s="12">
        <f t="shared" si="1"/>
        <v>3.1136541610308252E-2</v>
      </c>
      <c r="S17">
        <v>16750</v>
      </c>
      <c r="T17" s="26">
        <f t="shared" si="2"/>
        <v>0.75328413670382577</v>
      </c>
      <c r="U17">
        <v>31124</v>
      </c>
      <c r="V17" s="26">
        <f t="shared" si="3"/>
        <v>0.10785221043639211</v>
      </c>
    </row>
    <row r="18" spans="1:22" x14ac:dyDescent="0.3">
      <c r="A18" s="17"/>
      <c r="B18" s="5">
        <v>8</v>
      </c>
      <c r="C18" s="5">
        <v>1</v>
      </c>
      <c r="D18" s="5">
        <v>8</v>
      </c>
      <c r="E18" s="5">
        <v>2560</v>
      </c>
      <c r="F18" s="5">
        <v>5120</v>
      </c>
      <c r="G18" s="5">
        <v>56706</v>
      </c>
      <c r="I18">
        <v>20055</v>
      </c>
      <c r="J18">
        <v>56778</v>
      </c>
      <c r="M18">
        <v>18890</v>
      </c>
      <c r="N18" s="12">
        <f t="shared" si="0"/>
        <v>0.17738718524058839</v>
      </c>
      <c r="O18">
        <v>46024</v>
      </c>
      <c r="P18" s="12">
        <f t="shared" si="1"/>
        <v>1.3244566557469443E-2</v>
      </c>
      <c r="S18">
        <v>17447</v>
      </c>
      <c r="T18" s="26">
        <f t="shared" si="2"/>
        <v>0.73991523310895035</v>
      </c>
      <c r="U18">
        <v>30477</v>
      </c>
      <c r="V18" s="26">
        <f t="shared" si="3"/>
        <v>7.3549614287223924E-2</v>
      </c>
    </row>
    <row r="19" spans="1:22" x14ac:dyDescent="0.3">
      <c r="A19" s="17"/>
      <c r="B19" s="5">
        <v>16</v>
      </c>
      <c r="C19" s="5">
        <v>1</v>
      </c>
      <c r="D19" s="5">
        <v>16</v>
      </c>
      <c r="E19" s="5">
        <v>2560</v>
      </c>
      <c r="F19" s="5">
        <v>5120</v>
      </c>
      <c r="G19" s="5">
        <v>56706</v>
      </c>
      <c r="I19">
        <v>19972</v>
      </c>
      <c r="J19">
        <v>56566</v>
      </c>
      <c r="M19">
        <v>19001</v>
      </c>
      <c r="N19" s="12">
        <f t="shared" si="0"/>
        <v>0.18922741838574003</v>
      </c>
      <c r="O19">
        <v>46258</v>
      </c>
      <c r="P19" s="12">
        <f t="shared" si="1"/>
        <v>2.2212990135417034E-2</v>
      </c>
      <c r="S19">
        <v>17563</v>
      </c>
      <c r="T19" s="26">
        <f t="shared" si="2"/>
        <v>0.75876226717404371</v>
      </c>
      <c r="U19">
        <v>30969</v>
      </c>
      <c r="V19" s="26">
        <f t="shared" si="3"/>
        <v>9.4968709118551778E-2</v>
      </c>
    </row>
    <row r="20" spans="1:22" x14ac:dyDescent="0.3">
      <c r="A20" s="17"/>
      <c r="B20" s="5">
        <v>32</v>
      </c>
      <c r="C20" s="5">
        <v>1</v>
      </c>
      <c r="D20" s="5">
        <v>32</v>
      </c>
      <c r="E20" s="5">
        <v>2560</v>
      </c>
      <c r="F20" s="5">
        <v>5120</v>
      </c>
      <c r="G20" s="5">
        <v>56706</v>
      </c>
      <c r="I20">
        <v>21731</v>
      </c>
      <c r="J20">
        <v>56912</v>
      </c>
      <c r="M20">
        <v>20256</v>
      </c>
      <c r="N20" s="12">
        <f t="shared" si="0"/>
        <v>0.16515576825732825</v>
      </c>
      <c r="O20">
        <v>46814</v>
      </c>
      <c r="P20" s="12">
        <f t="shared" si="1"/>
        <v>2.8210219285915095E-2</v>
      </c>
      <c r="S20">
        <v>18371</v>
      </c>
      <c r="T20" s="26">
        <f t="shared" si="2"/>
        <v>0.69076434586535362</v>
      </c>
      <c r="U20">
        <v>31071</v>
      </c>
      <c r="V20" s="26">
        <f t="shared" si="3"/>
        <v>9.1896260894011803E-2</v>
      </c>
    </row>
    <row r="21" spans="1:22" x14ac:dyDescent="0.3">
      <c r="A21" s="17"/>
      <c r="B21" s="5">
        <v>64</v>
      </c>
      <c r="C21" s="5">
        <v>1</v>
      </c>
      <c r="D21" s="5">
        <v>64</v>
      </c>
      <c r="E21" s="5">
        <v>2560</v>
      </c>
      <c r="F21" s="5">
        <v>5120</v>
      </c>
      <c r="G21" s="5">
        <v>56706</v>
      </c>
      <c r="I21">
        <v>24666</v>
      </c>
      <c r="J21">
        <v>60382</v>
      </c>
      <c r="M21">
        <v>21516</v>
      </c>
      <c r="N21" s="12">
        <f t="shared" si="0"/>
        <v>9.0367307224519577E-2</v>
      </c>
      <c r="O21">
        <v>49026</v>
      </c>
      <c r="P21" s="12">
        <f t="shared" si="1"/>
        <v>1.4913384783544766E-2</v>
      </c>
      <c r="S21">
        <v>19232</v>
      </c>
      <c r="T21" s="26">
        <f t="shared" si="2"/>
        <v>0.55939349712154385</v>
      </c>
      <c r="U21">
        <v>32783</v>
      </c>
      <c r="V21" s="26">
        <f t="shared" si="3"/>
        <v>8.5853400019873474E-2</v>
      </c>
    </row>
    <row r="22" spans="1:22" x14ac:dyDescent="0.3">
      <c r="A22" s="17"/>
      <c r="B22" s="5">
        <v>128</v>
      </c>
      <c r="C22" s="5">
        <v>1</v>
      </c>
      <c r="D22" s="5">
        <v>128</v>
      </c>
      <c r="E22" s="5">
        <v>2560</v>
      </c>
      <c r="F22" s="5">
        <v>5120</v>
      </c>
      <c r="G22" s="5">
        <v>113412</v>
      </c>
      <c r="I22">
        <v>39829</v>
      </c>
      <c r="J22">
        <v>75852</v>
      </c>
      <c r="M22">
        <v>37161</v>
      </c>
      <c r="N22" s="12">
        <f t="shared" si="0"/>
        <v>0.16626704160285219</v>
      </c>
      <c r="O22">
        <v>63535</v>
      </c>
      <c r="P22" s="12">
        <f t="shared" si="1"/>
        <v>4.7022491167009441E-2</v>
      </c>
      <c r="S22">
        <v>33871</v>
      </c>
      <c r="T22" s="26">
        <f t="shared" si="2"/>
        <v>0.70082100981696749</v>
      </c>
      <c r="U22">
        <v>45957</v>
      </c>
      <c r="V22" s="26">
        <f t="shared" si="3"/>
        <v>0.21175446922955229</v>
      </c>
    </row>
    <row r="23" spans="1:22" x14ac:dyDescent="0.3">
      <c r="A23" s="17"/>
      <c r="B23" s="5">
        <v>1</v>
      </c>
      <c r="C23" s="5">
        <v>1</v>
      </c>
      <c r="D23" s="5">
        <v>1</v>
      </c>
      <c r="E23" s="5">
        <v>6848</v>
      </c>
      <c r="F23" s="5">
        <v>5120</v>
      </c>
      <c r="G23" s="5">
        <v>112047</v>
      </c>
      <c r="I23">
        <v>54714</v>
      </c>
      <c r="J23">
        <v>128432</v>
      </c>
      <c r="M23">
        <v>44999</v>
      </c>
      <c r="N23" s="12">
        <f t="shared" si="0"/>
        <v>2.8050407573929889E-2</v>
      </c>
      <c r="O23">
        <v>103638</v>
      </c>
      <c r="P23" s="12">
        <f t="shared" si="1"/>
        <v>8.6855300859598854E-3</v>
      </c>
      <c r="S23">
        <v>35372</v>
      </c>
      <c r="T23" s="26">
        <f t="shared" si="2"/>
        <v>0.29297803121687321</v>
      </c>
      <c r="U23">
        <v>67538</v>
      </c>
      <c r="V23" s="26">
        <f t="shared" si="3"/>
        <v>5.1731655662140275E-2</v>
      </c>
    </row>
    <row r="24" spans="1:22" x14ac:dyDescent="0.3">
      <c r="A24" s="17"/>
      <c r="B24" s="5">
        <v>8</v>
      </c>
      <c r="C24" s="5">
        <v>1</v>
      </c>
      <c r="D24" s="5">
        <v>8</v>
      </c>
      <c r="E24" s="5">
        <v>6848</v>
      </c>
      <c r="F24" s="5">
        <v>5120</v>
      </c>
      <c r="G24" s="5">
        <v>112047</v>
      </c>
      <c r="I24">
        <v>55055</v>
      </c>
      <c r="J24">
        <v>128110</v>
      </c>
      <c r="M24">
        <v>45736</v>
      </c>
      <c r="N24" s="12">
        <f t="shared" si="0"/>
        <v>3.8416129325220233E-2</v>
      </c>
      <c r="O24">
        <v>103470</v>
      </c>
      <c r="P24" s="12">
        <f t="shared" si="1"/>
        <v>9.5816095542892825E-3</v>
      </c>
      <c r="S24">
        <v>35630</v>
      </c>
      <c r="T24" s="26">
        <f t="shared" si="2"/>
        <v>0.29434202161474887</v>
      </c>
      <c r="U24">
        <v>67426</v>
      </c>
      <c r="V24" s="26">
        <f t="shared" si="3"/>
        <v>5.2626648973538366E-2</v>
      </c>
    </row>
    <row r="25" spans="1:22" x14ac:dyDescent="0.3">
      <c r="A25" s="17"/>
      <c r="B25" s="5">
        <v>16</v>
      </c>
      <c r="C25" s="5">
        <v>1</v>
      </c>
      <c r="D25" s="5">
        <v>16</v>
      </c>
      <c r="E25" s="5">
        <v>6848</v>
      </c>
      <c r="F25" s="5">
        <v>5120</v>
      </c>
      <c r="G25" s="5">
        <v>112047</v>
      </c>
      <c r="I25">
        <v>56216</v>
      </c>
      <c r="J25">
        <v>129583</v>
      </c>
      <c r="M25">
        <v>46430</v>
      </c>
      <c r="N25" s="12">
        <f t="shared" si="0"/>
        <v>3.2401807314643517E-2</v>
      </c>
      <c r="O25">
        <v>104427</v>
      </c>
      <c r="P25" s="12">
        <f t="shared" si="1"/>
        <v>7.3369963652639624E-3</v>
      </c>
      <c r="S25">
        <v>36090</v>
      </c>
      <c r="T25" s="26">
        <f t="shared" si="2"/>
        <v>0.28397609221573927</v>
      </c>
      <c r="U25">
        <v>67886</v>
      </c>
      <c r="V25" s="26">
        <f t="shared" si="3"/>
        <v>4.7760894561786657E-2</v>
      </c>
    </row>
    <row r="26" spans="1:22" x14ac:dyDescent="0.3">
      <c r="A26" s="17"/>
      <c r="B26" s="5">
        <v>32</v>
      </c>
      <c r="C26" s="5">
        <v>1</v>
      </c>
      <c r="D26" s="5">
        <v>32</v>
      </c>
      <c r="E26" s="5">
        <v>6848</v>
      </c>
      <c r="F26" s="5">
        <v>5120</v>
      </c>
      <c r="G26" s="5">
        <v>112047</v>
      </c>
      <c r="I26">
        <v>58295</v>
      </c>
      <c r="J26">
        <v>131310</v>
      </c>
      <c r="M26">
        <v>49053</v>
      </c>
      <c r="N26" s="12">
        <f t="shared" si="0"/>
        <v>5.182691482974526E-2</v>
      </c>
      <c r="O26">
        <v>106188</v>
      </c>
      <c r="P26" s="12">
        <f t="shared" si="1"/>
        <v>1.0852181859721271E-2</v>
      </c>
      <c r="S26">
        <v>37990</v>
      </c>
      <c r="T26" s="26">
        <f t="shared" si="2"/>
        <v>0.30337078651685395</v>
      </c>
      <c r="U26">
        <v>68326</v>
      </c>
      <c r="V26" s="26">
        <f t="shared" si="3"/>
        <v>4.0682354733074404E-2</v>
      </c>
    </row>
    <row r="27" spans="1:22" x14ac:dyDescent="0.3">
      <c r="A27" s="17"/>
      <c r="B27" s="5">
        <v>64</v>
      </c>
      <c r="C27" s="5">
        <v>1</v>
      </c>
      <c r="D27" s="5">
        <v>64</v>
      </c>
      <c r="E27" s="5">
        <v>6848</v>
      </c>
      <c r="F27" s="5">
        <v>5120</v>
      </c>
      <c r="G27" s="5">
        <v>112047</v>
      </c>
      <c r="I27">
        <v>65673</v>
      </c>
      <c r="J27">
        <v>137839</v>
      </c>
      <c r="M27">
        <v>55784</v>
      </c>
      <c r="N27" s="12">
        <f t="shared" si="0"/>
        <v>6.177576781934737E-2</v>
      </c>
      <c r="O27">
        <v>111987</v>
      </c>
      <c r="P27" s="12">
        <f t="shared" si="1"/>
        <v>1.5559819789754714E-2</v>
      </c>
      <c r="S27">
        <v>41146</v>
      </c>
      <c r="T27" s="26">
        <f t="shared" si="2"/>
        <v>0.25305681177957456</v>
      </c>
      <c r="U27">
        <v>71656</v>
      </c>
      <c r="V27" s="26">
        <f t="shared" si="3"/>
        <v>3.9705743657455439E-2</v>
      </c>
    </row>
    <row r="28" spans="1:22" x14ac:dyDescent="0.3">
      <c r="A28" s="17"/>
      <c r="B28" s="5">
        <v>128</v>
      </c>
      <c r="C28" s="5">
        <v>1</v>
      </c>
      <c r="D28" s="5">
        <v>128</v>
      </c>
      <c r="E28" s="5">
        <v>6848</v>
      </c>
      <c r="F28" s="5">
        <v>5120</v>
      </c>
      <c r="G28" s="5">
        <v>224094</v>
      </c>
      <c r="I28">
        <v>139162</v>
      </c>
      <c r="J28">
        <v>197224</v>
      </c>
      <c r="M28">
        <v>116903</v>
      </c>
      <c r="N28" s="12">
        <f t="shared" si="0"/>
        <v>5.0062157772955258E-2</v>
      </c>
      <c r="O28">
        <v>158051</v>
      </c>
      <c r="P28" s="12">
        <f t="shared" si="1"/>
        <v>1.7226605281304506E-3</v>
      </c>
      <c r="S28">
        <v>82289</v>
      </c>
      <c r="T28" s="26">
        <f t="shared" si="2"/>
        <v>0.18263606444287953</v>
      </c>
      <c r="U28">
        <v>107907</v>
      </c>
      <c r="V28" s="26">
        <f t="shared" si="3"/>
        <v>9.4258305277248211E-2</v>
      </c>
    </row>
    <row r="29" spans="1:22" x14ac:dyDescent="0.3">
      <c r="A29" s="8"/>
      <c r="B29" s="5"/>
      <c r="C29" s="5"/>
      <c r="D29" s="5"/>
      <c r="E29" s="5"/>
      <c r="F29" s="5"/>
      <c r="G29" s="5"/>
      <c r="N29" s="12"/>
      <c r="P29" s="12"/>
      <c r="T29" s="26"/>
      <c r="V29" s="26"/>
    </row>
    <row r="30" spans="1:22" x14ac:dyDescent="0.3">
      <c r="A30" s="8"/>
      <c r="B30" s="5"/>
      <c r="C30" s="5"/>
      <c r="D30" s="5"/>
      <c r="E30" s="5"/>
      <c r="F30" s="5"/>
      <c r="G30" s="5"/>
      <c r="N30" s="12"/>
      <c r="P30" s="12"/>
      <c r="T30" s="26"/>
      <c r="V30" s="26"/>
    </row>
    <row r="31" spans="1:22" x14ac:dyDescent="0.3">
      <c r="A31" s="18" t="s">
        <v>23</v>
      </c>
      <c r="B31" s="5">
        <v>1</v>
      </c>
      <c r="C31" s="5">
        <v>1</v>
      </c>
      <c r="D31" s="5">
        <v>1</v>
      </c>
      <c r="E31" s="5">
        <v>4096</v>
      </c>
      <c r="F31" s="5">
        <v>8192</v>
      </c>
      <c r="G31" s="5">
        <v>93907</v>
      </c>
      <c r="I31">
        <v>36509</v>
      </c>
      <c r="J31">
        <v>96525</v>
      </c>
      <c r="M31">
        <v>35057</v>
      </c>
      <c r="N31" s="12">
        <f t="shared" si="0"/>
        <v>0.20028623079240734</v>
      </c>
      <c r="O31">
        <v>78909</v>
      </c>
      <c r="P31" s="12">
        <f t="shared" si="1"/>
        <v>2.1872571872571873E-2</v>
      </c>
      <c r="S31">
        <v>32990</v>
      </c>
      <c r="T31" s="26">
        <f t="shared" si="2"/>
        <v>0.80722561560163253</v>
      </c>
      <c r="U31">
        <v>54591</v>
      </c>
      <c r="V31" s="26">
        <f t="shared" si="3"/>
        <v>0.13112665112665112</v>
      </c>
    </row>
    <row r="32" spans="1:22" x14ac:dyDescent="0.3">
      <c r="A32" s="19"/>
      <c r="B32" s="5">
        <v>8</v>
      </c>
      <c r="C32" s="5">
        <v>1</v>
      </c>
      <c r="D32" s="5">
        <v>8</v>
      </c>
      <c r="E32" s="5">
        <v>4096</v>
      </c>
      <c r="F32" s="5">
        <v>8192</v>
      </c>
      <c r="G32" s="5">
        <v>93907</v>
      </c>
      <c r="I32">
        <v>36709</v>
      </c>
      <c r="J32">
        <v>97914</v>
      </c>
      <c r="M32">
        <v>35326</v>
      </c>
      <c r="N32" s="12">
        <f t="shared" si="0"/>
        <v>0.20290664414721185</v>
      </c>
      <c r="O32">
        <v>78773</v>
      </c>
      <c r="P32" s="12">
        <f t="shared" si="1"/>
        <v>5.6401536041832626E-3</v>
      </c>
      <c r="S32">
        <v>33216</v>
      </c>
      <c r="T32" s="26">
        <f t="shared" si="2"/>
        <v>0.80969244599417034</v>
      </c>
      <c r="U32">
        <v>53838</v>
      </c>
      <c r="V32" s="26">
        <f t="shared" si="3"/>
        <v>9.9699736503462227E-2</v>
      </c>
    </row>
    <row r="33" spans="1:22" x14ac:dyDescent="0.3">
      <c r="A33" s="19"/>
      <c r="B33" s="5">
        <v>16</v>
      </c>
      <c r="C33" s="5">
        <v>1</v>
      </c>
      <c r="D33" s="5">
        <v>16</v>
      </c>
      <c r="E33" s="5">
        <v>4096</v>
      </c>
      <c r="F33" s="5">
        <v>8192</v>
      </c>
      <c r="G33" s="5">
        <v>93907</v>
      </c>
      <c r="I33">
        <v>36417</v>
      </c>
      <c r="J33">
        <v>97333</v>
      </c>
      <c r="M33">
        <v>34796</v>
      </c>
      <c r="N33" s="12">
        <f t="shared" si="0"/>
        <v>0.19435977702721258</v>
      </c>
      <c r="O33">
        <v>79486</v>
      </c>
      <c r="P33" s="12">
        <f t="shared" si="1"/>
        <v>2.0799728766194406E-2</v>
      </c>
      <c r="S33">
        <v>33046</v>
      </c>
      <c r="T33" s="26">
        <f t="shared" si="2"/>
        <v>0.81486668314248845</v>
      </c>
      <c r="U33">
        <v>54000</v>
      </c>
      <c r="V33" s="26">
        <f t="shared" si="3"/>
        <v>0.10959284107137353</v>
      </c>
    </row>
    <row r="34" spans="1:22" x14ac:dyDescent="0.3">
      <c r="A34" s="19"/>
      <c r="B34" s="5">
        <v>32</v>
      </c>
      <c r="C34" s="5">
        <v>1</v>
      </c>
      <c r="D34" s="5">
        <v>32</v>
      </c>
      <c r="E34" s="5">
        <v>4096</v>
      </c>
      <c r="F34" s="5">
        <v>8192</v>
      </c>
      <c r="G34" s="5">
        <v>93907</v>
      </c>
      <c r="I34">
        <v>37862</v>
      </c>
      <c r="J34">
        <v>97589</v>
      </c>
      <c r="M34">
        <v>35484</v>
      </c>
      <c r="N34" s="12">
        <f t="shared" si="0"/>
        <v>0.17149120490201258</v>
      </c>
      <c r="O34">
        <v>79666</v>
      </c>
      <c r="P34" s="12">
        <f t="shared" si="1"/>
        <v>2.0427507198557213E-2</v>
      </c>
      <c r="S34">
        <v>31902</v>
      </c>
      <c r="T34" s="26">
        <f t="shared" si="2"/>
        <v>0.68517246843801172</v>
      </c>
      <c r="U34">
        <v>53896</v>
      </c>
      <c r="V34" s="26">
        <f t="shared" si="3"/>
        <v>0.10455071780631013</v>
      </c>
    </row>
    <row r="35" spans="1:22" x14ac:dyDescent="0.3">
      <c r="A35" s="19"/>
      <c r="B35" s="5">
        <v>64</v>
      </c>
      <c r="C35" s="5">
        <v>1</v>
      </c>
      <c r="D35" s="5">
        <v>64</v>
      </c>
      <c r="E35" s="5">
        <v>4096</v>
      </c>
      <c r="F35" s="5">
        <v>8192</v>
      </c>
      <c r="G35" s="5">
        <v>93907</v>
      </c>
      <c r="I35">
        <v>49633</v>
      </c>
      <c r="J35">
        <v>107127</v>
      </c>
      <c r="M35">
        <v>44539</v>
      </c>
      <c r="N35" s="12">
        <f t="shared" si="0"/>
        <v>0.12170833920979993</v>
      </c>
      <c r="O35">
        <v>83226</v>
      </c>
      <c r="P35" s="12">
        <f t="shared" si="1"/>
        <v>-2.8886275168724971E-2</v>
      </c>
      <c r="S35">
        <v>36001</v>
      </c>
      <c r="T35" s="26">
        <f t="shared" si="2"/>
        <v>0.45068805028912218</v>
      </c>
      <c r="U35">
        <v>56003</v>
      </c>
      <c r="V35" s="26">
        <f t="shared" si="3"/>
        <v>4.5544073856264057E-2</v>
      </c>
    </row>
    <row r="36" spans="1:22" x14ac:dyDescent="0.3">
      <c r="A36" s="19"/>
      <c r="B36" s="5">
        <v>128</v>
      </c>
      <c r="C36" s="5">
        <v>1</v>
      </c>
      <c r="D36" s="5">
        <v>128</v>
      </c>
      <c r="E36" s="5">
        <v>4096</v>
      </c>
      <c r="F36" s="5">
        <v>8192</v>
      </c>
      <c r="G36" s="5">
        <v>187815</v>
      </c>
      <c r="I36">
        <v>98048</v>
      </c>
      <c r="J36">
        <v>157431</v>
      </c>
      <c r="M36">
        <v>87668</v>
      </c>
      <c r="N36" s="12">
        <f t="shared" si="0"/>
        <v>0.11766685704960836</v>
      </c>
      <c r="O36">
        <v>130424</v>
      </c>
      <c r="P36" s="12">
        <f t="shared" si="1"/>
        <v>3.5564787113084459E-2</v>
      </c>
      <c r="S36">
        <v>71182</v>
      </c>
      <c r="T36" s="26">
        <f t="shared" si="2"/>
        <v>0.45198270234986943</v>
      </c>
      <c r="U36">
        <v>91183</v>
      </c>
      <c r="V36" s="26">
        <f t="shared" si="3"/>
        <v>0.15838684884171478</v>
      </c>
    </row>
    <row r="37" spans="1:22" x14ac:dyDescent="0.3">
      <c r="A37" s="19"/>
      <c r="B37" s="5">
        <v>1</v>
      </c>
      <c r="C37" s="5">
        <v>1</v>
      </c>
      <c r="D37" s="5">
        <v>1</v>
      </c>
      <c r="E37" s="5">
        <v>11008</v>
      </c>
      <c r="F37" s="5">
        <v>8192</v>
      </c>
      <c r="G37" s="5">
        <v>184901</v>
      </c>
      <c r="I37">
        <v>215820</v>
      </c>
      <c r="J37">
        <v>221652</v>
      </c>
      <c r="M37">
        <v>174520</v>
      </c>
      <c r="N37" s="12">
        <f t="shared" si="0"/>
        <v>1.0796033731813549E-2</v>
      </c>
      <c r="O37">
        <v>177571</v>
      </c>
      <c r="P37" s="12">
        <f t="shared" si="1"/>
        <v>1.4064840380416147E-3</v>
      </c>
      <c r="S37">
        <v>115396</v>
      </c>
      <c r="T37" s="26">
        <f t="shared" si="2"/>
        <v>6.9372625335928084E-2</v>
      </c>
      <c r="U37">
        <v>118476</v>
      </c>
      <c r="V37" s="26">
        <f t="shared" si="3"/>
        <v>6.9027123599155429E-2</v>
      </c>
    </row>
    <row r="38" spans="1:22" x14ac:dyDescent="0.3">
      <c r="A38" s="19"/>
      <c r="B38" s="5">
        <v>8</v>
      </c>
      <c r="C38" s="5">
        <v>1</v>
      </c>
      <c r="D38" s="5">
        <v>8</v>
      </c>
      <c r="E38" s="5">
        <v>11008</v>
      </c>
      <c r="F38" s="5">
        <v>8192</v>
      </c>
      <c r="G38" s="5">
        <v>184901</v>
      </c>
      <c r="I38">
        <v>216901</v>
      </c>
      <c r="J38">
        <v>222282</v>
      </c>
      <c r="M38">
        <v>175580</v>
      </c>
      <c r="N38" s="12">
        <f t="shared" si="0"/>
        <v>1.1867165204402008E-2</v>
      </c>
      <c r="O38">
        <v>178855</v>
      </c>
      <c r="P38" s="12">
        <f t="shared" si="1"/>
        <v>5.7888178080096452E-3</v>
      </c>
      <c r="S38">
        <v>115169</v>
      </c>
      <c r="T38" s="26">
        <f t="shared" si="2"/>
        <v>6.1949921853748945E-2</v>
      </c>
      <c r="U38">
        <v>118506</v>
      </c>
      <c r="V38" s="26">
        <f t="shared" si="3"/>
        <v>6.6267174130158993E-2</v>
      </c>
    </row>
    <row r="39" spans="1:22" x14ac:dyDescent="0.3">
      <c r="A39" s="19"/>
      <c r="B39" s="5">
        <v>16</v>
      </c>
      <c r="C39" s="5">
        <v>1</v>
      </c>
      <c r="D39" s="5">
        <v>16</v>
      </c>
      <c r="E39" s="5">
        <v>11008</v>
      </c>
      <c r="F39" s="5">
        <v>8192</v>
      </c>
      <c r="G39" s="5">
        <v>184901</v>
      </c>
      <c r="I39">
        <v>221713</v>
      </c>
      <c r="J39">
        <v>224786</v>
      </c>
      <c r="M39">
        <v>177467</v>
      </c>
      <c r="N39" s="12">
        <f t="shared" si="0"/>
        <v>5.4462300361277863E-4</v>
      </c>
      <c r="O39">
        <v>181106</v>
      </c>
      <c r="P39" s="12">
        <f t="shared" si="1"/>
        <v>7.1023106421218406E-3</v>
      </c>
      <c r="S39">
        <v>116982</v>
      </c>
      <c r="T39" s="26">
        <f t="shared" si="2"/>
        <v>5.5256119397599598E-2</v>
      </c>
      <c r="U39">
        <v>119916</v>
      </c>
      <c r="V39" s="26">
        <f t="shared" si="3"/>
        <v>6.6934773517923721E-2</v>
      </c>
    </row>
    <row r="40" spans="1:22" x14ac:dyDescent="0.3">
      <c r="A40" s="19"/>
      <c r="B40" s="5">
        <v>32</v>
      </c>
      <c r="C40" s="5">
        <v>1</v>
      </c>
      <c r="D40" s="5">
        <v>32</v>
      </c>
      <c r="E40" s="5">
        <v>11008</v>
      </c>
      <c r="F40" s="5">
        <v>8192</v>
      </c>
      <c r="G40" s="5">
        <v>184901</v>
      </c>
      <c r="I40">
        <v>227737</v>
      </c>
      <c r="J40">
        <v>229546</v>
      </c>
      <c r="M40">
        <v>181097</v>
      </c>
      <c r="N40" s="12">
        <f t="shared" si="0"/>
        <v>-5.9970492278373739E-3</v>
      </c>
      <c r="O40">
        <v>182841</v>
      </c>
      <c r="P40" s="12">
        <f t="shared" si="1"/>
        <v>-4.3335540588814439E-3</v>
      </c>
      <c r="S40">
        <v>117185</v>
      </c>
      <c r="T40" s="26">
        <f t="shared" si="2"/>
        <v>2.9125702015921875E-2</v>
      </c>
      <c r="U40">
        <v>119921</v>
      </c>
      <c r="V40" s="26">
        <f t="shared" si="3"/>
        <v>4.4853754802958883E-2</v>
      </c>
    </row>
    <row r="41" spans="1:22" x14ac:dyDescent="0.3">
      <c r="A41" s="19"/>
      <c r="B41" s="5">
        <v>64</v>
      </c>
      <c r="C41" s="5">
        <v>1</v>
      </c>
      <c r="D41" s="5">
        <v>64</v>
      </c>
      <c r="E41" s="5">
        <v>11008</v>
      </c>
      <c r="F41" s="5">
        <v>8192</v>
      </c>
      <c r="G41" s="5">
        <v>184901</v>
      </c>
      <c r="I41">
        <v>241849</v>
      </c>
      <c r="J41">
        <v>248313</v>
      </c>
      <c r="M41">
        <v>196234</v>
      </c>
      <c r="N41" s="12">
        <f t="shared" si="0"/>
        <v>1.4238223023456785E-2</v>
      </c>
      <c r="O41">
        <v>196685</v>
      </c>
      <c r="P41" s="12">
        <f t="shared" si="1"/>
        <v>-9.8937631134898285E-3</v>
      </c>
      <c r="S41">
        <v>126964</v>
      </c>
      <c r="T41" s="26">
        <f t="shared" si="2"/>
        <v>4.9944386786796718E-2</v>
      </c>
      <c r="U41">
        <v>127460</v>
      </c>
      <c r="V41" s="26">
        <f t="shared" si="3"/>
        <v>2.6607547732096185E-2</v>
      </c>
    </row>
    <row r="42" spans="1:22" x14ac:dyDescent="0.3">
      <c r="A42" s="19"/>
      <c r="B42" s="5">
        <v>128</v>
      </c>
      <c r="C42" s="5">
        <v>1</v>
      </c>
      <c r="D42" s="5">
        <v>128</v>
      </c>
      <c r="E42" s="5">
        <v>11008</v>
      </c>
      <c r="F42" s="5">
        <v>8192</v>
      </c>
      <c r="G42" s="5">
        <v>369803</v>
      </c>
      <c r="I42">
        <v>473160</v>
      </c>
      <c r="J42">
        <v>483728</v>
      </c>
      <c r="M42">
        <v>384134</v>
      </c>
      <c r="N42" s="12">
        <f t="shared" si="0"/>
        <v>1.4810000845379999E-2</v>
      </c>
      <c r="O42">
        <v>384499</v>
      </c>
      <c r="P42" s="12">
        <f t="shared" si="1"/>
        <v>-6.4173461118645185E-3</v>
      </c>
      <c r="S42">
        <v>248981</v>
      </c>
      <c r="T42" s="26">
        <f t="shared" si="2"/>
        <v>5.2417786795164428E-2</v>
      </c>
      <c r="U42">
        <v>252498</v>
      </c>
      <c r="V42" s="26">
        <f t="shared" si="3"/>
        <v>4.3966857407468661E-2</v>
      </c>
    </row>
    <row r="43" spans="1:22" x14ac:dyDescent="0.3">
      <c r="A43" s="8"/>
      <c r="B43" s="5"/>
      <c r="C43" s="5"/>
      <c r="D43" s="5"/>
      <c r="E43" s="5"/>
      <c r="F43" s="5"/>
      <c r="G43" s="5"/>
      <c r="N43" s="12"/>
      <c r="P43" s="12"/>
      <c r="T43" s="26"/>
      <c r="V43" s="26"/>
    </row>
    <row r="44" spans="1:22" x14ac:dyDescent="0.3">
      <c r="A44" s="8"/>
      <c r="B44" s="5"/>
      <c r="C44" s="5"/>
      <c r="D44" s="5"/>
      <c r="E44" s="5"/>
      <c r="F44" s="5"/>
      <c r="G44" s="5"/>
      <c r="N44" s="12"/>
      <c r="P44" s="12"/>
      <c r="T44" s="26"/>
      <c r="V44" s="26"/>
    </row>
    <row r="45" spans="1:22" x14ac:dyDescent="0.3">
      <c r="A45" s="20" t="s">
        <v>10</v>
      </c>
      <c r="B45" s="5">
        <v>1</v>
      </c>
      <c r="C45" s="5">
        <v>1</v>
      </c>
      <c r="D45" s="5">
        <v>1</v>
      </c>
      <c r="E45" s="5">
        <v>2048</v>
      </c>
      <c r="F45" s="5">
        <v>8192</v>
      </c>
      <c r="G45" s="5">
        <v>48204</v>
      </c>
      <c r="I45">
        <v>22765</v>
      </c>
      <c r="J45">
        <v>48472</v>
      </c>
      <c r="M45">
        <v>21292</v>
      </c>
      <c r="N45" s="12">
        <f t="shared" si="0"/>
        <v>0.16911926202503844</v>
      </c>
      <c r="O45">
        <v>41173</v>
      </c>
      <c r="P45" s="12">
        <f t="shared" si="1"/>
        <v>6.177277603564945E-2</v>
      </c>
      <c r="S45">
        <v>19513</v>
      </c>
      <c r="T45" s="26"/>
      <c r="U45">
        <v>26472</v>
      </c>
      <c r="V45" s="26">
        <f t="shared" si="3"/>
        <v>9.2259448753919795E-2</v>
      </c>
    </row>
    <row r="46" spans="1:22" x14ac:dyDescent="0.3">
      <c r="A46" s="21"/>
      <c r="B46" s="5">
        <v>8</v>
      </c>
      <c r="C46" s="5">
        <v>1</v>
      </c>
      <c r="D46" s="5">
        <v>8</v>
      </c>
      <c r="E46" s="5">
        <v>2048</v>
      </c>
      <c r="F46" s="5">
        <v>8192</v>
      </c>
      <c r="G46" s="5">
        <v>48204</v>
      </c>
      <c r="I46">
        <v>22840</v>
      </c>
      <c r="J46">
        <v>47437</v>
      </c>
      <c r="M46">
        <v>21712</v>
      </c>
      <c r="N46" s="12">
        <f t="shared" si="0"/>
        <v>0.18826619964973731</v>
      </c>
      <c r="O46">
        <v>41674</v>
      </c>
      <c r="P46" s="12">
        <f t="shared" si="1"/>
        <v>9.8140691864999893E-2</v>
      </c>
      <c r="S46">
        <v>19795</v>
      </c>
      <c r="T46" s="26">
        <f t="shared" si="2"/>
        <v>0.7333625218914186</v>
      </c>
      <c r="U46">
        <v>27004</v>
      </c>
      <c r="V46" s="26">
        <f t="shared" si="3"/>
        <v>0.13852056411661784</v>
      </c>
    </row>
    <row r="47" spans="1:22" x14ac:dyDescent="0.3">
      <c r="A47" s="21"/>
      <c r="B47" s="5">
        <v>16</v>
      </c>
      <c r="C47" s="5">
        <v>1</v>
      </c>
      <c r="D47" s="5">
        <v>16</v>
      </c>
      <c r="E47" s="5">
        <v>2048</v>
      </c>
      <c r="F47" s="5">
        <v>8192</v>
      </c>
      <c r="G47" s="5">
        <v>48204</v>
      </c>
      <c r="I47">
        <v>22501</v>
      </c>
      <c r="J47">
        <v>47150</v>
      </c>
      <c r="M47">
        <v>21493</v>
      </c>
      <c r="N47" s="12">
        <f t="shared" si="0"/>
        <v>0.19400248877827653</v>
      </c>
      <c r="O47">
        <v>39759</v>
      </c>
      <c r="P47" s="12">
        <f t="shared" si="1"/>
        <v>5.4056203605514316E-2</v>
      </c>
      <c r="S47">
        <v>19493</v>
      </c>
      <c r="T47" s="26">
        <f t="shared" si="2"/>
        <v>0.73263410515088223</v>
      </c>
      <c r="U47">
        <v>25826</v>
      </c>
      <c r="V47" s="26">
        <f t="shared" si="3"/>
        <v>9.5482502651113466E-2</v>
      </c>
    </row>
    <row r="48" spans="1:22" x14ac:dyDescent="0.3">
      <c r="A48" s="21"/>
      <c r="B48" s="5">
        <v>32</v>
      </c>
      <c r="C48" s="5">
        <v>1</v>
      </c>
      <c r="D48" s="5">
        <v>32</v>
      </c>
      <c r="E48" s="5">
        <v>2048</v>
      </c>
      <c r="F48" s="5">
        <v>8192</v>
      </c>
      <c r="G48" s="5">
        <v>48204</v>
      </c>
      <c r="I48">
        <v>20888</v>
      </c>
      <c r="J48">
        <v>48092</v>
      </c>
      <c r="M48">
        <v>19689</v>
      </c>
      <c r="N48" s="12">
        <f t="shared" si="0"/>
        <v>0.17824827652240521</v>
      </c>
      <c r="O48">
        <v>41286</v>
      </c>
      <c r="P48" s="12">
        <f t="shared" si="1"/>
        <v>7.3099476004325037E-2</v>
      </c>
      <c r="S48">
        <v>18711</v>
      </c>
      <c r="T48" s="26">
        <f t="shared" si="2"/>
        <v>0.79155495978552282</v>
      </c>
      <c r="U48">
        <v>26516</v>
      </c>
      <c r="V48" s="26">
        <f t="shared" si="3"/>
        <v>0.10271978707477335</v>
      </c>
    </row>
    <row r="49" spans="1:22" x14ac:dyDescent="0.3">
      <c r="A49" s="21"/>
      <c r="B49" s="5">
        <v>64</v>
      </c>
      <c r="C49" s="5">
        <v>1</v>
      </c>
      <c r="D49" s="5">
        <v>64</v>
      </c>
      <c r="E49" s="5">
        <v>2048</v>
      </c>
      <c r="F49" s="5">
        <v>8192</v>
      </c>
      <c r="G49" s="5">
        <v>48204</v>
      </c>
      <c r="I49">
        <v>21825</v>
      </c>
      <c r="J49">
        <v>48782</v>
      </c>
      <c r="M49">
        <v>20411</v>
      </c>
      <c r="N49" s="12">
        <f t="shared" si="0"/>
        <v>0.16901489117983964</v>
      </c>
      <c r="O49">
        <v>40497</v>
      </c>
      <c r="P49" s="12">
        <f t="shared" si="1"/>
        <v>3.7703456192858024E-2</v>
      </c>
      <c r="S49">
        <v>19073</v>
      </c>
      <c r="T49" s="26">
        <f t="shared" si="2"/>
        <v>0.74781214203894619</v>
      </c>
      <c r="U49">
        <v>27735</v>
      </c>
      <c r="V49" s="26">
        <f t="shared" si="3"/>
        <v>0.13709974990775287</v>
      </c>
    </row>
    <row r="50" spans="1:22" x14ac:dyDescent="0.3">
      <c r="A50" s="21"/>
      <c r="B50" s="5">
        <v>128</v>
      </c>
      <c r="C50" s="5">
        <v>1</v>
      </c>
      <c r="D50" s="5">
        <v>128</v>
      </c>
      <c r="E50" s="5">
        <v>2048</v>
      </c>
      <c r="F50" s="5">
        <v>8192</v>
      </c>
      <c r="G50" s="5">
        <v>96409</v>
      </c>
      <c r="I50">
        <v>36825</v>
      </c>
      <c r="J50">
        <v>65529</v>
      </c>
      <c r="M50">
        <v>35247</v>
      </c>
      <c r="N50" s="12">
        <f t="shared" si="0"/>
        <v>0.1964358452138493</v>
      </c>
      <c r="O50">
        <v>54933</v>
      </c>
      <c r="P50" s="12">
        <f t="shared" si="1"/>
        <v>4.7875749668085887E-2</v>
      </c>
      <c r="S50">
        <v>33959</v>
      </c>
      <c r="T50" s="26">
        <f t="shared" si="2"/>
        <v>0.84434487440597417</v>
      </c>
      <c r="U50">
        <v>41983</v>
      </c>
      <c r="V50" s="26">
        <f t="shared" si="3"/>
        <v>0.28135634604526238</v>
      </c>
    </row>
    <row r="51" spans="1:22" x14ac:dyDescent="0.3">
      <c r="A51" s="21"/>
      <c r="B51" s="5">
        <v>1</v>
      </c>
      <c r="C51" s="5">
        <v>1</v>
      </c>
      <c r="D51" s="5">
        <v>1</v>
      </c>
      <c r="E51" s="5">
        <v>7168</v>
      </c>
      <c r="F51" s="5">
        <v>8192</v>
      </c>
      <c r="G51" s="5">
        <v>94224</v>
      </c>
      <c r="I51">
        <v>33960</v>
      </c>
      <c r="J51">
        <v>111151</v>
      </c>
      <c r="M51">
        <v>32806</v>
      </c>
      <c r="N51" s="12">
        <f t="shared" si="0"/>
        <v>0.20752355712603063</v>
      </c>
      <c r="O51">
        <v>90044</v>
      </c>
      <c r="P51" s="12">
        <f t="shared" si="1"/>
        <v>1.2631465303955879E-2</v>
      </c>
      <c r="S51">
        <v>31023</v>
      </c>
      <c r="T51" s="26">
        <f t="shared" si="2"/>
        <v>0.82703180212014138</v>
      </c>
      <c r="U51">
        <v>59445</v>
      </c>
      <c r="V51" s="26">
        <f t="shared" si="3"/>
        <v>6.9626004264469049E-2</v>
      </c>
    </row>
    <row r="52" spans="1:22" x14ac:dyDescent="0.3">
      <c r="A52" s="21"/>
      <c r="B52" s="5">
        <v>8</v>
      </c>
      <c r="C52" s="5">
        <v>1</v>
      </c>
      <c r="D52" s="5">
        <v>8</v>
      </c>
      <c r="E52" s="5">
        <v>7168</v>
      </c>
      <c r="F52" s="5">
        <v>8192</v>
      </c>
      <c r="G52" s="5">
        <v>94224</v>
      </c>
      <c r="I52">
        <v>35648</v>
      </c>
      <c r="J52">
        <v>111786</v>
      </c>
      <c r="M52">
        <v>33951</v>
      </c>
      <c r="N52" s="12">
        <f t="shared" si="0"/>
        <v>0.1904945578994614</v>
      </c>
      <c r="O52">
        <v>90969</v>
      </c>
      <c r="P52" s="12">
        <f t="shared" si="1"/>
        <v>1.7222639686543931E-2</v>
      </c>
      <c r="S52">
        <v>32582</v>
      </c>
      <c r="T52" s="26">
        <f t="shared" si="2"/>
        <v>0.82798473967684016</v>
      </c>
      <c r="U52">
        <v>60198</v>
      </c>
      <c r="V52" s="26">
        <f t="shared" si="3"/>
        <v>7.7022167355482798E-2</v>
      </c>
    </row>
    <row r="53" spans="1:22" x14ac:dyDescent="0.3">
      <c r="A53" s="21"/>
      <c r="B53" s="5">
        <v>16</v>
      </c>
      <c r="C53" s="5">
        <v>1</v>
      </c>
      <c r="D53" s="5">
        <v>16</v>
      </c>
      <c r="E53" s="5">
        <v>7168</v>
      </c>
      <c r="F53" s="5">
        <v>8192</v>
      </c>
      <c r="G53" s="5">
        <v>94224</v>
      </c>
      <c r="I53">
        <v>36085</v>
      </c>
      <c r="J53">
        <v>111819</v>
      </c>
      <c r="M53">
        <v>34713</v>
      </c>
      <c r="N53" s="12">
        <f t="shared" si="0"/>
        <v>0.2024733268671193</v>
      </c>
      <c r="O53">
        <v>91828</v>
      </c>
      <c r="P53" s="12">
        <f t="shared" si="1"/>
        <v>2.6525009166599594E-2</v>
      </c>
      <c r="S53">
        <v>32827</v>
      </c>
      <c r="T53" s="26">
        <f t="shared" si="2"/>
        <v>0.81942635444090339</v>
      </c>
      <c r="U53">
        <v>60667</v>
      </c>
      <c r="V53" s="26">
        <f t="shared" si="3"/>
        <v>8.509287330417907E-2</v>
      </c>
    </row>
    <row r="54" spans="1:22" x14ac:dyDescent="0.3">
      <c r="A54" s="21"/>
      <c r="B54" s="5">
        <v>32</v>
      </c>
      <c r="C54" s="5">
        <v>1</v>
      </c>
      <c r="D54" s="5">
        <v>32</v>
      </c>
      <c r="E54" s="5">
        <v>7168</v>
      </c>
      <c r="F54" s="5">
        <v>8192</v>
      </c>
      <c r="G54" s="5">
        <v>94224</v>
      </c>
      <c r="I54">
        <v>34702</v>
      </c>
      <c r="J54">
        <v>113201</v>
      </c>
      <c r="M54">
        <v>32933</v>
      </c>
      <c r="N54" s="12">
        <f t="shared" si="0"/>
        <v>0.18627888882485161</v>
      </c>
      <c r="O54">
        <v>92704</v>
      </c>
      <c r="P54" s="12">
        <f t="shared" si="1"/>
        <v>2.3665868676071768E-2</v>
      </c>
      <c r="S54">
        <v>31563</v>
      </c>
      <c r="T54" s="26">
        <f t="shared" si="2"/>
        <v>0.81908823698922251</v>
      </c>
      <c r="U54">
        <v>60218</v>
      </c>
      <c r="V54" s="26">
        <f t="shared" si="3"/>
        <v>6.3912862960574551E-2</v>
      </c>
    </row>
    <row r="55" spans="1:22" x14ac:dyDescent="0.3">
      <c r="A55" s="21"/>
      <c r="B55" s="5">
        <v>64</v>
      </c>
      <c r="C55" s="5">
        <v>1</v>
      </c>
      <c r="D55" s="5">
        <v>64</v>
      </c>
      <c r="E55" s="5">
        <v>7168</v>
      </c>
      <c r="F55" s="5">
        <v>8192</v>
      </c>
      <c r="G55" s="5">
        <v>94224</v>
      </c>
      <c r="I55">
        <v>38384</v>
      </c>
      <c r="J55">
        <v>116985</v>
      </c>
      <c r="M55">
        <v>37524</v>
      </c>
      <c r="N55" s="12">
        <f t="shared" si="0"/>
        <v>0.22199353897457275</v>
      </c>
      <c r="O55">
        <v>98245</v>
      </c>
      <c r="P55" s="12">
        <f t="shared" si="1"/>
        <v>4.9760653075180579E-2</v>
      </c>
      <c r="S55">
        <v>33125</v>
      </c>
      <c r="T55" s="26">
        <f t="shared" si="2"/>
        <v>0.72597957482284281</v>
      </c>
      <c r="U55">
        <v>63649</v>
      </c>
      <c r="V55" s="26">
        <f t="shared" si="3"/>
        <v>8.8156601273667562E-2</v>
      </c>
    </row>
    <row r="56" spans="1:22" x14ac:dyDescent="0.3">
      <c r="A56" s="21"/>
      <c r="B56" s="5">
        <v>128</v>
      </c>
      <c r="C56" s="5">
        <v>1</v>
      </c>
      <c r="D56" s="5">
        <v>128</v>
      </c>
      <c r="E56" s="5">
        <v>7168</v>
      </c>
      <c r="F56" s="5">
        <v>8192</v>
      </c>
      <c r="G56" s="5">
        <v>188451</v>
      </c>
      <c r="I56">
        <v>72609</v>
      </c>
      <c r="J56">
        <v>151785</v>
      </c>
      <c r="M56">
        <v>71268</v>
      </c>
      <c r="N56" s="12">
        <f t="shared" si="0"/>
        <v>0.22691401892327398</v>
      </c>
      <c r="O56">
        <v>128644</v>
      </c>
      <c r="P56" s="12">
        <f t="shared" si="1"/>
        <v>5.9426162005468262E-2</v>
      </c>
      <c r="S56">
        <v>62081</v>
      </c>
      <c r="T56" s="26">
        <f t="shared" si="2"/>
        <v>0.71000840116239039</v>
      </c>
      <c r="U56">
        <v>91763</v>
      </c>
      <c r="V56" s="26">
        <f t="shared" si="3"/>
        <v>0.20911816055604968</v>
      </c>
    </row>
  </sheetData>
  <mergeCells count="7">
    <mergeCell ref="M1:P1"/>
    <mergeCell ref="S1:V1"/>
    <mergeCell ref="A3:A14"/>
    <mergeCell ref="A17:A28"/>
    <mergeCell ref="A31:A42"/>
    <mergeCell ref="A45:A56"/>
    <mergeCell ref="I1:J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encoder</vt:lpstr>
      <vt:lpstr>decoder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Tingning Yuan(袁庭宁)</dc:creator>
  <cp:lastModifiedBy>Tingning Yuan(袁庭宁)</cp:lastModifiedBy>
  <dcterms:created xsi:type="dcterms:W3CDTF">2024-02-19T07:51:25Z</dcterms:created>
  <dcterms:modified xsi:type="dcterms:W3CDTF">2024-02-22T14:00:50Z</dcterms:modified>
</cp:coreProperties>
</file>