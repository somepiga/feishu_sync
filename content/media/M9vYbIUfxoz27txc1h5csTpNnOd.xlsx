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大模型\"/>
    </mc:Choice>
  </mc:AlternateContent>
  <xr:revisionPtr revIDLastSave="0" documentId="13_ncr:1_{8E9B596D-5C24-459E-9EB3-93DF2B026F99}" xr6:coauthVersionLast="47" xr6:coauthVersionMax="47" xr10:uidLastSave="{00000000-0000-0000-0000-000000000000}"/>
  <bookViews>
    <workbookView xWindow="-108" yWindow="-108" windowWidth="30936" windowHeight="16776" activeTab="1" xr2:uid="{46E6BC1A-7F5F-4E36-A42A-09D7B57A68C2}"/>
  </bookViews>
  <sheets>
    <sheet name="1~128" sheetId="1" r:id="rId1"/>
    <sheet name="32~512" sheetId="2" r:id="rId2"/>
    <sheet name="长seq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2" l="1"/>
  <c r="L11" i="2"/>
  <c r="L12" i="2"/>
  <c r="L13" i="2"/>
  <c r="L14" i="2"/>
  <c r="L15" i="2"/>
  <c r="L16" i="2"/>
  <c r="L17" i="2"/>
  <c r="L18" i="2"/>
  <c r="L19" i="2"/>
  <c r="L26" i="2"/>
  <c r="L27" i="2"/>
  <c r="L28" i="2"/>
  <c r="L29" i="2"/>
  <c r="L30" i="2"/>
  <c r="L31" i="2"/>
  <c r="L32" i="2"/>
  <c r="L33" i="2"/>
  <c r="L34" i="2"/>
  <c r="L35" i="2"/>
  <c r="L42" i="2"/>
  <c r="L43" i="2"/>
  <c r="L44" i="2"/>
  <c r="L45" i="2"/>
  <c r="L46" i="2"/>
  <c r="L47" i="2"/>
  <c r="L3" i="2"/>
  <c r="K4" i="2"/>
  <c r="K5" i="2"/>
  <c r="K6" i="2"/>
  <c r="K14" i="2"/>
  <c r="K15" i="2"/>
  <c r="K16" i="2"/>
  <c r="K17" i="2"/>
  <c r="K18" i="2"/>
  <c r="K19" i="2"/>
  <c r="K20" i="2"/>
  <c r="K21" i="2"/>
  <c r="K22" i="2"/>
  <c r="K30" i="2"/>
  <c r="K31" i="2"/>
  <c r="K32" i="2"/>
  <c r="K33" i="2"/>
  <c r="K34" i="2"/>
  <c r="K35" i="2"/>
  <c r="K36" i="2"/>
  <c r="K37" i="2"/>
  <c r="K38" i="2"/>
  <c r="K46" i="2"/>
  <c r="K47" i="2"/>
  <c r="K3" i="2"/>
  <c r="J4" i="2"/>
  <c r="L4" i="2" s="1"/>
  <c r="J5" i="2"/>
  <c r="L5" i="2" s="1"/>
  <c r="J6" i="2"/>
  <c r="L6" i="2" s="1"/>
  <c r="J7" i="2"/>
  <c r="L7" i="2" s="1"/>
  <c r="J8" i="2"/>
  <c r="L8" i="2" s="1"/>
  <c r="J9" i="2"/>
  <c r="L9" i="2" s="1"/>
  <c r="J10" i="2"/>
  <c r="J11" i="2"/>
  <c r="J12" i="2"/>
  <c r="J13" i="2"/>
  <c r="J14" i="2"/>
  <c r="J15" i="2"/>
  <c r="J16" i="2"/>
  <c r="J17" i="2"/>
  <c r="J18" i="2"/>
  <c r="J19" i="2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J27" i="2"/>
  <c r="J28" i="2"/>
  <c r="J29" i="2"/>
  <c r="J30" i="2"/>
  <c r="J31" i="2"/>
  <c r="J32" i="2"/>
  <c r="J33" i="2"/>
  <c r="J34" i="2"/>
  <c r="J35" i="2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J43" i="2"/>
  <c r="J44" i="2"/>
  <c r="J45" i="2"/>
  <c r="J46" i="2"/>
  <c r="J47" i="2"/>
  <c r="I4" i="2"/>
  <c r="I5" i="2"/>
  <c r="I6" i="2"/>
  <c r="I7" i="2"/>
  <c r="K7" i="2" s="1"/>
  <c r="I8" i="2"/>
  <c r="K8" i="2" s="1"/>
  <c r="I9" i="2"/>
  <c r="K9" i="2" s="1"/>
  <c r="I10" i="2"/>
  <c r="K10" i="2" s="1"/>
  <c r="I11" i="2"/>
  <c r="K11" i="2" s="1"/>
  <c r="I12" i="2"/>
  <c r="K12" i="2" s="1"/>
  <c r="I13" i="2"/>
  <c r="K13" i="2" s="1"/>
  <c r="I14" i="2"/>
  <c r="I15" i="2"/>
  <c r="I16" i="2"/>
  <c r="I17" i="2"/>
  <c r="I18" i="2"/>
  <c r="I19" i="2"/>
  <c r="I20" i="2"/>
  <c r="I21" i="2"/>
  <c r="I22" i="2"/>
  <c r="I23" i="2"/>
  <c r="K23" i="2" s="1"/>
  <c r="I24" i="2"/>
  <c r="K24" i="2" s="1"/>
  <c r="I25" i="2"/>
  <c r="K25" i="2" s="1"/>
  <c r="I26" i="2"/>
  <c r="K26" i="2" s="1"/>
  <c r="I27" i="2"/>
  <c r="K27" i="2" s="1"/>
  <c r="I28" i="2"/>
  <c r="K28" i="2" s="1"/>
  <c r="I29" i="2"/>
  <c r="K29" i="2" s="1"/>
  <c r="I30" i="2"/>
  <c r="I31" i="2"/>
  <c r="I32" i="2"/>
  <c r="I33" i="2"/>
  <c r="I34" i="2"/>
  <c r="I35" i="2"/>
  <c r="I36" i="2"/>
  <c r="I37" i="2"/>
  <c r="I38" i="2"/>
  <c r="I39" i="2"/>
  <c r="K39" i="2" s="1"/>
  <c r="I40" i="2"/>
  <c r="K40" i="2" s="1"/>
  <c r="I41" i="2"/>
  <c r="K41" i="2" s="1"/>
  <c r="I42" i="2"/>
  <c r="K42" i="2" s="1"/>
  <c r="I43" i="2"/>
  <c r="K43" i="2" s="1"/>
  <c r="I44" i="2"/>
  <c r="K44" i="2" s="1"/>
  <c r="I45" i="2"/>
  <c r="K45" i="2" s="1"/>
  <c r="I46" i="2"/>
  <c r="I47" i="2"/>
  <c r="I3" i="2"/>
  <c r="J3" i="2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T57" i="1"/>
  <c r="S57" i="1"/>
  <c r="R57" i="1"/>
  <c r="M57" i="1"/>
  <c r="H57" i="1"/>
  <c r="T56" i="1"/>
  <c r="S56" i="1"/>
  <c r="R56" i="1"/>
  <c r="M56" i="1"/>
  <c r="H56" i="1"/>
  <c r="T55" i="1"/>
  <c r="S55" i="1"/>
  <c r="R55" i="1"/>
  <c r="M55" i="1"/>
  <c r="H55" i="1"/>
  <c r="T54" i="1"/>
  <c r="S54" i="1"/>
  <c r="R54" i="1"/>
  <c r="M54" i="1"/>
  <c r="H54" i="1"/>
  <c r="T53" i="1"/>
  <c r="S53" i="1"/>
  <c r="R53" i="1"/>
  <c r="M53" i="1"/>
  <c r="H53" i="1"/>
  <c r="T52" i="1"/>
  <c r="S52" i="1"/>
  <c r="R52" i="1"/>
  <c r="M52" i="1"/>
  <c r="H52" i="1"/>
  <c r="T51" i="1"/>
  <c r="S51" i="1"/>
  <c r="R51" i="1"/>
  <c r="M51" i="1"/>
  <c r="H51" i="1"/>
  <c r="T50" i="1"/>
  <c r="S50" i="1"/>
  <c r="R50" i="1"/>
  <c r="M50" i="1"/>
  <c r="H50" i="1"/>
  <c r="T49" i="1"/>
  <c r="S49" i="1"/>
  <c r="R49" i="1"/>
  <c r="M49" i="1"/>
  <c r="H49" i="1"/>
  <c r="T48" i="1"/>
  <c r="S48" i="1"/>
  <c r="R48" i="1"/>
  <c r="M48" i="1"/>
  <c r="H48" i="1"/>
  <c r="T47" i="1"/>
  <c r="S47" i="1"/>
  <c r="R47" i="1"/>
  <c r="M47" i="1"/>
  <c r="H47" i="1"/>
  <c r="T46" i="1"/>
  <c r="S46" i="1"/>
  <c r="R46" i="1"/>
  <c r="M46" i="1"/>
  <c r="H46" i="1"/>
  <c r="T45" i="1"/>
  <c r="S45" i="1"/>
  <c r="R45" i="1"/>
  <c r="M45" i="1"/>
  <c r="H45" i="1"/>
  <c r="T44" i="1"/>
  <c r="S44" i="1"/>
  <c r="R44" i="1"/>
  <c r="M44" i="1"/>
  <c r="H44" i="1"/>
  <c r="T43" i="1"/>
  <c r="S43" i="1"/>
  <c r="R43" i="1"/>
  <c r="M43" i="1"/>
  <c r="H43" i="1"/>
  <c r="T42" i="1"/>
  <c r="S42" i="1"/>
  <c r="R42" i="1"/>
  <c r="M42" i="1"/>
  <c r="H42" i="1"/>
  <c r="T41" i="1"/>
  <c r="S41" i="1"/>
  <c r="R41" i="1"/>
  <c r="M41" i="1"/>
  <c r="H41" i="1"/>
  <c r="T40" i="1"/>
  <c r="S40" i="1"/>
  <c r="R40" i="1"/>
  <c r="M40" i="1"/>
  <c r="H40" i="1"/>
  <c r="T39" i="1"/>
  <c r="S39" i="1"/>
  <c r="R39" i="1"/>
  <c r="M39" i="1"/>
  <c r="H39" i="1"/>
  <c r="T38" i="1"/>
  <c r="S38" i="1"/>
  <c r="R38" i="1"/>
  <c r="M38" i="1"/>
  <c r="H38" i="1"/>
  <c r="T37" i="1"/>
  <c r="S37" i="1"/>
  <c r="R37" i="1"/>
  <c r="M37" i="1"/>
  <c r="H37" i="1"/>
  <c r="T36" i="1"/>
  <c r="S36" i="1"/>
  <c r="R36" i="1"/>
  <c r="M36" i="1"/>
  <c r="H36" i="1"/>
  <c r="T35" i="1"/>
  <c r="S35" i="1"/>
  <c r="R35" i="1"/>
  <c r="M35" i="1"/>
  <c r="H35" i="1"/>
  <c r="T34" i="1"/>
  <c r="S34" i="1"/>
  <c r="R34" i="1"/>
  <c r="M34" i="1"/>
  <c r="H34" i="1"/>
  <c r="T33" i="1"/>
  <c r="S33" i="1"/>
  <c r="R33" i="1"/>
  <c r="M33" i="1"/>
  <c r="H33" i="1"/>
  <c r="T32" i="1"/>
  <c r="S32" i="1"/>
  <c r="R32" i="1"/>
  <c r="M32" i="1"/>
  <c r="H32" i="1"/>
  <c r="T31" i="1"/>
  <c r="S31" i="1"/>
  <c r="R31" i="1"/>
  <c r="M31" i="1"/>
  <c r="H31" i="1"/>
  <c r="T30" i="1"/>
  <c r="S30" i="1"/>
  <c r="R30" i="1"/>
  <c r="M30" i="1"/>
  <c r="H30" i="1"/>
  <c r="T29" i="1"/>
  <c r="S29" i="1"/>
  <c r="R29" i="1"/>
  <c r="M29" i="1"/>
  <c r="H29" i="1"/>
  <c r="T28" i="1"/>
  <c r="S28" i="1"/>
  <c r="R28" i="1"/>
  <c r="M28" i="1"/>
  <c r="H28" i="1"/>
  <c r="T27" i="1"/>
  <c r="S27" i="1"/>
  <c r="R27" i="1"/>
  <c r="M27" i="1"/>
  <c r="H27" i="1"/>
  <c r="T26" i="1"/>
  <c r="S26" i="1"/>
  <c r="R26" i="1"/>
  <c r="M26" i="1"/>
  <c r="H26" i="1"/>
  <c r="T25" i="1"/>
  <c r="S25" i="1"/>
  <c r="R25" i="1"/>
  <c r="M25" i="1"/>
  <c r="H25" i="1"/>
  <c r="T24" i="1"/>
  <c r="S24" i="1"/>
  <c r="R24" i="1"/>
  <c r="M24" i="1"/>
  <c r="H24" i="1"/>
  <c r="T23" i="1"/>
  <c r="S23" i="1"/>
  <c r="R23" i="1"/>
  <c r="M23" i="1"/>
  <c r="H23" i="1"/>
  <c r="T22" i="1"/>
  <c r="S22" i="1"/>
  <c r="R22" i="1"/>
  <c r="M22" i="1"/>
  <c r="H22" i="1"/>
  <c r="T21" i="1"/>
  <c r="S21" i="1"/>
  <c r="R21" i="1"/>
  <c r="M21" i="1"/>
  <c r="H21" i="1"/>
  <c r="T20" i="1"/>
  <c r="S20" i="1"/>
  <c r="R20" i="1"/>
  <c r="M20" i="1"/>
  <c r="H20" i="1"/>
  <c r="T19" i="1"/>
  <c r="S19" i="1"/>
  <c r="R19" i="1"/>
  <c r="M19" i="1"/>
  <c r="H19" i="1"/>
  <c r="T18" i="1"/>
  <c r="S18" i="1"/>
  <c r="R18" i="1"/>
  <c r="M18" i="1"/>
  <c r="H18" i="1"/>
  <c r="T17" i="1"/>
  <c r="S17" i="1"/>
  <c r="R17" i="1"/>
  <c r="M17" i="1"/>
  <c r="H17" i="1"/>
  <c r="T16" i="1"/>
  <c r="S16" i="1"/>
  <c r="R16" i="1"/>
  <c r="M16" i="1"/>
  <c r="H16" i="1"/>
  <c r="T15" i="1"/>
  <c r="S15" i="1"/>
  <c r="R15" i="1"/>
  <c r="M15" i="1"/>
  <c r="H15" i="1"/>
  <c r="T14" i="1"/>
  <c r="S14" i="1"/>
  <c r="R14" i="1"/>
  <c r="M14" i="1"/>
  <c r="H14" i="1"/>
  <c r="T13" i="1"/>
  <c r="S13" i="1"/>
  <c r="R13" i="1"/>
  <c r="M13" i="1"/>
  <c r="H13" i="1"/>
  <c r="T12" i="1"/>
  <c r="S12" i="1"/>
  <c r="R12" i="1"/>
  <c r="M12" i="1"/>
  <c r="H12" i="1"/>
  <c r="T11" i="1"/>
  <c r="S11" i="1"/>
  <c r="R11" i="1"/>
  <c r="M11" i="1"/>
  <c r="H11" i="1"/>
  <c r="T10" i="1"/>
  <c r="S10" i="1"/>
  <c r="R10" i="1"/>
  <c r="M10" i="1"/>
  <c r="H10" i="1"/>
  <c r="T9" i="1"/>
  <c r="S9" i="1"/>
  <c r="R9" i="1"/>
  <c r="M9" i="1"/>
  <c r="H9" i="1"/>
  <c r="T8" i="1"/>
  <c r="S8" i="1"/>
  <c r="R8" i="1"/>
  <c r="M8" i="1"/>
  <c r="H8" i="1"/>
  <c r="T7" i="1"/>
  <c r="S7" i="1"/>
  <c r="R7" i="1"/>
  <c r="M7" i="1"/>
  <c r="H7" i="1"/>
  <c r="T6" i="1"/>
  <c r="S6" i="1"/>
  <c r="R6" i="1"/>
  <c r="M6" i="1"/>
  <c r="H6" i="1"/>
  <c r="T5" i="1"/>
  <c r="S5" i="1"/>
  <c r="R5" i="1"/>
  <c r="M5" i="1"/>
  <c r="H5" i="1"/>
  <c r="T4" i="1"/>
  <c r="S4" i="1"/>
  <c r="R4" i="1"/>
  <c r="M4" i="1"/>
  <c r="H4" i="1"/>
  <c r="T3" i="1"/>
  <c r="S3" i="1"/>
  <c r="R3" i="1"/>
  <c r="M3" i="1"/>
  <c r="H3" i="1"/>
  <c r="T2" i="1"/>
  <c r="S2" i="1"/>
  <c r="R2" i="1"/>
  <c r="M2" i="1"/>
  <c r="H2" i="1"/>
</calcChain>
</file>

<file path=xl/sharedStrings.xml><?xml version="1.0" encoding="utf-8"?>
<sst xmlns="http://schemas.openxmlformats.org/spreadsheetml/2006/main" count="363" uniqueCount="15">
  <si>
    <t>batch</t>
    <phoneticPr fontId="1" type="noConversion"/>
  </si>
  <si>
    <t>seq</t>
    <phoneticPr fontId="1" type="noConversion"/>
  </si>
  <si>
    <t>uma16</t>
    <phoneticPr fontId="1" type="noConversion"/>
  </si>
  <si>
    <t>uma32</t>
    <phoneticPr fontId="1" type="noConversion"/>
  </si>
  <si>
    <t>(u32-u16)/u16</t>
    <phoneticPr fontId="1" type="noConversion"/>
  </si>
  <si>
    <t>chunk</t>
    <phoneticPr fontId="1" type="noConversion"/>
  </si>
  <si>
    <t>pip</t>
    <phoneticPr fontId="1" type="noConversion"/>
  </si>
  <si>
    <t>Line</t>
  </si>
  <si>
    <t>kernel</t>
  </si>
  <si>
    <t>running</t>
  </si>
  <si>
    <t>finished</t>
  </si>
  <si>
    <t>time:</t>
  </si>
  <si>
    <t>ms.</t>
  </si>
  <si>
    <t>kvsize（batch*seq*576*sizeof(BF16)* 1or2）</t>
    <phoneticPr fontId="1" type="noConversion"/>
  </si>
  <si>
    <t>带宽（kv_size/x_ms/1000000） G/s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</si>
</sst>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2083-925F-43D1-8BD7-0B4EE7228C3E}">
  <dimension ref="D1:AD58"/>
  <sheetViews>
    <sheetView workbookViewId="0">
      <selection activeCell="F38" sqref="F38"/>
    </sheetView>
  </sheetViews>
  <sheetFormatPr defaultRowHeight="13.8" x14ac:dyDescent="0.25"/>
  <sheetData>
    <row r="1" spans="4:30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J1" t="s">
        <v>5</v>
      </c>
      <c r="K1" t="s">
        <v>2</v>
      </c>
      <c r="L1" t="s">
        <v>3</v>
      </c>
      <c r="O1" t="s">
        <v>6</v>
      </c>
      <c r="P1" t="s">
        <v>2</v>
      </c>
      <c r="Q1" t="s">
        <v>3</v>
      </c>
    </row>
    <row r="2" spans="4:30" x14ac:dyDescent="0.25">
      <c r="D2">
        <v>1</v>
      </c>
      <c r="E2">
        <v>64</v>
      </c>
      <c r="F2">
        <v>6.3488000000000003E-2</v>
      </c>
      <c r="G2">
        <v>6.8018999999999996E-2</v>
      </c>
      <c r="H2" s="1">
        <f t="shared" ref="H2:H57" si="0">(G2-F2)/F2</f>
        <v>7.1367817540322467E-2</v>
      </c>
      <c r="K2">
        <v>7.5738E-2</v>
      </c>
      <c r="L2">
        <v>7.8131000000000006E-2</v>
      </c>
      <c r="M2" s="1">
        <f>(L2-K2)/K2</f>
        <v>3.1595764345506962E-2</v>
      </c>
      <c r="P2">
        <v>6.3564999999999997E-2</v>
      </c>
      <c r="Q2">
        <v>7.1328000000000003E-2</v>
      </c>
      <c r="R2" s="1">
        <f>(Q2-P2)/P2</f>
        <v>0.12212695665853861</v>
      </c>
      <c r="S2" s="2">
        <f>P2/K2</f>
        <v>0.83927486862605294</v>
      </c>
      <c r="T2" s="2">
        <f>Q2/L2</f>
        <v>0.91292828710755014</v>
      </c>
      <c r="U2" s="3"/>
      <c r="V2" s="3"/>
      <c r="W2" s="3" t="s">
        <v>7</v>
      </c>
      <c r="X2" s="3">
        <v>0.41666666666666669</v>
      </c>
      <c r="Y2" t="s">
        <v>8</v>
      </c>
      <c r="Z2" t="s">
        <v>9</v>
      </c>
      <c r="AA2" t="s">
        <v>10</v>
      </c>
      <c r="AB2" t="s">
        <v>11</v>
      </c>
      <c r="AC2">
        <v>6.3488000000000003E-2</v>
      </c>
      <c r="AD2" t="s">
        <v>12</v>
      </c>
    </row>
    <row r="3" spans="4:30" x14ac:dyDescent="0.25">
      <c r="D3">
        <v>1</v>
      </c>
      <c r="E3">
        <v>128</v>
      </c>
      <c r="F3">
        <v>6.4224000000000003E-2</v>
      </c>
      <c r="G3">
        <v>7.1141999999999997E-2</v>
      </c>
      <c r="H3" s="1">
        <f t="shared" si="0"/>
        <v>0.10771674140508211</v>
      </c>
      <c r="K3">
        <v>7.5424000000000005E-2</v>
      </c>
      <c r="L3">
        <v>7.9072000000000003E-2</v>
      </c>
      <c r="M3" s="1">
        <f t="shared" ref="M3:M57" si="1">(L3-K3)/K3</f>
        <v>4.8366567670767899E-2</v>
      </c>
      <c r="P3">
        <v>6.2189000000000001E-2</v>
      </c>
      <c r="Q3">
        <v>6.9503999999999996E-2</v>
      </c>
      <c r="R3" s="1">
        <f t="shared" ref="R3:R57" si="2">(Q3-P3)/P3</f>
        <v>0.11762530351026701</v>
      </c>
      <c r="S3" s="2">
        <f t="shared" ref="S3:T57" si="3">P3/K3</f>
        <v>0.82452535002121341</v>
      </c>
      <c r="T3" s="2">
        <f t="shared" si="3"/>
        <v>0.8789963577498987</v>
      </c>
      <c r="U3" s="3"/>
      <c r="V3" s="3"/>
      <c r="W3" s="3" t="s">
        <v>7</v>
      </c>
      <c r="X3" s="3">
        <v>0.625</v>
      </c>
      <c r="Y3" t="s">
        <v>8</v>
      </c>
      <c r="Z3" t="s">
        <v>9</v>
      </c>
      <c r="AA3" t="s">
        <v>10</v>
      </c>
      <c r="AB3" t="s">
        <v>11</v>
      </c>
      <c r="AC3">
        <v>6.4224000000000003E-2</v>
      </c>
      <c r="AD3" t="s">
        <v>12</v>
      </c>
    </row>
    <row r="4" spans="4:30" x14ac:dyDescent="0.25">
      <c r="D4">
        <v>1</v>
      </c>
      <c r="E4">
        <v>256</v>
      </c>
      <c r="F4">
        <v>6.5997E-2</v>
      </c>
      <c r="G4">
        <v>7.4368000000000004E-2</v>
      </c>
      <c r="H4" s="1">
        <f t="shared" si="0"/>
        <v>0.12683909874691279</v>
      </c>
      <c r="K4">
        <v>8.3493999999999999E-2</v>
      </c>
      <c r="L4">
        <v>9.0438000000000004E-2</v>
      </c>
      <c r="M4" s="1">
        <f t="shared" si="1"/>
        <v>8.3167652765468253E-2</v>
      </c>
      <c r="P4">
        <v>6.6086000000000006E-2</v>
      </c>
      <c r="Q4">
        <v>7.4873999999999996E-2</v>
      </c>
      <c r="R4" s="1">
        <f t="shared" si="2"/>
        <v>0.13297824047453302</v>
      </c>
      <c r="S4" s="2">
        <f t="shared" si="3"/>
        <v>0.79150597647735177</v>
      </c>
      <c r="T4" s="2">
        <f t="shared" si="3"/>
        <v>0.8279041995621309</v>
      </c>
      <c r="U4" s="3"/>
      <c r="V4" s="3"/>
      <c r="W4" s="3" t="s">
        <v>7</v>
      </c>
      <c r="X4" s="3">
        <v>0.83333333333333337</v>
      </c>
      <c r="Y4" t="s">
        <v>8</v>
      </c>
      <c r="Z4" t="s">
        <v>9</v>
      </c>
      <c r="AA4" t="s">
        <v>10</v>
      </c>
      <c r="AB4" t="s">
        <v>11</v>
      </c>
      <c r="AC4">
        <v>6.5997E-2</v>
      </c>
      <c r="AD4" t="s">
        <v>12</v>
      </c>
    </row>
    <row r="5" spans="4:30" x14ac:dyDescent="0.25">
      <c r="D5">
        <v>1</v>
      </c>
      <c r="E5">
        <v>512</v>
      </c>
      <c r="F5">
        <v>7.4310000000000001E-2</v>
      </c>
      <c r="G5">
        <v>8.3738000000000007E-2</v>
      </c>
      <c r="H5" s="1">
        <f t="shared" si="0"/>
        <v>0.12687390660745534</v>
      </c>
      <c r="K5">
        <v>9.8790000000000003E-2</v>
      </c>
      <c r="L5">
        <v>0.108275</v>
      </c>
      <c r="M5" s="1">
        <f t="shared" si="1"/>
        <v>9.6011742079157747E-2</v>
      </c>
      <c r="P5">
        <v>7.7580999999999997E-2</v>
      </c>
      <c r="Q5">
        <v>8.6111999999999994E-2</v>
      </c>
      <c r="R5" s="1">
        <f t="shared" si="2"/>
        <v>0.10996249081605028</v>
      </c>
      <c r="S5" s="2">
        <f t="shared" si="3"/>
        <v>0.78531227857070551</v>
      </c>
      <c r="T5" s="2">
        <f t="shared" si="3"/>
        <v>0.79530824290002311</v>
      </c>
      <c r="U5" s="4"/>
      <c r="V5" s="4"/>
      <c r="W5" s="4" t="s">
        <v>7</v>
      </c>
      <c r="X5" s="4">
        <v>1.0416666666666667</v>
      </c>
      <c r="Y5" t="s">
        <v>8</v>
      </c>
      <c r="Z5" t="s">
        <v>9</v>
      </c>
      <c r="AA5" t="s">
        <v>10</v>
      </c>
      <c r="AB5" t="s">
        <v>11</v>
      </c>
      <c r="AC5">
        <v>7.4310000000000001E-2</v>
      </c>
      <c r="AD5" t="s">
        <v>12</v>
      </c>
    </row>
    <row r="6" spans="4:30" x14ac:dyDescent="0.25">
      <c r="D6">
        <v>1</v>
      </c>
      <c r="E6">
        <v>1024</v>
      </c>
      <c r="F6">
        <v>9.239E-2</v>
      </c>
      <c r="G6">
        <v>0.10505</v>
      </c>
      <c r="H6" s="1">
        <f t="shared" si="0"/>
        <v>0.13702781686329693</v>
      </c>
      <c r="K6">
        <v>0.12851199999999999</v>
      </c>
      <c r="L6">
        <v>0.141402</v>
      </c>
      <c r="M6" s="1">
        <f t="shared" si="1"/>
        <v>0.10030191733067739</v>
      </c>
      <c r="P6">
        <v>9.2549999999999993E-2</v>
      </c>
      <c r="Q6">
        <v>0.10542700000000001</v>
      </c>
      <c r="R6" s="1">
        <f t="shared" si="2"/>
        <v>0.13913560237709363</v>
      </c>
      <c r="S6" s="2">
        <f t="shared" si="3"/>
        <v>0.72016621015936255</v>
      </c>
      <c r="T6" s="2">
        <f t="shared" si="3"/>
        <v>0.74558351367024511</v>
      </c>
      <c r="U6" s="4"/>
      <c r="V6" s="4"/>
      <c r="W6" s="4" t="s">
        <v>7</v>
      </c>
      <c r="X6" s="4">
        <v>1.25</v>
      </c>
      <c r="Y6" t="s">
        <v>8</v>
      </c>
      <c r="Z6" t="s">
        <v>9</v>
      </c>
      <c r="AA6" t="s">
        <v>10</v>
      </c>
      <c r="AB6" t="s">
        <v>11</v>
      </c>
      <c r="AC6">
        <v>9.239E-2</v>
      </c>
      <c r="AD6" t="s">
        <v>12</v>
      </c>
    </row>
    <row r="7" spans="4:30" x14ac:dyDescent="0.25">
      <c r="D7">
        <v>1</v>
      </c>
      <c r="E7">
        <v>2048</v>
      </c>
      <c r="F7">
        <v>0.13103999999999999</v>
      </c>
      <c r="G7">
        <v>0.14735999999999999</v>
      </c>
      <c r="H7" s="1">
        <f t="shared" si="0"/>
        <v>0.12454212454212456</v>
      </c>
      <c r="K7">
        <v>0.16955500000000001</v>
      </c>
      <c r="L7">
        <v>0.194822</v>
      </c>
      <c r="M7" s="1">
        <f t="shared" si="1"/>
        <v>0.14901949220017094</v>
      </c>
      <c r="P7">
        <v>0.13103400000000001</v>
      </c>
      <c r="Q7">
        <v>0.14747499999999999</v>
      </c>
      <c r="R7" s="1">
        <f t="shared" si="2"/>
        <v>0.12547125173619048</v>
      </c>
      <c r="S7" s="2">
        <f t="shared" si="3"/>
        <v>0.77281118221226153</v>
      </c>
      <c r="T7" s="2">
        <f t="shared" si="3"/>
        <v>0.75697303179312392</v>
      </c>
      <c r="U7" s="4"/>
      <c r="V7" s="4"/>
      <c r="W7" s="4" t="s">
        <v>7</v>
      </c>
      <c r="X7" s="4">
        <v>1.4583333333333333</v>
      </c>
      <c r="Y7" t="s">
        <v>8</v>
      </c>
      <c r="Z7" t="s">
        <v>9</v>
      </c>
      <c r="AA7" t="s">
        <v>10</v>
      </c>
      <c r="AB7" t="s">
        <v>11</v>
      </c>
      <c r="AC7">
        <v>0.13103999999999999</v>
      </c>
      <c r="AD7" t="s">
        <v>12</v>
      </c>
    </row>
    <row r="8" spans="4:30" x14ac:dyDescent="0.25">
      <c r="D8">
        <v>1</v>
      </c>
      <c r="E8">
        <v>4096</v>
      </c>
      <c r="F8">
        <v>0.194739</v>
      </c>
      <c r="G8">
        <v>0.23000300000000001</v>
      </c>
      <c r="H8" s="1">
        <f t="shared" si="0"/>
        <v>0.18108339880558089</v>
      </c>
      <c r="K8">
        <v>0.26003199999999999</v>
      </c>
      <c r="L8">
        <v>0.30371199999999998</v>
      </c>
      <c r="M8" s="1">
        <f t="shared" si="1"/>
        <v>0.16797932562146198</v>
      </c>
      <c r="P8">
        <v>0.19641</v>
      </c>
      <c r="Q8">
        <v>0.23034199999999999</v>
      </c>
      <c r="R8" s="1">
        <f t="shared" si="2"/>
        <v>0.17276106104577155</v>
      </c>
      <c r="S8" s="2">
        <f t="shared" si="3"/>
        <v>0.75533011321683485</v>
      </c>
      <c r="T8" s="2">
        <f t="shared" si="3"/>
        <v>0.75842245285006848</v>
      </c>
      <c r="U8" s="4"/>
      <c r="V8" s="4"/>
      <c r="W8" s="4" t="s">
        <v>7</v>
      </c>
      <c r="X8" s="4">
        <v>1.6666666666666667</v>
      </c>
      <c r="Y8" t="s">
        <v>8</v>
      </c>
      <c r="Z8" t="s">
        <v>9</v>
      </c>
      <c r="AA8" t="s">
        <v>10</v>
      </c>
      <c r="AB8" t="s">
        <v>11</v>
      </c>
      <c r="AC8">
        <v>0.194739</v>
      </c>
      <c r="AD8" t="s">
        <v>12</v>
      </c>
    </row>
    <row r="9" spans="4:30" x14ac:dyDescent="0.25">
      <c r="D9">
        <v>2</v>
      </c>
      <c r="E9">
        <v>64</v>
      </c>
      <c r="F9">
        <v>6.3603000000000007E-2</v>
      </c>
      <c r="G9">
        <v>6.9306000000000006E-2</v>
      </c>
      <c r="H9" s="1">
        <f t="shared" si="0"/>
        <v>8.9665581812178652E-2</v>
      </c>
      <c r="K9">
        <v>7.4701000000000004E-2</v>
      </c>
      <c r="L9">
        <v>7.7567999999999998E-2</v>
      </c>
      <c r="M9" s="1">
        <f t="shared" si="1"/>
        <v>3.8379673632213687E-2</v>
      </c>
      <c r="P9">
        <v>6.3372999999999999E-2</v>
      </c>
      <c r="Q9">
        <v>6.9797999999999999E-2</v>
      </c>
      <c r="R9" s="1">
        <f t="shared" si="2"/>
        <v>0.10138387010240955</v>
      </c>
      <c r="S9" s="2">
        <f t="shared" si="3"/>
        <v>0.84835544370222615</v>
      </c>
      <c r="T9" s="2">
        <f t="shared" si="3"/>
        <v>0.89982982673267331</v>
      </c>
      <c r="U9" s="4"/>
      <c r="V9" s="4"/>
      <c r="W9" s="4" t="s">
        <v>7</v>
      </c>
      <c r="X9" s="4">
        <v>1.875</v>
      </c>
      <c r="Y9" t="s">
        <v>8</v>
      </c>
      <c r="Z9" t="s">
        <v>9</v>
      </c>
      <c r="AA9" t="s">
        <v>10</v>
      </c>
      <c r="AB9" t="s">
        <v>11</v>
      </c>
      <c r="AC9">
        <v>6.3603000000000007E-2</v>
      </c>
      <c r="AD9" t="s">
        <v>12</v>
      </c>
    </row>
    <row r="10" spans="4:30" x14ac:dyDescent="0.25">
      <c r="D10">
        <v>2</v>
      </c>
      <c r="E10">
        <v>128</v>
      </c>
      <c r="F10">
        <v>6.6949999999999996E-2</v>
      </c>
      <c r="G10">
        <v>7.0637000000000005E-2</v>
      </c>
      <c r="H10" s="1">
        <f t="shared" si="0"/>
        <v>5.507094846900687E-2</v>
      </c>
      <c r="K10">
        <v>7.6922000000000004E-2</v>
      </c>
      <c r="L10">
        <v>8.0640000000000003E-2</v>
      </c>
      <c r="M10" s="1">
        <f t="shared" si="1"/>
        <v>4.8334676685473581E-2</v>
      </c>
      <c r="P10">
        <v>6.6578999999999999E-2</v>
      </c>
      <c r="Q10">
        <v>7.0842000000000002E-2</v>
      </c>
      <c r="R10" s="1">
        <f t="shared" si="2"/>
        <v>6.4029198395890635E-2</v>
      </c>
      <c r="S10" s="2">
        <f t="shared" si="3"/>
        <v>0.86553911754764556</v>
      </c>
      <c r="T10" s="2">
        <f t="shared" si="3"/>
        <v>0.87849702380952377</v>
      </c>
      <c r="U10" s="4"/>
      <c r="V10" s="4"/>
      <c r="W10" s="4" t="s">
        <v>7</v>
      </c>
      <c r="X10" s="4">
        <v>2.0833333333333335</v>
      </c>
      <c r="Y10" t="s">
        <v>8</v>
      </c>
      <c r="Z10" t="s">
        <v>9</v>
      </c>
      <c r="AA10" t="s">
        <v>10</v>
      </c>
      <c r="AB10" t="s">
        <v>11</v>
      </c>
      <c r="AC10">
        <v>6.6949999999999996E-2</v>
      </c>
      <c r="AD10" t="s">
        <v>12</v>
      </c>
    </row>
    <row r="11" spans="4:30" x14ac:dyDescent="0.25">
      <c r="D11">
        <v>2</v>
      </c>
      <c r="E11">
        <v>256</v>
      </c>
      <c r="F11">
        <v>7.0098999999999995E-2</v>
      </c>
      <c r="G11">
        <v>7.7837000000000003E-2</v>
      </c>
      <c r="H11" s="1">
        <f t="shared" si="0"/>
        <v>0.11038673875518923</v>
      </c>
      <c r="K11">
        <v>8.3724999999999994E-2</v>
      </c>
      <c r="L11">
        <v>9.1231999999999994E-2</v>
      </c>
      <c r="M11" s="1">
        <f t="shared" si="1"/>
        <v>8.9662585846521356E-2</v>
      </c>
      <c r="P11">
        <v>7.0125000000000007E-2</v>
      </c>
      <c r="Q11">
        <v>7.9922999999999994E-2</v>
      </c>
      <c r="R11" s="1">
        <f t="shared" si="2"/>
        <v>0.13972192513368964</v>
      </c>
      <c r="S11" s="2">
        <f t="shared" si="3"/>
        <v>0.83756345177664993</v>
      </c>
      <c r="T11" s="2">
        <f t="shared" si="3"/>
        <v>0.87604130129779023</v>
      </c>
      <c r="U11" s="4"/>
      <c r="V11" s="4"/>
      <c r="W11" s="4" t="s">
        <v>7</v>
      </c>
      <c r="X11" s="4">
        <v>2.2916666666666665</v>
      </c>
      <c r="Y11" t="s">
        <v>8</v>
      </c>
      <c r="Z11" t="s">
        <v>9</v>
      </c>
      <c r="AA11" t="s">
        <v>10</v>
      </c>
      <c r="AB11" t="s">
        <v>11</v>
      </c>
      <c r="AC11">
        <v>7.0098999999999995E-2</v>
      </c>
      <c r="AD11" t="s">
        <v>12</v>
      </c>
    </row>
    <row r="12" spans="4:30" x14ac:dyDescent="0.25">
      <c r="D12">
        <v>2</v>
      </c>
      <c r="E12">
        <v>512</v>
      </c>
      <c r="F12">
        <v>8.3904000000000006E-2</v>
      </c>
      <c r="G12">
        <v>9.2524999999999996E-2</v>
      </c>
      <c r="H12" s="1">
        <f t="shared" si="0"/>
        <v>0.1027483790999236</v>
      </c>
      <c r="K12">
        <v>0.10038999999999999</v>
      </c>
      <c r="L12">
        <v>0.110899</v>
      </c>
      <c r="M12" s="1">
        <f t="shared" si="1"/>
        <v>0.10468174120928385</v>
      </c>
      <c r="P12">
        <v>8.2450999999999997E-2</v>
      </c>
      <c r="Q12">
        <v>9.2813000000000007E-2</v>
      </c>
      <c r="R12" s="1">
        <f t="shared" si="2"/>
        <v>0.1256746431213692</v>
      </c>
      <c r="S12" s="2">
        <f t="shared" si="3"/>
        <v>0.82130690307799581</v>
      </c>
      <c r="T12" s="2">
        <f t="shared" si="3"/>
        <v>0.83691467010523102</v>
      </c>
      <c r="U12" s="4"/>
      <c r="V12" s="4"/>
      <c r="W12" s="4" t="s">
        <v>7</v>
      </c>
      <c r="X12" s="4">
        <v>2.5</v>
      </c>
      <c r="Y12" t="s">
        <v>8</v>
      </c>
      <c r="Z12" t="s">
        <v>9</v>
      </c>
      <c r="AA12" t="s">
        <v>10</v>
      </c>
      <c r="AB12" t="s">
        <v>11</v>
      </c>
      <c r="AC12">
        <v>8.3904000000000006E-2</v>
      </c>
      <c r="AD12" t="s">
        <v>12</v>
      </c>
    </row>
    <row r="13" spans="4:30" x14ac:dyDescent="0.25">
      <c r="D13">
        <v>2</v>
      </c>
      <c r="E13">
        <v>1024</v>
      </c>
      <c r="F13">
        <v>0.110112</v>
      </c>
      <c r="G13">
        <v>0.12135700000000001</v>
      </c>
      <c r="H13" s="1">
        <f t="shared" si="0"/>
        <v>0.10212329264748624</v>
      </c>
      <c r="K13">
        <v>0.12712300000000001</v>
      </c>
      <c r="L13">
        <v>0.14718700000000001</v>
      </c>
      <c r="M13" s="1">
        <f t="shared" si="1"/>
        <v>0.15783139164431295</v>
      </c>
      <c r="P13">
        <v>0.108038</v>
      </c>
      <c r="Q13">
        <v>0.12028800000000001</v>
      </c>
      <c r="R13" s="1">
        <f t="shared" si="2"/>
        <v>0.11338603084100049</v>
      </c>
      <c r="S13" s="2">
        <f t="shared" si="3"/>
        <v>0.84986981112780524</v>
      </c>
      <c r="T13" s="2">
        <f t="shared" si="3"/>
        <v>0.81724608830942946</v>
      </c>
      <c r="U13" s="4"/>
      <c r="V13" s="4"/>
      <c r="W13" s="4" t="s">
        <v>7</v>
      </c>
      <c r="X13" s="4">
        <v>2.7083333333333335</v>
      </c>
      <c r="Y13" t="s">
        <v>8</v>
      </c>
      <c r="Z13" t="s">
        <v>9</v>
      </c>
      <c r="AA13" t="s">
        <v>10</v>
      </c>
      <c r="AB13" t="s">
        <v>11</v>
      </c>
      <c r="AC13">
        <v>0.110112</v>
      </c>
      <c r="AD13" t="s">
        <v>12</v>
      </c>
    </row>
    <row r="14" spans="4:30" x14ac:dyDescent="0.25">
      <c r="D14">
        <v>2</v>
      </c>
      <c r="E14">
        <v>2048</v>
      </c>
      <c r="F14">
        <v>0.17088</v>
      </c>
      <c r="G14">
        <v>0.17751</v>
      </c>
      <c r="H14" s="1">
        <f t="shared" si="0"/>
        <v>3.8799157303370767E-2</v>
      </c>
      <c r="K14">
        <v>0.17274900000000001</v>
      </c>
      <c r="L14">
        <v>0.20902999999999999</v>
      </c>
      <c r="M14" s="1">
        <f t="shared" si="1"/>
        <v>0.21002147624588263</v>
      </c>
      <c r="P14">
        <v>0.17061799999999999</v>
      </c>
      <c r="Q14">
        <v>0.17902100000000001</v>
      </c>
      <c r="R14" s="1">
        <f t="shared" si="2"/>
        <v>4.9250372176441064E-2</v>
      </c>
      <c r="S14" s="2">
        <f t="shared" si="3"/>
        <v>0.98766418329483807</v>
      </c>
      <c r="T14" s="2">
        <f t="shared" si="3"/>
        <v>0.85643687508970012</v>
      </c>
      <c r="U14" s="4"/>
      <c r="V14" s="4"/>
      <c r="W14" s="4" t="s">
        <v>7</v>
      </c>
      <c r="X14" s="4">
        <v>2.9166666666666665</v>
      </c>
      <c r="Y14" t="s">
        <v>8</v>
      </c>
      <c r="Z14" t="s">
        <v>9</v>
      </c>
      <c r="AA14" t="s">
        <v>10</v>
      </c>
      <c r="AB14" t="s">
        <v>11</v>
      </c>
      <c r="AC14">
        <v>0.17088</v>
      </c>
      <c r="AD14" t="s">
        <v>12</v>
      </c>
    </row>
    <row r="15" spans="4:30" x14ac:dyDescent="0.25">
      <c r="D15">
        <v>2</v>
      </c>
      <c r="E15">
        <v>4096</v>
      </c>
      <c r="F15">
        <v>0.27486699999999997</v>
      </c>
      <c r="G15">
        <v>0.29930899999999999</v>
      </c>
      <c r="H15" s="1">
        <f t="shared" si="0"/>
        <v>8.8923006399458729E-2</v>
      </c>
      <c r="K15">
        <v>0.25906600000000002</v>
      </c>
      <c r="L15">
        <v>0.322272</v>
      </c>
      <c r="M15" s="1">
        <f t="shared" si="1"/>
        <v>0.24397643843653732</v>
      </c>
      <c r="P15">
        <v>0.27484799999999998</v>
      </c>
      <c r="Q15">
        <v>0.29873899999999998</v>
      </c>
      <c r="R15" s="1">
        <f t="shared" si="2"/>
        <v>8.692440912795435E-2</v>
      </c>
      <c r="S15" s="2">
        <f t="shared" si="3"/>
        <v>1.0609188392147173</v>
      </c>
      <c r="T15" s="2">
        <f t="shared" si="3"/>
        <v>0.92697783239003073</v>
      </c>
      <c r="U15" s="4"/>
      <c r="V15" s="4"/>
      <c r="W15" s="4" t="s">
        <v>7</v>
      </c>
      <c r="X15" s="4">
        <v>3.125</v>
      </c>
      <c r="Y15" t="s">
        <v>8</v>
      </c>
      <c r="Z15" t="s">
        <v>9</v>
      </c>
      <c r="AA15" t="s">
        <v>10</v>
      </c>
      <c r="AB15" t="s">
        <v>11</v>
      </c>
      <c r="AC15">
        <v>0.27486699999999997</v>
      </c>
      <c r="AD15" t="s">
        <v>12</v>
      </c>
    </row>
    <row r="16" spans="4:30" x14ac:dyDescent="0.25">
      <c r="D16">
        <v>4</v>
      </c>
      <c r="E16">
        <v>64</v>
      </c>
      <c r="F16">
        <v>6.3007999999999995E-2</v>
      </c>
      <c r="G16">
        <v>6.9370000000000001E-2</v>
      </c>
      <c r="H16" s="1">
        <f t="shared" si="0"/>
        <v>0.10097130523108187</v>
      </c>
      <c r="K16">
        <v>7.4636999999999995E-2</v>
      </c>
      <c r="L16">
        <v>7.8598000000000001E-2</v>
      </c>
      <c r="M16" s="1">
        <f t="shared" si="1"/>
        <v>5.3070193067781483E-2</v>
      </c>
      <c r="P16">
        <v>6.4537999999999998E-2</v>
      </c>
      <c r="Q16">
        <v>6.9734000000000004E-2</v>
      </c>
      <c r="R16" s="1">
        <f t="shared" si="2"/>
        <v>8.051070687037104E-2</v>
      </c>
      <c r="S16" s="2">
        <f t="shared" si="3"/>
        <v>0.86469177485697446</v>
      </c>
      <c r="T16" s="2">
        <f t="shared" si="3"/>
        <v>0.88722359347566104</v>
      </c>
      <c r="U16" s="4"/>
      <c r="V16" s="4"/>
      <c r="W16" s="4" t="s">
        <v>7</v>
      </c>
      <c r="X16" s="4">
        <v>3.3333333333333335</v>
      </c>
      <c r="Y16" t="s">
        <v>8</v>
      </c>
      <c r="Z16" t="s">
        <v>9</v>
      </c>
      <c r="AA16" t="s">
        <v>10</v>
      </c>
      <c r="AB16" t="s">
        <v>11</v>
      </c>
      <c r="AC16">
        <v>6.3007999999999995E-2</v>
      </c>
      <c r="AD16" t="s">
        <v>12</v>
      </c>
    </row>
    <row r="17" spans="4:30" x14ac:dyDescent="0.25">
      <c r="D17">
        <v>4</v>
      </c>
      <c r="E17">
        <v>128</v>
      </c>
      <c r="F17">
        <v>6.4159999999999995E-2</v>
      </c>
      <c r="G17">
        <v>7.1827000000000002E-2</v>
      </c>
      <c r="H17" s="1">
        <f t="shared" si="0"/>
        <v>0.1194981296758106</v>
      </c>
      <c r="K17">
        <v>7.4457999999999996E-2</v>
      </c>
      <c r="L17">
        <v>7.7618999999999994E-2</v>
      </c>
      <c r="M17" s="1">
        <f t="shared" si="1"/>
        <v>4.2453463697655021E-2</v>
      </c>
      <c r="P17">
        <v>6.4357999999999999E-2</v>
      </c>
      <c r="Q17">
        <v>7.0239999999999997E-2</v>
      </c>
      <c r="R17" s="1">
        <f t="shared" si="2"/>
        <v>9.139500916746944E-2</v>
      </c>
      <c r="S17" s="2">
        <f t="shared" si="3"/>
        <v>0.8643530580998684</v>
      </c>
      <c r="T17" s="2">
        <f t="shared" si="3"/>
        <v>0.90493307051108629</v>
      </c>
      <c r="U17" s="4"/>
      <c r="V17" s="4"/>
      <c r="W17" s="4" t="s">
        <v>7</v>
      </c>
      <c r="X17" s="4">
        <v>3.5416666666666665</v>
      </c>
      <c r="Y17" t="s">
        <v>8</v>
      </c>
      <c r="Z17" t="s">
        <v>9</v>
      </c>
      <c r="AA17" t="s">
        <v>10</v>
      </c>
      <c r="AB17" t="s">
        <v>11</v>
      </c>
      <c r="AC17">
        <v>6.4159999999999995E-2</v>
      </c>
      <c r="AD17" t="s">
        <v>12</v>
      </c>
    </row>
    <row r="18" spans="4:30" x14ac:dyDescent="0.25">
      <c r="D18">
        <v>4</v>
      </c>
      <c r="E18">
        <v>256</v>
      </c>
      <c r="F18">
        <v>7.2850999999999999E-2</v>
      </c>
      <c r="G18">
        <v>7.7126E-2</v>
      </c>
      <c r="H18" s="1">
        <f t="shared" si="0"/>
        <v>5.8681418237223941E-2</v>
      </c>
      <c r="K18">
        <v>8.5094000000000003E-2</v>
      </c>
      <c r="L18">
        <v>9.0482999999999994E-2</v>
      </c>
      <c r="M18" s="1">
        <f t="shared" si="1"/>
        <v>6.3329964509836079E-2</v>
      </c>
      <c r="P18">
        <v>7.2850999999999999E-2</v>
      </c>
      <c r="Q18">
        <v>7.7376E-2</v>
      </c>
      <c r="R18" s="1">
        <f t="shared" si="2"/>
        <v>6.2113080122441711E-2</v>
      </c>
      <c r="S18" s="2">
        <f t="shared" si="3"/>
        <v>0.85612381601523013</v>
      </c>
      <c r="T18" s="2">
        <f t="shared" si="3"/>
        <v>0.85514406021020528</v>
      </c>
      <c r="U18" s="4"/>
      <c r="V18" s="4"/>
      <c r="W18" s="4" t="s">
        <v>7</v>
      </c>
      <c r="X18" s="4">
        <v>3.75</v>
      </c>
      <c r="Y18" t="s">
        <v>8</v>
      </c>
      <c r="Z18" t="s">
        <v>9</v>
      </c>
      <c r="AA18" t="s">
        <v>10</v>
      </c>
      <c r="AB18" t="s">
        <v>11</v>
      </c>
      <c r="AC18">
        <v>7.2850999999999999E-2</v>
      </c>
      <c r="AD18" t="s">
        <v>12</v>
      </c>
    </row>
    <row r="19" spans="4:30" x14ac:dyDescent="0.25">
      <c r="D19">
        <v>4</v>
      </c>
      <c r="E19">
        <v>512</v>
      </c>
      <c r="F19">
        <v>8.4089999999999998E-2</v>
      </c>
      <c r="G19">
        <v>9.1494000000000006E-2</v>
      </c>
      <c r="H19" s="1">
        <f t="shared" si="0"/>
        <v>8.8048519443453543E-2</v>
      </c>
      <c r="K19">
        <v>9.9826999999999999E-2</v>
      </c>
      <c r="L19">
        <v>0.113274</v>
      </c>
      <c r="M19" s="1">
        <f t="shared" si="1"/>
        <v>0.13470303625271721</v>
      </c>
      <c r="P19">
        <v>8.4026000000000003E-2</v>
      </c>
      <c r="Q19">
        <v>9.1609999999999997E-2</v>
      </c>
      <c r="R19" s="1">
        <f t="shared" si="2"/>
        <v>9.0257777354628255E-2</v>
      </c>
      <c r="S19" s="2">
        <f t="shared" si="3"/>
        <v>0.84171616897232215</v>
      </c>
      <c r="T19" s="2">
        <f t="shared" si="3"/>
        <v>0.80874693221745497</v>
      </c>
      <c r="U19" s="4"/>
      <c r="V19" s="4"/>
      <c r="W19" s="4" t="s">
        <v>7</v>
      </c>
      <c r="X19" s="4">
        <v>3.9583333333333335</v>
      </c>
      <c r="Y19" t="s">
        <v>8</v>
      </c>
      <c r="Z19" t="s">
        <v>9</v>
      </c>
      <c r="AA19" t="s">
        <v>10</v>
      </c>
      <c r="AB19" t="s">
        <v>11</v>
      </c>
      <c r="AC19">
        <v>8.4089999999999998E-2</v>
      </c>
      <c r="AD19" t="s">
        <v>12</v>
      </c>
    </row>
    <row r="20" spans="4:30" x14ac:dyDescent="0.25">
      <c r="D20">
        <v>4</v>
      </c>
      <c r="E20">
        <v>1024</v>
      </c>
      <c r="F20">
        <v>0.11550100000000001</v>
      </c>
      <c r="G20">
        <v>0.139654</v>
      </c>
      <c r="H20" s="1">
        <f t="shared" si="0"/>
        <v>0.20911507259677398</v>
      </c>
      <c r="K20">
        <v>0.13533400000000001</v>
      </c>
      <c r="L20">
        <v>0.15529000000000001</v>
      </c>
      <c r="M20" s="1">
        <f t="shared" si="1"/>
        <v>0.1474574016876764</v>
      </c>
      <c r="P20">
        <v>0.115718</v>
      </c>
      <c r="Q20">
        <v>0.14005799999999999</v>
      </c>
      <c r="R20" s="1">
        <f t="shared" si="2"/>
        <v>0.21033892739245394</v>
      </c>
      <c r="S20" s="2">
        <f t="shared" si="3"/>
        <v>0.85505490120738314</v>
      </c>
      <c r="T20" s="2">
        <f t="shared" si="3"/>
        <v>0.90191255071157173</v>
      </c>
      <c r="U20" s="4"/>
      <c r="V20" s="4"/>
      <c r="W20" s="4" t="s">
        <v>7</v>
      </c>
      <c r="X20" s="4">
        <v>4.166666666666667</v>
      </c>
      <c r="Y20" t="s">
        <v>8</v>
      </c>
      <c r="Z20" t="s">
        <v>9</v>
      </c>
      <c r="AA20" t="s">
        <v>10</v>
      </c>
      <c r="AB20" t="s">
        <v>11</v>
      </c>
      <c r="AC20">
        <v>0.11550100000000001</v>
      </c>
      <c r="AD20" t="s">
        <v>12</v>
      </c>
    </row>
    <row r="21" spans="4:30" x14ac:dyDescent="0.25">
      <c r="D21">
        <v>4</v>
      </c>
      <c r="E21">
        <v>2048</v>
      </c>
      <c r="F21">
        <v>0.18023700000000001</v>
      </c>
      <c r="G21">
        <v>0.20294999999999999</v>
      </c>
      <c r="H21" s="1">
        <f t="shared" si="0"/>
        <v>0.12601741040962722</v>
      </c>
      <c r="K21">
        <v>0.170957</v>
      </c>
      <c r="L21">
        <v>0.207283</v>
      </c>
      <c r="M21" s="1">
        <f t="shared" si="1"/>
        <v>0.21248618073550657</v>
      </c>
      <c r="P21">
        <v>0.18021799999999999</v>
      </c>
      <c r="Q21">
        <v>0.20542099999999999</v>
      </c>
      <c r="R21" s="1">
        <f t="shared" si="2"/>
        <v>0.13984729605255861</v>
      </c>
      <c r="S21" s="2">
        <f t="shared" si="3"/>
        <v>1.0541715168141697</v>
      </c>
      <c r="T21" s="2">
        <f t="shared" si="3"/>
        <v>0.99101711187120989</v>
      </c>
      <c r="U21" s="4"/>
      <c r="V21" s="4"/>
      <c r="W21" s="4" t="s">
        <v>7</v>
      </c>
      <c r="X21" s="4">
        <v>4.375</v>
      </c>
      <c r="Y21" t="s">
        <v>8</v>
      </c>
      <c r="Z21" t="s">
        <v>9</v>
      </c>
      <c r="AA21" t="s">
        <v>10</v>
      </c>
      <c r="AB21" t="s">
        <v>11</v>
      </c>
      <c r="AC21">
        <v>0.18023700000000001</v>
      </c>
      <c r="AD21" t="s">
        <v>12</v>
      </c>
    </row>
    <row r="22" spans="4:30" x14ac:dyDescent="0.25">
      <c r="D22">
        <v>4</v>
      </c>
      <c r="E22">
        <v>4096</v>
      </c>
      <c r="F22">
        <v>0.29987200000000003</v>
      </c>
      <c r="G22">
        <v>0.31624999999999998</v>
      </c>
      <c r="H22" s="1">
        <f t="shared" si="0"/>
        <v>5.461663643154395E-2</v>
      </c>
      <c r="K22">
        <v>0.30122900000000002</v>
      </c>
      <c r="L22">
        <v>0.32965800000000001</v>
      </c>
      <c r="M22" s="1">
        <f t="shared" si="1"/>
        <v>9.4376703438247916E-2</v>
      </c>
      <c r="P22">
        <v>0.30277100000000001</v>
      </c>
      <c r="Q22">
        <v>0.31781799999999999</v>
      </c>
      <c r="R22" s="1">
        <f t="shared" si="2"/>
        <v>4.9697626258789568E-2</v>
      </c>
      <c r="S22" s="2">
        <f t="shared" si="3"/>
        <v>1.0051190290443484</v>
      </c>
      <c r="T22" s="2">
        <f t="shared" si="3"/>
        <v>0.96408399007456203</v>
      </c>
      <c r="U22" s="4"/>
      <c r="V22" s="4"/>
      <c r="W22" s="4" t="s">
        <v>7</v>
      </c>
      <c r="X22" s="4">
        <v>4.583333333333333</v>
      </c>
      <c r="Y22" t="s">
        <v>8</v>
      </c>
      <c r="Z22" t="s">
        <v>9</v>
      </c>
      <c r="AA22" t="s">
        <v>10</v>
      </c>
      <c r="AB22" t="s">
        <v>11</v>
      </c>
      <c r="AC22">
        <v>0.29987200000000003</v>
      </c>
      <c r="AD22" t="s">
        <v>12</v>
      </c>
    </row>
    <row r="23" spans="4:30" x14ac:dyDescent="0.25">
      <c r="D23">
        <v>8</v>
      </c>
      <c r="E23">
        <v>64</v>
      </c>
      <c r="F23">
        <v>7.4777999999999997E-2</v>
      </c>
      <c r="G23">
        <v>8.1178E-2</v>
      </c>
      <c r="H23" s="1">
        <f t="shared" si="0"/>
        <v>8.5586669876166824E-2</v>
      </c>
      <c r="K23">
        <v>7.4995000000000006E-2</v>
      </c>
      <c r="L23">
        <v>8.1061999999999995E-2</v>
      </c>
      <c r="M23" s="1">
        <f t="shared" si="1"/>
        <v>8.0898726581771968E-2</v>
      </c>
      <c r="P23">
        <v>6.5452999999999997E-2</v>
      </c>
      <c r="Q23">
        <v>7.4085999999999999E-2</v>
      </c>
      <c r="R23" s="1">
        <f t="shared" si="2"/>
        <v>0.13189616977067517</v>
      </c>
      <c r="S23" s="2">
        <f t="shared" si="3"/>
        <v>0.87276485099006584</v>
      </c>
      <c r="T23" s="2">
        <f t="shared" si="3"/>
        <v>0.91394241444820024</v>
      </c>
      <c r="U23" s="4"/>
      <c r="V23" s="4"/>
      <c r="W23" s="4" t="s">
        <v>7</v>
      </c>
      <c r="X23" s="4">
        <v>4.791666666666667</v>
      </c>
      <c r="Y23" t="s">
        <v>8</v>
      </c>
      <c r="Z23" t="s">
        <v>9</v>
      </c>
      <c r="AA23" t="s">
        <v>10</v>
      </c>
      <c r="AB23" t="s">
        <v>11</v>
      </c>
      <c r="AC23">
        <v>7.4777999999999997E-2</v>
      </c>
      <c r="AD23" t="s">
        <v>12</v>
      </c>
    </row>
    <row r="24" spans="4:30" x14ac:dyDescent="0.25">
      <c r="D24">
        <v>8</v>
      </c>
      <c r="E24">
        <v>128</v>
      </c>
      <c r="F24">
        <v>7.6115000000000002E-2</v>
      </c>
      <c r="G24">
        <v>8.1823999999999994E-2</v>
      </c>
      <c r="H24" s="1">
        <f t="shared" si="0"/>
        <v>7.5004926755567122E-2</v>
      </c>
      <c r="K24">
        <v>7.6287999999999995E-2</v>
      </c>
      <c r="L24">
        <v>8.1600000000000006E-2</v>
      </c>
      <c r="M24" s="1">
        <f t="shared" si="1"/>
        <v>6.9630872483221626E-2</v>
      </c>
      <c r="P24">
        <v>6.9740999999999997E-2</v>
      </c>
      <c r="Q24">
        <v>8.2841999999999999E-2</v>
      </c>
      <c r="R24" s="1">
        <f t="shared" si="2"/>
        <v>0.18785219598227731</v>
      </c>
      <c r="S24" s="2">
        <f t="shared" si="3"/>
        <v>0.91418047399328861</v>
      </c>
      <c r="T24" s="2">
        <f t="shared" si="3"/>
        <v>1.015220588235294</v>
      </c>
      <c r="U24" s="4"/>
      <c r="V24" s="4"/>
      <c r="W24" s="4" t="s">
        <v>7</v>
      </c>
      <c r="X24" s="4">
        <v>5</v>
      </c>
      <c r="Y24" t="s">
        <v>8</v>
      </c>
      <c r="Z24" t="s">
        <v>9</v>
      </c>
      <c r="AA24" t="s">
        <v>10</v>
      </c>
      <c r="AB24" t="s">
        <v>11</v>
      </c>
      <c r="AC24">
        <v>7.6115000000000002E-2</v>
      </c>
      <c r="AD24" t="s">
        <v>12</v>
      </c>
    </row>
    <row r="25" spans="4:30" x14ac:dyDescent="0.25">
      <c r="D25">
        <v>8</v>
      </c>
      <c r="E25">
        <v>256</v>
      </c>
      <c r="F25">
        <v>8.3391999999999994E-2</v>
      </c>
      <c r="G25">
        <v>9.5589999999999994E-2</v>
      </c>
      <c r="H25" s="1">
        <f t="shared" si="0"/>
        <v>0.14627302379125098</v>
      </c>
      <c r="K25">
        <v>8.3519999999999997E-2</v>
      </c>
      <c r="L25">
        <v>9.3715000000000007E-2</v>
      </c>
      <c r="M25" s="1">
        <f t="shared" si="1"/>
        <v>0.12206657088122617</v>
      </c>
      <c r="P25">
        <v>7.7132999999999993E-2</v>
      </c>
      <c r="Q25">
        <v>0.10338600000000001</v>
      </c>
      <c r="R25" s="1">
        <f t="shared" si="2"/>
        <v>0.34036015713118917</v>
      </c>
      <c r="S25" s="2">
        <f t="shared" si="3"/>
        <v>0.92352729885057472</v>
      </c>
      <c r="T25" s="2">
        <f t="shared" si="3"/>
        <v>1.1031958597876541</v>
      </c>
      <c r="U25" s="4"/>
      <c r="V25" s="4"/>
      <c r="W25" s="4" t="s">
        <v>7</v>
      </c>
      <c r="X25" s="4">
        <v>5.208333333333333</v>
      </c>
      <c r="Y25" t="s">
        <v>8</v>
      </c>
      <c r="Z25" t="s">
        <v>9</v>
      </c>
      <c r="AA25" t="s">
        <v>10</v>
      </c>
      <c r="AB25" t="s">
        <v>11</v>
      </c>
      <c r="AC25">
        <v>8.3391999999999994E-2</v>
      </c>
      <c r="AD25" t="s">
        <v>12</v>
      </c>
    </row>
    <row r="26" spans="4:30" x14ac:dyDescent="0.25">
      <c r="D26">
        <v>8</v>
      </c>
      <c r="E26">
        <v>512</v>
      </c>
      <c r="F26">
        <v>0.103315</v>
      </c>
      <c r="G26">
        <v>0.11905300000000001</v>
      </c>
      <c r="H26" s="1">
        <f t="shared" si="0"/>
        <v>0.152330252141509</v>
      </c>
      <c r="K26">
        <v>0.102662</v>
      </c>
      <c r="L26">
        <v>0.119315</v>
      </c>
      <c r="M26" s="1">
        <f t="shared" si="1"/>
        <v>0.16221191872357835</v>
      </c>
      <c r="P26">
        <v>0.10509400000000001</v>
      </c>
      <c r="Q26">
        <v>0.12540200000000001</v>
      </c>
      <c r="R26" s="1">
        <f t="shared" si="2"/>
        <v>0.19323653110548658</v>
      </c>
      <c r="S26" s="2">
        <f t="shared" si="3"/>
        <v>1.0236893884786971</v>
      </c>
      <c r="T26" s="2">
        <f t="shared" si="3"/>
        <v>1.0510162175753259</v>
      </c>
      <c r="U26" s="4"/>
      <c r="V26" s="4"/>
      <c r="W26" s="4" t="s">
        <v>7</v>
      </c>
      <c r="X26" s="4">
        <v>5.416666666666667</v>
      </c>
      <c r="Y26" t="s">
        <v>8</v>
      </c>
      <c r="Z26" t="s">
        <v>9</v>
      </c>
      <c r="AA26" t="s">
        <v>10</v>
      </c>
      <c r="AB26" t="s">
        <v>11</v>
      </c>
      <c r="AC26">
        <v>0.103315</v>
      </c>
      <c r="AD26" t="s">
        <v>12</v>
      </c>
    </row>
    <row r="27" spans="4:30" x14ac:dyDescent="0.25">
      <c r="D27">
        <v>8</v>
      </c>
      <c r="E27">
        <v>1024</v>
      </c>
      <c r="F27">
        <v>0.13090599999999999</v>
      </c>
      <c r="G27">
        <v>0.15871399999999999</v>
      </c>
      <c r="H27" s="1">
        <f t="shared" si="0"/>
        <v>0.21242723786533849</v>
      </c>
      <c r="K27">
        <v>0.131046</v>
      </c>
      <c r="L27">
        <v>0.158918</v>
      </c>
      <c r="M27" s="1">
        <f t="shared" si="1"/>
        <v>0.21268867420600407</v>
      </c>
      <c r="P27">
        <v>0.14366699999999999</v>
      </c>
      <c r="Q27">
        <v>0.17410600000000001</v>
      </c>
      <c r="R27" s="1">
        <f t="shared" si="2"/>
        <v>0.21187189820905306</v>
      </c>
      <c r="S27" s="2">
        <f t="shared" si="3"/>
        <v>1.0963096927796345</v>
      </c>
      <c r="T27" s="2">
        <f t="shared" si="3"/>
        <v>1.0955713009224883</v>
      </c>
      <c r="U27" s="4"/>
      <c r="V27" s="4"/>
      <c r="W27" s="4" t="s">
        <v>7</v>
      </c>
      <c r="X27" s="4">
        <v>5.625</v>
      </c>
      <c r="Y27" t="s">
        <v>8</v>
      </c>
      <c r="Z27" t="s">
        <v>9</v>
      </c>
      <c r="AA27" t="s">
        <v>10</v>
      </c>
      <c r="AB27" t="s">
        <v>11</v>
      </c>
      <c r="AC27">
        <v>0.13090599999999999</v>
      </c>
      <c r="AD27" t="s">
        <v>12</v>
      </c>
    </row>
    <row r="28" spans="4:30" x14ac:dyDescent="0.25">
      <c r="D28">
        <v>8</v>
      </c>
      <c r="E28">
        <v>2048</v>
      </c>
      <c r="F28">
        <v>0.17994199999999999</v>
      </c>
      <c r="G28">
        <v>0.23130899999999999</v>
      </c>
      <c r="H28" s="1">
        <f t="shared" si="0"/>
        <v>0.28546420513276499</v>
      </c>
      <c r="K28">
        <v>0.183674</v>
      </c>
      <c r="L28">
        <v>0.231821</v>
      </c>
      <c r="M28" s="1">
        <f t="shared" si="1"/>
        <v>0.26213290939381728</v>
      </c>
      <c r="P28">
        <v>0.239181</v>
      </c>
      <c r="Q28">
        <v>0.31161</v>
      </c>
      <c r="R28" s="1">
        <f t="shared" si="2"/>
        <v>0.30282087624016957</v>
      </c>
      <c r="S28" s="2">
        <f t="shared" si="3"/>
        <v>1.3022039047442753</v>
      </c>
      <c r="T28" s="2">
        <f t="shared" si="3"/>
        <v>1.3441836589437539</v>
      </c>
      <c r="U28" s="4"/>
      <c r="V28" s="4"/>
      <c r="W28" s="4" t="s">
        <v>7</v>
      </c>
      <c r="X28" s="4">
        <v>5.833333333333333</v>
      </c>
      <c r="Y28" t="s">
        <v>8</v>
      </c>
      <c r="Z28" t="s">
        <v>9</v>
      </c>
      <c r="AA28" t="s">
        <v>10</v>
      </c>
      <c r="AB28" t="s">
        <v>11</v>
      </c>
      <c r="AC28">
        <v>0.17994199999999999</v>
      </c>
      <c r="AD28" t="s">
        <v>12</v>
      </c>
    </row>
    <row r="29" spans="4:30" x14ac:dyDescent="0.25">
      <c r="D29">
        <v>8</v>
      </c>
      <c r="E29">
        <v>4096</v>
      </c>
      <c r="F29">
        <v>0.32104300000000002</v>
      </c>
      <c r="G29">
        <v>0.37074600000000002</v>
      </c>
      <c r="H29" s="1">
        <f t="shared" si="0"/>
        <v>0.15481726746884372</v>
      </c>
      <c r="K29">
        <v>0.32467800000000002</v>
      </c>
      <c r="L29">
        <v>0.36824299999999999</v>
      </c>
      <c r="M29" s="1">
        <f t="shared" si="1"/>
        <v>0.13417909436426231</v>
      </c>
      <c r="P29">
        <v>0.42064600000000002</v>
      </c>
      <c r="Q29">
        <v>0.54665600000000003</v>
      </c>
      <c r="R29" s="1">
        <f t="shared" si="2"/>
        <v>0.2995630530184526</v>
      </c>
      <c r="S29" s="2">
        <f t="shared" si="3"/>
        <v>1.2955790044290034</v>
      </c>
      <c r="T29" s="2">
        <f t="shared" si="3"/>
        <v>1.4844980081087762</v>
      </c>
      <c r="U29" s="4"/>
      <c r="V29" s="4"/>
      <c r="W29" s="4" t="s">
        <v>7</v>
      </c>
      <c r="X29" s="4">
        <v>6.041666666666667</v>
      </c>
      <c r="Y29" t="s">
        <v>8</v>
      </c>
      <c r="Z29" t="s">
        <v>9</v>
      </c>
      <c r="AA29" t="s">
        <v>10</v>
      </c>
      <c r="AB29" t="s">
        <v>11</v>
      </c>
      <c r="AC29">
        <v>0.32104300000000002</v>
      </c>
      <c r="AD29" t="s">
        <v>12</v>
      </c>
    </row>
    <row r="30" spans="4:30" x14ac:dyDescent="0.25">
      <c r="D30">
        <v>16</v>
      </c>
      <c r="E30">
        <v>64</v>
      </c>
      <c r="F30">
        <v>8.0146999999999996E-2</v>
      </c>
      <c r="G30">
        <v>8.8659000000000002E-2</v>
      </c>
      <c r="H30" s="1">
        <f t="shared" si="0"/>
        <v>0.10620484859071463</v>
      </c>
      <c r="K30">
        <v>8.0383999999999997E-2</v>
      </c>
      <c r="L30">
        <v>8.8134000000000004E-2</v>
      </c>
      <c r="M30" s="1">
        <f t="shared" si="1"/>
        <v>9.6412221337579707E-2</v>
      </c>
      <c r="P30">
        <v>7.5853000000000004E-2</v>
      </c>
      <c r="Q30">
        <v>8.3890999999999993E-2</v>
      </c>
      <c r="R30" s="1">
        <f t="shared" si="2"/>
        <v>0.10596812255283231</v>
      </c>
      <c r="S30" s="2">
        <f t="shared" si="3"/>
        <v>0.94363306130573255</v>
      </c>
      <c r="T30" s="2">
        <f t="shared" si="3"/>
        <v>0.95185739896067345</v>
      </c>
      <c r="U30" s="4"/>
      <c r="V30" s="4"/>
      <c r="W30" s="4" t="s">
        <v>7</v>
      </c>
      <c r="X30" s="4">
        <v>6.25</v>
      </c>
      <c r="Y30" t="s">
        <v>8</v>
      </c>
      <c r="Z30" t="s">
        <v>9</v>
      </c>
      <c r="AA30" t="s">
        <v>10</v>
      </c>
      <c r="AB30" t="s">
        <v>11</v>
      </c>
      <c r="AC30">
        <v>8.0146999999999996E-2</v>
      </c>
      <c r="AD30" t="s">
        <v>12</v>
      </c>
    </row>
    <row r="31" spans="4:30" x14ac:dyDescent="0.25">
      <c r="D31">
        <v>16</v>
      </c>
      <c r="E31">
        <v>128</v>
      </c>
      <c r="F31">
        <v>7.9327999999999996E-2</v>
      </c>
      <c r="G31">
        <v>9.2422000000000004E-2</v>
      </c>
      <c r="H31" s="1">
        <f t="shared" si="0"/>
        <v>0.16506151674062133</v>
      </c>
      <c r="K31">
        <v>7.9519999999999993E-2</v>
      </c>
      <c r="L31">
        <v>8.9861999999999997E-2</v>
      </c>
      <c r="M31" s="1">
        <f t="shared" si="1"/>
        <v>0.13005533199195177</v>
      </c>
      <c r="P31">
        <v>7.3471999999999996E-2</v>
      </c>
      <c r="Q31">
        <v>9.6121999999999999E-2</v>
      </c>
      <c r="R31" s="1">
        <f t="shared" si="2"/>
        <v>0.30828070557491294</v>
      </c>
      <c r="S31" s="2">
        <f t="shared" si="3"/>
        <v>0.92394366197183098</v>
      </c>
      <c r="T31" s="2">
        <f t="shared" si="3"/>
        <v>1.0696623711913824</v>
      </c>
      <c r="U31" s="4"/>
      <c r="V31" s="4"/>
      <c r="W31" s="4" t="s">
        <v>7</v>
      </c>
      <c r="X31" s="4">
        <v>6.458333333333333</v>
      </c>
      <c r="Y31" t="s">
        <v>8</v>
      </c>
      <c r="Z31" t="s">
        <v>9</v>
      </c>
      <c r="AA31" t="s">
        <v>10</v>
      </c>
      <c r="AB31" t="s">
        <v>11</v>
      </c>
      <c r="AC31">
        <v>7.9327999999999996E-2</v>
      </c>
      <c r="AD31" t="s">
        <v>12</v>
      </c>
    </row>
    <row r="32" spans="4:30" x14ac:dyDescent="0.25">
      <c r="D32">
        <v>16</v>
      </c>
      <c r="E32">
        <v>256</v>
      </c>
      <c r="F32">
        <v>9.1193999999999997E-2</v>
      </c>
      <c r="G32">
        <v>0.11001</v>
      </c>
      <c r="H32" s="1">
        <f t="shared" si="0"/>
        <v>0.20632936377393249</v>
      </c>
      <c r="K32">
        <v>8.9798000000000003E-2</v>
      </c>
      <c r="L32">
        <v>0.109344</v>
      </c>
      <c r="M32" s="1">
        <f t="shared" si="1"/>
        <v>0.21766631773536152</v>
      </c>
      <c r="P32">
        <v>8.7456000000000006E-2</v>
      </c>
      <c r="Q32">
        <v>0.134797</v>
      </c>
      <c r="R32" s="1">
        <f t="shared" si="2"/>
        <v>0.54131220270764713</v>
      </c>
      <c r="S32" s="2">
        <f t="shared" si="3"/>
        <v>0.97391924096305049</v>
      </c>
      <c r="T32" s="2">
        <f t="shared" si="3"/>
        <v>1.2327791191103308</v>
      </c>
      <c r="U32" s="4"/>
      <c r="V32" s="4"/>
      <c r="W32" s="4" t="s">
        <v>7</v>
      </c>
      <c r="X32" s="4">
        <v>6.666666666666667</v>
      </c>
      <c r="Y32" t="s">
        <v>8</v>
      </c>
      <c r="Z32" t="s">
        <v>9</v>
      </c>
      <c r="AA32" t="s">
        <v>10</v>
      </c>
      <c r="AB32" t="s">
        <v>11</v>
      </c>
      <c r="AC32">
        <v>9.1193999999999997E-2</v>
      </c>
      <c r="AD32" t="s">
        <v>12</v>
      </c>
    </row>
    <row r="33" spans="4:30" x14ac:dyDescent="0.25">
      <c r="D33">
        <v>16</v>
      </c>
      <c r="E33">
        <v>512</v>
      </c>
      <c r="F33">
        <v>0.105709</v>
      </c>
      <c r="G33">
        <v>0.13514899999999999</v>
      </c>
      <c r="H33" s="1">
        <f t="shared" si="0"/>
        <v>0.27850041150706178</v>
      </c>
      <c r="K33">
        <v>0.106054</v>
      </c>
      <c r="L33">
        <v>0.1376</v>
      </c>
      <c r="M33" s="1">
        <f t="shared" si="1"/>
        <v>0.29745224131103026</v>
      </c>
      <c r="P33">
        <v>0.11820799999999999</v>
      </c>
      <c r="Q33">
        <v>0.19228799999999999</v>
      </c>
      <c r="R33" s="1">
        <f t="shared" si="2"/>
        <v>0.62669193286410396</v>
      </c>
      <c r="S33" s="2">
        <f t="shared" si="3"/>
        <v>1.1146019952099873</v>
      </c>
      <c r="T33" s="2">
        <f t="shared" si="3"/>
        <v>1.3974418604651162</v>
      </c>
      <c r="U33" s="4"/>
      <c r="V33" s="4"/>
      <c r="W33" s="4" t="s">
        <v>7</v>
      </c>
      <c r="X33" s="4">
        <v>6.875</v>
      </c>
      <c r="Y33" t="s">
        <v>8</v>
      </c>
      <c r="Z33" t="s">
        <v>9</v>
      </c>
      <c r="AA33" t="s">
        <v>10</v>
      </c>
      <c r="AB33" t="s">
        <v>11</v>
      </c>
      <c r="AC33">
        <v>0.105709</v>
      </c>
      <c r="AD33" t="s">
        <v>12</v>
      </c>
    </row>
    <row r="34" spans="4:30" x14ac:dyDescent="0.25">
      <c r="D34">
        <v>16</v>
      </c>
      <c r="E34">
        <v>1024</v>
      </c>
      <c r="F34">
        <v>0.140435</v>
      </c>
      <c r="G34">
        <v>0.19874600000000001</v>
      </c>
      <c r="H34" s="1">
        <f t="shared" si="0"/>
        <v>0.41521700430804287</v>
      </c>
      <c r="K34">
        <v>0.140704</v>
      </c>
      <c r="L34">
        <v>0.20062099999999999</v>
      </c>
      <c r="M34" s="1">
        <f t="shared" si="1"/>
        <v>0.4258372185581078</v>
      </c>
      <c r="P34">
        <v>0.175674</v>
      </c>
      <c r="Q34">
        <v>0.30005799999999999</v>
      </c>
      <c r="R34" s="1">
        <f t="shared" si="2"/>
        <v>0.7080387536004189</v>
      </c>
      <c r="S34" s="2">
        <f t="shared" si="3"/>
        <v>1.2485359335910848</v>
      </c>
      <c r="T34" s="2">
        <f t="shared" si="3"/>
        <v>1.4956460191106613</v>
      </c>
      <c r="U34" s="4"/>
      <c r="V34" s="4"/>
      <c r="W34" s="4" t="s">
        <v>7</v>
      </c>
      <c r="X34" s="4">
        <v>7.083333333333333</v>
      </c>
      <c r="Y34" t="s">
        <v>8</v>
      </c>
      <c r="Z34" t="s">
        <v>9</v>
      </c>
      <c r="AA34" t="s">
        <v>10</v>
      </c>
      <c r="AB34" t="s">
        <v>11</v>
      </c>
      <c r="AC34">
        <v>0.140435</v>
      </c>
      <c r="AD34" t="s">
        <v>12</v>
      </c>
    </row>
    <row r="35" spans="4:30" x14ac:dyDescent="0.25">
      <c r="D35">
        <v>16</v>
      </c>
      <c r="E35">
        <v>2048</v>
      </c>
      <c r="F35">
        <v>0.20250899999999999</v>
      </c>
      <c r="G35">
        <v>0.30825000000000002</v>
      </c>
      <c r="H35" s="1">
        <f t="shared" si="0"/>
        <v>0.5221545709079598</v>
      </c>
      <c r="K35">
        <v>0.202406</v>
      </c>
      <c r="L35">
        <v>0.30889</v>
      </c>
      <c r="M35" s="1">
        <f t="shared" si="1"/>
        <v>0.5260911237809156</v>
      </c>
      <c r="P35">
        <v>0.27478399999999997</v>
      </c>
      <c r="Q35">
        <v>0.56136299999999995</v>
      </c>
      <c r="R35" s="1">
        <f t="shared" si="2"/>
        <v>1.0429246244322814</v>
      </c>
      <c r="S35" s="2">
        <f t="shared" si="3"/>
        <v>1.3575882137881286</v>
      </c>
      <c r="T35" s="2">
        <f t="shared" si="3"/>
        <v>1.8173556929651331</v>
      </c>
      <c r="U35" s="4"/>
      <c r="V35" s="4"/>
      <c r="W35" s="4" t="s">
        <v>7</v>
      </c>
      <c r="X35" s="4">
        <v>7.291666666666667</v>
      </c>
      <c r="Y35" t="s">
        <v>8</v>
      </c>
      <c r="Z35" t="s">
        <v>9</v>
      </c>
      <c r="AA35" t="s">
        <v>10</v>
      </c>
      <c r="AB35" t="s">
        <v>11</v>
      </c>
      <c r="AC35">
        <v>0.20250899999999999</v>
      </c>
      <c r="AD35" t="s">
        <v>12</v>
      </c>
    </row>
    <row r="36" spans="4:30" x14ac:dyDescent="0.25">
      <c r="D36">
        <v>16</v>
      </c>
      <c r="E36">
        <v>4096</v>
      </c>
      <c r="F36">
        <v>0.38130599999999998</v>
      </c>
      <c r="G36">
        <v>0.51208299999999995</v>
      </c>
      <c r="H36" s="1">
        <f t="shared" si="0"/>
        <v>0.34297126192611704</v>
      </c>
      <c r="K36">
        <v>0.360045</v>
      </c>
      <c r="L36">
        <v>0.51302999999999999</v>
      </c>
      <c r="M36" s="1">
        <f t="shared" si="1"/>
        <v>0.42490522018081067</v>
      </c>
      <c r="P36">
        <v>0.46739799999999998</v>
      </c>
      <c r="Q36">
        <v>1.0631999999999999</v>
      </c>
      <c r="R36" s="1">
        <f t="shared" si="2"/>
        <v>1.2747209016726644</v>
      </c>
      <c r="S36" s="2">
        <f t="shared" si="3"/>
        <v>1.2981655070893916</v>
      </c>
      <c r="T36" s="2">
        <f t="shared" si="3"/>
        <v>2.072393427284954</v>
      </c>
      <c r="U36" s="4"/>
      <c r="V36" s="4"/>
      <c r="W36" s="4" t="s">
        <v>7</v>
      </c>
      <c r="X36" s="4">
        <v>7.5</v>
      </c>
      <c r="Y36" t="s">
        <v>8</v>
      </c>
      <c r="Z36" t="s">
        <v>9</v>
      </c>
      <c r="AA36" t="s">
        <v>10</v>
      </c>
      <c r="AB36" t="s">
        <v>11</v>
      </c>
      <c r="AC36">
        <v>0.38130599999999998</v>
      </c>
      <c r="AD36" t="s">
        <v>12</v>
      </c>
    </row>
    <row r="37" spans="4:30" x14ac:dyDescent="0.25">
      <c r="D37">
        <v>32</v>
      </c>
      <c r="E37">
        <v>64</v>
      </c>
      <c r="F37">
        <v>0.107027</v>
      </c>
      <c r="G37">
        <v>9.7023999999999999E-2</v>
      </c>
      <c r="H37" s="1">
        <f t="shared" si="0"/>
        <v>-9.3462397338989214E-2</v>
      </c>
      <c r="K37">
        <v>0.10104299999999999</v>
      </c>
      <c r="L37">
        <v>9.6851000000000007E-2</v>
      </c>
      <c r="M37" s="1">
        <f t="shared" si="1"/>
        <v>-4.1487287590431673E-2</v>
      </c>
      <c r="P37">
        <v>8.5727999999999999E-2</v>
      </c>
      <c r="Q37">
        <v>9.8713999999999996E-2</v>
      </c>
      <c r="R37" s="1">
        <f t="shared" si="2"/>
        <v>0.15147909667786486</v>
      </c>
      <c r="S37" s="2">
        <f t="shared" si="3"/>
        <v>0.84843086606692208</v>
      </c>
      <c r="T37" s="2">
        <f t="shared" si="3"/>
        <v>1.0192357332397186</v>
      </c>
      <c r="U37" s="4"/>
      <c r="V37" s="4"/>
      <c r="W37" s="4" t="s">
        <v>7</v>
      </c>
      <c r="X37" s="4">
        <v>7.708333333333333</v>
      </c>
      <c r="Y37" t="s">
        <v>8</v>
      </c>
      <c r="Z37" t="s">
        <v>9</v>
      </c>
      <c r="AA37" t="s">
        <v>10</v>
      </c>
      <c r="AB37" t="s">
        <v>11</v>
      </c>
      <c r="AC37">
        <v>0.107027</v>
      </c>
      <c r="AD37" t="s">
        <v>12</v>
      </c>
    </row>
    <row r="38" spans="4:30" x14ac:dyDescent="0.25">
      <c r="D38">
        <v>32</v>
      </c>
      <c r="E38">
        <v>128</v>
      </c>
      <c r="F38">
        <v>0.10434599999999999</v>
      </c>
      <c r="G38">
        <v>9.8182000000000005E-2</v>
      </c>
      <c r="H38" s="1">
        <f t="shared" si="0"/>
        <v>-5.9072700438924243E-2</v>
      </c>
      <c r="K38">
        <v>0.103923</v>
      </c>
      <c r="L38">
        <v>9.8604999999999998E-2</v>
      </c>
      <c r="M38" s="1">
        <f t="shared" si="1"/>
        <v>-5.1172502718358819E-2</v>
      </c>
      <c r="P38">
        <v>9.2498999999999998E-2</v>
      </c>
      <c r="Q38">
        <v>0.11744599999999999</v>
      </c>
      <c r="R38" s="1">
        <f t="shared" si="2"/>
        <v>0.26970021297527536</v>
      </c>
      <c r="S38" s="2">
        <f t="shared" si="3"/>
        <v>0.89007245749256658</v>
      </c>
      <c r="T38" s="2">
        <f t="shared" si="3"/>
        <v>1.1910755032706253</v>
      </c>
      <c r="U38" s="4"/>
      <c r="V38" s="4"/>
      <c r="W38" s="4" t="s">
        <v>7</v>
      </c>
      <c r="X38" s="4">
        <v>7.916666666666667</v>
      </c>
      <c r="Y38" t="s">
        <v>8</v>
      </c>
      <c r="Z38" t="s">
        <v>9</v>
      </c>
      <c r="AA38" t="s">
        <v>10</v>
      </c>
      <c r="AB38" t="s">
        <v>11</v>
      </c>
      <c r="AC38">
        <v>0.10434599999999999</v>
      </c>
      <c r="AD38" t="s">
        <v>12</v>
      </c>
    </row>
    <row r="39" spans="4:30" x14ac:dyDescent="0.25">
      <c r="D39">
        <v>32</v>
      </c>
      <c r="E39">
        <v>256</v>
      </c>
      <c r="F39">
        <v>0.115853</v>
      </c>
      <c r="G39">
        <v>0.10617600000000001</v>
      </c>
      <c r="H39" s="1">
        <f t="shared" si="0"/>
        <v>-8.3528264265923122E-2</v>
      </c>
      <c r="K39">
        <v>0.11673600000000001</v>
      </c>
      <c r="L39">
        <v>0.10585600000000001</v>
      </c>
      <c r="M39" s="1">
        <f t="shared" si="1"/>
        <v>-9.3201754385964911E-2</v>
      </c>
      <c r="P39">
        <v>0.109222</v>
      </c>
      <c r="Q39">
        <v>0.13265299999999999</v>
      </c>
      <c r="R39" s="1">
        <f t="shared" si="2"/>
        <v>0.21452637746974046</v>
      </c>
      <c r="S39" s="2">
        <f t="shared" si="3"/>
        <v>0.93563253837719296</v>
      </c>
      <c r="T39" s="2">
        <f t="shared" si="3"/>
        <v>1.2531457829504231</v>
      </c>
      <c r="U39" s="4"/>
      <c r="V39" s="4"/>
      <c r="W39" s="4" t="s">
        <v>7</v>
      </c>
      <c r="X39" s="4">
        <v>8.125</v>
      </c>
      <c r="Y39" t="s">
        <v>8</v>
      </c>
      <c r="Z39" t="s">
        <v>9</v>
      </c>
      <c r="AA39" t="s">
        <v>10</v>
      </c>
      <c r="AB39" t="s">
        <v>11</v>
      </c>
      <c r="AC39">
        <v>0.115853</v>
      </c>
      <c r="AD39" t="s">
        <v>12</v>
      </c>
    </row>
    <row r="40" spans="4:30" x14ac:dyDescent="0.25">
      <c r="D40">
        <v>32</v>
      </c>
      <c r="E40">
        <v>512</v>
      </c>
      <c r="F40">
        <v>0.13992299999999999</v>
      </c>
      <c r="G40">
        <v>0.15225</v>
      </c>
      <c r="H40" s="1">
        <f t="shared" si="0"/>
        <v>8.8098454149782415E-2</v>
      </c>
      <c r="K40">
        <v>0.139155</v>
      </c>
      <c r="L40">
        <v>0.152166</v>
      </c>
      <c r="M40" s="1">
        <f t="shared" si="1"/>
        <v>9.3500053896733826E-2</v>
      </c>
      <c r="P40">
        <v>0.15507199999999999</v>
      </c>
      <c r="Q40">
        <v>0.23189799999999999</v>
      </c>
      <c r="R40" s="1">
        <f t="shared" si="2"/>
        <v>0.49542148163433769</v>
      </c>
      <c r="S40" s="2">
        <f t="shared" si="3"/>
        <v>1.1143832417088857</v>
      </c>
      <c r="T40" s="2">
        <f t="shared" si="3"/>
        <v>1.5239803898374145</v>
      </c>
      <c r="U40" s="4"/>
      <c r="V40" s="4"/>
      <c r="W40" s="4" t="s">
        <v>7</v>
      </c>
      <c r="X40" s="4">
        <v>8.3333333333333339</v>
      </c>
      <c r="Y40" t="s">
        <v>8</v>
      </c>
      <c r="Z40" t="s">
        <v>9</v>
      </c>
      <c r="AA40" t="s">
        <v>10</v>
      </c>
      <c r="AB40" t="s">
        <v>11</v>
      </c>
      <c r="AC40">
        <v>0.13992299999999999</v>
      </c>
      <c r="AD40" t="s">
        <v>12</v>
      </c>
    </row>
    <row r="41" spans="4:30" x14ac:dyDescent="0.25">
      <c r="D41">
        <v>32</v>
      </c>
      <c r="E41">
        <v>1024</v>
      </c>
      <c r="F41">
        <v>0.210368</v>
      </c>
      <c r="G41">
        <v>0.21318999999999999</v>
      </c>
      <c r="H41" s="1">
        <f t="shared" si="0"/>
        <v>1.3414587770003001E-2</v>
      </c>
      <c r="K41">
        <v>0.214592</v>
      </c>
      <c r="L41">
        <v>0.21424599999999999</v>
      </c>
      <c r="M41" s="1">
        <f t="shared" si="1"/>
        <v>-1.612362063823502E-3</v>
      </c>
      <c r="P41">
        <v>0.25431700000000002</v>
      </c>
      <c r="Q41">
        <v>0.373587</v>
      </c>
      <c r="R41" s="1">
        <f t="shared" si="2"/>
        <v>0.46898162529441595</v>
      </c>
      <c r="S41" s="2">
        <f t="shared" si="3"/>
        <v>1.1851187369519833</v>
      </c>
      <c r="T41" s="2">
        <f t="shared" si="3"/>
        <v>1.743729171139718</v>
      </c>
      <c r="U41" s="4"/>
      <c r="V41" s="4"/>
      <c r="W41" s="4" t="s">
        <v>7</v>
      </c>
      <c r="X41" s="4">
        <v>8.5416666666666661</v>
      </c>
      <c r="Y41" t="s">
        <v>8</v>
      </c>
      <c r="Z41" t="s">
        <v>9</v>
      </c>
      <c r="AA41" t="s">
        <v>10</v>
      </c>
      <c r="AB41" t="s">
        <v>11</v>
      </c>
      <c r="AC41">
        <v>0.210368</v>
      </c>
      <c r="AD41" t="s">
        <v>12</v>
      </c>
    </row>
    <row r="42" spans="4:30" x14ac:dyDescent="0.25">
      <c r="D42">
        <v>32</v>
      </c>
      <c r="E42">
        <v>2048</v>
      </c>
      <c r="F42">
        <v>0.38711699999999999</v>
      </c>
      <c r="G42">
        <v>0.333818</v>
      </c>
      <c r="H42" s="1">
        <f t="shared" si="0"/>
        <v>-0.1376818894546093</v>
      </c>
      <c r="K42">
        <v>0.403443</v>
      </c>
      <c r="L42">
        <v>0.33286399999999999</v>
      </c>
      <c r="M42" s="1">
        <f t="shared" si="1"/>
        <v>-0.17494168940841706</v>
      </c>
      <c r="P42">
        <v>0.432531</v>
      </c>
      <c r="Q42">
        <v>0.66486999999999996</v>
      </c>
      <c r="R42" s="1">
        <f t="shared" si="2"/>
        <v>0.53716149825099235</v>
      </c>
      <c r="S42" s="2">
        <f t="shared" si="3"/>
        <v>1.0720994043768264</v>
      </c>
      <c r="T42" s="2">
        <f t="shared" si="3"/>
        <v>1.9974223706979426</v>
      </c>
      <c r="U42" s="4"/>
      <c r="V42" s="4"/>
      <c r="W42" s="4" t="s">
        <v>7</v>
      </c>
      <c r="X42" s="4">
        <v>8.75</v>
      </c>
      <c r="Y42" t="s">
        <v>8</v>
      </c>
      <c r="Z42" t="s">
        <v>9</v>
      </c>
      <c r="AA42" t="s">
        <v>10</v>
      </c>
      <c r="AB42" t="s">
        <v>11</v>
      </c>
      <c r="AC42">
        <v>0.38711699999999999</v>
      </c>
      <c r="AD42" t="s">
        <v>12</v>
      </c>
    </row>
    <row r="43" spans="4:30" x14ac:dyDescent="0.25">
      <c r="D43">
        <v>32</v>
      </c>
      <c r="E43">
        <v>4096</v>
      </c>
      <c r="F43">
        <v>0.70401899999999995</v>
      </c>
      <c r="G43">
        <v>0.60028800000000004</v>
      </c>
      <c r="H43" s="1">
        <f t="shared" si="0"/>
        <v>-0.14734119391664133</v>
      </c>
      <c r="K43">
        <v>0.70268200000000003</v>
      </c>
      <c r="L43">
        <v>0.59946900000000003</v>
      </c>
      <c r="M43" s="1">
        <f t="shared" si="1"/>
        <v>-0.14688436590093384</v>
      </c>
      <c r="P43">
        <v>0.90928600000000004</v>
      </c>
      <c r="Q43">
        <v>1.3645510000000001</v>
      </c>
      <c r="R43" s="1">
        <f t="shared" si="2"/>
        <v>0.50068405320218279</v>
      </c>
      <c r="S43" s="2">
        <f t="shared" si="3"/>
        <v>1.2940220469572297</v>
      </c>
      <c r="T43" s="2">
        <f t="shared" si="3"/>
        <v>2.2762661622202316</v>
      </c>
      <c r="U43" s="4"/>
      <c r="V43" s="4"/>
      <c r="W43" s="4" t="s">
        <v>7</v>
      </c>
      <c r="X43" s="4">
        <v>8.9583333333333339</v>
      </c>
      <c r="Y43" t="s">
        <v>8</v>
      </c>
      <c r="Z43" t="s">
        <v>9</v>
      </c>
      <c r="AA43" t="s">
        <v>10</v>
      </c>
      <c r="AB43" t="s">
        <v>11</v>
      </c>
      <c r="AC43">
        <v>0.70401899999999995</v>
      </c>
      <c r="AD43" t="s">
        <v>12</v>
      </c>
    </row>
    <row r="44" spans="4:30" x14ac:dyDescent="0.25">
      <c r="D44">
        <v>64</v>
      </c>
      <c r="E44">
        <v>64</v>
      </c>
      <c r="F44">
        <v>0.15056</v>
      </c>
      <c r="G44">
        <v>0.12331499999999999</v>
      </c>
      <c r="H44" s="1">
        <f t="shared" si="0"/>
        <v>-0.18095775770456965</v>
      </c>
      <c r="K44">
        <v>0.150445</v>
      </c>
      <c r="L44">
        <v>0.12302100000000001</v>
      </c>
      <c r="M44" s="1">
        <f t="shared" si="1"/>
        <v>-0.18228588520721853</v>
      </c>
      <c r="P44">
        <v>0.12035800000000001</v>
      </c>
      <c r="Q44">
        <v>0.12153600000000001</v>
      </c>
      <c r="R44" s="1">
        <f t="shared" si="2"/>
        <v>9.7874673889562676E-3</v>
      </c>
      <c r="S44" s="2">
        <f t="shared" si="3"/>
        <v>0.80001329389477893</v>
      </c>
      <c r="T44" s="2">
        <f t="shared" si="3"/>
        <v>0.98792889018947982</v>
      </c>
      <c r="U44" s="4"/>
      <c r="V44" s="4"/>
      <c r="W44" s="4" t="s">
        <v>7</v>
      </c>
      <c r="X44" s="4">
        <v>9.1666666666666661</v>
      </c>
      <c r="Y44" t="s">
        <v>8</v>
      </c>
      <c r="Z44" t="s">
        <v>9</v>
      </c>
      <c r="AA44" t="s">
        <v>10</v>
      </c>
      <c r="AB44" t="s">
        <v>11</v>
      </c>
      <c r="AC44">
        <v>0.15056</v>
      </c>
      <c r="AD44" t="s">
        <v>12</v>
      </c>
    </row>
    <row r="45" spans="4:30" x14ac:dyDescent="0.25">
      <c r="D45">
        <v>64</v>
      </c>
      <c r="E45">
        <v>128</v>
      </c>
      <c r="F45">
        <v>0.15013099999999999</v>
      </c>
      <c r="G45">
        <v>0.123712</v>
      </c>
      <c r="H45" s="1">
        <f t="shared" si="0"/>
        <v>-0.17597298359432753</v>
      </c>
      <c r="K45">
        <v>0.150086</v>
      </c>
      <c r="L45">
        <v>0.1232</v>
      </c>
      <c r="M45" s="1">
        <f t="shared" si="1"/>
        <v>-0.17913729461775244</v>
      </c>
      <c r="P45">
        <v>0.12259200000000001</v>
      </c>
      <c r="Q45">
        <v>0.26033299999999998</v>
      </c>
      <c r="R45" s="1">
        <f t="shared" si="2"/>
        <v>1.123572500652571</v>
      </c>
      <c r="S45" s="2">
        <f t="shared" si="3"/>
        <v>0.81681169462841308</v>
      </c>
      <c r="T45" s="2">
        <f t="shared" si="3"/>
        <v>2.1130925324675323</v>
      </c>
      <c r="U45" s="4"/>
      <c r="V45" s="4"/>
      <c r="W45" s="4" t="s">
        <v>7</v>
      </c>
      <c r="X45" s="4">
        <v>9.375</v>
      </c>
      <c r="Y45" t="s">
        <v>8</v>
      </c>
      <c r="Z45" t="s">
        <v>9</v>
      </c>
      <c r="AA45" t="s">
        <v>10</v>
      </c>
      <c r="AB45" t="s">
        <v>11</v>
      </c>
      <c r="AC45">
        <v>0.15013099999999999</v>
      </c>
      <c r="AD45" t="s">
        <v>12</v>
      </c>
    </row>
    <row r="46" spans="4:30" x14ac:dyDescent="0.25">
      <c r="D46">
        <v>64</v>
      </c>
      <c r="E46">
        <v>256</v>
      </c>
      <c r="F46">
        <v>0.16727</v>
      </c>
      <c r="G46">
        <v>0.16256000000000001</v>
      </c>
      <c r="H46" s="1">
        <f t="shared" si="0"/>
        <v>-2.8158067794583561E-2</v>
      </c>
      <c r="K46">
        <v>0.167494</v>
      </c>
      <c r="L46">
        <v>0.16125400000000001</v>
      </c>
      <c r="M46" s="1">
        <f t="shared" si="1"/>
        <v>-3.725506585310516E-2</v>
      </c>
      <c r="P46">
        <v>0.17358699999999999</v>
      </c>
      <c r="Q46">
        <v>0.241312</v>
      </c>
      <c r="R46" s="1">
        <f t="shared" si="2"/>
        <v>0.39015018405756197</v>
      </c>
      <c r="S46" s="2">
        <f t="shared" si="3"/>
        <v>1.0363774224748348</v>
      </c>
      <c r="T46" s="2">
        <f t="shared" si="3"/>
        <v>1.4964714053604871</v>
      </c>
      <c r="U46" s="4"/>
      <c r="V46" s="4"/>
      <c r="W46" s="4" t="s">
        <v>7</v>
      </c>
      <c r="X46" s="4">
        <v>9.5833333333333339</v>
      </c>
      <c r="Y46" t="s">
        <v>8</v>
      </c>
      <c r="Z46" t="s">
        <v>9</v>
      </c>
      <c r="AA46" t="s">
        <v>10</v>
      </c>
      <c r="AB46" t="s">
        <v>11</v>
      </c>
      <c r="AC46">
        <v>0.16727</v>
      </c>
      <c r="AD46" t="s">
        <v>12</v>
      </c>
    </row>
    <row r="47" spans="4:30" x14ac:dyDescent="0.25">
      <c r="D47">
        <v>64</v>
      </c>
      <c r="E47">
        <v>512</v>
      </c>
      <c r="F47">
        <v>0.22909399999999999</v>
      </c>
      <c r="G47">
        <v>0.223194</v>
      </c>
      <c r="H47" s="1">
        <f t="shared" si="0"/>
        <v>-2.5753620784481429E-2</v>
      </c>
      <c r="K47">
        <v>0.22599</v>
      </c>
      <c r="L47">
        <v>0.22351399999999999</v>
      </c>
      <c r="M47" s="1">
        <f t="shared" si="1"/>
        <v>-1.0956237001637267E-2</v>
      </c>
      <c r="P47">
        <v>0.25369000000000003</v>
      </c>
      <c r="Q47">
        <v>0.38351400000000002</v>
      </c>
      <c r="R47" s="1">
        <f t="shared" si="2"/>
        <v>0.51174267807166218</v>
      </c>
      <c r="S47" s="2">
        <f t="shared" si="3"/>
        <v>1.1225717952121776</v>
      </c>
      <c r="T47" s="2">
        <f t="shared" si="3"/>
        <v>1.715838828887676</v>
      </c>
      <c r="U47" s="4"/>
      <c r="V47" s="4"/>
      <c r="W47" s="4" t="s">
        <v>7</v>
      </c>
      <c r="X47" s="4">
        <v>9.7916666666666661</v>
      </c>
      <c r="Y47" t="s">
        <v>8</v>
      </c>
      <c r="Z47" t="s">
        <v>9</v>
      </c>
      <c r="AA47" t="s">
        <v>10</v>
      </c>
      <c r="AB47" t="s">
        <v>11</v>
      </c>
      <c r="AC47">
        <v>0.22909399999999999</v>
      </c>
      <c r="AD47" t="s">
        <v>12</v>
      </c>
    </row>
    <row r="48" spans="4:30" x14ac:dyDescent="0.25">
      <c r="D48">
        <v>64</v>
      </c>
      <c r="E48">
        <v>1024</v>
      </c>
      <c r="F48">
        <v>0.383878</v>
      </c>
      <c r="G48">
        <v>0.32751999999999998</v>
      </c>
      <c r="H48" s="1">
        <f t="shared" si="0"/>
        <v>-0.14681226848113207</v>
      </c>
      <c r="K48">
        <v>0.387961</v>
      </c>
      <c r="L48">
        <v>0.32611200000000001</v>
      </c>
      <c r="M48" s="1">
        <f t="shared" si="1"/>
        <v>-0.15942066341719913</v>
      </c>
      <c r="P48">
        <v>0.459123</v>
      </c>
      <c r="Q48">
        <v>0.61337600000000003</v>
      </c>
      <c r="R48" s="1">
        <f t="shared" si="2"/>
        <v>0.33597314880761808</v>
      </c>
      <c r="S48" s="2">
        <f t="shared" si="3"/>
        <v>1.1834256536095122</v>
      </c>
      <c r="T48" s="2">
        <f t="shared" si="3"/>
        <v>1.8808752821116672</v>
      </c>
      <c r="U48" s="4"/>
      <c r="V48" s="4"/>
      <c r="W48" s="4" t="s">
        <v>7</v>
      </c>
      <c r="X48" s="4">
        <v>10</v>
      </c>
      <c r="Y48" t="s">
        <v>8</v>
      </c>
      <c r="Z48" t="s">
        <v>9</v>
      </c>
      <c r="AA48" t="s">
        <v>10</v>
      </c>
      <c r="AB48" t="s">
        <v>11</v>
      </c>
      <c r="AC48">
        <v>0.383878</v>
      </c>
      <c r="AD48" t="s">
        <v>12</v>
      </c>
    </row>
    <row r="49" spans="4:30" x14ac:dyDescent="0.25">
      <c r="D49">
        <v>64</v>
      </c>
      <c r="E49">
        <v>2048</v>
      </c>
      <c r="F49">
        <v>0.70262400000000003</v>
      </c>
      <c r="G49">
        <v>0.564307</v>
      </c>
      <c r="H49" s="1">
        <f t="shared" si="0"/>
        <v>-0.19685777884046093</v>
      </c>
      <c r="K49">
        <v>0.70294999999999996</v>
      </c>
      <c r="L49">
        <v>0.56419200000000003</v>
      </c>
      <c r="M49" s="1">
        <f t="shared" si="1"/>
        <v>-0.19739384024468304</v>
      </c>
      <c r="P49">
        <v>0.90387799999999996</v>
      </c>
      <c r="Q49">
        <v>1.2299070000000001</v>
      </c>
      <c r="R49" s="1">
        <f t="shared" si="2"/>
        <v>0.36070022724305728</v>
      </c>
      <c r="S49" s="2">
        <f t="shared" si="3"/>
        <v>1.28583540792375</v>
      </c>
      <c r="T49" s="2">
        <f t="shared" si="3"/>
        <v>2.1799440615960526</v>
      </c>
      <c r="U49" s="4"/>
      <c r="V49" s="4"/>
      <c r="W49" s="4" t="s">
        <v>7</v>
      </c>
      <c r="X49" s="4">
        <v>10.208333333333334</v>
      </c>
      <c r="Y49" t="s">
        <v>8</v>
      </c>
      <c r="Z49" t="s">
        <v>9</v>
      </c>
      <c r="AA49" t="s">
        <v>10</v>
      </c>
      <c r="AB49" t="s">
        <v>11</v>
      </c>
      <c r="AC49">
        <v>0.70262400000000003</v>
      </c>
      <c r="AD49" t="s">
        <v>12</v>
      </c>
    </row>
    <row r="50" spans="4:30" x14ac:dyDescent="0.25">
      <c r="D50">
        <v>64</v>
      </c>
      <c r="E50">
        <v>4096</v>
      </c>
      <c r="F50">
        <v>1.3339650000000001</v>
      </c>
      <c r="G50">
        <v>1.088595</v>
      </c>
      <c r="H50" s="1">
        <f t="shared" si="0"/>
        <v>-0.18394035825527663</v>
      </c>
      <c r="K50">
        <v>1.3315330000000001</v>
      </c>
      <c r="L50">
        <v>1.0869629999999999</v>
      </c>
      <c r="M50" s="1">
        <f t="shared" si="1"/>
        <v>-0.18367550785448064</v>
      </c>
      <c r="P50">
        <v>1.79863</v>
      </c>
      <c r="Q50">
        <v>2.7697020000000001</v>
      </c>
      <c r="R50" s="1">
        <f t="shared" si="2"/>
        <v>0.53989536480543532</v>
      </c>
      <c r="S50" s="2">
        <f t="shared" si="3"/>
        <v>1.3507964128564593</v>
      </c>
      <c r="T50" s="2">
        <f t="shared" si="3"/>
        <v>2.5481106532605069</v>
      </c>
      <c r="U50" s="4"/>
      <c r="V50" s="4"/>
      <c r="W50" s="4" t="s">
        <v>7</v>
      </c>
      <c r="X50" s="4">
        <v>10.416666666666666</v>
      </c>
      <c r="Y50" t="s">
        <v>8</v>
      </c>
      <c r="Z50" t="s">
        <v>9</v>
      </c>
      <c r="AA50" t="s">
        <v>10</v>
      </c>
      <c r="AB50" t="s">
        <v>11</v>
      </c>
      <c r="AC50">
        <v>1.3339650000000001</v>
      </c>
      <c r="AD50" t="s">
        <v>12</v>
      </c>
    </row>
    <row r="51" spans="4:30" x14ac:dyDescent="0.25">
      <c r="D51">
        <v>128</v>
      </c>
      <c r="E51">
        <v>64</v>
      </c>
      <c r="F51">
        <v>0.24762899999999999</v>
      </c>
      <c r="G51">
        <v>0.19859199999999999</v>
      </c>
      <c r="H51" s="1">
        <f t="shared" si="0"/>
        <v>-0.19802607933642666</v>
      </c>
      <c r="K51">
        <v>0.24574099999999999</v>
      </c>
      <c r="L51">
        <v>0.19553899999999999</v>
      </c>
      <c r="M51" s="1">
        <f t="shared" si="1"/>
        <v>-0.20428825470719172</v>
      </c>
      <c r="P51">
        <v>0.19370899999999999</v>
      </c>
      <c r="Q51">
        <v>0.201459</v>
      </c>
      <c r="R51" s="1">
        <f t="shared" si="2"/>
        <v>4.0008466307709024E-2</v>
      </c>
      <c r="S51" s="2">
        <f t="shared" si="3"/>
        <v>0.78826488050427079</v>
      </c>
      <c r="T51" s="2">
        <f t="shared" si="3"/>
        <v>1.0302752903512855</v>
      </c>
      <c r="U51" s="4"/>
      <c r="V51" s="4"/>
      <c r="W51" s="4" t="s">
        <v>7</v>
      </c>
      <c r="X51" s="4">
        <v>10.625</v>
      </c>
      <c r="Y51" t="s">
        <v>8</v>
      </c>
      <c r="Z51" t="s">
        <v>9</v>
      </c>
      <c r="AA51" t="s">
        <v>10</v>
      </c>
      <c r="AB51" t="s">
        <v>11</v>
      </c>
      <c r="AC51">
        <v>0.24762899999999999</v>
      </c>
      <c r="AD51" t="s">
        <v>12</v>
      </c>
    </row>
    <row r="52" spans="4:30" x14ac:dyDescent="0.25">
      <c r="D52">
        <v>128</v>
      </c>
      <c r="E52">
        <v>128</v>
      </c>
      <c r="F52">
        <v>0.248198</v>
      </c>
      <c r="G52">
        <v>0.19900799999999999</v>
      </c>
      <c r="H52" s="1">
        <f t="shared" si="0"/>
        <v>-0.19818854301807431</v>
      </c>
      <c r="K52">
        <v>0.247475</v>
      </c>
      <c r="L52">
        <v>0.19963500000000001</v>
      </c>
      <c r="M52" s="1">
        <f t="shared" si="1"/>
        <v>-0.1933124558036165</v>
      </c>
      <c r="P52">
        <v>0.194131</v>
      </c>
      <c r="Q52">
        <v>0.24027499999999999</v>
      </c>
      <c r="R52" s="1">
        <f t="shared" si="2"/>
        <v>0.23769516460534376</v>
      </c>
      <c r="S52" s="2">
        <f t="shared" si="3"/>
        <v>0.78444691382967979</v>
      </c>
      <c r="T52" s="2">
        <f t="shared" si="3"/>
        <v>1.2035715180203872</v>
      </c>
      <c r="U52" s="4"/>
      <c r="V52" s="4"/>
      <c r="W52" s="4" t="s">
        <v>7</v>
      </c>
      <c r="X52" s="4">
        <v>10.833333333333334</v>
      </c>
      <c r="Y52" t="s">
        <v>8</v>
      </c>
      <c r="Z52" t="s">
        <v>9</v>
      </c>
      <c r="AA52" t="s">
        <v>10</v>
      </c>
      <c r="AB52" t="s">
        <v>11</v>
      </c>
      <c r="AC52">
        <v>0.248198</v>
      </c>
      <c r="AD52" t="s">
        <v>12</v>
      </c>
    </row>
    <row r="53" spans="4:30" x14ac:dyDescent="0.25">
      <c r="D53">
        <v>128</v>
      </c>
      <c r="E53">
        <v>256</v>
      </c>
      <c r="F53">
        <v>0.32110100000000003</v>
      </c>
      <c r="G53">
        <v>0.25095699999999999</v>
      </c>
      <c r="H53" s="1">
        <f t="shared" si="0"/>
        <v>-0.21844840097041129</v>
      </c>
      <c r="K53">
        <v>0.27033600000000002</v>
      </c>
      <c r="L53">
        <v>0.25278099999999998</v>
      </c>
      <c r="M53" s="1">
        <f t="shared" si="1"/>
        <v>-6.4937707149621368E-2</v>
      </c>
      <c r="P53">
        <v>0.28394200000000003</v>
      </c>
      <c r="Q53">
        <v>0.39720299999999997</v>
      </c>
      <c r="R53" s="1">
        <f t="shared" si="2"/>
        <v>0.39888780102978755</v>
      </c>
      <c r="S53" s="2">
        <f t="shared" si="3"/>
        <v>1.0503299597537878</v>
      </c>
      <c r="T53" s="2">
        <f t="shared" si="3"/>
        <v>1.5713324973000344</v>
      </c>
      <c r="U53" s="4"/>
      <c r="V53" s="4"/>
      <c r="W53" s="4" t="s">
        <v>7</v>
      </c>
      <c r="X53" s="4">
        <v>11.041666666666666</v>
      </c>
      <c r="Y53" t="s">
        <v>8</v>
      </c>
      <c r="Z53" t="s">
        <v>9</v>
      </c>
      <c r="AA53" t="s">
        <v>10</v>
      </c>
      <c r="AB53" t="s">
        <v>11</v>
      </c>
      <c r="AC53">
        <v>0.32110100000000003</v>
      </c>
      <c r="AD53" t="s">
        <v>12</v>
      </c>
    </row>
    <row r="54" spans="4:30" x14ac:dyDescent="0.25">
      <c r="D54">
        <v>128</v>
      </c>
      <c r="E54">
        <v>512</v>
      </c>
      <c r="F54">
        <v>0.34396199999999999</v>
      </c>
      <c r="G54">
        <v>0.35950100000000001</v>
      </c>
      <c r="H54" s="1">
        <f t="shared" si="0"/>
        <v>4.5176502055459686E-2</v>
      </c>
      <c r="K54">
        <v>0.34468500000000002</v>
      </c>
      <c r="L54">
        <v>0.35992299999999999</v>
      </c>
      <c r="M54" s="1">
        <f t="shared" si="1"/>
        <v>4.4208480206565336E-2</v>
      </c>
      <c r="P54">
        <v>0.46073599999999998</v>
      </c>
      <c r="Q54">
        <v>0.68185600000000002</v>
      </c>
      <c r="R54" s="1">
        <f t="shared" si="2"/>
        <v>0.47992776774552032</v>
      </c>
      <c r="S54" s="2">
        <f t="shared" si="3"/>
        <v>1.3366871201241712</v>
      </c>
      <c r="T54" s="2">
        <f t="shared" si="3"/>
        <v>1.8944496461743208</v>
      </c>
      <c r="U54" s="4"/>
      <c r="V54" s="4"/>
      <c r="W54" s="4" t="s">
        <v>7</v>
      </c>
      <c r="X54" s="4">
        <v>11.25</v>
      </c>
      <c r="Y54" t="s">
        <v>8</v>
      </c>
      <c r="Z54" t="s">
        <v>9</v>
      </c>
      <c r="AA54" t="s">
        <v>10</v>
      </c>
      <c r="AB54" t="s">
        <v>11</v>
      </c>
      <c r="AC54">
        <v>0.34396199999999999</v>
      </c>
      <c r="AD54" t="s">
        <v>12</v>
      </c>
    </row>
    <row r="55" spans="4:30" x14ac:dyDescent="0.25">
      <c r="D55">
        <v>128</v>
      </c>
      <c r="E55">
        <v>1024</v>
      </c>
      <c r="F55">
        <v>0.56259800000000004</v>
      </c>
      <c r="G55">
        <v>0.60552300000000003</v>
      </c>
      <c r="H55" s="1">
        <f t="shared" si="0"/>
        <v>7.6297818335649942E-2</v>
      </c>
      <c r="K55">
        <v>0.56062100000000004</v>
      </c>
      <c r="L55">
        <v>0.61068199999999995</v>
      </c>
      <c r="M55" s="1">
        <f t="shared" si="1"/>
        <v>8.929562039238613E-2</v>
      </c>
      <c r="P55">
        <v>0.85759399999999997</v>
      </c>
      <c r="Q55">
        <v>1.2133560000000001</v>
      </c>
      <c r="R55" s="1">
        <f t="shared" si="2"/>
        <v>0.41483732395515843</v>
      </c>
      <c r="S55" s="2">
        <f t="shared" si="3"/>
        <v>1.5297215052593462</v>
      </c>
      <c r="T55" s="2">
        <f t="shared" si="3"/>
        <v>1.9868867921438658</v>
      </c>
      <c r="U55" s="4"/>
      <c r="V55" s="4"/>
      <c r="W55" s="4" t="s">
        <v>7</v>
      </c>
      <c r="X55" s="4">
        <v>11.458333333333334</v>
      </c>
      <c r="Y55" t="s">
        <v>8</v>
      </c>
      <c r="Z55" t="s">
        <v>9</v>
      </c>
      <c r="AA55" t="s">
        <v>10</v>
      </c>
      <c r="AB55" t="s">
        <v>11</v>
      </c>
      <c r="AC55">
        <v>0.56259800000000004</v>
      </c>
      <c r="AD55" t="s">
        <v>12</v>
      </c>
    </row>
    <row r="56" spans="4:30" x14ac:dyDescent="0.25">
      <c r="D56">
        <v>128</v>
      </c>
      <c r="E56">
        <v>2048</v>
      </c>
      <c r="F56">
        <v>0.99371500000000001</v>
      </c>
      <c r="G56">
        <v>1.06793</v>
      </c>
      <c r="H56" s="1">
        <f t="shared" si="0"/>
        <v>7.4684391399948702E-2</v>
      </c>
      <c r="K56">
        <v>0.99299899999999997</v>
      </c>
      <c r="L56">
        <v>1.068122</v>
      </c>
      <c r="M56" s="1">
        <f t="shared" si="1"/>
        <v>7.5652644161776653E-2</v>
      </c>
      <c r="P56">
        <v>1.7853319999999999</v>
      </c>
      <c r="Q56">
        <v>2.5304190000000002</v>
      </c>
      <c r="R56" s="1">
        <f t="shared" si="2"/>
        <v>0.41733806373268406</v>
      </c>
      <c r="S56" s="2">
        <f t="shared" si="3"/>
        <v>1.7979192325470619</v>
      </c>
      <c r="T56" s="2">
        <f t="shared" si="3"/>
        <v>2.3690355596083594</v>
      </c>
      <c r="U56" s="4"/>
      <c r="V56" s="4"/>
      <c r="W56" s="4" t="s">
        <v>7</v>
      </c>
      <c r="X56" s="4">
        <v>11.666666666666666</v>
      </c>
      <c r="Y56" t="s">
        <v>8</v>
      </c>
      <c r="Z56" t="s">
        <v>9</v>
      </c>
      <c r="AA56" t="s">
        <v>10</v>
      </c>
      <c r="AB56" t="s">
        <v>11</v>
      </c>
      <c r="AC56">
        <v>0.99371500000000001</v>
      </c>
      <c r="AD56" t="s">
        <v>12</v>
      </c>
    </row>
    <row r="57" spans="4:30" x14ac:dyDescent="0.25">
      <c r="D57">
        <v>128</v>
      </c>
      <c r="E57">
        <v>4096</v>
      </c>
      <c r="F57">
        <v>1.8587590000000001</v>
      </c>
      <c r="G57">
        <v>2.0429949999999999</v>
      </c>
      <c r="H57" s="1">
        <f t="shared" si="0"/>
        <v>9.9117744688794959E-2</v>
      </c>
      <c r="K57">
        <v>1.859162</v>
      </c>
      <c r="L57">
        <v>2.046157</v>
      </c>
      <c r="M57" s="1">
        <f t="shared" si="1"/>
        <v>0.10058026142961185</v>
      </c>
      <c r="P57">
        <v>3.7377220000000002</v>
      </c>
      <c r="Q57">
        <v>5.5855490000000003</v>
      </c>
      <c r="R57" s="1">
        <f t="shared" si="2"/>
        <v>0.49437250817476525</v>
      </c>
      <c r="S57" s="2">
        <f t="shared" si="3"/>
        <v>2.0104337330474698</v>
      </c>
      <c r="T57" s="2">
        <f t="shared" si="3"/>
        <v>2.7297753789176493</v>
      </c>
      <c r="U57" s="4"/>
      <c r="V57" s="4"/>
      <c r="W57" s="4" t="s">
        <v>7</v>
      </c>
      <c r="X57" s="4">
        <v>11.875</v>
      </c>
      <c r="Y57" t="s">
        <v>8</v>
      </c>
      <c r="Z57" t="s">
        <v>9</v>
      </c>
      <c r="AA57" t="s">
        <v>10</v>
      </c>
      <c r="AB57" t="s">
        <v>11</v>
      </c>
      <c r="AC57">
        <v>1.8587590000000001</v>
      </c>
      <c r="AD57" t="s">
        <v>12</v>
      </c>
    </row>
    <row r="58" spans="4:30" x14ac:dyDescent="0.25">
      <c r="H5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1C14-998A-4BA5-A0F9-8BD058BAAEFB}">
  <dimension ref="C1:L47"/>
  <sheetViews>
    <sheetView tabSelected="1" workbookViewId="0">
      <selection activeCell="S20" sqref="S20"/>
    </sheetView>
  </sheetViews>
  <sheetFormatPr defaultRowHeight="13.8" x14ac:dyDescent="0.25"/>
  <cols>
    <col min="4" max="4" width="15.77734375" customWidth="1"/>
    <col min="5" max="5" width="9.5546875" bestFit="1" customWidth="1"/>
    <col min="7" max="7" width="14.109375" bestFit="1" customWidth="1"/>
    <col min="9" max="9" width="19.6640625" customWidth="1"/>
    <col min="10" max="10" width="23.44140625" customWidth="1"/>
    <col min="11" max="11" width="16.6640625" customWidth="1"/>
    <col min="12" max="12" width="19.6640625" customWidth="1"/>
  </cols>
  <sheetData>
    <row r="1" spans="3:12" x14ac:dyDescent="0.25">
      <c r="I1" s="5" t="s">
        <v>13</v>
      </c>
      <c r="J1" s="5"/>
      <c r="K1" s="5" t="s">
        <v>14</v>
      </c>
      <c r="L1" s="5"/>
    </row>
    <row r="2" spans="3:12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I2" t="s">
        <v>2</v>
      </c>
      <c r="J2" t="s">
        <v>3</v>
      </c>
      <c r="K2" t="s">
        <v>2</v>
      </c>
      <c r="L2" t="s">
        <v>3</v>
      </c>
    </row>
    <row r="3" spans="3:12" x14ac:dyDescent="0.25">
      <c r="C3" s="6">
        <v>32</v>
      </c>
      <c r="D3" s="6">
        <v>1024</v>
      </c>
      <c r="E3" s="6">
        <v>0.215226</v>
      </c>
      <c r="F3" s="6">
        <v>0.21382999999999999</v>
      </c>
      <c r="G3" s="7">
        <f t="shared" ref="G3:G47" si="0">(F3-E3)/E3</f>
        <v>-6.4862051982567549E-3</v>
      </c>
      <c r="H3" s="6"/>
      <c r="I3" s="6">
        <f>C3*D3*576*2*2</f>
        <v>75497472</v>
      </c>
      <c r="J3" s="6">
        <f>C3*D3*576*2</f>
        <v>37748736</v>
      </c>
      <c r="K3" s="6">
        <f>I3/E3/1000000</f>
        <v>350.78230325332441</v>
      </c>
      <c r="L3" s="6">
        <f>J3/F3/1000000</f>
        <v>176.53620165552073</v>
      </c>
    </row>
    <row r="4" spans="3:12" x14ac:dyDescent="0.25">
      <c r="C4">
        <v>32</v>
      </c>
      <c r="D4">
        <v>1152</v>
      </c>
      <c r="E4">
        <v>0.26411499999999999</v>
      </c>
      <c r="F4">
        <v>0.231373</v>
      </c>
      <c r="G4" s="1">
        <f t="shared" si="0"/>
        <v>-0.12396872574446735</v>
      </c>
      <c r="I4">
        <f>C4*D4*576*2*2</f>
        <v>84934656</v>
      </c>
      <c r="J4">
        <f t="shared" ref="J4:J47" si="1">C4*D4*576*2</f>
        <v>42467328</v>
      </c>
      <c r="K4">
        <f>I4/E4/1000000</f>
        <v>321.58209870700261</v>
      </c>
      <c r="L4">
        <f>J4/F4/1000000</f>
        <v>183.544873429484</v>
      </c>
    </row>
    <row r="5" spans="3:12" x14ac:dyDescent="0.25">
      <c r="C5">
        <v>32</v>
      </c>
      <c r="D5">
        <v>1280</v>
      </c>
      <c r="E5">
        <v>0.26097900000000002</v>
      </c>
      <c r="F5">
        <v>0.24152999999999999</v>
      </c>
      <c r="G5" s="1">
        <f t="shared" si="0"/>
        <v>-7.4523237501868039E-2</v>
      </c>
      <c r="I5">
        <f>C5*D5*576*2*2</f>
        <v>94371840</v>
      </c>
      <c r="J5">
        <f t="shared" si="1"/>
        <v>47185920</v>
      </c>
      <c r="K5">
        <f>I5/E5/1000000</f>
        <v>361.60702585265483</v>
      </c>
      <c r="L5">
        <f>J5/F5/1000000</f>
        <v>195.36256365668859</v>
      </c>
    </row>
    <row r="6" spans="3:12" x14ac:dyDescent="0.25">
      <c r="C6">
        <v>32</v>
      </c>
      <c r="D6">
        <v>1408</v>
      </c>
      <c r="E6">
        <v>0.237734</v>
      </c>
      <c r="F6">
        <v>0.26286700000000002</v>
      </c>
      <c r="G6" s="1">
        <f t="shared" si="0"/>
        <v>0.10571899686203916</v>
      </c>
      <c r="I6">
        <f>C6*D6*576*2*2</f>
        <v>103809024</v>
      </c>
      <c r="J6">
        <f t="shared" si="1"/>
        <v>51904512</v>
      </c>
      <c r="K6">
        <f>I6/E6/1000000</f>
        <v>436.66040196185656</v>
      </c>
      <c r="L6">
        <f>J6/F6/1000000</f>
        <v>197.45541281332382</v>
      </c>
    </row>
    <row r="7" spans="3:12" x14ac:dyDescent="0.25">
      <c r="C7">
        <v>32</v>
      </c>
      <c r="D7">
        <v>1536</v>
      </c>
      <c r="E7">
        <v>0.282086</v>
      </c>
      <c r="F7">
        <v>0.27543699999999999</v>
      </c>
      <c r="G7" s="1">
        <f t="shared" si="0"/>
        <v>-2.3570825918337018E-2</v>
      </c>
      <c r="I7">
        <f>C7*D7*576*2*2</f>
        <v>113246208</v>
      </c>
      <c r="J7">
        <f t="shared" si="1"/>
        <v>56623104</v>
      </c>
      <c r="K7">
        <f>I7/E7/1000000</f>
        <v>401.45986684911691</v>
      </c>
      <c r="L7">
        <f>J7/F7/1000000</f>
        <v>205.57551817657031</v>
      </c>
    </row>
    <row r="8" spans="3:12" x14ac:dyDescent="0.25">
      <c r="C8">
        <v>32</v>
      </c>
      <c r="D8">
        <v>1664</v>
      </c>
      <c r="E8">
        <v>0.314861</v>
      </c>
      <c r="F8">
        <v>0.30005100000000001</v>
      </c>
      <c r="G8" s="1">
        <f t="shared" si="0"/>
        <v>-4.7036628861624623E-2</v>
      </c>
      <c r="I8">
        <f>C8*D8*576*2*2</f>
        <v>122683392</v>
      </c>
      <c r="J8">
        <f t="shared" si="1"/>
        <v>61341696</v>
      </c>
      <c r="K8">
        <f>I8/E8/1000000</f>
        <v>389.64302342938629</v>
      </c>
      <c r="L8">
        <f>J8/F8/1000000</f>
        <v>204.43756561384563</v>
      </c>
    </row>
    <row r="9" spans="3:12" x14ac:dyDescent="0.25">
      <c r="C9">
        <v>32</v>
      </c>
      <c r="D9">
        <v>1792</v>
      </c>
      <c r="E9">
        <v>0.33229399999999998</v>
      </c>
      <c r="F9">
        <v>0.302925</v>
      </c>
      <c r="G9" s="1">
        <f t="shared" si="0"/>
        <v>-8.8382576874695237E-2</v>
      </c>
      <c r="I9">
        <f>C9*D9*576*2*2</f>
        <v>132120576</v>
      </c>
      <c r="J9">
        <f t="shared" si="1"/>
        <v>66060288</v>
      </c>
      <c r="K9">
        <f>I9/E9/1000000</f>
        <v>397.60144931897656</v>
      </c>
      <c r="L9">
        <f>J9/F9/1000000</f>
        <v>218.07473136915078</v>
      </c>
    </row>
    <row r="10" spans="3:12" x14ac:dyDescent="0.25">
      <c r="C10">
        <v>32</v>
      </c>
      <c r="D10">
        <v>1920</v>
      </c>
      <c r="E10">
        <v>0.29036200000000001</v>
      </c>
      <c r="F10">
        <v>0.32213799999999998</v>
      </c>
      <c r="G10" s="1">
        <f t="shared" si="0"/>
        <v>0.10943580771588558</v>
      </c>
      <c r="I10">
        <f>C10*D10*576*2*2</f>
        <v>141557760</v>
      </c>
      <c r="J10">
        <f t="shared" si="1"/>
        <v>70778880</v>
      </c>
      <c r="K10">
        <f>I10/E10/1000000</f>
        <v>487.52164539436978</v>
      </c>
      <c r="L10">
        <f>J10/F10/1000000</f>
        <v>219.71602232583552</v>
      </c>
    </row>
    <row r="11" spans="3:12" x14ac:dyDescent="0.25">
      <c r="C11" s="6">
        <v>32</v>
      </c>
      <c r="D11" s="6">
        <v>2048</v>
      </c>
      <c r="E11" s="6">
        <v>0.36991400000000002</v>
      </c>
      <c r="F11" s="6">
        <v>0.33439999999999998</v>
      </c>
      <c r="G11" s="7">
        <f t="shared" si="0"/>
        <v>-9.6006098714836535E-2</v>
      </c>
      <c r="H11" s="6"/>
      <c r="I11" s="6">
        <f>C11*D11*576*2*2</f>
        <v>150994944</v>
      </c>
      <c r="J11" s="6">
        <f t="shared" si="1"/>
        <v>75497472</v>
      </c>
      <c r="K11" s="6">
        <f>I11/E11/1000000</f>
        <v>408.18931967970934</v>
      </c>
      <c r="L11" s="6">
        <f>J11/F11/1000000</f>
        <v>225.76995215311007</v>
      </c>
    </row>
    <row r="12" spans="3:12" x14ac:dyDescent="0.25">
      <c r="C12" s="6">
        <v>64</v>
      </c>
      <c r="D12" s="6">
        <v>1024</v>
      </c>
      <c r="E12" s="6">
        <v>0.38272</v>
      </c>
      <c r="F12" s="6">
        <v>0.32654699999999998</v>
      </c>
      <c r="G12" s="7">
        <f t="shared" si="0"/>
        <v>-0.14677309782608702</v>
      </c>
      <c r="H12" s="6"/>
      <c r="I12" s="6">
        <f>C12*D12*576*2*2</f>
        <v>150994944</v>
      </c>
      <c r="J12" s="6">
        <f t="shared" si="1"/>
        <v>75497472</v>
      </c>
      <c r="K12" s="6">
        <f>I12/E12/1000000</f>
        <v>394.53110367892975</v>
      </c>
      <c r="L12" s="6">
        <f>J12/F12/1000000</f>
        <v>231.19940467987763</v>
      </c>
    </row>
    <row r="13" spans="3:12" x14ac:dyDescent="0.25">
      <c r="C13">
        <v>64</v>
      </c>
      <c r="D13">
        <v>1152</v>
      </c>
      <c r="E13">
        <v>0.407744</v>
      </c>
      <c r="F13">
        <v>0.37203199999999997</v>
      </c>
      <c r="G13" s="1">
        <f t="shared" si="0"/>
        <v>-8.7584366661434682E-2</v>
      </c>
      <c r="I13">
        <f>C13*D13*576*2*2</f>
        <v>169869312</v>
      </c>
      <c r="J13">
        <f t="shared" si="1"/>
        <v>84934656</v>
      </c>
      <c r="K13">
        <f>I13/E13/1000000</f>
        <v>416.6077538847905</v>
      </c>
      <c r="L13">
        <f>J13/F13/1000000</f>
        <v>228.29932908997077</v>
      </c>
    </row>
    <row r="14" spans="3:12" x14ac:dyDescent="0.25">
      <c r="C14">
        <v>64</v>
      </c>
      <c r="D14">
        <v>1280</v>
      </c>
      <c r="E14">
        <v>0.48373100000000002</v>
      </c>
      <c r="F14">
        <v>0.39671699999999999</v>
      </c>
      <c r="G14" s="1">
        <f t="shared" si="0"/>
        <v>-0.17988096690102565</v>
      </c>
      <c r="I14">
        <f>C14*D14*576*2*2</f>
        <v>188743680</v>
      </c>
      <c r="J14">
        <f t="shared" si="1"/>
        <v>94371840</v>
      </c>
      <c r="K14">
        <f>I14/E14/1000000</f>
        <v>390.18313897600109</v>
      </c>
      <c r="L14">
        <f>J14/F14/1000000</f>
        <v>237.88201665166858</v>
      </c>
    </row>
    <row r="15" spans="3:12" x14ac:dyDescent="0.25">
      <c r="C15">
        <v>64</v>
      </c>
      <c r="D15">
        <v>1408</v>
      </c>
      <c r="E15">
        <v>0.41124500000000003</v>
      </c>
      <c r="F15">
        <v>0.44512000000000002</v>
      </c>
      <c r="G15" s="1">
        <f t="shared" si="0"/>
        <v>8.237182214981334E-2</v>
      </c>
      <c r="I15">
        <f>C15*D15*576*2*2</f>
        <v>207618048</v>
      </c>
      <c r="J15">
        <f t="shared" si="1"/>
        <v>103809024</v>
      </c>
      <c r="K15">
        <f>I15/E15/1000000</f>
        <v>504.85245534900116</v>
      </c>
      <c r="L15">
        <f>J15/F15/1000000</f>
        <v>233.21581595974118</v>
      </c>
    </row>
    <row r="16" spans="3:12" x14ac:dyDescent="0.25">
      <c r="C16">
        <v>64</v>
      </c>
      <c r="D16">
        <v>1536</v>
      </c>
      <c r="E16">
        <v>0.53530199999999994</v>
      </c>
      <c r="F16">
        <v>0.49393300000000001</v>
      </c>
      <c r="G16" s="1">
        <f t="shared" si="0"/>
        <v>-7.728160925981957E-2</v>
      </c>
      <c r="I16">
        <f>C16*D16*576*2*2</f>
        <v>226492416</v>
      </c>
      <c r="J16">
        <f t="shared" si="1"/>
        <v>113246208</v>
      </c>
      <c r="K16">
        <f>I16/E16/1000000</f>
        <v>423.11146978714822</v>
      </c>
      <c r="L16">
        <f>J16/F16/1000000</f>
        <v>229.27443195737072</v>
      </c>
    </row>
    <row r="17" spans="3:12" x14ac:dyDescent="0.25">
      <c r="C17">
        <v>64</v>
      </c>
      <c r="D17">
        <v>1664</v>
      </c>
      <c r="E17">
        <v>0.45205800000000002</v>
      </c>
      <c r="F17">
        <v>0.50587499999999996</v>
      </c>
      <c r="G17" s="1">
        <f t="shared" si="0"/>
        <v>0.11904888310791967</v>
      </c>
      <c r="I17">
        <f>C17*D17*576*2*2</f>
        <v>245366784</v>
      </c>
      <c r="J17">
        <f t="shared" si="1"/>
        <v>122683392</v>
      </c>
      <c r="K17">
        <f>I17/E17/1000000</f>
        <v>542.77721885244807</v>
      </c>
      <c r="L17">
        <f>J17/F17/1000000</f>
        <v>242.5172068198666</v>
      </c>
    </row>
    <row r="18" spans="3:12" x14ac:dyDescent="0.25">
      <c r="C18">
        <v>64</v>
      </c>
      <c r="D18">
        <v>1792</v>
      </c>
      <c r="E18">
        <v>0.62273299999999998</v>
      </c>
      <c r="F18">
        <v>0.55546899999999999</v>
      </c>
      <c r="G18" s="1">
        <f t="shared" si="0"/>
        <v>-0.10801418906658229</v>
      </c>
      <c r="I18">
        <f>C18*D18*576*2*2</f>
        <v>264241152</v>
      </c>
      <c r="J18">
        <f t="shared" si="1"/>
        <v>132120576</v>
      </c>
      <c r="K18">
        <f>I18/E18/1000000</f>
        <v>424.32495467559932</v>
      </c>
      <c r="L18">
        <f>J18/F18/1000000</f>
        <v>237.85409446791809</v>
      </c>
    </row>
    <row r="19" spans="3:12" x14ac:dyDescent="0.25">
      <c r="C19">
        <v>64</v>
      </c>
      <c r="D19">
        <v>1920</v>
      </c>
      <c r="E19">
        <v>0.50917100000000004</v>
      </c>
      <c r="F19">
        <v>0.56053799999999998</v>
      </c>
      <c r="G19" s="1">
        <f t="shared" si="0"/>
        <v>0.10088359313472278</v>
      </c>
      <c r="I19">
        <f>C19*D19*576*2*2</f>
        <v>283115520</v>
      </c>
      <c r="J19">
        <f t="shared" si="1"/>
        <v>141557760</v>
      </c>
      <c r="K19">
        <f>I19/E19/1000000</f>
        <v>556.03229563349043</v>
      </c>
      <c r="L19">
        <f>J19/F19/1000000</f>
        <v>252.53909636813205</v>
      </c>
    </row>
    <row r="20" spans="3:12" x14ac:dyDescent="0.25">
      <c r="C20" s="6">
        <v>64</v>
      </c>
      <c r="D20" s="6">
        <v>2048</v>
      </c>
      <c r="E20" s="6">
        <v>0.70152300000000001</v>
      </c>
      <c r="F20" s="6">
        <v>0.56967000000000001</v>
      </c>
      <c r="G20" s="7">
        <f t="shared" si="0"/>
        <v>-0.18795249763728344</v>
      </c>
      <c r="H20" s="6"/>
      <c r="I20" s="6">
        <f>C20*D20*576*2*2</f>
        <v>301989888</v>
      </c>
      <c r="J20" s="6">
        <f t="shared" si="1"/>
        <v>150994944</v>
      </c>
      <c r="K20" s="6">
        <f>I20/E20/1000000</f>
        <v>430.47752960344849</v>
      </c>
      <c r="L20" s="6">
        <f>J20/F20/1000000</f>
        <v>265.0568645005003</v>
      </c>
    </row>
    <row r="21" spans="3:12" x14ac:dyDescent="0.25">
      <c r="C21" s="6">
        <v>128</v>
      </c>
      <c r="D21" s="6">
        <v>1024</v>
      </c>
      <c r="E21" s="6">
        <v>0.55990399999999996</v>
      </c>
      <c r="F21" s="6">
        <v>0.60841599999999996</v>
      </c>
      <c r="G21" s="7">
        <f t="shared" si="0"/>
        <v>8.6643424587072082E-2</v>
      </c>
      <c r="H21" s="6"/>
      <c r="I21" s="6">
        <f>C21*D21*576*2*2</f>
        <v>301989888</v>
      </c>
      <c r="J21" s="6">
        <f t="shared" si="1"/>
        <v>150994944</v>
      </c>
      <c r="K21" s="6">
        <f>I21/E21/1000000</f>
        <v>539.36011887752193</v>
      </c>
      <c r="L21" s="6">
        <f>J21/F21/1000000</f>
        <v>248.17714195550414</v>
      </c>
    </row>
    <row r="22" spans="3:12" x14ac:dyDescent="0.25">
      <c r="C22">
        <v>128</v>
      </c>
      <c r="D22">
        <v>1152</v>
      </c>
      <c r="E22">
        <v>0.73911099999999996</v>
      </c>
      <c r="F22">
        <v>0.688365</v>
      </c>
      <c r="G22" s="1">
        <f t="shared" si="0"/>
        <v>-6.8658158246866788E-2</v>
      </c>
      <c r="I22">
        <f>C22*D22*576*2*2</f>
        <v>339738624</v>
      </c>
      <c r="J22">
        <f t="shared" si="1"/>
        <v>169869312</v>
      </c>
      <c r="K22">
        <f>I22/E22/1000000</f>
        <v>459.65845996068253</v>
      </c>
      <c r="L22">
        <f>J22/F22/1000000</f>
        <v>246.77215140223572</v>
      </c>
    </row>
    <row r="23" spans="3:12" x14ac:dyDescent="0.25">
      <c r="C23">
        <v>128</v>
      </c>
      <c r="D23">
        <v>1280</v>
      </c>
      <c r="E23">
        <v>0.75234599999999996</v>
      </c>
      <c r="F23">
        <v>0.73038700000000001</v>
      </c>
      <c r="G23" s="1">
        <f t="shared" si="0"/>
        <v>-2.9187368577755383E-2</v>
      </c>
      <c r="I23">
        <f>C23*D23*576*2*2</f>
        <v>377487360</v>
      </c>
      <c r="J23">
        <f t="shared" si="1"/>
        <v>188743680</v>
      </c>
      <c r="K23">
        <f>I23/E23/1000000</f>
        <v>501.74701533602894</v>
      </c>
      <c r="L23">
        <f>J23/F23/1000000</f>
        <v>258.41599042699278</v>
      </c>
    </row>
    <row r="24" spans="3:12" x14ac:dyDescent="0.25">
      <c r="C24">
        <v>128</v>
      </c>
      <c r="D24">
        <v>1408</v>
      </c>
      <c r="E24">
        <v>0.75724199999999997</v>
      </c>
      <c r="F24">
        <v>0.76238700000000004</v>
      </c>
      <c r="G24" s="1">
        <f t="shared" si="0"/>
        <v>6.794393337929046E-3</v>
      </c>
      <c r="I24">
        <f>C24*D24*576*2*2</f>
        <v>415236096</v>
      </c>
      <c r="J24">
        <f t="shared" si="1"/>
        <v>207618048</v>
      </c>
      <c r="K24">
        <f>I24/E24/1000000</f>
        <v>548.35322921866464</v>
      </c>
      <c r="L24">
        <f>J24/F24/1000000</f>
        <v>272.32632245827909</v>
      </c>
    </row>
    <row r="25" spans="3:12" x14ac:dyDescent="0.25">
      <c r="C25">
        <v>128</v>
      </c>
      <c r="D25">
        <v>1536</v>
      </c>
      <c r="E25">
        <v>0.77909099999999998</v>
      </c>
      <c r="F25">
        <v>0.87167399999999995</v>
      </c>
      <c r="G25" s="1">
        <f t="shared" si="0"/>
        <v>0.11883464190961002</v>
      </c>
      <c r="I25">
        <f>C25*D25*576*2*2</f>
        <v>452984832</v>
      </c>
      <c r="J25">
        <f t="shared" si="1"/>
        <v>226492416</v>
      </c>
      <c r="K25">
        <f>I25/E25/1000000</f>
        <v>581.42737112866155</v>
      </c>
      <c r="L25">
        <f>J25/F25/1000000</f>
        <v>259.83614975323349</v>
      </c>
    </row>
    <row r="26" spans="3:12" x14ac:dyDescent="0.25">
      <c r="C26">
        <v>128</v>
      </c>
      <c r="D26">
        <v>1664</v>
      </c>
      <c r="E26">
        <v>0.83143</v>
      </c>
      <c r="F26">
        <v>0.89692799999999995</v>
      </c>
      <c r="G26" s="1">
        <f t="shared" si="0"/>
        <v>7.8777527873663378E-2</v>
      </c>
      <c r="I26">
        <f>C26*D26*576*2*2</f>
        <v>490733568</v>
      </c>
      <c r="J26">
        <f t="shared" si="1"/>
        <v>245366784</v>
      </c>
      <c r="K26">
        <f>I26/E26/1000000</f>
        <v>590.22836318150655</v>
      </c>
      <c r="L26">
        <f>J26/F26/1000000</f>
        <v>273.56352349352454</v>
      </c>
    </row>
    <row r="27" spans="3:12" x14ac:dyDescent="0.25">
      <c r="C27">
        <v>128</v>
      </c>
      <c r="D27">
        <v>1792</v>
      </c>
      <c r="E27">
        <v>0.89049599999999995</v>
      </c>
      <c r="F27">
        <v>0.98874899999999999</v>
      </c>
      <c r="G27" s="1">
        <f t="shared" si="0"/>
        <v>0.11033513906856408</v>
      </c>
      <c r="I27">
        <f>C27*D27*576*2*2</f>
        <v>528482304</v>
      </c>
      <c r="J27">
        <f t="shared" si="1"/>
        <v>264241152</v>
      </c>
      <c r="K27">
        <f>I27/E27/1000000</f>
        <v>593.46959896507121</v>
      </c>
      <c r="L27">
        <f>J27/F27/1000000</f>
        <v>267.24795878428199</v>
      </c>
    </row>
    <row r="28" spans="3:12" x14ac:dyDescent="0.25">
      <c r="C28">
        <v>128</v>
      </c>
      <c r="D28">
        <v>1920</v>
      </c>
      <c r="E28">
        <v>0.94377599999999995</v>
      </c>
      <c r="F28">
        <v>0.99674200000000002</v>
      </c>
      <c r="G28" s="1">
        <f t="shared" si="0"/>
        <v>5.6121367782185676E-2</v>
      </c>
      <c r="I28">
        <f>C28*D28*576*2*2</f>
        <v>566231040</v>
      </c>
      <c r="J28">
        <f t="shared" si="1"/>
        <v>283115520</v>
      </c>
      <c r="K28">
        <f>I28/E28/1000000</f>
        <v>599.96338114128775</v>
      </c>
      <c r="L28">
        <f>J28/F28/1000000</f>
        <v>284.04092533474056</v>
      </c>
    </row>
    <row r="29" spans="3:12" x14ac:dyDescent="0.25">
      <c r="C29" s="6">
        <v>128</v>
      </c>
      <c r="D29" s="6">
        <v>2048</v>
      </c>
      <c r="E29" s="6">
        <v>0.99296600000000002</v>
      </c>
      <c r="F29" s="6">
        <v>1.068902</v>
      </c>
      <c r="G29" s="7">
        <f t="shared" si="0"/>
        <v>7.6473917535947858E-2</v>
      </c>
      <c r="H29" s="6"/>
      <c r="I29" s="6">
        <f>C29*D29*576*2*2</f>
        <v>603979776</v>
      </c>
      <c r="J29" s="6">
        <f t="shared" si="1"/>
        <v>301989888</v>
      </c>
      <c r="K29" s="6">
        <f>I29/E29/1000000</f>
        <v>608.25826463343151</v>
      </c>
      <c r="L29" s="6">
        <f>J29/F29/1000000</f>
        <v>282.52345678088358</v>
      </c>
    </row>
    <row r="30" spans="3:12" x14ac:dyDescent="0.25">
      <c r="C30" s="6">
        <v>256</v>
      </c>
      <c r="D30" s="6">
        <v>1024</v>
      </c>
      <c r="E30" s="6">
        <v>1.0603199999999999</v>
      </c>
      <c r="F30" s="6">
        <v>1.13015</v>
      </c>
      <c r="G30" s="7">
        <f t="shared" si="0"/>
        <v>6.5857476988079131E-2</v>
      </c>
      <c r="H30" s="6"/>
      <c r="I30" s="6">
        <f>C30*D30*576*2*2</f>
        <v>603979776</v>
      </c>
      <c r="J30" s="6">
        <f t="shared" si="1"/>
        <v>301989888</v>
      </c>
      <c r="K30" s="6">
        <f>I30/E30/1000000</f>
        <v>569.62028066998653</v>
      </c>
      <c r="L30" s="6">
        <f>J30/F30/1000000</f>
        <v>267.21221784718847</v>
      </c>
    </row>
    <row r="31" spans="3:12" x14ac:dyDescent="0.25">
      <c r="C31">
        <v>256</v>
      </c>
      <c r="D31">
        <v>1152</v>
      </c>
      <c r="E31">
        <v>1.407392</v>
      </c>
      <c r="F31">
        <v>1.2822530000000001</v>
      </c>
      <c r="G31" s="1">
        <f t="shared" si="0"/>
        <v>-8.8915526022600597E-2</v>
      </c>
      <c r="I31">
        <f>C31*D31*576*2*2</f>
        <v>679477248</v>
      </c>
      <c r="J31">
        <f t="shared" si="1"/>
        <v>339738624</v>
      </c>
      <c r="K31">
        <f>I31/E31/1000000</f>
        <v>482.79175098337919</v>
      </c>
      <c r="L31">
        <f>J31/F31/1000000</f>
        <v>264.95443878860095</v>
      </c>
    </row>
    <row r="32" spans="3:12" x14ac:dyDescent="0.25">
      <c r="C32">
        <v>256</v>
      </c>
      <c r="D32">
        <v>1280</v>
      </c>
      <c r="E32">
        <v>1.421306</v>
      </c>
      <c r="F32">
        <v>1.409408</v>
      </c>
      <c r="G32" s="1">
        <f t="shared" si="0"/>
        <v>-8.3711741173258716E-3</v>
      </c>
      <c r="I32">
        <f>C32*D32*576*2*2</f>
        <v>754974720</v>
      </c>
      <c r="J32">
        <f t="shared" si="1"/>
        <v>377487360</v>
      </c>
      <c r="K32">
        <f>I32/E32/1000000</f>
        <v>531.18379856273032</v>
      </c>
      <c r="L32">
        <f>J32/F32/1000000</f>
        <v>267.83398419762057</v>
      </c>
    </row>
    <row r="33" spans="3:12" x14ac:dyDescent="0.25">
      <c r="C33">
        <v>256</v>
      </c>
      <c r="D33">
        <v>1408</v>
      </c>
      <c r="E33">
        <v>1.436544</v>
      </c>
      <c r="F33">
        <v>1.447859</v>
      </c>
      <c r="G33" s="1">
        <f t="shared" si="0"/>
        <v>7.8765425911075208E-3</v>
      </c>
      <c r="I33">
        <f>C33*D33*576*2*2</f>
        <v>830472192</v>
      </c>
      <c r="J33">
        <f t="shared" si="1"/>
        <v>415236096</v>
      </c>
      <c r="K33">
        <f>I33/E33/1000000</f>
        <v>578.10425020048115</v>
      </c>
      <c r="L33">
        <f>J33/F33/1000000</f>
        <v>286.79318635309102</v>
      </c>
    </row>
    <row r="34" spans="3:12" x14ac:dyDescent="0.25">
      <c r="C34">
        <v>256</v>
      </c>
      <c r="D34">
        <v>1536</v>
      </c>
      <c r="E34">
        <v>1.502087</v>
      </c>
      <c r="F34">
        <v>1.5805180000000001</v>
      </c>
      <c r="G34" s="1">
        <f t="shared" si="0"/>
        <v>5.221468530118438E-2</v>
      </c>
      <c r="I34">
        <f>C34*D34*576*2*2</f>
        <v>905969664</v>
      </c>
      <c r="J34">
        <f t="shared" si="1"/>
        <v>452984832</v>
      </c>
      <c r="K34">
        <f>I34/E34/1000000</f>
        <v>603.14060636967099</v>
      </c>
      <c r="L34">
        <f>J34/F34/1000000</f>
        <v>286.60529775681135</v>
      </c>
    </row>
    <row r="35" spans="3:12" x14ac:dyDescent="0.25">
      <c r="C35">
        <v>256</v>
      </c>
      <c r="D35">
        <v>1664</v>
      </c>
      <c r="E35">
        <v>1.613472</v>
      </c>
      <c r="F35">
        <v>1.723565</v>
      </c>
      <c r="G35" s="1">
        <f t="shared" si="0"/>
        <v>6.8233598103964621E-2</v>
      </c>
      <c r="I35">
        <f>C35*D35*576*2*2</f>
        <v>981467136</v>
      </c>
      <c r="J35">
        <f t="shared" si="1"/>
        <v>490733568</v>
      </c>
      <c r="K35">
        <f>I35/E35/1000000</f>
        <v>608.29511513060038</v>
      </c>
      <c r="L35">
        <f>J35/F35/1000000</f>
        <v>284.72008192322306</v>
      </c>
    </row>
    <row r="36" spans="3:12" x14ac:dyDescent="0.25">
      <c r="C36">
        <v>256</v>
      </c>
      <c r="D36">
        <v>1792</v>
      </c>
      <c r="E36">
        <v>1.718969</v>
      </c>
      <c r="F36">
        <v>1.7978879999999999</v>
      </c>
      <c r="G36" s="1">
        <f t="shared" si="0"/>
        <v>4.5910659238182869E-2</v>
      </c>
      <c r="I36">
        <f>C36*D36*576*2*2</f>
        <v>1056964608</v>
      </c>
      <c r="J36">
        <f t="shared" si="1"/>
        <v>528482304</v>
      </c>
      <c r="K36">
        <f>I36/E36/1000000</f>
        <v>614.8828792142267</v>
      </c>
      <c r="L36">
        <f>J36/F36/1000000</f>
        <v>293.94617684750108</v>
      </c>
    </row>
    <row r="37" spans="3:12" x14ac:dyDescent="0.25">
      <c r="C37">
        <v>256</v>
      </c>
      <c r="D37">
        <v>1920</v>
      </c>
      <c r="E37">
        <v>1.826003</v>
      </c>
      <c r="F37">
        <v>1.969498</v>
      </c>
      <c r="G37" s="1">
        <f t="shared" si="0"/>
        <v>7.8584208240621692E-2</v>
      </c>
      <c r="I37">
        <f>C37*D37*576*2*2</f>
        <v>1132462080</v>
      </c>
      <c r="J37">
        <f t="shared" si="1"/>
        <v>566231040</v>
      </c>
      <c r="K37">
        <f>I37/E37/1000000</f>
        <v>620.18631951864268</v>
      </c>
      <c r="L37">
        <f>J37/F37/1000000</f>
        <v>287.50018532641315</v>
      </c>
    </row>
    <row r="38" spans="3:12" x14ac:dyDescent="0.25">
      <c r="C38" s="6">
        <v>256</v>
      </c>
      <c r="D38" s="6">
        <v>2048</v>
      </c>
      <c r="E38" s="6">
        <v>1.9350529999999999</v>
      </c>
      <c r="F38" s="6">
        <v>2.1219260000000002</v>
      </c>
      <c r="G38" s="7">
        <f t="shared" si="0"/>
        <v>9.6572548658874102E-2</v>
      </c>
      <c r="H38" s="6"/>
      <c r="I38" s="6">
        <f>C38*D38*576*2*2</f>
        <v>1207959552</v>
      </c>
      <c r="J38" s="6">
        <f t="shared" si="1"/>
        <v>603979776</v>
      </c>
      <c r="K38" s="6">
        <f>I38/E38/1000000</f>
        <v>624.25140396671304</v>
      </c>
      <c r="L38" s="6">
        <f>J38/F38/1000000</f>
        <v>284.63753024375023</v>
      </c>
    </row>
    <row r="39" spans="3:12" x14ac:dyDescent="0.25">
      <c r="C39" s="6">
        <v>512</v>
      </c>
      <c r="D39" s="6">
        <v>1024</v>
      </c>
      <c r="E39" s="6">
        <v>2.1267580000000001</v>
      </c>
      <c r="F39" s="6">
        <v>2.4047550000000002</v>
      </c>
      <c r="G39" s="7">
        <f t="shared" si="0"/>
        <v>0.13071397874135188</v>
      </c>
      <c r="H39" s="6"/>
      <c r="I39" s="6">
        <f>C39*D39*576*2*2</f>
        <v>1207959552</v>
      </c>
      <c r="J39" s="6">
        <f t="shared" si="1"/>
        <v>603979776</v>
      </c>
      <c r="K39" s="6">
        <f>I39/E39/1000000</f>
        <v>567.981665991147</v>
      </c>
      <c r="L39" s="6">
        <f>J39/F39/1000000</f>
        <v>251.16062800576356</v>
      </c>
    </row>
    <row r="40" spans="3:12" x14ac:dyDescent="0.25">
      <c r="C40">
        <v>512</v>
      </c>
      <c r="D40">
        <v>1152</v>
      </c>
      <c r="E40">
        <v>2.778292</v>
      </c>
      <c r="F40">
        <v>2.6564670000000001</v>
      </c>
      <c r="G40" s="1">
        <f t="shared" si="0"/>
        <v>-4.384888269483548E-2</v>
      </c>
      <c r="I40">
        <f>C40*D40*576*2*2</f>
        <v>1358954496</v>
      </c>
      <c r="J40">
        <f t="shared" si="1"/>
        <v>679477248</v>
      </c>
      <c r="K40">
        <f>I40/E40/1000000</f>
        <v>489.13307024603603</v>
      </c>
      <c r="L40">
        <f>J40/F40/1000000</f>
        <v>255.78230333747791</v>
      </c>
    </row>
    <row r="41" spans="3:12" x14ac:dyDescent="0.25">
      <c r="C41">
        <v>512</v>
      </c>
      <c r="D41">
        <v>1280</v>
      </c>
      <c r="E41">
        <v>2.8038789999999998</v>
      </c>
      <c r="F41">
        <v>2.8779129999999999</v>
      </c>
      <c r="G41" s="1">
        <f t="shared" si="0"/>
        <v>2.6404135128513091E-2</v>
      </c>
      <c r="I41">
        <f>C41*D41*576*2*2</f>
        <v>1509949440</v>
      </c>
      <c r="J41">
        <f t="shared" si="1"/>
        <v>754974720</v>
      </c>
      <c r="K41">
        <f>I41/E41/1000000</f>
        <v>538.52161238056283</v>
      </c>
      <c r="L41">
        <f>J41/F41/1000000</f>
        <v>262.33410113509336</v>
      </c>
    </row>
    <row r="42" spans="3:12" x14ac:dyDescent="0.25">
      <c r="C42">
        <v>512</v>
      </c>
      <c r="D42">
        <v>1408</v>
      </c>
      <c r="E42">
        <v>2.8366199999999999</v>
      </c>
      <c r="F42">
        <v>2.996794</v>
      </c>
      <c r="G42" s="1">
        <f t="shared" si="0"/>
        <v>5.646649886132088E-2</v>
      </c>
      <c r="I42">
        <f>C42*D42*576*2*2</f>
        <v>1660944384</v>
      </c>
      <c r="J42">
        <f t="shared" si="1"/>
        <v>830472192</v>
      </c>
      <c r="K42">
        <f>I42/E42/1000000</f>
        <v>585.53644266768197</v>
      </c>
      <c r="L42">
        <f>J42/F42/1000000</f>
        <v>277.12021313443631</v>
      </c>
    </row>
    <row r="43" spans="3:12" x14ac:dyDescent="0.25">
      <c r="C43">
        <v>512</v>
      </c>
      <c r="D43">
        <v>1536</v>
      </c>
      <c r="E43">
        <v>3.0135040000000002</v>
      </c>
      <c r="F43">
        <v>3.213721</v>
      </c>
      <c r="G43" s="1">
        <f t="shared" si="0"/>
        <v>6.6439931720681258E-2</v>
      </c>
      <c r="I43">
        <f>C43*D43*576*2*2</f>
        <v>1811939328</v>
      </c>
      <c r="J43">
        <f t="shared" si="1"/>
        <v>905969664</v>
      </c>
      <c r="K43">
        <f>I43/E43/1000000</f>
        <v>601.27324470118504</v>
      </c>
      <c r="L43">
        <f>J43/F43/1000000</f>
        <v>281.90675668485227</v>
      </c>
    </row>
    <row r="44" spans="3:12" x14ac:dyDescent="0.25">
      <c r="C44">
        <v>512</v>
      </c>
      <c r="D44">
        <v>1664</v>
      </c>
      <c r="E44">
        <v>3.2222529999999998</v>
      </c>
      <c r="F44">
        <v>3.554297</v>
      </c>
      <c r="G44" s="1">
        <f t="shared" si="0"/>
        <v>0.10304715365304967</v>
      </c>
      <c r="I44">
        <f>C44*D44*576*2*2</f>
        <v>1962934272</v>
      </c>
      <c r="J44">
        <f t="shared" si="1"/>
        <v>981467136</v>
      </c>
      <c r="K44">
        <f>I44/E44/1000000</f>
        <v>609.18067948109604</v>
      </c>
      <c r="L44">
        <f>J44/F44/1000000</f>
        <v>276.13537529362344</v>
      </c>
    </row>
    <row r="45" spans="3:12" x14ac:dyDescent="0.25">
      <c r="C45">
        <v>512</v>
      </c>
      <c r="D45">
        <v>1792</v>
      </c>
      <c r="E45">
        <v>3.4408319999999999</v>
      </c>
      <c r="F45">
        <v>3.7656049999999999</v>
      </c>
      <c r="G45" s="1">
        <f t="shared" si="0"/>
        <v>9.4387927106002273E-2</v>
      </c>
      <c r="I45">
        <f>C45*D45*576*2*2</f>
        <v>2113929216</v>
      </c>
      <c r="J45">
        <f t="shared" si="1"/>
        <v>1056964608</v>
      </c>
      <c r="K45">
        <f>I45/E45/1000000</f>
        <v>614.36571619887286</v>
      </c>
      <c r="L45">
        <f>J45/F45/1000000</f>
        <v>280.68918752763506</v>
      </c>
    </row>
    <row r="46" spans="3:12" x14ac:dyDescent="0.25">
      <c r="C46">
        <v>512</v>
      </c>
      <c r="D46">
        <v>1920</v>
      </c>
      <c r="E46">
        <v>3.649613</v>
      </c>
      <c r="F46">
        <v>4.0474040000000002</v>
      </c>
      <c r="G46" s="1">
        <f t="shared" si="0"/>
        <v>0.10899539211417765</v>
      </c>
      <c r="I46">
        <f>C46*D46*576*2*2</f>
        <v>2264924160</v>
      </c>
      <c r="J46">
        <f t="shared" si="1"/>
        <v>1132462080</v>
      </c>
      <c r="K46">
        <f>I46/E46/1000000</f>
        <v>620.59296698033461</v>
      </c>
      <c r="L46">
        <f>J46/F46/1000000</f>
        <v>279.79961476541507</v>
      </c>
    </row>
    <row r="47" spans="3:12" x14ac:dyDescent="0.25">
      <c r="C47">
        <v>512</v>
      </c>
      <c r="D47">
        <v>2048</v>
      </c>
      <c r="E47">
        <v>3.8788870000000002</v>
      </c>
      <c r="F47">
        <v>4.2226689999999998</v>
      </c>
      <c r="G47" s="1">
        <f t="shared" si="0"/>
        <v>8.8629031987784018E-2</v>
      </c>
      <c r="I47">
        <f>C47*D47*576*2*2</f>
        <v>2415919104</v>
      </c>
      <c r="J47">
        <f t="shared" si="1"/>
        <v>1207959552</v>
      </c>
      <c r="K47">
        <f>I47/E47/1000000</f>
        <v>622.83822756373161</v>
      </c>
      <c r="L47">
        <f>J47/F47/1000000</f>
        <v>286.06541313088951</v>
      </c>
    </row>
  </sheetData>
  <mergeCells count="2"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AC93-EF40-4E98-91CB-A8F181C2D516}">
  <dimension ref="C1:H76"/>
  <sheetViews>
    <sheetView workbookViewId="0">
      <selection activeCell="M21" sqref="M21"/>
    </sheetView>
  </sheetViews>
  <sheetFormatPr defaultRowHeight="13.8" x14ac:dyDescent="0.25"/>
  <sheetData>
    <row r="1" spans="3:8" x14ac:dyDescent="0.25">
      <c r="C1" t="s">
        <v>0</v>
      </c>
      <c r="D1" t="s">
        <v>1</v>
      </c>
      <c r="F1" t="s">
        <v>2</v>
      </c>
      <c r="G1" t="s">
        <v>3</v>
      </c>
      <c r="H1" t="s">
        <v>4</v>
      </c>
    </row>
    <row r="2" spans="3:8" x14ac:dyDescent="0.25">
      <c r="C2">
        <v>32</v>
      </c>
      <c r="D2">
        <v>2048</v>
      </c>
      <c r="F2">
        <v>0.373114</v>
      </c>
      <c r="G2">
        <v>0.33355499999999999</v>
      </c>
      <c r="H2" s="1">
        <f t="shared" ref="H2:H65" si="0">(G2-F2)/F2</f>
        <v>-0.10602389618186402</v>
      </c>
    </row>
    <row r="3" spans="3:8" x14ac:dyDescent="0.25">
      <c r="C3">
        <v>32</v>
      </c>
      <c r="D3">
        <v>3072</v>
      </c>
      <c r="F3">
        <v>0.53783700000000001</v>
      </c>
      <c r="G3">
        <v>0.467302</v>
      </c>
      <c r="H3" s="1">
        <f t="shared" si="0"/>
        <v>-0.13114568168422777</v>
      </c>
    </row>
    <row r="4" spans="3:8" x14ac:dyDescent="0.25">
      <c r="C4">
        <v>32</v>
      </c>
      <c r="D4">
        <v>4096</v>
      </c>
      <c r="F4">
        <v>0.69970600000000005</v>
      </c>
      <c r="G4">
        <v>0.59975699999999998</v>
      </c>
      <c r="H4" s="1">
        <f t="shared" si="0"/>
        <v>-0.14284428031201685</v>
      </c>
    </row>
    <row r="5" spans="3:8" x14ac:dyDescent="0.25">
      <c r="C5">
        <v>32</v>
      </c>
      <c r="D5">
        <v>5120</v>
      </c>
      <c r="F5">
        <v>0.85649299999999995</v>
      </c>
      <c r="G5">
        <v>0.697658</v>
      </c>
      <c r="H5" s="1">
        <f t="shared" si="0"/>
        <v>-0.18544810056824745</v>
      </c>
    </row>
    <row r="6" spans="3:8" x14ac:dyDescent="0.25">
      <c r="C6">
        <v>32</v>
      </c>
      <c r="D6">
        <v>6144</v>
      </c>
      <c r="F6">
        <v>1.009965</v>
      </c>
      <c r="G6">
        <v>0.83276799999999995</v>
      </c>
      <c r="H6" s="1">
        <f t="shared" si="0"/>
        <v>-0.17544865416128286</v>
      </c>
    </row>
    <row r="7" spans="3:8" x14ac:dyDescent="0.25">
      <c r="C7">
        <v>32</v>
      </c>
      <c r="D7">
        <v>7168</v>
      </c>
      <c r="F7">
        <v>1.1580870000000001</v>
      </c>
      <c r="G7">
        <v>0.976858</v>
      </c>
      <c r="H7" s="1">
        <f t="shared" si="0"/>
        <v>-0.156489970097238</v>
      </c>
    </row>
    <row r="8" spans="3:8" x14ac:dyDescent="0.25">
      <c r="C8">
        <v>32</v>
      </c>
      <c r="D8">
        <v>8192</v>
      </c>
      <c r="F8">
        <v>1.3124610000000001</v>
      </c>
      <c r="G8">
        <v>1.0932029999999999</v>
      </c>
      <c r="H8" s="1">
        <f t="shared" si="0"/>
        <v>-0.16705867831501292</v>
      </c>
    </row>
    <row r="9" spans="3:8" x14ac:dyDescent="0.25">
      <c r="C9">
        <v>32</v>
      </c>
      <c r="D9">
        <v>9216</v>
      </c>
      <c r="F9">
        <v>1.4742850000000001</v>
      </c>
      <c r="G9">
        <v>1.186291</v>
      </c>
      <c r="H9" s="1">
        <f t="shared" si="0"/>
        <v>-0.19534486208568905</v>
      </c>
    </row>
    <row r="10" spans="3:8" x14ac:dyDescent="0.25">
      <c r="C10">
        <v>32</v>
      </c>
      <c r="D10">
        <v>10240</v>
      </c>
      <c r="F10">
        <v>1.6264449999999999</v>
      </c>
      <c r="G10">
        <v>1.2901629999999999</v>
      </c>
      <c r="H10" s="1">
        <f t="shared" si="0"/>
        <v>-0.20675891284365594</v>
      </c>
    </row>
    <row r="11" spans="3:8" x14ac:dyDescent="0.25">
      <c r="C11">
        <v>32</v>
      </c>
      <c r="D11">
        <v>11264</v>
      </c>
      <c r="F11">
        <v>1.7828029999999999</v>
      </c>
      <c r="G11">
        <v>1.4201090000000001</v>
      </c>
      <c r="H11" s="1">
        <f t="shared" si="0"/>
        <v>-0.20344031281078159</v>
      </c>
    </row>
    <row r="12" spans="3:8" x14ac:dyDescent="0.25">
      <c r="C12">
        <v>32</v>
      </c>
      <c r="D12">
        <v>12288</v>
      </c>
      <c r="F12">
        <v>1.932736</v>
      </c>
      <c r="G12">
        <v>1.498451</v>
      </c>
      <c r="H12" s="1">
        <f t="shared" si="0"/>
        <v>-0.224699596840955</v>
      </c>
    </row>
    <row r="13" spans="3:8" x14ac:dyDescent="0.25">
      <c r="C13">
        <v>32</v>
      </c>
      <c r="D13">
        <v>13312</v>
      </c>
      <c r="F13">
        <v>2.087815</v>
      </c>
      <c r="G13">
        <v>1.6434690000000001</v>
      </c>
      <c r="H13" s="1">
        <f t="shared" si="0"/>
        <v>-0.21282824388176153</v>
      </c>
    </row>
    <row r="14" spans="3:8" x14ac:dyDescent="0.25">
      <c r="C14">
        <v>32</v>
      </c>
      <c r="D14">
        <v>14336</v>
      </c>
      <c r="F14">
        <v>2.236583</v>
      </c>
      <c r="G14">
        <v>1.7404090000000001</v>
      </c>
      <c r="H14" s="1">
        <f t="shared" si="0"/>
        <v>-0.22184466214757059</v>
      </c>
    </row>
    <row r="15" spans="3:8" x14ac:dyDescent="0.25">
      <c r="C15">
        <v>32</v>
      </c>
      <c r="D15">
        <v>15360</v>
      </c>
      <c r="F15">
        <v>2.398444</v>
      </c>
      <c r="G15">
        <v>1.8624830000000001</v>
      </c>
      <c r="H15" s="1">
        <f t="shared" si="0"/>
        <v>-0.22346196117149281</v>
      </c>
    </row>
    <row r="16" spans="3:8" x14ac:dyDescent="0.25">
      <c r="C16">
        <v>32</v>
      </c>
      <c r="D16">
        <v>16384</v>
      </c>
      <c r="F16">
        <v>2.566662</v>
      </c>
      <c r="G16">
        <v>1.950515</v>
      </c>
      <c r="H16" s="1">
        <f t="shared" si="0"/>
        <v>-0.24005770919583491</v>
      </c>
    </row>
    <row r="17" spans="3:8" x14ac:dyDescent="0.25">
      <c r="C17">
        <v>64</v>
      </c>
      <c r="D17">
        <v>2048</v>
      </c>
      <c r="F17">
        <v>0.70019200000000004</v>
      </c>
      <c r="G17">
        <v>0.56428800000000001</v>
      </c>
      <c r="H17" s="1">
        <f t="shared" si="0"/>
        <v>-0.19409533385128652</v>
      </c>
    </row>
    <row r="18" spans="3:8" x14ac:dyDescent="0.25">
      <c r="C18">
        <v>64</v>
      </c>
      <c r="D18">
        <v>3072</v>
      </c>
      <c r="F18">
        <v>1.020467</v>
      </c>
      <c r="G18">
        <v>0.83190399999999998</v>
      </c>
      <c r="H18" s="1">
        <f t="shared" si="0"/>
        <v>-0.1847810855226088</v>
      </c>
    </row>
    <row r="19" spans="3:8" x14ac:dyDescent="0.25">
      <c r="C19">
        <v>64</v>
      </c>
      <c r="D19">
        <v>4096</v>
      </c>
      <c r="F19">
        <v>1.32151</v>
      </c>
      <c r="G19">
        <v>1.0922369999999999</v>
      </c>
      <c r="H19" s="1">
        <f t="shared" si="0"/>
        <v>-0.17349320095950849</v>
      </c>
    </row>
    <row r="20" spans="3:8" x14ac:dyDescent="0.25">
      <c r="C20">
        <v>64</v>
      </c>
      <c r="D20">
        <v>5120</v>
      </c>
      <c r="F20">
        <v>1.63479</v>
      </c>
      <c r="G20">
        <v>1.3128899999999999</v>
      </c>
      <c r="H20" s="1">
        <f t="shared" si="0"/>
        <v>-0.19690602462701637</v>
      </c>
    </row>
    <row r="21" spans="3:8" x14ac:dyDescent="0.25">
      <c r="C21">
        <v>64</v>
      </c>
      <c r="D21">
        <v>6144</v>
      </c>
      <c r="F21">
        <v>1.9394629999999999</v>
      </c>
      <c r="G21">
        <v>1.519123</v>
      </c>
      <c r="H21" s="1">
        <f t="shared" si="0"/>
        <v>-0.21673009487677772</v>
      </c>
    </row>
    <row r="22" spans="3:8" x14ac:dyDescent="0.25">
      <c r="C22">
        <v>64</v>
      </c>
      <c r="D22">
        <v>7168</v>
      </c>
      <c r="F22">
        <v>2.2497340000000001</v>
      </c>
      <c r="G22">
        <v>1.77264</v>
      </c>
      <c r="H22" s="1">
        <f t="shared" si="0"/>
        <v>-0.21206684879190166</v>
      </c>
    </row>
    <row r="23" spans="3:8" x14ac:dyDescent="0.25">
      <c r="C23">
        <v>64</v>
      </c>
      <c r="D23">
        <v>8192</v>
      </c>
      <c r="F23">
        <v>2.5840770000000002</v>
      </c>
      <c r="G23">
        <v>1.99895</v>
      </c>
      <c r="H23" s="1">
        <f t="shared" si="0"/>
        <v>-0.22643558996113511</v>
      </c>
    </row>
    <row r="24" spans="3:8" x14ac:dyDescent="0.25">
      <c r="C24">
        <v>64</v>
      </c>
      <c r="D24">
        <v>9216</v>
      </c>
      <c r="F24">
        <v>2.901786</v>
      </c>
      <c r="G24">
        <v>2.2332740000000002</v>
      </c>
      <c r="H24" s="1">
        <f t="shared" si="0"/>
        <v>-0.23037949731648019</v>
      </c>
    </row>
    <row r="25" spans="3:8" x14ac:dyDescent="0.25">
      <c r="C25">
        <v>64</v>
      </c>
      <c r="D25">
        <v>10240</v>
      </c>
      <c r="F25">
        <v>3.245101</v>
      </c>
      <c r="G25">
        <v>2.43696</v>
      </c>
      <c r="H25" s="1">
        <f t="shared" si="0"/>
        <v>-0.24903415949149194</v>
      </c>
    </row>
    <row r="26" spans="3:8" x14ac:dyDescent="0.25">
      <c r="C26">
        <v>64</v>
      </c>
      <c r="D26">
        <v>11264</v>
      </c>
      <c r="F26">
        <v>3.5503800000000001</v>
      </c>
      <c r="G26">
        <v>2.682042</v>
      </c>
      <c r="H26" s="1">
        <f t="shared" si="0"/>
        <v>-0.24457607354705693</v>
      </c>
    </row>
    <row r="27" spans="3:8" x14ac:dyDescent="0.25">
      <c r="C27">
        <v>64</v>
      </c>
      <c r="D27">
        <v>12288</v>
      </c>
      <c r="F27">
        <v>3.8783690000000002</v>
      </c>
      <c r="G27">
        <v>2.9270529999999999</v>
      </c>
      <c r="H27" s="1">
        <f t="shared" si="0"/>
        <v>-0.24528764539939346</v>
      </c>
    </row>
    <row r="28" spans="3:8" x14ac:dyDescent="0.25">
      <c r="C28">
        <v>64</v>
      </c>
      <c r="D28">
        <v>13312</v>
      </c>
      <c r="F28">
        <v>4.2075649999999998</v>
      </c>
      <c r="G28">
        <v>3.159904</v>
      </c>
      <c r="H28" s="1">
        <f t="shared" si="0"/>
        <v>-0.24899460852060509</v>
      </c>
    </row>
    <row r="29" spans="3:8" x14ac:dyDescent="0.25">
      <c r="C29">
        <v>64</v>
      </c>
      <c r="D29">
        <v>14336</v>
      </c>
      <c r="F29">
        <v>4.542484</v>
      </c>
      <c r="G29">
        <v>3.3575349999999999</v>
      </c>
      <c r="H29" s="1">
        <f t="shared" si="0"/>
        <v>-0.26085925674146571</v>
      </c>
    </row>
    <row r="30" spans="3:8" x14ac:dyDescent="0.25">
      <c r="C30">
        <v>64</v>
      </c>
      <c r="D30">
        <v>15360</v>
      </c>
      <c r="F30">
        <v>4.8597570000000001</v>
      </c>
      <c r="G30">
        <v>3.645248</v>
      </c>
      <c r="H30" s="1">
        <f t="shared" si="0"/>
        <v>-0.24991146676675399</v>
      </c>
    </row>
    <row r="31" spans="3:8" x14ac:dyDescent="0.25">
      <c r="C31">
        <v>64</v>
      </c>
      <c r="D31">
        <v>16384</v>
      </c>
      <c r="F31">
        <v>5.1751240000000003</v>
      </c>
      <c r="G31">
        <v>3.8868670000000001</v>
      </c>
      <c r="H31" s="1">
        <f t="shared" si="0"/>
        <v>-0.24893258596315762</v>
      </c>
    </row>
    <row r="32" spans="3:8" x14ac:dyDescent="0.25">
      <c r="C32">
        <v>128</v>
      </c>
      <c r="D32">
        <v>2048</v>
      </c>
      <c r="F32">
        <v>0.99282599999999999</v>
      </c>
      <c r="G32">
        <v>1.0688899999999999</v>
      </c>
      <c r="H32" s="1">
        <f t="shared" si="0"/>
        <v>7.6613626154028919E-2</v>
      </c>
    </row>
    <row r="33" spans="3:8" x14ac:dyDescent="0.25">
      <c r="C33">
        <v>128</v>
      </c>
      <c r="D33">
        <v>3072</v>
      </c>
      <c r="F33">
        <v>1.4257599999999999</v>
      </c>
      <c r="G33">
        <v>1.5176449999999999</v>
      </c>
      <c r="H33" s="1">
        <f t="shared" si="0"/>
        <v>6.4446330378184272E-2</v>
      </c>
    </row>
    <row r="34" spans="3:8" x14ac:dyDescent="0.25">
      <c r="C34">
        <v>128</v>
      </c>
      <c r="D34">
        <v>4096</v>
      </c>
      <c r="F34">
        <v>1.8597760000000001</v>
      </c>
      <c r="G34">
        <v>2.0464579999999999</v>
      </c>
      <c r="H34" s="1">
        <f t="shared" si="0"/>
        <v>0.10037875529095966</v>
      </c>
    </row>
    <row r="35" spans="3:8" x14ac:dyDescent="0.25">
      <c r="C35">
        <v>128</v>
      </c>
      <c r="D35">
        <v>5120</v>
      </c>
      <c r="F35">
        <v>2.324519</v>
      </c>
      <c r="G35">
        <v>2.4975559999999999</v>
      </c>
      <c r="H35" s="1">
        <f t="shared" si="0"/>
        <v>7.4439916387003022E-2</v>
      </c>
    </row>
    <row r="36" spans="3:8" x14ac:dyDescent="0.25">
      <c r="C36">
        <v>128</v>
      </c>
      <c r="D36">
        <v>6144</v>
      </c>
      <c r="F36">
        <v>2.717101</v>
      </c>
      <c r="G36">
        <v>2.9653369999999999</v>
      </c>
      <c r="H36" s="1">
        <f t="shared" si="0"/>
        <v>9.136060823649908E-2</v>
      </c>
    </row>
    <row r="37" spans="3:8" x14ac:dyDescent="0.25">
      <c r="C37">
        <v>128</v>
      </c>
      <c r="D37">
        <v>7168</v>
      </c>
      <c r="F37">
        <v>3.143103</v>
      </c>
      <c r="G37">
        <v>3.4363709999999998</v>
      </c>
      <c r="H37" s="1">
        <f t="shared" si="0"/>
        <v>9.3305246439585293E-2</v>
      </c>
    </row>
    <row r="38" spans="3:8" x14ac:dyDescent="0.25">
      <c r="C38">
        <v>128</v>
      </c>
      <c r="D38">
        <v>8192</v>
      </c>
      <c r="F38">
        <v>3.5724670000000001</v>
      </c>
      <c r="G38">
        <v>3.8485369999999999</v>
      </c>
      <c r="H38" s="1">
        <f t="shared" si="0"/>
        <v>7.727713090141905E-2</v>
      </c>
    </row>
    <row r="39" spans="3:8" x14ac:dyDescent="0.25">
      <c r="C39">
        <v>128</v>
      </c>
      <c r="D39">
        <v>9216</v>
      </c>
      <c r="F39">
        <v>4.006049</v>
      </c>
      <c r="G39">
        <v>4.3076670000000004</v>
      </c>
      <c r="H39" s="1">
        <f t="shared" si="0"/>
        <v>7.5290641727048371E-2</v>
      </c>
    </row>
    <row r="40" spans="3:8" x14ac:dyDescent="0.25">
      <c r="C40">
        <v>128</v>
      </c>
      <c r="D40">
        <v>10240</v>
      </c>
      <c r="F40">
        <v>4.4345929999999996</v>
      </c>
      <c r="G40">
        <v>4.6902720000000002</v>
      </c>
      <c r="H40" s="1">
        <f t="shared" si="0"/>
        <v>5.7655572901504304E-2</v>
      </c>
    </row>
    <row r="41" spans="3:8" x14ac:dyDescent="0.25">
      <c r="C41">
        <v>128</v>
      </c>
      <c r="D41">
        <v>11264</v>
      </c>
      <c r="F41">
        <v>4.8607570000000004</v>
      </c>
      <c r="G41">
        <v>5.1973029999999998</v>
      </c>
      <c r="H41" s="1">
        <f t="shared" si="0"/>
        <v>6.9237363645209854E-2</v>
      </c>
    </row>
    <row r="42" spans="3:8" x14ac:dyDescent="0.25">
      <c r="C42">
        <v>128</v>
      </c>
      <c r="D42">
        <v>12288</v>
      </c>
      <c r="F42">
        <v>5.2922760000000002</v>
      </c>
      <c r="G42">
        <v>5.7644219999999997</v>
      </c>
      <c r="H42" s="1">
        <f t="shared" si="0"/>
        <v>8.9214167968563907E-2</v>
      </c>
    </row>
    <row r="43" spans="3:8" x14ac:dyDescent="0.25">
      <c r="C43">
        <v>128</v>
      </c>
      <c r="D43">
        <v>13312</v>
      </c>
      <c r="F43">
        <v>5.7210609999999997</v>
      </c>
      <c r="G43">
        <v>6.206715</v>
      </c>
      <c r="H43" s="1">
        <f t="shared" si="0"/>
        <v>8.4888799472685267E-2</v>
      </c>
    </row>
    <row r="44" spans="3:8" x14ac:dyDescent="0.25">
      <c r="C44">
        <v>128</v>
      </c>
      <c r="D44">
        <v>14336</v>
      </c>
      <c r="F44">
        <v>6.1570299999999998</v>
      </c>
      <c r="G44">
        <v>6.7183109999999999</v>
      </c>
      <c r="H44" s="1">
        <f t="shared" si="0"/>
        <v>9.1160998078619104E-2</v>
      </c>
    </row>
    <row r="45" spans="3:8" x14ac:dyDescent="0.25">
      <c r="C45">
        <v>128</v>
      </c>
      <c r="D45">
        <v>15360</v>
      </c>
      <c r="F45">
        <v>6.5764170000000002</v>
      </c>
      <c r="G45">
        <v>7.122147</v>
      </c>
      <c r="H45" s="1">
        <f t="shared" si="0"/>
        <v>8.2982876542044059E-2</v>
      </c>
    </row>
    <row r="46" spans="3:8" x14ac:dyDescent="0.25">
      <c r="C46">
        <v>128</v>
      </c>
      <c r="D46">
        <v>16384</v>
      </c>
      <c r="F46">
        <v>7.0021930000000001</v>
      </c>
      <c r="G46">
        <v>7.5441089999999997</v>
      </c>
      <c r="H46" s="1">
        <f t="shared" si="0"/>
        <v>7.7392325518591043E-2</v>
      </c>
    </row>
    <row r="47" spans="3:8" x14ac:dyDescent="0.25">
      <c r="C47">
        <v>256</v>
      </c>
      <c r="D47">
        <v>2048</v>
      </c>
      <c r="F47">
        <v>1.935392</v>
      </c>
      <c r="G47">
        <v>2.1218240000000002</v>
      </c>
      <c r="H47" s="1">
        <f t="shared" si="0"/>
        <v>9.6327772358261357E-2</v>
      </c>
    </row>
    <row r="48" spans="3:8" x14ac:dyDescent="0.25">
      <c r="C48">
        <v>256</v>
      </c>
      <c r="D48">
        <v>3072</v>
      </c>
      <c r="F48">
        <v>2.7900990000000001</v>
      </c>
      <c r="G48">
        <v>2.992756</v>
      </c>
      <c r="H48" s="1">
        <f t="shared" si="0"/>
        <v>7.2634340215167945E-2</v>
      </c>
    </row>
    <row r="49" spans="3:8" x14ac:dyDescent="0.25">
      <c r="C49">
        <v>256</v>
      </c>
      <c r="D49">
        <v>4096</v>
      </c>
      <c r="F49">
        <v>3.660825</v>
      </c>
      <c r="G49">
        <v>3.972966</v>
      </c>
      <c r="H49" s="1">
        <f t="shared" si="0"/>
        <v>8.5265206613263408E-2</v>
      </c>
    </row>
    <row r="50" spans="3:8" x14ac:dyDescent="0.25">
      <c r="C50">
        <v>256</v>
      </c>
      <c r="D50">
        <v>5120</v>
      </c>
      <c r="F50">
        <v>4.5209869999999999</v>
      </c>
      <c r="G50">
        <v>4.8302519999999998</v>
      </c>
      <c r="H50" s="1">
        <f t="shared" si="0"/>
        <v>6.8406522734969138E-2</v>
      </c>
    </row>
    <row r="51" spans="3:8" x14ac:dyDescent="0.25">
      <c r="C51">
        <v>256</v>
      </c>
      <c r="D51">
        <v>6144</v>
      </c>
      <c r="F51">
        <v>5.3719619999999999</v>
      </c>
      <c r="G51">
        <v>5.7297989999999999</v>
      </c>
      <c r="H51" s="1">
        <f t="shared" si="0"/>
        <v>6.6611975289475239E-2</v>
      </c>
    </row>
    <row r="52" spans="3:8" x14ac:dyDescent="0.25">
      <c r="C52">
        <v>256</v>
      </c>
      <c r="D52">
        <v>7168</v>
      </c>
      <c r="F52">
        <v>6.2276020000000001</v>
      </c>
      <c r="G52">
        <v>6.7317239999999998</v>
      </c>
      <c r="H52" s="1">
        <f t="shared" si="0"/>
        <v>8.094961752533314E-2</v>
      </c>
    </row>
    <row r="53" spans="3:8" x14ac:dyDescent="0.25">
      <c r="C53">
        <v>256</v>
      </c>
      <c r="D53">
        <v>8192</v>
      </c>
      <c r="F53">
        <v>7.083736</v>
      </c>
      <c r="G53">
        <v>7.8188019999999998</v>
      </c>
      <c r="H53" s="1">
        <f t="shared" si="0"/>
        <v>0.10376812461672764</v>
      </c>
    </row>
    <row r="54" spans="3:8" x14ac:dyDescent="0.25">
      <c r="C54">
        <v>256</v>
      </c>
      <c r="D54">
        <v>9216</v>
      </c>
      <c r="F54">
        <v>7.9489280000000004</v>
      </c>
      <c r="G54">
        <v>8.4378170000000008</v>
      </c>
      <c r="H54" s="1">
        <f t="shared" si="0"/>
        <v>6.1503765035989796E-2</v>
      </c>
    </row>
    <row r="55" spans="3:8" x14ac:dyDescent="0.25">
      <c r="C55">
        <v>256</v>
      </c>
      <c r="D55">
        <v>10240</v>
      </c>
      <c r="F55">
        <v>8.7992010000000001</v>
      </c>
      <c r="G55">
        <v>9.3491590000000002</v>
      </c>
      <c r="H55" s="1">
        <f t="shared" si="0"/>
        <v>6.2500902070540293E-2</v>
      </c>
    </row>
    <row r="56" spans="3:8" x14ac:dyDescent="0.25">
      <c r="C56">
        <v>256</v>
      </c>
      <c r="D56">
        <v>11264</v>
      </c>
      <c r="F56">
        <v>9.6625139999999998</v>
      </c>
      <c r="G56">
        <v>10.307263000000001</v>
      </c>
      <c r="H56" s="1">
        <f t="shared" si="0"/>
        <v>6.6726837342745468E-2</v>
      </c>
    </row>
    <row r="57" spans="3:8" x14ac:dyDescent="0.25">
      <c r="C57">
        <v>256</v>
      </c>
      <c r="D57">
        <v>12288</v>
      </c>
      <c r="F57">
        <v>10.527340000000001</v>
      </c>
      <c r="G57">
        <v>11.436044000000001</v>
      </c>
      <c r="H57" s="1">
        <f t="shared" si="0"/>
        <v>8.6318481211778111E-2</v>
      </c>
    </row>
    <row r="58" spans="3:8" x14ac:dyDescent="0.25">
      <c r="C58">
        <v>256</v>
      </c>
      <c r="D58">
        <v>13312</v>
      </c>
      <c r="F58">
        <v>11.387015</v>
      </c>
      <c r="G58">
        <v>12.134034</v>
      </c>
      <c r="H58" s="1">
        <f t="shared" si="0"/>
        <v>6.560270624039749E-2</v>
      </c>
    </row>
    <row r="59" spans="3:8" x14ac:dyDescent="0.25">
      <c r="C59">
        <v>256</v>
      </c>
      <c r="D59">
        <v>14336</v>
      </c>
      <c r="F59">
        <v>12.239259000000001</v>
      </c>
      <c r="G59">
        <v>13.147793999999999</v>
      </c>
      <c r="H59" s="1">
        <f t="shared" si="0"/>
        <v>7.4231209585482155E-2</v>
      </c>
    </row>
    <row r="60" spans="3:8" x14ac:dyDescent="0.25">
      <c r="C60">
        <v>256</v>
      </c>
      <c r="D60">
        <v>15360</v>
      </c>
      <c r="F60">
        <v>13.113701000000001</v>
      </c>
      <c r="G60">
        <v>14.084034000000001</v>
      </c>
      <c r="H60" s="1">
        <f t="shared" si="0"/>
        <v>7.3993832862286557E-2</v>
      </c>
    </row>
    <row r="61" spans="3:8" x14ac:dyDescent="0.25">
      <c r="C61">
        <v>256</v>
      </c>
      <c r="D61">
        <v>16384</v>
      </c>
      <c r="F61">
        <v>14.000928</v>
      </c>
      <c r="G61">
        <v>15.005587999999999</v>
      </c>
      <c r="H61" s="1">
        <f t="shared" si="0"/>
        <v>7.1756672129161689E-2</v>
      </c>
    </row>
    <row r="62" spans="3:8" x14ac:dyDescent="0.25">
      <c r="C62">
        <v>512</v>
      </c>
      <c r="D62">
        <v>2048</v>
      </c>
      <c r="F62">
        <v>3.8795519999999999</v>
      </c>
      <c r="G62">
        <v>4.2126520000000003</v>
      </c>
      <c r="H62" s="1">
        <f t="shared" si="0"/>
        <v>8.5860429245438755E-2</v>
      </c>
    </row>
    <row r="63" spans="3:8" x14ac:dyDescent="0.25">
      <c r="C63">
        <v>512</v>
      </c>
      <c r="D63">
        <v>3072</v>
      </c>
      <c r="F63">
        <v>5.6716049999999996</v>
      </c>
      <c r="G63">
        <v>6.143256</v>
      </c>
      <c r="H63" s="1">
        <f t="shared" si="0"/>
        <v>8.3160057867217571E-2</v>
      </c>
    </row>
    <row r="64" spans="3:8" x14ac:dyDescent="0.25">
      <c r="C64">
        <v>512</v>
      </c>
      <c r="D64">
        <v>4096</v>
      </c>
      <c r="F64">
        <v>7.3655249999999999</v>
      </c>
      <c r="G64">
        <v>7.9984080000000004</v>
      </c>
      <c r="H64" s="1">
        <f t="shared" si="0"/>
        <v>8.5925035893571811E-2</v>
      </c>
    </row>
    <row r="65" spans="3:8" x14ac:dyDescent="0.25">
      <c r="C65">
        <v>512</v>
      </c>
      <c r="D65">
        <v>5120</v>
      </c>
      <c r="F65">
        <v>9.0346039999999999</v>
      </c>
      <c r="G65">
        <v>9.773237</v>
      </c>
      <c r="H65" s="1">
        <f t="shared" si="0"/>
        <v>8.1755990633347084E-2</v>
      </c>
    </row>
    <row r="66" spans="3:8" x14ac:dyDescent="0.25">
      <c r="C66">
        <v>512</v>
      </c>
      <c r="D66">
        <v>6144</v>
      </c>
      <c r="F66">
        <v>10.748487000000001</v>
      </c>
      <c r="G66">
        <v>11.694894</v>
      </c>
      <c r="H66" s="1">
        <f t="shared" ref="H66:H75" si="1">(G66-F66)/F66</f>
        <v>8.8050253026309547E-2</v>
      </c>
    </row>
    <row r="67" spans="3:8" x14ac:dyDescent="0.25">
      <c r="C67">
        <v>512</v>
      </c>
      <c r="D67">
        <v>7168</v>
      </c>
      <c r="F67">
        <v>12.555794000000001</v>
      </c>
      <c r="G67">
        <v>13.468035</v>
      </c>
      <c r="H67" s="1">
        <f t="shared" si="1"/>
        <v>7.2654983030145268E-2</v>
      </c>
    </row>
    <row r="68" spans="3:8" x14ac:dyDescent="0.25">
      <c r="C68">
        <v>512</v>
      </c>
      <c r="D68">
        <v>8192</v>
      </c>
      <c r="F68">
        <v>14.202012</v>
      </c>
      <c r="G68">
        <v>15.220687</v>
      </c>
      <c r="H68" s="1">
        <f t="shared" si="1"/>
        <v>7.172751297492215E-2</v>
      </c>
    </row>
    <row r="69" spans="3:8" x14ac:dyDescent="0.25">
      <c r="C69">
        <v>512</v>
      </c>
      <c r="D69">
        <v>9216</v>
      </c>
      <c r="F69">
        <v>16.042172999999998</v>
      </c>
      <c r="G69">
        <v>16.984940000000002</v>
      </c>
      <c r="H69" s="1">
        <f t="shared" si="1"/>
        <v>5.8768035976173777E-2</v>
      </c>
    </row>
    <row r="70" spans="3:8" x14ac:dyDescent="0.25">
      <c r="C70">
        <v>512</v>
      </c>
      <c r="D70">
        <v>10240</v>
      </c>
      <c r="F70">
        <v>17.857761</v>
      </c>
      <c r="G70">
        <v>18.886921000000001</v>
      </c>
      <c r="H70" s="1">
        <f t="shared" si="1"/>
        <v>5.7630965046514007E-2</v>
      </c>
    </row>
    <row r="71" spans="3:8" x14ac:dyDescent="0.25">
      <c r="C71">
        <v>512</v>
      </c>
      <c r="D71">
        <v>11264</v>
      </c>
      <c r="F71">
        <v>19.686966000000002</v>
      </c>
      <c r="G71">
        <v>20.609304000000002</v>
      </c>
      <c r="H71" s="1">
        <f t="shared" si="1"/>
        <v>4.685018504120949E-2</v>
      </c>
    </row>
    <row r="72" spans="3:8" x14ac:dyDescent="0.25">
      <c r="C72">
        <v>512</v>
      </c>
      <c r="D72">
        <v>12288</v>
      </c>
      <c r="F72">
        <v>21.461319</v>
      </c>
      <c r="G72">
        <v>22.658473999999998</v>
      </c>
      <c r="H72" s="1">
        <f t="shared" si="1"/>
        <v>5.5781986186403489E-2</v>
      </c>
    </row>
    <row r="73" spans="3:8" x14ac:dyDescent="0.25">
      <c r="C73">
        <v>512</v>
      </c>
      <c r="D73">
        <v>13312</v>
      </c>
      <c r="F73">
        <v>23.261797000000001</v>
      </c>
      <c r="G73">
        <v>24.292656000000001</v>
      </c>
      <c r="H73" s="1">
        <f t="shared" si="1"/>
        <v>4.4315535897764026E-2</v>
      </c>
    </row>
    <row r="74" spans="3:8" x14ac:dyDescent="0.25">
      <c r="C74">
        <v>512</v>
      </c>
      <c r="D74">
        <v>14336</v>
      </c>
      <c r="F74">
        <v>25.047718</v>
      </c>
      <c r="G74">
        <v>26.082771000000001</v>
      </c>
      <c r="H74" s="1">
        <f t="shared" si="1"/>
        <v>4.1323245494859107E-2</v>
      </c>
    </row>
    <row r="75" spans="3:8" x14ac:dyDescent="0.25">
      <c r="C75">
        <v>512</v>
      </c>
      <c r="D75">
        <v>15360</v>
      </c>
      <c r="F75">
        <v>26.881416000000002</v>
      </c>
      <c r="G75">
        <v>27.919712000000001</v>
      </c>
      <c r="H75" s="1">
        <f t="shared" si="1"/>
        <v>3.8625048620950585E-2</v>
      </c>
    </row>
    <row r="76" spans="3:8" x14ac:dyDescent="0.25">
      <c r="C76">
        <v>512</v>
      </c>
      <c r="D76">
        <v>16384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1~128</vt:lpstr>
      <vt:lpstr>32~512</vt:lpstr>
      <vt:lpstr>长seq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Li</dc:creator>
  <cp:lastModifiedBy>Zheng Li</cp:lastModifiedBy>
  <dcterms:created xsi:type="dcterms:W3CDTF">2025-09-19T08:26:37Z</dcterms:created>
  <dcterms:modified xsi:type="dcterms:W3CDTF">2025-09-19T09:35:39Z</dcterms:modified>
</cp:coreProperties>
</file>