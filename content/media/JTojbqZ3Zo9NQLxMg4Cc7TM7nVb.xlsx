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lama2-70B\"/>
    </mc:Choice>
  </mc:AlternateContent>
  <bookViews>
    <workbookView xWindow="0" yWindow="0" windowWidth="14380" windowHeight="4130" activeTab="2"/>
  </bookViews>
  <sheets>
    <sheet name="模型CASE性能-BF16-S8" sheetId="2" r:id="rId1"/>
    <sheet name="模型CASE性能-BF16-BF16" sheetId="3" r:id="rId2"/>
    <sheet name="性能汇总" sheetId="10" r:id="rId3"/>
    <sheet name="Sheet4" sheetId="11" r:id="rId4"/>
    <sheet name="Sheet2" sheetId="9" r:id="rId5"/>
    <sheet name="Sheet1" sheetId="8" r:id="rId6"/>
    <sheet name="H&lt;=64 TLR" sheetId="7" r:id="rId7"/>
    <sheet name="模板化kw" sheetId="5" r:id="rId8"/>
    <sheet name="H_512_1 vs H_512_2" sheetId="4" r:id="rId9"/>
    <sheet name="output_is_uma" sheetId="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0" l="1"/>
  <c r="I76" i="10"/>
  <c r="I77" i="10"/>
  <c r="I78" i="10"/>
  <c r="I79" i="10"/>
  <c r="I80" i="10"/>
  <c r="I81" i="10"/>
  <c r="I82" i="10"/>
  <c r="I83" i="10"/>
  <c r="I84" i="10"/>
  <c r="I85" i="10"/>
  <c r="J75" i="10"/>
  <c r="J76" i="10"/>
  <c r="J77" i="10"/>
  <c r="J78" i="10"/>
  <c r="J79" i="10"/>
  <c r="J80" i="10"/>
  <c r="J81" i="10"/>
  <c r="J82" i="10"/>
  <c r="J83" i="10"/>
  <c r="J84" i="10"/>
  <c r="J85" i="10"/>
  <c r="N82" i="10" l="1"/>
  <c r="M82" i="10"/>
  <c r="N81" i="10"/>
  <c r="M81" i="10"/>
  <c r="N80" i="10"/>
  <c r="M80" i="10"/>
  <c r="N76" i="10"/>
  <c r="M76" i="10"/>
  <c r="N75" i="10"/>
  <c r="M75" i="10"/>
  <c r="N74" i="10"/>
  <c r="M74" i="10"/>
  <c r="J74" i="10"/>
  <c r="I74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3" i="10"/>
  <c r="N66" i="10" s="1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3" i="10"/>
  <c r="I3" i="10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3" i="3"/>
  <c r="H10" i="8"/>
  <c r="H6" i="8"/>
  <c r="H7" i="8"/>
  <c r="H8" i="8"/>
  <c r="H9" i="8"/>
  <c r="H11" i="8"/>
  <c r="U41" i="3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8" i="2"/>
  <c r="J6" i="8"/>
  <c r="I7" i="8"/>
  <c r="K7" i="8" s="1"/>
  <c r="N7" i="8" s="1"/>
  <c r="O7" i="8" s="1"/>
  <c r="P7" i="8" s="1"/>
  <c r="I8" i="8"/>
  <c r="K8" i="8" s="1"/>
  <c r="I9" i="8"/>
  <c r="I10" i="8"/>
  <c r="I11" i="8"/>
  <c r="I6" i="8"/>
  <c r="H4" i="8"/>
  <c r="N4" i="8" s="1"/>
  <c r="O4" i="8" s="1"/>
  <c r="P4" i="8" s="1"/>
  <c r="H5" i="8"/>
  <c r="N5" i="8" s="1"/>
  <c r="O5" i="8" s="1"/>
  <c r="P5" i="8" s="1"/>
  <c r="H3" i="8"/>
  <c r="N3" i="8" s="1"/>
  <c r="O3" i="8" s="1"/>
  <c r="P3" i="8" s="1"/>
  <c r="J7" i="8"/>
  <c r="J8" i="8"/>
  <c r="J9" i="8"/>
  <c r="K9" i="8" s="1"/>
  <c r="J10" i="8"/>
  <c r="J11" i="8"/>
  <c r="I4" i="8"/>
  <c r="I5" i="8"/>
  <c r="K10" i="8"/>
  <c r="I3" i="8"/>
  <c r="L6" i="8"/>
  <c r="L7" i="8"/>
  <c r="L8" i="8"/>
  <c r="L9" i="8"/>
  <c r="L10" i="8"/>
  <c r="L11" i="8"/>
  <c r="L4" i="8"/>
  <c r="L5" i="8"/>
  <c r="L3" i="8"/>
  <c r="G11" i="8"/>
  <c r="G3" i="8"/>
  <c r="G4" i="8"/>
  <c r="G5" i="8"/>
  <c r="G6" i="8"/>
  <c r="G7" i="8"/>
  <c r="G8" i="8"/>
  <c r="G9" i="8"/>
  <c r="G10" i="8"/>
  <c r="J66" i="10" l="1"/>
  <c r="M5" i="8"/>
  <c r="Q5" i="8" s="1"/>
  <c r="M4" i="8"/>
  <c r="Q4" i="8" s="1"/>
  <c r="K6" i="8"/>
  <c r="N6" i="8" s="1"/>
  <c r="O6" i="8" s="1"/>
  <c r="P6" i="8" s="1"/>
  <c r="K11" i="8"/>
  <c r="M11" i="8" s="1"/>
  <c r="Q11" i="8" s="1"/>
  <c r="M7" i="8"/>
  <c r="Q7" i="8" s="1"/>
  <c r="N10" i="8"/>
  <c r="O10" i="8" s="1"/>
  <c r="P10" i="8" s="1"/>
  <c r="M10" i="8"/>
  <c r="Q10" i="8" s="1"/>
  <c r="N11" i="8"/>
  <c r="O11" i="8" s="1"/>
  <c r="P11" i="8" s="1"/>
  <c r="N9" i="8"/>
  <c r="O9" i="8" s="1"/>
  <c r="P9" i="8" s="1"/>
  <c r="N8" i="8"/>
  <c r="O8" i="8" s="1"/>
  <c r="P8" i="8" s="1"/>
  <c r="M3" i="8"/>
  <c r="Q3" i="8" s="1"/>
  <c r="M9" i="8"/>
  <c r="Q9" i="8" s="1"/>
  <c r="M8" i="8"/>
  <c r="Q8" i="8" s="1"/>
  <c r="G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3" i="3"/>
  <c r="H10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3" i="3"/>
  <c r="U66" i="3" l="1"/>
  <c r="M6" i="8"/>
  <c r="Q6" i="8" s="1"/>
  <c r="J65" i="3"/>
  <c r="H4" i="3"/>
  <c r="H5" i="3"/>
  <c r="H6" i="3"/>
  <c r="H7" i="3"/>
  <c r="H8" i="3"/>
  <c r="H9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3" i="3"/>
  <c r="J3" i="3" s="1"/>
  <c r="G4" i="3"/>
  <c r="J4" i="3" s="1"/>
  <c r="G5" i="3"/>
  <c r="G6" i="3"/>
  <c r="J6" i="3" s="1"/>
  <c r="G7" i="3"/>
  <c r="G8" i="3"/>
  <c r="G9" i="3"/>
  <c r="J9" i="3" s="1"/>
  <c r="G10" i="3"/>
  <c r="J10" i="3" s="1"/>
  <c r="G11" i="3"/>
  <c r="G12" i="3"/>
  <c r="G13" i="3"/>
  <c r="J13" i="3" s="1"/>
  <c r="G14" i="3"/>
  <c r="G15" i="3"/>
  <c r="G16" i="3"/>
  <c r="G17" i="3"/>
  <c r="J17" i="3" s="1"/>
  <c r="G18" i="3"/>
  <c r="J18" i="3" s="1"/>
  <c r="G19" i="3"/>
  <c r="G20" i="3"/>
  <c r="G21" i="3"/>
  <c r="J21" i="3" s="1"/>
  <c r="G22" i="3"/>
  <c r="G23" i="3"/>
  <c r="J23" i="3" s="1"/>
  <c r="G24" i="3"/>
  <c r="G25" i="3"/>
  <c r="G26" i="3"/>
  <c r="J26" i="3" s="1"/>
  <c r="G27" i="3"/>
  <c r="G28" i="3"/>
  <c r="G29" i="3"/>
  <c r="J29" i="3" s="1"/>
  <c r="G30" i="3"/>
  <c r="G31" i="3"/>
  <c r="J31" i="3" s="1"/>
  <c r="G32" i="3"/>
  <c r="G33" i="3"/>
  <c r="J33" i="3" s="1"/>
  <c r="G34" i="3"/>
  <c r="J34" i="3" s="1"/>
  <c r="G35" i="3"/>
  <c r="G36" i="3"/>
  <c r="G37" i="3"/>
  <c r="J37" i="3" s="1"/>
  <c r="G38" i="3"/>
  <c r="G39" i="3"/>
  <c r="J39" i="3" s="1"/>
  <c r="G40" i="3"/>
  <c r="G41" i="3"/>
  <c r="J41" i="3" s="1"/>
  <c r="G42" i="3"/>
  <c r="J42" i="3" s="1"/>
  <c r="G43" i="3"/>
  <c r="G44" i="3"/>
  <c r="G45" i="3"/>
  <c r="J45" i="3" s="1"/>
  <c r="G46" i="3"/>
  <c r="G47" i="3"/>
  <c r="J47" i="3" s="1"/>
  <c r="G48" i="3"/>
  <c r="G49" i="3"/>
  <c r="J49" i="3" s="1"/>
  <c r="G50" i="3"/>
  <c r="J50" i="3" s="1"/>
  <c r="G51" i="3"/>
  <c r="G52" i="3"/>
  <c r="G53" i="3"/>
  <c r="J53" i="3" s="1"/>
  <c r="G54" i="3"/>
  <c r="G55" i="3"/>
  <c r="J55" i="3" s="1"/>
  <c r="G56" i="3"/>
  <c r="G57" i="3"/>
  <c r="G58" i="3"/>
  <c r="G59" i="3"/>
  <c r="G60" i="3"/>
  <c r="G61" i="3"/>
  <c r="J61" i="3" s="1"/>
  <c r="G62" i="3"/>
  <c r="G63" i="3"/>
  <c r="J63" i="3" s="1"/>
  <c r="G64" i="3"/>
  <c r="G65" i="3"/>
  <c r="J28" i="3" l="1"/>
  <c r="J58" i="3"/>
  <c r="J44" i="3"/>
  <c r="J57" i="3"/>
  <c r="J25" i="3"/>
  <c r="J52" i="3"/>
  <c r="J12" i="3"/>
  <c r="J60" i="3"/>
  <c r="J20" i="3"/>
  <c r="J36" i="3"/>
  <c r="J15" i="3"/>
  <c r="J7" i="3"/>
  <c r="J59" i="3"/>
  <c r="J51" i="3"/>
  <c r="J43" i="3"/>
  <c r="J35" i="3"/>
  <c r="J27" i="3"/>
  <c r="J19" i="3"/>
  <c r="J11" i="3"/>
  <c r="J64" i="3"/>
  <c r="J56" i="3"/>
  <c r="J48" i="3"/>
  <c r="J40" i="3"/>
  <c r="J32" i="3"/>
  <c r="J24" i="3"/>
  <c r="J16" i="3"/>
  <c r="J8" i="3"/>
  <c r="J62" i="3"/>
  <c r="J54" i="3"/>
  <c r="J46" i="3"/>
  <c r="J38" i="3"/>
  <c r="J30" i="3"/>
  <c r="J22" i="3"/>
  <c r="J14" i="3"/>
  <c r="J5" i="3"/>
  <c r="I3" i="5"/>
  <c r="I4" i="5"/>
  <c r="I5" i="5"/>
  <c r="I2" i="5"/>
  <c r="H3" i="5"/>
  <c r="H4" i="5"/>
  <c r="H5" i="5"/>
  <c r="H2" i="5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3" i="3"/>
  <c r="P3" i="3"/>
  <c r="N65" i="3" l="1"/>
  <c r="N64" i="3"/>
  <c r="N63" i="3"/>
  <c r="N59" i="3"/>
  <c r="N58" i="3"/>
  <c r="N57" i="3"/>
  <c r="N56" i="3"/>
  <c r="N55" i="3"/>
  <c r="N54" i="3"/>
  <c r="N51" i="3"/>
  <c r="N50" i="3"/>
  <c r="N49" i="3"/>
  <c r="N48" i="3"/>
  <c r="N47" i="3"/>
  <c r="N46" i="3"/>
  <c r="N45" i="3"/>
  <c r="N44" i="3"/>
  <c r="N43" i="3"/>
  <c r="N39" i="3"/>
  <c r="N38" i="3"/>
  <c r="N37" i="3"/>
  <c r="N36" i="3"/>
  <c r="N35" i="3"/>
  <c r="N34" i="3"/>
  <c r="N30" i="3"/>
  <c r="N29" i="3"/>
  <c r="N28" i="3"/>
  <c r="N27" i="3"/>
  <c r="N26" i="3"/>
  <c r="N25" i="3"/>
  <c r="N24" i="3"/>
  <c r="N23" i="3"/>
  <c r="N22" i="3"/>
  <c r="N21" i="3"/>
  <c r="N20" i="3"/>
  <c r="N19" i="3"/>
  <c r="N14" i="3"/>
  <c r="N13" i="3"/>
  <c r="N12" i="3"/>
  <c r="N11" i="3"/>
  <c r="N10" i="3"/>
  <c r="N9" i="3"/>
  <c r="N8" i="3"/>
  <c r="N7" i="3"/>
  <c r="N6" i="3"/>
</calcChain>
</file>

<file path=xl/sharedStrings.xml><?xml version="1.0" encoding="utf-8"?>
<sst xmlns="http://schemas.openxmlformats.org/spreadsheetml/2006/main" count="108" uniqueCount="74">
  <si>
    <t>模型名</t>
    <phoneticPr fontId="1" type="noConversion"/>
  </si>
  <si>
    <t>N</t>
    <phoneticPr fontId="1" type="noConversion"/>
  </si>
  <si>
    <t>H</t>
    <phoneticPr fontId="1" type="noConversion"/>
  </si>
  <si>
    <t>K</t>
    <phoneticPr fontId="1" type="noConversion"/>
  </si>
  <si>
    <t>W</t>
    <phoneticPr fontId="1" type="noConversion"/>
  </si>
  <si>
    <t>Time(ms)</t>
    <phoneticPr fontId="1" type="noConversion"/>
  </si>
  <si>
    <t>初版</t>
    <phoneticPr fontId="1" type="noConversion"/>
  </si>
  <si>
    <t>opt_case1(2*4,4*4)</t>
    <phoneticPr fontId="1" type="noConversion"/>
  </si>
  <si>
    <t>time</t>
    <phoneticPr fontId="1" type="noConversion"/>
  </si>
  <si>
    <t>变化</t>
    <phoneticPr fontId="1" type="noConversion"/>
  </si>
  <si>
    <t>chatGLM2_6B</t>
    <phoneticPr fontId="1" type="noConversion"/>
  </si>
  <si>
    <t>LLama1_7B/baichuan1_7B</t>
    <phoneticPr fontId="1" type="noConversion"/>
  </si>
  <si>
    <t>LLama2_70B(4卡)</t>
    <phoneticPr fontId="1" type="noConversion"/>
  </si>
  <si>
    <t>LLama1_13B</t>
    <phoneticPr fontId="1" type="noConversion"/>
  </si>
  <si>
    <t>baichuan1_13B(2卡)</t>
    <phoneticPr fontId="1" type="noConversion"/>
  </si>
  <si>
    <t>LLama1_13B(2卡）</t>
    <phoneticPr fontId="1" type="noConversion"/>
  </si>
  <si>
    <t>time</t>
    <phoneticPr fontId="1" type="noConversion"/>
  </si>
  <si>
    <t>变化</t>
    <phoneticPr fontId="1" type="noConversion"/>
  </si>
  <si>
    <t>H&lt;128 &amp;&amp; K&lt;=8192使用原来的</t>
    <phoneticPr fontId="1" type="noConversion"/>
  </si>
  <si>
    <t>H&lt;128 &amp;&amp; K&lt;=4096使用原来的</t>
    <phoneticPr fontId="1" type="noConversion"/>
  </si>
  <si>
    <t>opt_case1(4*2,2*8)+J3:J3:R50</t>
    <phoneticPr fontId="1" type="noConversion"/>
  </si>
  <si>
    <t>H_64 MY</t>
    <phoneticPr fontId="1" type="noConversion"/>
  </si>
  <si>
    <t>PeiFeng的代码</t>
    <phoneticPr fontId="1" type="noConversion"/>
  </si>
  <si>
    <t>模板化KW</t>
    <phoneticPr fontId="1" type="noConversion"/>
  </si>
  <si>
    <t>AVG</t>
    <phoneticPr fontId="1" type="noConversion"/>
  </si>
  <si>
    <t>原始</t>
    <phoneticPr fontId="1" type="noConversion"/>
  </si>
  <si>
    <t>LoadA</t>
    <phoneticPr fontId="1" type="noConversion"/>
  </si>
  <si>
    <t>LoadB</t>
    <phoneticPr fontId="1" type="noConversion"/>
  </si>
  <si>
    <t>Gemm</t>
    <phoneticPr fontId="1" type="noConversion"/>
  </si>
  <si>
    <t>A100</t>
    <phoneticPr fontId="1" type="noConversion"/>
  </si>
  <si>
    <t>TLR</t>
    <phoneticPr fontId="1" type="noConversion"/>
  </si>
  <si>
    <t>L2</t>
    <phoneticPr fontId="1" type="noConversion"/>
  </si>
  <si>
    <t>typecast</t>
    <phoneticPr fontId="1" type="noConversion"/>
  </si>
  <si>
    <t>Time</t>
    <phoneticPr fontId="1" type="noConversion"/>
  </si>
  <si>
    <t>变化</t>
    <phoneticPr fontId="1" type="noConversion"/>
  </si>
  <si>
    <t>Model</t>
  </si>
  <si>
    <t>B</t>
  </si>
  <si>
    <t>H</t>
  </si>
  <si>
    <t>K</t>
  </si>
  <si>
    <t>W</t>
  </si>
  <si>
    <t>Time(ms)</t>
  </si>
  <si>
    <t>LLama2_70B(4卡)</t>
  </si>
  <si>
    <t>优化</t>
    <phoneticPr fontId="1" type="noConversion"/>
  </si>
  <si>
    <t>case2_gmb(1204)</t>
    <phoneticPr fontId="1" type="noConversion"/>
  </si>
  <si>
    <t>Time(ms)</t>
    <phoneticPr fontId="1" type="noConversion"/>
  </si>
  <si>
    <t>Hbm-&gt;gmb</t>
    <phoneticPr fontId="1" type="noConversion"/>
  </si>
  <si>
    <t>gmb-&gt;bbuf</t>
    <phoneticPr fontId="1" type="noConversion"/>
  </si>
  <si>
    <t>sum</t>
    <phoneticPr fontId="1" type="noConversion"/>
  </si>
  <si>
    <t>cycle</t>
    <phoneticPr fontId="1" type="noConversion"/>
  </si>
  <si>
    <t>百分比%</t>
    <phoneticPr fontId="1" type="noConversion"/>
  </si>
  <si>
    <t>theory(ms)</t>
    <phoneticPr fontId="1" type="noConversion"/>
  </si>
  <si>
    <t>all sum(cycle)</t>
    <phoneticPr fontId="1" type="noConversion"/>
  </si>
  <si>
    <t>S8</t>
    <phoneticPr fontId="1" type="noConversion"/>
  </si>
  <si>
    <t>W_greater</t>
    <phoneticPr fontId="1" type="noConversion"/>
  </si>
  <si>
    <t>W_greater_16384)</t>
    <phoneticPr fontId="1" type="noConversion"/>
  </si>
  <si>
    <t>做完全部的k</t>
    <phoneticPr fontId="1" type="noConversion"/>
  </si>
  <si>
    <t>1024/2048</t>
    <phoneticPr fontId="1" type="noConversion"/>
  </si>
  <si>
    <t>2048/1024/2048</t>
    <phoneticPr fontId="1" type="noConversion"/>
  </si>
  <si>
    <t>2048/2048/1024</t>
    <phoneticPr fontId="1" type="noConversion"/>
  </si>
  <si>
    <t>min(H,4096)</t>
    <phoneticPr fontId="1" type="noConversion"/>
  </si>
  <si>
    <t>case2_GMB</t>
    <phoneticPr fontId="1" type="noConversion"/>
  </si>
  <si>
    <t>min(H,4096)/做完全部的K</t>
    <phoneticPr fontId="1" type="noConversion"/>
  </si>
  <si>
    <t>所有kernel合并到一起</t>
    <phoneticPr fontId="1" type="noConversion"/>
  </si>
  <si>
    <t>所有Kernel合并一起min(H,4096)</t>
  </si>
  <si>
    <t>time</t>
    <phoneticPr fontId="1" type="noConversion"/>
  </si>
  <si>
    <t>B</t>
    <phoneticPr fontId="1" type="noConversion"/>
  </si>
  <si>
    <t>A100（BF16）</t>
    <phoneticPr fontId="1" type="noConversion"/>
  </si>
  <si>
    <t>BF16</t>
    <phoneticPr fontId="1" type="noConversion"/>
  </si>
  <si>
    <t>Theory Time(ms)</t>
    <phoneticPr fontId="1" type="noConversion"/>
  </si>
  <si>
    <t>Actual Time(ms)</t>
    <phoneticPr fontId="1" type="noConversion"/>
  </si>
  <si>
    <t>Diff</t>
    <phoneticPr fontId="1" type="noConversion"/>
  </si>
  <si>
    <t>%</t>
    <phoneticPr fontId="1" type="noConversion"/>
  </si>
  <si>
    <t>Encoder</t>
    <phoneticPr fontId="1" type="noConversion"/>
  </si>
  <si>
    <t>Decoder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</si>
</sst>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00_);[Red]\(0.000000\)"/>
    <numFmt numFmtId="177" formatCode="0.000000_ ;[Red]\-0.000000\ "/>
    <numFmt numFmtId="182" formatCode="0.000%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4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177" fontId="2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7" fontId="0" fillId="7" borderId="1" xfId="0" applyNumberForma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77" fontId="0" fillId="10" borderId="1" xfId="0" applyNumberFormat="1" applyFill="1" applyBorder="1" applyAlignment="1">
      <alignment horizontal="center" vertical="center"/>
    </xf>
    <xf numFmtId="177" fontId="0" fillId="10" borderId="0" xfId="0" applyNumberForma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0" xfId="0" applyFill="1">
      <alignment vertical="center"/>
    </xf>
    <xf numFmtId="0" fontId="0" fillId="12" borderId="1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82" fontId="0" fillId="11" borderId="1" xfId="1" applyNumberFormat="1" applyFont="1" applyFill="1" applyBorder="1" applyAlignment="1">
      <alignment horizontal="center" vertical="center"/>
    </xf>
    <xf numFmtId="0" fontId="0" fillId="11" borderId="0" xfId="0" applyFill="1">
      <alignment vertical="center"/>
    </xf>
    <xf numFmtId="0" fontId="0" fillId="12" borderId="1" xfId="0" applyFill="1" applyBorder="1">
      <alignment vertical="center"/>
    </xf>
    <xf numFmtId="182" fontId="0" fillId="11" borderId="0" xfId="0" applyNumberForma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"/>
  <sheetViews>
    <sheetView topLeftCell="B1" zoomScale="115" zoomScaleNormal="115" workbookViewId="0">
      <selection activeCell="J54" sqref="J54:J61"/>
    </sheetView>
  </sheetViews>
  <sheetFormatPr defaultColWidth="8.58203125" defaultRowHeight="14" x14ac:dyDescent="0.3"/>
  <cols>
    <col min="1" max="1" width="27.4140625" style="1" customWidth="1"/>
    <col min="2" max="2" width="25.08203125" style="1" customWidth="1"/>
    <col min="3" max="5" width="8.58203125" style="1"/>
    <col min="6" max="6" width="17.58203125" style="1" customWidth="1"/>
    <col min="7" max="7" width="25.58203125" style="1" customWidth="1"/>
    <col min="8" max="8" width="24.83203125" style="1" customWidth="1"/>
    <col min="9" max="9" width="27.08203125" style="1" customWidth="1"/>
    <col min="10" max="16384" width="8.58203125" style="1"/>
  </cols>
  <sheetData>
    <row r="1" spans="1:23" ht="14.5" thickBot="1" x14ac:dyDescent="0.35">
      <c r="A1" s="59"/>
      <c r="B1" s="59"/>
      <c r="C1" s="59"/>
      <c r="D1" s="59"/>
      <c r="E1" s="59"/>
    </row>
    <row r="2" spans="1:23" ht="14.5" thickBot="1" x14ac:dyDescent="0.35">
      <c r="A2" s="60" t="s">
        <v>0</v>
      </c>
      <c r="B2" s="60" t="s">
        <v>1</v>
      </c>
      <c r="C2" s="60" t="s">
        <v>2</v>
      </c>
      <c r="D2" s="60" t="s">
        <v>3</v>
      </c>
      <c r="E2" s="60" t="s">
        <v>4</v>
      </c>
      <c r="F2" s="61" t="s">
        <v>42</v>
      </c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62"/>
    </row>
    <row r="3" spans="1:23" ht="14.5" thickBot="1" x14ac:dyDescent="0.35">
      <c r="A3" s="60"/>
      <c r="B3" s="60"/>
      <c r="C3" s="60"/>
      <c r="D3" s="60"/>
      <c r="E3" s="60"/>
      <c r="F3" s="61" t="s">
        <v>43</v>
      </c>
      <c r="G3" s="62"/>
      <c r="H3" s="52" t="s">
        <v>53</v>
      </c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1:23" ht="14.5" thickBot="1" x14ac:dyDescent="0.35">
      <c r="A4" s="60"/>
      <c r="B4" s="60"/>
      <c r="C4" s="60"/>
      <c r="D4" s="60"/>
      <c r="E4" s="60"/>
      <c r="F4" s="52" t="s">
        <v>44</v>
      </c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1:23" ht="14.5" thickBot="1" x14ac:dyDescent="0.35">
      <c r="A5" s="81" t="s">
        <v>10</v>
      </c>
      <c r="B5" s="8">
        <v>1</v>
      </c>
      <c r="C5" s="8">
        <v>1</v>
      </c>
      <c r="D5" s="8">
        <v>4096</v>
      </c>
      <c r="E5" s="8">
        <v>4096</v>
      </c>
      <c r="F5" s="52">
        <v>0.13278699999999999</v>
      </c>
      <c r="G5" s="52">
        <v>0.13278699999999999</v>
      </c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1:23" ht="14.5" thickBot="1" x14ac:dyDescent="0.35">
      <c r="A6" s="81"/>
      <c r="B6" s="8">
        <v>1</v>
      </c>
      <c r="C6" s="8">
        <v>1</v>
      </c>
      <c r="D6" s="8">
        <v>4096</v>
      </c>
      <c r="E6" s="8">
        <v>65024</v>
      </c>
      <c r="F6" s="52">
        <v>2.1428199999999999</v>
      </c>
      <c r="G6" s="52">
        <v>2.1428199999999999</v>
      </c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</row>
    <row r="7" spans="1:23" ht="14.5" thickBot="1" x14ac:dyDescent="0.35">
      <c r="A7" s="81"/>
      <c r="B7" s="8">
        <v>1</v>
      </c>
      <c r="C7" s="8">
        <v>1</v>
      </c>
      <c r="D7" s="8">
        <v>13696</v>
      </c>
      <c r="E7" s="8">
        <v>4096</v>
      </c>
      <c r="F7" s="52">
        <v>0.520787</v>
      </c>
      <c r="G7" s="52">
        <v>0.520787</v>
      </c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1:23" ht="14.5" thickBot="1" x14ac:dyDescent="0.35">
      <c r="A8" s="81"/>
      <c r="B8" s="8">
        <v>1</v>
      </c>
      <c r="C8" s="8">
        <v>135</v>
      </c>
      <c r="D8" s="8">
        <v>4096</v>
      </c>
      <c r="E8" s="8">
        <v>4096</v>
      </c>
      <c r="F8" s="52">
        <v>0.14880599999999999</v>
      </c>
      <c r="G8" s="52">
        <v>0.14880599999999999</v>
      </c>
      <c r="H8" s="52">
        <v>6.9337599999999999E-2</v>
      </c>
      <c r="I8" s="82">
        <f>H8-F8</f>
        <v>-7.9468399999999995E-2</v>
      </c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</row>
    <row r="9" spans="1:23" ht="14.5" thickBot="1" x14ac:dyDescent="0.35">
      <c r="A9" s="81"/>
      <c r="B9" s="8">
        <v>1</v>
      </c>
      <c r="C9" s="8">
        <v>135</v>
      </c>
      <c r="D9" s="8">
        <v>4096</v>
      </c>
      <c r="E9" s="8">
        <v>65024</v>
      </c>
      <c r="F9" s="52">
        <v>2.30626</v>
      </c>
      <c r="G9" s="52">
        <v>2.30626</v>
      </c>
      <c r="H9" s="52">
        <v>1.08694</v>
      </c>
      <c r="I9" s="82">
        <f t="shared" ref="I9:I67" si="0">H9-F9</f>
        <v>-1.21932</v>
      </c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 spans="1:23" ht="14.5" thickBot="1" x14ac:dyDescent="0.35">
      <c r="A10" s="81"/>
      <c r="B10" s="8">
        <v>1</v>
      </c>
      <c r="C10" s="8">
        <v>135</v>
      </c>
      <c r="D10" s="8">
        <v>13696</v>
      </c>
      <c r="E10" s="8">
        <v>4096</v>
      </c>
      <c r="F10" s="52">
        <v>0.59087999999999996</v>
      </c>
      <c r="G10" s="52">
        <v>0.59087999999999996</v>
      </c>
      <c r="H10" s="52">
        <v>0.223603</v>
      </c>
      <c r="I10" s="82">
        <f t="shared" si="0"/>
        <v>-0.36727699999999996</v>
      </c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</row>
    <row r="11" spans="1:23" ht="14.5" thickBot="1" x14ac:dyDescent="0.35">
      <c r="A11" s="81"/>
      <c r="B11" s="8">
        <v>1</v>
      </c>
      <c r="C11" s="8">
        <v>511</v>
      </c>
      <c r="D11" s="8">
        <v>4096</v>
      </c>
      <c r="E11" s="8">
        <v>4096</v>
      </c>
      <c r="F11" s="52">
        <v>0.18695700000000001</v>
      </c>
      <c r="G11" s="52">
        <v>0.18695700000000001</v>
      </c>
      <c r="H11" s="52">
        <v>0.14630399999999999</v>
      </c>
      <c r="I11" s="82">
        <f t="shared" si="0"/>
        <v>-4.0653000000000022E-2</v>
      </c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spans="1:23" ht="14.5" thickBot="1" x14ac:dyDescent="0.35">
      <c r="A12" s="81"/>
      <c r="B12" s="8">
        <v>1</v>
      </c>
      <c r="C12" s="8">
        <v>511</v>
      </c>
      <c r="D12" s="8">
        <v>4096</v>
      </c>
      <c r="E12" s="8">
        <v>65024</v>
      </c>
      <c r="F12" s="52">
        <v>2.96427</v>
      </c>
      <c r="G12" s="52">
        <v>2.96427</v>
      </c>
      <c r="H12" s="52">
        <v>2.8252199999999998</v>
      </c>
      <c r="I12" s="82">
        <f t="shared" si="0"/>
        <v>-0.13905000000000012</v>
      </c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spans="1:23" ht="14.5" thickBot="1" x14ac:dyDescent="0.35">
      <c r="A13" s="81"/>
      <c r="B13" s="8">
        <v>1</v>
      </c>
      <c r="C13" s="8">
        <v>511</v>
      </c>
      <c r="D13" s="8">
        <v>13696</v>
      </c>
      <c r="E13" s="8">
        <v>4096</v>
      </c>
      <c r="F13" s="52">
        <v>0.72917699999999996</v>
      </c>
      <c r="G13" s="52">
        <v>0.72917699999999996</v>
      </c>
      <c r="H13" s="52">
        <v>0.603155</v>
      </c>
      <c r="I13" s="82">
        <f t="shared" si="0"/>
        <v>-0.12602199999999997</v>
      </c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</row>
    <row r="14" spans="1:23" ht="14.5" thickBot="1" x14ac:dyDescent="0.35">
      <c r="A14" s="81"/>
      <c r="B14" s="8">
        <v>1</v>
      </c>
      <c r="C14" s="8">
        <v>1024</v>
      </c>
      <c r="D14" s="8">
        <v>4096</v>
      </c>
      <c r="E14" s="8">
        <v>4096</v>
      </c>
      <c r="F14" s="52">
        <v>0.26918399999999998</v>
      </c>
      <c r="G14" s="52">
        <v>0.26918399999999998</v>
      </c>
      <c r="H14" s="52">
        <v>0.28239399999999998</v>
      </c>
      <c r="I14" s="82">
        <f t="shared" si="0"/>
        <v>1.321E-2</v>
      </c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</row>
    <row r="15" spans="1:23" ht="14.5" thickBot="1" x14ac:dyDescent="0.35">
      <c r="A15" s="81"/>
      <c r="B15" s="8">
        <v>1</v>
      </c>
      <c r="C15" s="8">
        <v>1024</v>
      </c>
      <c r="D15" s="8">
        <v>4096</v>
      </c>
      <c r="E15" s="8">
        <v>65024</v>
      </c>
      <c r="F15" s="52">
        <v>4.2862999999999998</v>
      </c>
      <c r="G15" s="52">
        <v>4.2862999999999998</v>
      </c>
      <c r="H15" s="52">
        <v>5.4801399999999996</v>
      </c>
      <c r="I15" s="82">
        <f t="shared" si="0"/>
        <v>1.1938399999999998</v>
      </c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</row>
    <row r="16" spans="1:23" ht="14.5" thickBot="1" x14ac:dyDescent="0.35">
      <c r="A16" s="81"/>
      <c r="B16" s="8">
        <v>1</v>
      </c>
      <c r="C16" s="8">
        <v>1024</v>
      </c>
      <c r="D16" s="8">
        <v>13696</v>
      </c>
      <c r="E16" s="8">
        <v>4096</v>
      </c>
      <c r="F16" s="52">
        <v>1.0264500000000001</v>
      </c>
      <c r="G16" s="52">
        <v>1.0264500000000001</v>
      </c>
      <c r="H16" s="52">
        <v>1.2263599999999999</v>
      </c>
      <c r="I16" s="82">
        <f t="shared" si="0"/>
        <v>0.19990999999999981</v>
      </c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spans="1:23" ht="14.5" thickBot="1" x14ac:dyDescent="0.35">
      <c r="A17" s="69" t="s">
        <v>11</v>
      </c>
      <c r="B17" s="13">
        <v>1</v>
      </c>
      <c r="C17" s="13">
        <v>1</v>
      </c>
      <c r="D17" s="13">
        <v>4096</v>
      </c>
      <c r="E17" s="13">
        <v>4096</v>
      </c>
      <c r="F17" s="52">
        <v>0.13530200000000001</v>
      </c>
      <c r="G17" s="52">
        <v>0.13530200000000001</v>
      </c>
      <c r="H17" s="52"/>
      <c r="I17" s="82">
        <f t="shared" si="0"/>
        <v>-0.13530200000000001</v>
      </c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</row>
    <row r="18" spans="1:23" ht="14.5" thickBot="1" x14ac:dyDescent="0.35">
      <c r="A18" s="69"/>
      <c r="B18" s="13">
        <v>1</v>
      </c>
      <c r="C18" s="13">
        <v>1</v>
      </c>
      <c r="D18" s="13">
        <v>4096</v>
      </c>
      <c r="E18" s="13">
        <v>32000</v>
      </c>
      <c r="F18" s="52">
        <v>0.993587</v>
      </c>
      <c r="G18" s="52">
        <v>0.993587</v>
      </c>
      <c r="H18" s="52"/>
      <c r="I18" s="82">
        <f t="shared" si="0"/>
        <v>-0.993587</v>
      </c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</row>
    <row r="19" spans="1:23" ht="14.5" thickBot="1" x14ac:dyDescent="0.35">
      <c r="A19" s="69"/>
      <c r="B19" s="13">
        <v>1</v>
      </c>
      <c r="C19" s="13">
        <v>1</v>
      </c>
      <c r="D19" s="13">
        <v>4096</v>
      </c>
      <c r="E19" s="13">
        <v>64000</v>
      </c>
      <c r="F19" s="52">
        <v>2.20472</v>
      </c>
      <c r="G19" s="52">
        <v>2.20472</v>
      </c>
      <c r="H19" s="52"/>
      <c r="I19" s="82">
        <f t="shared" si="0"/>
        <v>-2.20472</v>
      </c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</row>
    <row r="20" spans="1:23" ht="14.5" thickBot="1" x14ac:dyDescent="0.35">
      <c r="A20" s="69"/>
      <c r="B20" s="13">
        <v>1</v>
      </c>
      <c r="C20" s="13">
        <v>1</v>
      </c>
      <c r="D20" s="13">
        <v>11008</v>
      </c>
      <c r="E20" s="13">
        <v>4096</v>
      </c>
      <c r="F20" s="52">
        <v>0.40876800000000002</v>
      </c>
      <c r="G20" s="52">
        <v>0.40876800000000002</v>
      </c>
      <c r="H20" s="52"/>
      <c r="I20" s="82">
        <f t="shared" si="0"/>
        <v>-0.40876800000000002</v>
      </c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</row>
    <row r="21" spans="1:23" ht="14.5" thickBot="1" x14ac:dyDescent="0.35">
      <c r="A21" s="69"/>
      <c r="B21" s="13">
        <v>1</v>
      </c>
      <c r="C21" s="13">
        <v>135</v>
      </c>
      <c r="D21" s="13">
        <v>4096</v>
      </c>
      <c r="E21" s="13">
        <v>4096</v>
      </c>
      <c r="F21" s="52">
        <v>0.14879999999999999</v>
      </c>
      <c r="G21" s="52">
        <v>0.14879999999999999</v>
      </c>
      <c r="H21" s="52">
        <v>6.9747199999999995E-2</v>
      </c>
      <c r="I21" s="82">
        <f t="shared" si="0"/>
        <v>-7.9052799999999993E-2</v>
      </c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</row>
    <row r="22" spans="1:23" ht="14.5" thickBot="1" x14ac:dyDescent="0.35">
      <c r="A22" s="69"/>
      <c r="B22" s="13">
        <v>1</v>
      </c>
      <c r="C22" s="13">
        <v>135</v>
      </c>
      <c r="D22" s="13">
        <v>4096</v>
      </c>
      <c r="E22" s="13">
        <v>32000</v>
      </c>
      <c r="F22" s="52">
        <v>1.05403</v>
      </c>
      <c r="G22" s="52">
        <v>1.05403</v>
      </c>
      <c r="H22" s="52">
        <v>0.51590400000000003</v>
      </c>
      <c r="I22" s="82">
        <f t="shared" si="0"/>
        <v>-0.53812599999999999</v>
      </c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</row>
    <row r="23" spans="1:23" ht="14.5" thickBot="1" x14ac:dyDescent="0.35">
      <c r="A23" s="69"/>
      <c r="B23" s="13">
        <v>1</v>
      </c>
      <c r="C23" s="13">
        <v>135</v>
      </c>
      <c r="D23" s="13">
        <v>4096</v>
      </c>
      <c r="E23" s="13">
        <v>64000</v>
      </c>
      <c r="F23" s="52">
        <v>2.3164500000000001</v>
      </c>
      <c r="G23" s="52">
        <v>2.3164500000000001</v>
      </c>
      <c r="H23" s="52">
        <v>1.0717399999999999</v>
      </c>
      <c r="I23" s="82">
        <f t="shared" si="0"/>
        <v>-1.2447100000000002</v>
      </c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</row>
    <row r="24" spans="1:23" ht="14.5" thickBot="1" x14ac:dyDescent="0.35">
      <c r="A24" s="69"/>
      <c r="B24" s="13">
        <v>1</v>
      </c>
      <c r="C24" s="13">
        <v>135</v>
      </c>
      <c r="D24" s="13">
        <v>11008</v>
      </c>
      <c r="E24" s="13">
        <v>4096</v>
      </c>
      <c r="F24" s="52">
        <v>0.458874</v>
      </c>
      <c r="G24" s="52">
        <v>0.458874</v>
      </c>
      <c r="H24" s="52">
        <v>0.17550099999999999</v>
      </c>
      <c r="I24" s="82">
        <f t="shared" si="0"/>
        <v>-0.28337299999999999</v>
      </c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</row>
    <row r="25" spans="1:23" ht="14.5" thickBot="1" x14ac:dyDescent="0.35">
      <c r="A25" s="69"/>
      <c r="B25" s="13">
        <v>1</v>
      </c>
      <c r="C25" s="13">
        <v>511</v>
      </c>
      <c r="D25" s="13">
        <v>4096</v>
      </c>
      <c r="E25" s="13">
        <v>4096</v>
      </c>
      <c r="F25" s="52">
        <v>0.18677099999999999</v>
      </c>
      <c r="G25" s="52">
        <v>0.18677099999999999</v>
      </c>
      <c r="H25" s="52">
        <v>0.146374</v>
      </c>
      <c r="I25" s="82">
        <f t="shared" si="0"/>
        <v>-4.0396999999999988E-2</v>
      </c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</row>
    <row r="26" spans="1:23" ht="14.5" thickBot="1" x14ac:dyDescent="0.35">
      <c r="A26" s="69"/>
      <c r="B26" s="13">
        <v>1</v>
      </c>
      <c r="C26" s="13">
        <v>511</v>
      </c>
      <c r="D26" s="13">
        <v>4096</v>
      </c>
      <c r="E26" s="13">
        <v>32000</v>
      </c>
      <c r="F26" s="52">
        <v>1.35094</v>
      </c>
      <c r="G26" s="52">
        <v>1.35094</v>
      </c>
      <c r="H26" s="52">
        <v>1.18957</v>
      </c>
      <c r="I26" s="82">
        <f t="shared" si="0"/>
        <v>-0.16137000000000001</v>
      </c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</row>
    <row r="27" spans="1:23" ht="14.5" thickBot="1" x14ac:dyDescent="0.35">
      <c r="A27" s="69"/>
      <c r="B27" s="13">
        <v>1</v>
      </c>
      <c r="C27" s="13">
        <v>511</v>
      </c>
      <c r="D27" s="13">
        <v>4096</v>
      </c>
      <c r="E27" s="13">
        <v>64000</v>
      </c>
      <c r="F27" s="52">
        <v>2.9582999999999999</v>
      </c>
      <c r="G27" s="52">
        <v>2.9582999999999999</v>
      </c>
      <c r="H27" s="52">
        <v>2.7981500000000001</v>
      </c>
      <c r="I27" s="82">
        <f t="shared" si="0"/>
        <v>-0.16014999999999979</v>
      </c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</row>
    <row r="28" spans="1:23" ht="14.5" thickBot="1" x14ac:dyDescent="0.35">
      <c r="A28" s="69"/>
      <c r="B28" s="13">
        <v>1</v>
      </c>
      <c r="C28" s="13">
        <v>511</v>
      </c>
      <c r="D28" s="13">
        <v>11008</v>
      </c>
      <c r="E28" s="13">
        <v>4096</v>
      </c>
      <c r="F28" s="52">
        <v>0.57306900000000005</v>
      </c>
      <c r="G28" s="52">
        <v>0.57306900000000005</v>
      </c>
      <c r="H28" s="52">
        <v>0.40980499999999997</v>
      </c>
      <c r="I28" s="82">
        <f t="shared" si="0"/>
        <v>-0.16326400000000008</v>
      </c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</row>
    <row r="29" spans="1:23" ht="14.5" thickBot="1" x14ac:dyDescent="0.35">
      <c r="A29" s="69"/>
      <c r="B29" s="13">
        <v>1</v>
      </c>
      <c r="C29" s="13">
        <v>1024</v>
      </c>
      <c r="D29" s="13">
        <v>4096</v>
      </c>
      <c r="E29" s="13">
        <v>4096</v>
      </c>
      <c r="F29" s="52">
        <v>0.26842199999999999</v>
      </c>
      <c r="G29" s="52">
        <v>0.26842199999999999</v>
      </c>
      <c r="H29" s="52">
        <v>0.28103</v>
      </c>
      <c r="I29" s="82">
        <f t="shared" si="0"/>
        <v>1.2608000000000008E-2</v>
      </c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</row>
    <row r="30" spans="1:23" ht="14.5" thickBot="1" x14ac:dyDescent="0.35">
      <c r="A30" s="69"/>
      <c r="B30" s="13">
        <v>1</v>
      </c>
      <c r="C30" s="13">
        <v>1024</v>
      </c>
      <c r="D30" s="13">
        <v>4096</v>
      </c>
      <c r="E30" s="13">
        <v>32000</v>
      </c>
      <c r="F30" s="52">
        <v>2.0617000000000001</v>
      </c>
      <c r="G30" s="52">
        <v>2.0617000000000001</v>
      </c>
      <c r="H30" s="52">
        <v>2.7023600000000001</v>
      </c>
      <c r="I30" s="82">
        <f t="shared" si="0"/>
        <v>0.64066000000000001</v>
      </c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</row>
    <row r="31" spans="1:23" ht="14.5" thickBot="1" x14ac:dyDescent="0.35">
      <c r="A31" s="69"/>
      <c r="B31" s="13">
        <v>1</v>
      </c>
      <c r="C31" s="13">
        <v>1024</v>
      </c>
      <c r="D31" s="13">
        <v>4096</v>
      </c>
      <c r="E31" s="13">
        <v>64000</v>
      </c>
      <c r="F31" s="52">
        <v>4.2353300000000003</v>
      </c>
      <c r="G31" s="52">
        <v>4.2353300000000003</v>
      </c>
      <c r="H31" s="52">
        <v>5.3331999999999997</v>
      </c>
      <c r="I31" s="82">
        <f t="shared" si="0"/>
        <v>1.0978699999999995</v>
      </c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</row>
    <row r="32" spans="1:23" ht="14.5" thickBot="1" x14ac:dyDescent="0.35">
      <c r="A32" s="69"/>
      <c r="B32" s="13">
        <v>1</v>
      </c>
      <c r="C32" s="13">
        <v>1024</v>
      </c>
      <c r="D32" s="13">
        <v>11008</v>
      </c>
      <c r="E32" s="13">
        <v>4096</v>
      </c>
      <c r="F32" s="52">
        <v>0.80652199999999996</v>
      </c>
      <c r="G32" s="52">
        <v>0.80652199999999996</v>
      </c>
      <c r="H32" s="52">
        <v>0.93272299999999997</v>
      </c>
      <c r="I32" s="82">
        <f t="shared" si="0"/>
        <v>0.12620100000000001</v>
      </c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</row>
    <row r="33" spans="1:23" ht="14.5" thickBot="1" x14ac:dyDescent="0.35">
      <c r="A33" s="70" t="s">
        <v>12</v>
      </c>
      <c r="B33" s="33">
        <v>8</v>
      </c>
      <c r="C33" s="33">
        <v>1</v>
      </c>
      <c r="D33" s="33">
        <v>2048</v>
      </c>
      <c r="E33" s="33">
        <v>8192</v>
      </c>
      <c r="F33" s="52">
        <v>0.15868199999999999</v>
      </c>
      <c r="G33" s="52">
        <v>0.15868199999999999</v>
      </c>
      <c r="H33" s="52"/>
      <c r="I33" s="82">
        <f t="shared" si="0"/>
        <v>-0.15868199999999999</v>
      </c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</row>
    <row r="34" spans="1:23" ht="14.5" thickBot="1" x14ac:dyDescent="0.35">
      <c r="A34" s="70"/>
      <c r="B34" s="33">
        <v>8</v>
      </c>
      <c r="C34" s="33">
        <v>1</v>
      </c>
      <c r="D34" s="33">
        <v>7168</v>
      </c>
      <c r="E34" s="33">
        <v>8192</v>
      </c>
      <c r="F34" s="52">
        <v>0.51912999999999998</v>
      </c>
      <c r="G34" s="52">
        <v>0.51912999999999998</v>
      </c>
      <c r="H34" s="52"/>
      <c r="I34" s="82">
        <f t="shared" si="0"/>
        <v>-0.51912999999999998</v>
      </c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</row>
    <row r="35" spans="1:23" ht="14.5" thickBot="1" x14ac:dyDescent="0.35">
      <c r="A35" s="70"/>
      <c r="B35" s="33">
        <v>8</v>
      </c>
      <c r="C35" s="33">
        <v>1</v>
      </c>
      <c r="D35" s="33">
        <v>8192</v>
      </c>
      <c r="E35" s="33">
        <v>32000</v>
      </c>
      <c r="F35" s="52">
        <v>2.3741699999999999</v>
      </c>
      <c r="G35" s="52">
        <v>2.3741699999999999</v>
      </c>
      <c r="H35" s="52"/>
      <c r="I35" s="82">
        <f t="shared" si="0"/>
        <v>-2.3741699999999999</v>
      </c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</row>
    <row r="36" spans="1:23" ht="14.5" thickBot="1" x14ac:dyDescent="0.35">
      <c r="A36" s="70"/>
      <c r="B36" s="33">
        <v>8</v>
      </c>
      <c r="C36" s="33">
        <v>128</v>
      </c>
      <c r="D36" s="33">
        <v>2048</v>
      </c>
      <c r="E36" s="33">
        <v>8192</v>
      </c>
      <c r="F36" s="52">
        <v>0.34925400000000001</v>
      </c>
      <c r="G36" s="52">
        <v>0.34925400000000001</v>
      </c>
      <c r="H36" s="52">
        <v>0.36659199999999997</v>
      </c>
      <c r="I36" s="82">
        <f t="shared" si="0"/>
        <v>1.7337999999999965E-2</v>
      </c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</row>
    <row r="37" spans="1:23" ht="14.5" thickBot="1" x14ac:dyDescent="0.35">
      <c r="A37" s="70"/>
      <c r="B37" s="33">
        <v>8</v>
      </c>
      <c r="C37" s="33">
        <v>128</v>
      </c>
      <c r="D37" s="33">
        <v>7168</v>
      </c>
      <c r="E37" s="33">
        <v>8192</v>
      </c>
      <c r="F37" s="52">
        <v>0.89177600000000001</v>
      </c>
      <c r="G37" s="52">
        <v>0.89177600000000001</v>
      </c>
      <c r="H37" s="52">
        <v>1.1077900000000001</v>
      </c>
      <c r="I37" s="82">
        <f t="shared" si="0"/>
        <v>0.21601400000000004</v>
      </c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</row>
    <row r="38" spans="1:23" ht="14.5" thickBot="1" x14ac:dyDescent="0.35">
      <c r="A38" s="70"/>
      <c r="B38" s="33">
        <v>8</v>
      </c>
      <c r="C38" s="33">
        <v>128</v>
      </c>
      <c r="D38" s="33">
        <v>8192</v>
      </c>
      <c r="E38" s="33">
        <v>32000</v>
      </c>
      <c r="F38" s="52">
        <v>3.8814199999999999</v>
      </c>
      <c r="G38" s="52">
        <v>3.8814199999999999</v>
      </c>
      <c r="H38" s="52">
        <v>5.3453799999999996</v>
      </c>
      <c r="I38" s="82">
        <f t="shared" si="0"/>
        <v>1.4639599999999997</v>
      </c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</row>
    <row r="39" spans="1:23" ht="14.5" thickBot="1" x14ac:dyDescent="0.35">
      <c r="A39" s="70"/>
      <c r="B39" s="33">
        <v>8</v>
      </c>
      <c r="C39" s="33">
        <v>511</v>
      </c>
      <c r="D39" s="33">
        <v>2048</v>
      </c>
      <c r="E39" s="33">
        <v>8192</v>
      </c>
      <c r="F39" s="52">
        <v>2.0292699999999999</v>
      </c>
      <c r="G39" s="52">
        <v>2.0292699999999999</v>
      </c>
      <c r="H39" s="52">
        <v>3.2117399999999998</v>
      </c>
      <c r="I39" s="82">
        <f t="shared" si="0"/>
        <v>1.1824699999999999</v>
      </c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</row>
    <row r="40" spans="1:23" ht="14.5" thickBot="1" x14ac:dyDescent="0.35">
      <c r="A40" s="70"/>
      <c r="B40" s="33">
        <v>8</v>
      </c>
      <c r="C40" s="33">
        <v>511</v>
      </c>
      <c r="D40" s="33">
        <v>7168</v>
      </c>
      <c r="E40" s="33">
        <v>8192</v>
      </c>
      <c r="F40" s="52">
        <v>5.0709499999999998</v>
      </c>
      <c r="G40" s="52">
        <v>5.0709499999999998</v>
      </c>
      <c r="H40" s="52">
        <v>7.2046400000000004</v>
      </c>
      <c r="I40" s="82">
        <f t="shared" si="0"/>
        <v>2.1336900000000005</v>
      </c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</row>
    <row r="41" spans="1:23" ht="14.5" thickBot="1" x14ac:dyDescent="0.35">
      <c r="A41" s="70"/>
      <c r="B41" s="33">
        <v>8</v>
      </c>
      <c r="C41" s="33">
        <v>511</v>
      </c>
      <c r="D41" s="33">
        <v>8192</v>
      </c>
      <c r="E41" s="33">
        <v>32000</v>
      </c>
      <c r="F41" s="52">
        <v>20.777799999999999</v>
      </c>
      <c r="G41" s="52">
        <v>20.777799999999999</v>
      </c>
      <c r="H41" s="52">
        <v>29.954699999999999</v>
      </c>
      <c r="I41" s="82">
        <f t="shared" si="0"/>
        <v>9.1768999999999998</v>
      </c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</row>
    <row r="42" spans="1:23" ht="14.5" thickBot="1" x14ac:dyDescent="0.35">
      <c r="A42" s="71" t="s">
        <v>13</v>
      </c>
      <c r="B42" s="31">
        <v>16</v>
      </c>
      <c r="C42" s="31">
        <v>1</v>
      </c>
      <c r="D42" s="31">
        <v>5120</v>
      </c>
      <c r="E42" s="31">
        <v>5120</v>
      </c>
      <c r="F42" s="52">
        <v>0.239456</v>
      </c>
      <c r="G42" s="52">
        <v>0.239456</v>
      </c>
      <c r="H42" s="52"/>
      <c r="I42" s="82">
        <f t="shared" si="0"/>
        <v>-0.239456</v>
      </c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</row>
    <row r="43" spans="1:23" ht="14.5" thickBot="1" x14ac:dyDescent="0.35">
      <c r="A43" s="71"/>
      <c r="B43" s="31">
        <v>16</v>
      </c>
      <c r="C43" s="31">
        <v>1</v>
      </c>
      <c r="D43" s="31">
        <v>5120</v>
      </c>
      <c r="E43" s="31">
        <v>32000</v>
      </c>
      <c r="F43" s="52">
        <v>1.7579499999999999</v>
      </c>
      <c r="G43" s="52">
        <v>1.7579499999999999</v>
      </c>
      <c r="H43" s="52"/>
      <c r="I43" s="82">
        <f t="shared" si="0"/>
        <v>-1.7579499999999999</v>
      </c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</row>
    <row r="44" spans="1:23" ht="14.5" thickBot="1" x14ac:dyDescent="0.35">
      <c r="A44" s="71"/>
      <c r="B44" s="31">
        <v>16</v>
      </c>
      <c r="C44" s="31">
        <v>1</v>
      </c>
      <c r="D44" s="31">
        <v>13824</v>
      </c>
      <c r="E44" s="31">
        <v>5120</v>
      </c>
      <c r="F44" s="52">
        <v>0.66801900000000003</v>
      </c>
      <c r="G44" s="52">
        <v>0.66801900000000003</v>
      </c>
      <c r="H44" s="52"/>
      <c r="I44" s="82">
        <f t="shared" si="0"/>
        <v>-0.66801900000000003</v>
      </c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</row>
    <row r="45" spans="1:23" ht="14.5" thickBot="1" x14ac:dyDescent="0.35">
      <c r="A45" s="71"/>
      <c r="B45" s="31">
        <v>16</v>
      </c>
      <c r="C45" s="31">
        <v>96</v>
      </c>
      <c r="D45" s="31">
        <v>5120</v>
      </c>
      <c r="E45" s="31">
        <v>5120</v>
      </c>
      <c r="F45" s="52">
        <v>0.69419500000000001</v>
      </c>
      <c r="G45" s="52">
        <v>0.69419500000000001</v>
      </c>
      <c r="H45" s="52">
        <v>0.93212200000000001</v>
      </c>
      <c r="I45" s="82">
        <f t="shared" si="0"/>
        <v>0.237927</v>
      </c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</row>
    <row r="46" spans="1:23" ht="14.5" thickBot="1" x14ac:dyDescent="0.35">
      <c r="A46" s="71"/>
      <c r="B46" s="31">
        <v>16</v>
      </c>
      <c r="C46" s="31">
        <v>96</v>
      </c>
      <c r="D46" s="31">
        <v>5120</v>
      </c>
      <c r="E46" s="31">
        <v>32000</v>
      </c>
      <c r="F46" s="52">
        <v>3.7656800000000001</v>
      </c>
      <c r="G46" s="52">
        <v>3.7656800000000001</v>
      </c>
      <c r="H46" s="52">
        <v>6.7526999999999999</v>
      </c>
      <c r="I46" s="82">
        <f t="shared" si="0"/>
        <v>2.9870199999999998</v>
      </c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</row>
    <row r="47" spans="1:23" ht="14.5" thickBot="1" x14ac:dyDescent="0.35">
      <c r="A47" s="71"/>
      <c r="B47" s="31">
        <v>16</v>
      </c>
      <c r="C47" s="31">
        <v>96</v>
      </c>
      <c r="D47" s="31">
        <v>13824</v>
      </c>
      <c r="E47" s="31">
        <v>5120</v>
      </c>
      <c r="F47" s="52">
        <v>1.53224</v>
      </c>
      <c r="G47" s="52">
        <v>1.53224</v>
      </c>
      <c r="H47" s="52">
        <v>2.41059</v>
      </c>
      <c r="I47" s="82">
        <f t="shared" si="0"/>
        <v>0.87834999999999996</v>
      </c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</row>
    <row r="48" spans="1:23" ht="14.5" thickBot="1" x14ac:dyDescent="0.35">
      <c r="A48" s="71"/>
      <c r="B48" s="31">
        <v>16</v>
      </c>
      <c r="C48" s="31">
        <v>511</v>
      </c>
      <c r="D48" s="31">
        <v>5120</v>
      </c>
      <c r="E48" s="31">
        <v>5120</v>
      </c>
      <c r="F48" s="52">
        <v>5.5978399999999997</v>
      </c>
      <c r="G48" s="52">
        <v>5.5978399999999997</v>
      </c>
      <c r="H48" s="52">
        <v>7.7406699999999997</v>
      </c>
      <c r="I48" s="82">
        <f t="shared" si="0"/>
        <v>2.14283</v>
      </c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</row>
    <row r="49" spans="1:23" ht="14.5" thickBot="1" x14ac:dyDescent="0.35">
      <c r="A49" s="71"/>
      <c r="B49" s="31">
        <v>16</v>
      </c>
      <c r="C49" s="31">
        <v>511</v>
      </c>
      <c r="D49" s="31">
        <v>5120</v>
      </c>
      <c r="E49" s="31">
        <v>32000</v>
      </c>
      <c r="F49" s="52">
        <v>34.522799999999997</v>
      </c>
      <c r="G49" s="52">
        <v>34.522799999999997</v>
      </c>
      <c r="H49" s="52">
        <v>46.936599999999999</v>
      </c>
      <c r="I49" s="82">
        <f t="shared" si="0"/>
        <v>12.413800000000002</v>
      </c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</row>
    <row r="50" spans="1:23" ht="14.5" thickBot="1" x14ac:dyDescent="0.35">
      <c r="A50" s="71"/>
      <c r="B50" s="31">
        <v>16</v>
      </c>
      <c r="C50" s="31">
        <v>511</v>
      </c>
      <c r="D50" s="31">
        <v>13824</v>
      </c>
      <c r="E50" s="31">
        <v>5120</v>
      </c>
      <c r="F50" s="52">
        <v>12.9322</v>
      </c>
      <c r="G50" s="52">
        <v>12.9322</v>
      </c>
      <c r="H50" s="52">
        <v>16.531199999999998</v>
      </c>
      <c r="I50" s="82">
        <f t="shared" si="0"/>
        <v>3.5989999999999984</v>
      </c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</row>
    <row r="51" spans="1:23" ht="14.5" thickBot="1" x14ac:dyDescent="0.35">
      <c r="A51" s="71"/>
      <c r="B51" s="31">
        <v>16</v>
      </c>
      <c r="C51" s="31">
        <v>1024</v>
      </c>
      <c r="D51" s="31">
        <v>5120</v>
      </c>
      <c r="E51" s="31">
        <v>5120</v>
      </c>
      <c r="F51" s="52">
        <v>12.7049</v>
      </c>
      <c r="G51" s="52">
        <v>12.7049</v>
      </c>
      <c r="H51" s="52">
        <v>18.612100000000002</v>
      </c>
      <c r="I51" s="82">
        <f t="shared" si="0"/>
        <v>5.9072000000000013</v>
      </c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</row>
    <row r="52" spans="1:23" ht="14.5" thickBot="1" x14ac:dyDescent="0.35">
      <c r="A52" s="71"/>
      <c r="B52" s="31">
        <v>16</v>
      </c>
      <c r="C52" s="31">
        <v>1024</v>
      </c>
      <c r="D52" s="31">
        <v>5120</v>
      </c>
      <c r="E52" s="31">
        <v>32000</v>
      </c>
      <c r="F52" s="52">
        <v>76.266400000000004</v>
      </c>
      <c r="G52" s="52">
        <v>76.266400000000004</v>
      </c>
      <c r="H52" s="52">
        <v>105.89100000000001</v>
      </c>
      <c r="I52" s="82">
        <f t="shared" si="0"/>
        <v>29.624600000000001</v>
      </c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</row>
    <row r="53" spans="1:23" ht="14.5" thickBot="1" x14ac:dyDescent="0.35">
      <c r="A53" s="71"/>
      <c r="B53" s="31">
        <v>16</v>
      </c>
      <c r="C53" s="31">
        <v>1024</v>
      </c>
      <c r="D53" s="31">
        <v>13824</v>
      </c>
      <c r="E53" s="31">
        <v>5120</v>
      </c>
      <c r="F53" s="52">
        <v>28.8996</v>
      </c>
      <c r="G53" s="52">
        <v>28.8996</v>
      </c>
      <c r="H53" s="52">
        <v>40.579500000000003</v>
      </c>
      <c r="I53" s="82">
        <f t="shared" si="0"/>
        <v>11.679900000000004</v>
      </c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</row>
    <row r="54" spans="1:23" ht="14.5" thickBot="1" x14ac:dyDescent="0.35">
      <c r="A54" s="72" t="s">
        <v>15</v>
      </c>
      <c r="B54" s="35">
        <v>16</v>
      </c>
      <c r="C54" s="35">
        <v>1</v>
      </c>
      <c r="D54" s="35">
        <v>2560</v>
      </c>
      <c r="E54" s="35">
        <v>5120</v>
      </c>
      <c r="F54" s="52">
        <v>0.146867</v>
      </c>
      <c r="G54" s="52">
        <v>0.146867</v>
      </c>
      <c r="H54" s="52"/>
      <c r="I54" s="82">
        <f t="shared" si="0"/>
        <v>-0.146867</v>
      </c>
      <c r="J54" s="52">
        <v>5.5462299999999999E-2</v>
      </c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</row>
    <row r="55" spans="1:23" ht="14.5" thickBot="1" x14ac:dyDescent="0.35">
      <c r="A55" s="72"/>
      <c r="B55" s="35">
        <v>16</v>
      </c>
      <c r="C55" s="35">
        <v>1</v>
      </c>
      <c r="D55" s="35">
        <v>6912</v>
      </c>
      <c r="E55" s="35">
        <v>5120</v>
      </c>
      <c r="F55" s="52">
        <v>0.30545899999999998</v>
      </c>
      <c r="G55" s="52">
        <v>0.30545899999999998</v>
      </c>
      <c r="H55" s="52"/>
      <c r="I55" s="82">
        <f t="shared" si="0"/>
        <v>-0.30545899999999998</v>
      </c>
      <c r="J55" s="52">
        <v>9.36192E-2</v>
      </c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</row>
    <row r="56" spans="1:23" ht="14.5" thickBot="1" x14ac:dyDescent="0.35">
      <c r="A56" s="72"/>
      <c r="B56" s="35">
        <v>16</v>
      </c>
      <c r="C56" s="35">
        <v>96</v>
      </c>
      <c r="D56" s="35">
        <v>2560</v>
      </c>
      <c r="E56" s="35">
        <v>5120</v>
      </c>
      <c r="F56" s="52">
        <v>0.373114</v>
      </c>
      <c r="G56" s="52">
        <v>0.373114</v>
      </c>
      <c r="H56" s="52">
        <v>0.42559399999999997</v>
      </c>
      <c r="I56" s="82">
        <f t="shared" si="0"/>
        <v>5.2479999999999971E-2</v>
      </c>
      <c r="J56" s="52">
        <v>0.366093</v>
      </c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</row>
    <row r="57" spans="1:23" ht="14.5" thickBot="1" x14ac:dyDescent="0.35">
      <c r="A57" s="72"/>
      <c r="B57" s="35">
        <v>16</v>
      </c>
      <c r="C57" s="35">
        <v>96</v>
      </c>
      <c r="D57" s="35">
        <v>6912</v>
      </c>
      <c r="E57" s="35">
        <v>5120</v>
      </c>
      <c r="F57" s="52">
        <v>0.79287700000000005</v>
      </c>
      <c r="G57" s="52">
        <v>0.79287700000000005</v>
      </c>
      <c r="H57" s="52">
        <v>1.1368799999999999</v>
      </c>
      <c r="I57" s="82">
        <f t="shared" si="0"/>
        <v>0.34400299999999984</v>
      </c>
      <c r="J57" s="52">
        <v>0.69914900000000002</v>
      </c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</row>
    <row r="58" spans="1:23" ht="14.5" thickBot="1" x14ac:dyDescent="0.35">
      <c r="A58" s="72"/>
      <c r="B58" s="35">
        <v>16</v>
      </c>
      <c r="C58" s="35">
        <v>511</v>
      </c>
      <c r="D58" s="35">
        <v>2560</v>
      </c>
      <c r="E58" s="35">
        <v>5120</v>
      </c>
      <c r="F58" s="52">
        <v>2.5811999999999999</v>
      </c>
      <c r="G58" s="52">
        <v>2.5811999999999999</v>
      </c>
      <c r="H58" s="52">
        <v>4.0444500000000003</v>
      </c>
      <c r="I58" s="82">
        <f t="shared" si="0"/>
        <v>1.4632500000000004</v>
      </c>
      <c r="J58" s="52">
        <v>3.49133</v>
      </c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</row>
    <row r="59" spans="1:23" ht="14.5" thickBot="1" x14ac:dyDescent="0.35">
      <c r="A59" s="72"/>
      <c r="B59" s="35">
        <v>16</v>
      </c>
      <c r="C59" s="35">
        <v>511</v>
      </c>
      <c r="D59" s="35">
        <v>6912</v>
      </c>
      <c r="E59" s="35">
        <v>5120</v>
      </c>
      <c r="F59" s="52">
        <v>6.2923400000000003</v>
      </c>
      <c r="G59" s="52">
        <v>6.2923400000000003</v>
      </c>
      <c r="H59" s="52">
        <v>8.4420000000000002</v>
      </c>
      <c r="I59" s="82">
        <f t="shared" si="0"/>
        <v>2.1496599999999999</v>
      </c>
      <c r="J59" s="52">
        <v>6.6180700000000003</v>
      </c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</row>
    <row r="60" spans="1:23" ht="14.5" thickBot="1" x14ac:dyDescent="0.35">
      <c r="A60" s="72"/>
      <c r="B60" s="35">
        <v>16</v>
      </c>
      <c r="C60" s="35">
        <v>1024</v>
      </c>
      <c r="D60" s="35">
        <v>2560</v>
      </c>
      <c r="E60" s="35">
        <v>5120</v>
      </c>
      <c r="F60" s="52">
        <v>5.8053100000000004</v>
      </c>
      <c r="G60" s="52">
        <v>5.8053100000000004</v>
      </c>
      <c r="H60" s="52">
        <v>9.04129</v>
      </c>
      <c r="I60" s="82">
        <f t="shared" si="0"/>
        <v>3.2359799999999996</v>
      </c>
      <c r="J60" s="52">
        <v>7.3866199999999997</v>
      </c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</row>
    <row r="61" spans="1:23" ht="14.5" thickBot="1" x14ac:dyDescent="0.35">
      <c r="A61" s="72"/>
      <c r="B61" s="35">
        <v>16</v>
      </c>
      <c r="C61" s="35">
        <v>1024</v>
      </c>
      <c r="D61" s="35">
        <v>6912</v>
      </c>
      <c r="E61" s="35">
        <v>5120</v>
      </c>
      <c r="F61" s="52">
        <v>14.0183</v>
      </c>
      <c r="G61" s="52">
        <v>14.0183</v>
      </c>
      <c r="H61" s="52">
        <v>19.998899999999999</v>
      </c>
      <c r="I61" s="82">
        <f t="shared" si="0"/>
        <v>5.980599999999999</v>
      </c>
      <c r="J61" s="52">
        <v>13.6351</v>
      </c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</row>
    <row r="62" spans="1:23" ht="14.5" thickBot="1" x14ac:dyDescent="0.35">
      <c r="A62" s="65" t="s">
        <v>14</v>
      </c>
      <c r="B62" s="5">
        <v>20</v>
      </c>
      <c r="C62" s="5">
        <v>1</v>
      </c>
      <c r="D62" s="5">
        <v>2560</v>
      </c>
      <c r="E62" s="5">
        <v>5120</v>
      </c>
      <c r="F62" s="52">
        <v>0.148058</v>
      </c>
      <c r="G62" s="52">
        <v>0.148058</v>
      </c>
      <c r="H62" s="52"/>
      <c r="I62" s="82">
        <f t="shared" si="0"/>
        <v>-0.148058</v>
      </c>
      <c r="J62" s="52">
        <v>5.4892799999999999E-2</v>
      </c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</row>
    <row r="63" spans="1:23" ht="14.5" thickBot="1" x14ac:dyDescent="0.35">
      <c r="A63" s="65"/>
      <c r="B63" s="5">
        <v>20</v>
      </c>
      <c r="C63" s="5">
        <v>1</v>
      </c>
      <c r="D63" s="5">
        <v>6848</v>
      </c>
      <c r="E63" s="5">
        <v>5120</v>
      </c>
      <c r="F63" s="52">
        <v>0.30684800000000001</v>
      </c>
      <c r="G63" s="52">
        <v>0.30684800000000001</v>
      </c>
      <c r="H63" s="52"/>
      <c r="I63" s="82">
        <f t="shared" si="0"/>
        <v>-0.30684800000000001</v>
      </c>
      <c r="J63" s="52">
        <v>9.5801600000000001E-2</v>
      </c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</row>
    <row r="64" spans="1:23" ht="14.5" thickBot="1" x14ac:dyDescent="0.35">
      <c r="A64" s="65"/>
      <c r="B64" s="5">
        <v>20</v>
      </c>
      <c r="C64" s="5">
        <v>1</v>
      </c>
      <c r="D64" s="5">
        <v>5120</v>
      </c>
      <c r="E64" s="5">
        <v>64000</v>
      </c>
      <c r="F64" s="52">
        <v>3.5542500000000001</v>
      </c>
      <c r="G64" s="52">
        <v>3.5542500000000001</v>
      </c>
      <c r="H64" s="52"/>
      <c r="I64" s="82">
        <f t="shared" si="0"/>
        <v>-3.5542500000000001</v>
      </c>
      <c r="J64" s="52">
        <v>0.579955</v>
      </c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</row>
    <row r="65" spans="1:23" ht="14.5" thickBot="1" x14ac:dyDescent="0.35">
      <c r="A65" s="65"/>
      <c r="B65" s="5">
        <v>20</v>
      </c>
      <c r="C65" s="5">
        <v>512</v>
      </c>
      <c r="D65" s="5">
        <v>2560</v>
      </c>
      <c r="E65" s="5">
        <v>5120</v>
      </c>
      <c r="F65" s="52">
        <v>2.6003599999999998</v>
      </c>
      <c r="G65" s="52">
        <v>2.6003599999999998</v>
      </c>
      <c r="H65" s="52">
        <v>4.4894100000000003</v>
      </c>
      <c r="I65" s="82">
        <f t="shared" si="0"/>
        <v>1.8890500000000006</v>
      </c>
      <c r="J65" s="52">
        <v>4.4805799999999998</v>
      </c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</row>
    <row r="66" spans="1:23" ht="14.5" thickBot="1" x14ac:dyDescent="0.35">
      <c r="A66" s="65"/>
      <c r="B66" s="5">
        <v>20</v>
      </c>
      <c r="C66" s="5">
        <v>512</v>
      </c>
      <c r="D66" s="5">
        <v>6848</v>
      </c>
      <c r="E66" s="5">
        <v>5120</v>
      </c>
      <c r="F66" s="52">
        <v>5.3122600000000002</v>
      </c>
      <c r="G66" s="52">
        <v>5.3122600000000002</v>
      </c>
      <c r="H66" s="52">
        <v>8.9153099999999998</v>
      </c>
      <c r="I66" s="82">
        <f t="shared" si="0"/>
        <v>3.6030499999999996</v>
      </c>
      <c r="J66" s="52">
        <v>8.3798499999999994</v>
      </c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</row>
    <row r="67" spans="1:23" ht="14.5" thickBot="1" x14ac:dyDescent="0.35">
      <c r="A67" s="65"/>
      <c r="B67" s="5">
        <v>20</v>
      </c>
      <c r="C67" s="5">
        <v>512</v>
      </c>
      <c r="D67" s="5">
        <v>5120</v>
      </c>
      <c r="E67" s="5">
        <v>64000</v>
      </c>
      <c r="F67" s="52">
        <v>48.530799999999999</v>
      </c>
      <c r="G67" s="52">
        <v>48.530799999999999</v>
      </c>
      <c r="H67" s="52">
        <v>86.740700000000004</v>
      </c>
      <c r="I67" s="82">
        <f t="shared" si="0"/>
        <v>38.209900000000005</v>
      </c>
      <c r="J67" s="52">
        <v>73.7941</v>
      </c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</row>
    <row r="68" spans="1:23" x14ac:dyDescent="0.3">
      <c r="A68" s="59"/>
      <c r="B68" s="59"/>
      <c r="C68" s="59"/>
      <c r="D68" s="59"/>
      <c r="E68" s="59"/>
    </row>
  </sheetData>
  <mergeCells count="13">
    <mergeCell ref="A62:A67"/>
    <mergeCell ref="F2:W2"/>
    <mergeCell ref="F3:G3"/>
    <mergeCell ref="A5:A16"/>
    <mergeCell ref="A17:A32"/>
    <mergeCell ref="A33:A41"/>
    <mergeCell ref="A42:A53"/>
    <mergeCell ref="A54:A61"/>
    <mergeCell ref="A2:A4"/>
    <mergeCell ref="C2:C4"/>
    <mergeCell ref="B2:B4"/>
    <mergeCell ref="D2:D4"/>
    <mergeCell ref="E2:E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148"/>
  <sheetViews>
    <sheetView zoomScale="115" zoomScaleNormal="115" workbookViewId="0">
      <pane ySplit="1" topLeftCell="A17" activePane="bottomLeft" state="frozen"/>
      <selection pane="bottomLeft" activeCell="E68" sqref="E68"/>
    </sheetView>
  </sheetViews>
  <sheetFormatPr defaultColWidth="8.58203125" defaultRowHeight="14" x14ac:dyDescent="0.3"/>
  <cols>
    <col min="1" max="1" width="8.58203125" style="1"/>
    <col min="2" max="2" width="25.08203125" style="1" customWidth="1"/>
    <col min="3" max="6" width="8.58203125" style="1"/>
    <col min="7" max="7" width="11.9140625" style="4" customWidth="1"/>
    <col min="8" max="8" width="12.5" style="4" customWidth="1"/>
    <col min="9" max="9" width="14.9140625" style="4" customWidth="1"/>
    <col min="10" max="10" width="16.58203125" style="25" customWidth="1"/>
    <col min="11" max="11" width="16.58203125" style="44" customWidth="1"/>
    <col min="12" max="12" width="13.83203125" style="46" customWidth="1"/>
    <col min="13" max="13" width="16.33203125" style="1" bestFit="1" customWidth="1"/>
    <col min="14" max="15" width="16.08203125" style="1" customWidth="1"/>
    <col min="16" max="16" width="19.25" style="1" customWidth="1"/>
    <col min="17" max="17" width="17.25" style="1" customWidth="1"/>
    <col min="18" max="18" width="23.9140625" style="1" customWidth="1"/>
    <col min="19" max="19" width="16.9140625" style="1" customWidth="1"/>
    <col min="20" max="20" width="25.9140625" style="1" customWidth="1"/>
    <col min="21" max="21" width="25.9140625" style="46" customWidth="1"/>
    <col min="22" max="22" width="17.25" style="1" customWidth="1"/>
    <col min="23" max="23" width="16.6640625" style="1" customWidth="1"/>
    <col min="24" max="24" width="16.6640625" style="59" customWidth="1"/>
    <col min="25" max="25" width="14.25" style="1" customWidth="1"/>
    <col min="26" max="26" width="20" style="1" customWidth="1"/>
    <col min="27" max="27" width="24.58203125" style="59" customWidth="1"/>
    <col min="28" max="28" width="32.6640625" style="59" customWidth="1"/>
    <col min="29" max="31" width="24.58203125" style="59" customWidth="1"/>
    <col min="32" max="16384" width="8.58203125" style="1"/>
  </cols>
  <sheetData>
    <row r="1" spans="2:33" ht="14.5" thickBot="1" x14ac:dyDescent="0.35">
      <c r="B1" s="60"/>
      <c r="C1" s="60"/>
      <c r="D1" s="60"/>
      <c r="E1" s="60"/>
      <c r="F1" s="60"/>
      <c r="G1" s="78"/>
      <c r="H1" s="78"/>
      <c r="I1" s="78"/>
      <c r="J1" s="75"/>
      <c r="K1" s="63"/>
      <c r="L1" s="74" t="s">
        <v>6</v>
      </c>
      <c r="M1" s="60" t="s">
        <v>7</v>
      </c>
      <c r="N1" s="60"/>
      <c r="O1" s="60" t="s">
        <v>20</v>
      </c>
      <c r="P1" s="60"/>
      <c r="Q1" s="60" t="s">
        <v>18</v>
      </c>
      <c r="R1" s="60"/>
      <c r="S1" s="61" t="s">
        <v>19</v>
      </c>
      <c r="T1" s="73"/>
      <c r="U1" s="62"/>
      <c r="V1" s="61" t="s">
        <v>32</v>
      </c>
      <c r="W1" s="62"/>
      <c r="X1" s="53" t="s">
        <v>60</v>
      </c>
      <c r="Y1" s="61" t="s">
        <v>54</v>
      </c>
      <c r="Z1" s="73"/>
      <c r="AA1" s="62"/>
      <c r="AB1" s="61" t="s">
        <v>63</v>
      </c>
      <c r="AC1" s="73"/>
      <c r="AD1" s="53"/>
      <c r="AE1" s="53"/>
      <c r="AF1" s="61" t="s">
        <v>22</v>
      </c>
      <c r="AG1" s="62"/>
    </row>
    <row r="2" spans="2:33" ht="14.5" thickBot="1" x14ac:dyDescent="0.35">
      <c r="B2" s="60"/>
      <c r="C2" s="60"/>
      <c r="D2" s="60"/>
      <c r="E2" s="60"/>
      <c r="F2" s="60"/>
      <c r="G2" s="79"/>
      <c r="H2" s="79"/>
      <c r="I2" s="79"/>
      <c r="J2" s="76"/>
      <c r="K2" s="64"/>
      <c r="L2" s="74"/>
      <c r="M2" s="3" t="s">
        <v>8</v>
      </c>
      <c r="N2" s="3" t="s">
        <v>9</v>
      </c>
      <c r="O2" s="3" t="s">
        <v>8</v>
      </c>
      <c r="P2" s="3" t="s">
        <v>9</v>
      </c>
      <c r="Q2" s="3" t="s">
        <v>16</v>
      </c>
      <c r="R2" s="3" t="s">
        <v>17</v>
      </c>
      <c r="S2" s="3" t="s">
        <v>16</v>
      </c>
      <c r="T2" s="3" t="s">
        <v>17</v>
      </c>
      <c r="U2" s="49" t="s">
        <v>29</v>
      </c>
      <c r="V2" s="3" t="s">
        <v>33</v>
      </c>
      <c r="W2" s="3" t="s">
        <v>34</v>
      </c>
      <c r="X2" s="52"/>
      <c r="Y2" s="3" t="s">
        <v>55</v>
      </c>
      <c r="Z2" s="3" t="s">
        <v>56</v>
      </c>
      <c r="AA2" s="52" t="s">
        <v>61</v>
      </c>
      <c r="AB2" s="52" t="s">
        <v>64</v>
      </c>
      <c r="AC2" s="52"/>
      <c r="AD2" s="52" t="s">
        <v>62</v>
      </c>
      <c r="AE2" s="52"/>
      <c r="AF2" s="27"/>
      <c r="AG2" s="27"/>
    </row>
    <row r="3" spans="2:33" s="10" customFormat="1" ht="14.5" thickBot="1" x14ac:dyDescent="0.35">
      <c r="B3" s="66" t="s">
        <v>10</v>
      </c>
      <c r="C3" s="8">
        <v>1</v>
      </c>
      <c r="D3" s="8">
        <v>1</v>
      </c>
      <c r="E3" s="8">
        <v>4096</v>
      </c>
      <c r="F3" s="8">
        <v>4096</v>
      </c>
      <c r="G3" s="8">
        <f>(C3*D3*E3*2)/60*64</f>
        <v>8738.1333333333332</v>
      </c>
      <c r="H3" s="8">
        <f>(E3*F3/16*2)/44</f>
        <v>47662.545454545456</v>
      </c>
      <c r="I3" s="8">
        <f>(C3*D3*E3*F3)/16384/16</f>
        <v>64</v>
      </c>
      <c r="J3" s="26">
        <f>MAX(G3:I3)</f>
        <v>47662.545454545456</v>
      </c>
      <c r="K3" s="45">
        <v>4.2999999999999997E-2</v>
      </c>
      <c r="L3" s="47">
        <v>9.3200000000000005E-2</v>
      </c>
      <c r="M3" s="9"/>
      <c r="N3" s="9"/>
      <c r="O3" s="9">
        <v>9.3254400000000001E-2</v>
      </c>
      <c r="P3" s="17">
        <f>O3-L3</f>
        <v>5.4399999999996118E-5</v>
      </c>
      <c r="Q3" s="9">
        <v>9.2966400000000005E-2</v>
      </c>
      <c r="R3" s="17">
        <f>Q3-L3</f>
        <v>-2.3360000000000047E-4</v>
      </c>
      <c r="S3" s="9">
        <v>9.2652899999999996E-2</v>
      </c>
      <c r="T3" s="17">
        <f>S3-L3</f>
        <v>-5.4710000000000869E-4</v>
      </c>
      <c r="U3" s="50">
        <f>K3/S3</f>
        <v>0.46409772387048864</v>
      </c>
      <c r="V3" s="9">
        <v>9.1551999999999994E-2</v>
      </c>
      <c r="W3" s="9"/>
      <c r="X3" s="9">
        <v>8.4595199999999995E-2</v>
      </c>
      <c r="Y3" s="9"/>
      <c r="Z3" s="9"/>
      <c r="AA3" s="9">
        <v>0.13778599999999999</v>
      </c>
      <c r="AB3" s="9">
        <v>8.3212800000000003E-2</v>
      </c>
      <c r="AC3" s="17">
        <f>AB3-X3</f>
        <v>-1.382399999999992E-3</v>
      </c>
      <c r="AD3" s="9">
        <v>8.5184099999999999E-2</v>
      </c>
      <c r="AE3" s="17">
        <f>AD3-X3</f>
        <v>5.8890000000000331E-4</v>
      </c>
      <c r="AF3" s="9">
        <v>8.94784E-2</v>
      </c>
      <c r="AG3" s="9"/>
    </row>
    <row r="4" spans="2:33" s="10" customFormat="1" ht="14.5" thickBot="1" x14ac:dyDescent="0.35">
      <c r="B4" s="67"/>
      <c r="C4" s="8">
        <v>1</v>
      </c>
      <c r="D4" s="8">
        <v>1</v>
      </c>
      <c r="E4" s="8">
        <v>4096</v>
      </c>
      <c r="F4" s="8">
        <v>65024</v>
      </c>
      <c r="G4" s="8">
        <f t="shared" ref="G4:G65" si="0">(C4*D4*E4*2)/60</f>
        <v>136.53333333333333</v>
      </c>
      <c r="H4" s="8">
        <f t="shared" ref="H4:H65" si="1">(E4*F4/16*2)/44</f>
        <v>756642.90909090906</v>
      </c>
      <c r="I4" s="8">
        <f t="shared" ref="I4:I65" si="2">(C4*D4*E4*F4)/16384/16</f>
        <v>1016</v>
      </c>
      <c r="J4" s="26">
        <f t="shared" ref="J4:J65" si="3">MAX(G4:I4)</f>
        <v>756642.90909090906</v>
      </c>
      <c r="K4" s="45">
        <v>0.40500000000000003</v>
      </c>
      <c r="L4" s="47">
        <v>0.91</v>
      </c>
      <c r="M4" s="9"/>
      <c r="N4" s="9"/>
      <c r="O4" s="9">
        <v>1.01806</v>
      </c>
      <c r="P4" s="17">
        <f t="shared" ref="P4:P65" si="4">O4-L4</f>
        <v>0.10805999999999993</v>
      </c>
      <c r="Q4" s="9">
        <v>0.894208</v>
      </c>
      <c r="R4" s="17">
        <f>Q4-L4</f>
        <v>-1.5792000000000028E-2</v>
      </c>
      <c r="S4" s="9">
        <v>0.90341099999999996</v>
      </c>
      <c r="T4" s="17">
        <f t="shared" ref="T4:T65" si="5">S4-L4</f>
        <v>-6.589000000000067E-3</v>
      </c>
      <c r="U4" s="50">
        <f t="shared" ref="U4:U65" si="6">K4/S4</f>
        <v>0.44830093943952426</v>
      </c>
      <c r="V4" s="9">
        <v>0.90465899999999999</v>
      </c>
      <c r="W4" s="9"/>
      <c r="X4" s="9">
        <v>0.88957399999999998</v>
      </c>
      <c r="Y4" s="9"/>
      <c r="Z4" s="9"/>
      <c r="AA4" s="9">
        <v>1.8610899999999999</v>
      </c>
      <c r="AB4" s="9">
        <v>0.89042600000000005</v>
      </c>
      <c r="AC4" s="17">
        <f t="shared" ref="AC4:AC65" si="7">AB4-X4</f>
        <v>8.5200000000007492E-4</v>
      </c>
      <c r="AD4" s="9">
        <v>0.89031000000000005</v>
      </c>
      <c r="AE4" s="17">
        <f t="shared" ref="AE4:AE65" si="8">AD4-X4</f>
        <v>7.3600000000006993E-4</v>
      </c>
      <c r="AF4" s="9">
        <v>0.96974700000000003</v>
      </c>
      <c r="AG4" s="9"/>
    </row>
    <row r="5" spans="2:33" s="10" customFormat="1" ht="14.5" thickBot="1" x14ac:dyDescent="0.35">
      <c r="B5" s="67"/>
      <c r="C5" s="8">
        <v>1</v>
      </c>
      <c r="D5" s="8">
        <v>1</v>
      </c>
      <c r="E5" s="8">
        <v>13696</v>
      </c>
      <c r="F5" s="8">
        <v>4096</v>
      </c>
      <c r="G5" s="8">
        <f t="shared" si="0"/>
        <v>456.53333333333336</v>
      </c>
      <c r="H5" s="8">
        <f t="shared" si="1"/>
        <v>159371.63636363635</v>
      </c>
      <c r="I5" s="8">
        <f t="shared" si="2"/>
        <v>214</v>
      </c>
      <c r="J5" s="26">
        <f t="shared" si="3"/>
        <v>159371.63636363635</v>
      </c>
      <c r="K5" s="45">
        <v>0.10100000000000001</v>
      </c>
      <c r="L5" s="47">
        <v>0.25430000000000003</v>
      </c>
      <c r="M5" s="9"/>
      <c r="N5" s="9"/>
      <c r="O5" s="9">
        <v>0.20904300000000001</v>
      </c>
      <c r="P5" s="17">
        <f t="shared" si="4"/>
        <v>-4.5257000000000019E-2</v>
      </c>
      <c r="Q5" s="9">
        <v>0.21093799999999999</v>
      </c>
      <c r="R5" s="17">
        <f>Q5-L5</f>
        <v>-4.3362000000000039E-2</v>
      </c>
      <c r="S5" s="9">
        <v>0.21027199999999999</v>
      </c>
      <c r="T5" s="17">
        <f t="shared" si="5"/>
        <v>-4.4028000000000039E-2</v>
      </c>
      <c r="U5" s="50">
        <f t="shared" si="6"/>
        <v>0.48033023892862586</v>
      </c>
      <c r="V5" s="9">
        <v>0.22504299999999999</v>
      </c>
      <c r="W5" s="9"/>
      <c r="X5" s="9">
        <v>0.215277</v>
      </c>
      <c r="Y5" s="9"/>
      <c r="Z5" s="9"/>
      <c r="AA5" s="9">
        <v>0.42147200000000001</v>
      </c>
      <c r="AB5" s="9">
        <v>0.214611</v>
      </c>
      <c r="AC5" s="17">
        <f t="shared" si="7"/>
        <v>-6.6599999999999993E-4</v>
      </c>
      <c r="AD5" s="9">
        <v>0.21585299999999999</v>
      </c>
      <c r="AE5" s="17">
        <f t="shared" si="8"/>
        <v>5.7599999999999318E-4</v>
      </c>
      <c r="AF5" s="9">
        <v>0.22840299999999999</v>
      </c>
      <c r="AG5" s="9"/>
    </row>
    <row r="6" spans="2:33" s="10" customFormat="1" ht="14.5" thickBot="1" x14ac:dyDescent="0.35">
      <c r="B6" s="67"/>
      <c r="C6" s="8">
        <v>1</v>
      </c>
      <c r="D6" s="8">
        <v>135</v>
      </c>
      <c r="E6" s="8">
        <v>4096</v>
      </c>
      <c r="F6" s="8">
        <v>4096</v>
      </c>
      <c r="G6" s="8">
        <f t="shared" si="0"/>
        <v>18432</v>
      </c>
      <c r="H6" s="8">
        <f t="shared" si="1"/>
        <v>47662.545454545456</v>
      </c>
      <c r="I6" s="8">
        <f t="shared" si="2"/>
        <v>8640</v>
      </c>
      <c r="J6" s="26">
        <f t="shared" si="3"/>
        <v>47662.545454545456</v>
      </c>
      <c r="K6" s="45">
        <v>0.05</v>
      </c>
      <c r="L6" s="48">
        <v>0.1225</v>
      </c>
      <c r="M6" s="11">
        <v>0.11705</v>
      </c>
      <c r="N6" s="12">
        <f t="shared" ref="N6:N64" si="9">M6-L6</f>
        <v>-5.4499999999999965E-3</v>
      </c>
      <c r="O6" s="9">
        <v>0.115091</v>
      </c>
      <c r="P6" s="17">
        <f t="shared" si="4"/>
        <v>-7.4089999999999989E-3</v>
      </c>
      <c r="Q6" s="9">
        <v>0.11557099999999999</v>
      </c>
      <c r="R6" s="17">
        <f t="shared" ref="R6:R65" si="10">Q6-L6</f>
        <v>-6.9290000000000046E-3</v>
      </c>
      <c r="S6" s="9">
        <v>0.11640300000000001</v>
      </c>
      <c r="T6" s="17">
        <f t="shared" si="5"/>
        <v>-6.0969999999999913E-3</v>
      </c>
      <c r="U6" s="50">
        <f t="shared" si="6"/>
        <v>0.42954219392970971</v>
      </c>
      <c r="V6" s="9">
        <v>0.11547499999999999</v>
      </c>
      <c r="W6" s="9"/>
      <c r="X6" s="9">
        <v>0.104877</v>
      </c>
      <c r="Y6" s="9">
        <v>0.16021099999999999</v>
      </c>
      <c r="Z6" s="9">
        <v>0.16599700000000001</v>
      </c>
      <c r="AA6" s="9">
        <v>0.16026199999999999</v>
      </c>
      <c r="AB6" s="9">
        <v>0.10417899999999999</v>
      </c>
      <c r="AC6" s="17">
        <f t="shared" si="7"/>
        <v>-6.9800000000000417E-4</v>
      </c>
      <c r="AD6" s="9">
        <v>0.10455</v>
      </c>
      <c r="AE6" s="17">
        <f t="shared" si="8"/>
        <v>-3.2699999999999396E-4</v>
      </c>
      <c r="AF6" s="9">
        <v>0.23364499999999999</v>
      </c>
      <c r="AG6" s="9"/>
    </row>
    <row r="7" spans="2:33" s="10" customFormat="1" ht="14.5" thickBot="1" x14ac:dyDescent="0.35">
      <c r="B7" s="67"/>
      <c r="C7" s="8">
        <v>1</v>
      </c>
      <c r="D7" s="8">
        <v>135</v>
      </c>
      <c r="E7" s="8">
        <v>4096</v>
      </c>
      <c r="F7" s="8">
        <v>65024</v>
      </c>
      <c r="G7" s="8">
        <f t="shared" si="0"/>
        <v>18432</v>
      </c>
      <c r="H7" s="8">
        <f t="shared" si="1"/>
        <v>756642.90909090906</v>
      </c>
      <c r="I7" s="8">
        <f t="shared" si="2"/>
        <v>137160</v>
      </c>
      <c r="J7" s="8">
        <f t="shared" si="3"/>
        <v>756642.90909090906</v>
      </c>
      <c r="K7" s="8">
        <v>0.52200000000000002</v>
      </c>
      <c r="L7" s="85">
        <v>0.94850000000000001</v>
      </c>
      <c r="M7" s="11">
        <v>2.0846300000000002</v>
      </c>
      <c r="N7" s="12">
        <f t="shared" si="9"/>
        <v>1.1361300000000001</v>
      </c>
      <c r="O7" s="9">
        <v>0.95562899999999995</v>
      </c>
      <c r="P7" s="17">
        <f t="shared" si="4"/>
        <v>7.1289999999999409E-3</v>
      </c>
      <c r="Q7" s="9">
        <v>0.95606400000000002</v>
      </c>
      <c r="R7" s="17">
        <f t="shared" si="10"/>
        <v>7.5640000000000152E-3</v>
      </c>
      <c r="S7" s="9">
        <v>0.95618599999999998</v>
      </c>
      <c r="T7" s="17">
        <f t="shared" si="5"/>
        <v>7.6859999999999706E-3</v>
      </c>
      <c r="U7" s="17">
        <f t="shared" si="6"/>
        <v>0.5459188902577532</v>
      </c>
      <c r="V7" s="9">
        <v>1.08436</v>
      </c>
      <c r="W7" s="9"/>
      <c r="X7" s="9">
        <v>1.00783</v>
      </c>
      <c r="Y7" s="9">
        <v>2.0964399999999999</v>
      </c>
      <c r="Z7" s="9">
        <v>2.0237599999999998</v>
      </c>
      <c r="AA7" s="9">
        <v>2.1022099999999999</v>
      </c>
      <c r="AB7" s="9">
        <v>1.00247</v>
      </c>
      <c r="AC7" s="17">
        <f t="shared" si="7"/>
        <v>-5.3600000000000314E-3</v>
      </c>
      <c r="AD7" s="9">
        <v>1.0082800000000001</v>
      </c>
      <c r="AE7" s="17">
        <f t="shared" si="8"/>
        <v>4.5000000000006146E-4</v>
      </c>
      <c r="AF7" s="9">
        <v>3.2690800000000002</v>
      </c>
      <c r="AG7" s="9"/>
    </row>
    <row r="8" spans="2:33" s="10" customFormat="1" ht="14.5" thickBot="1" x14ac:dyDescent="0.35">
      <c r="B8" s="67"/>
      <c r="C8" s="8">
        <v>1</v>
      </c>
      <c r="D8" s="8">
        <v>135</v>
      </c>
      <c r="E8" s="8">
        <v>13696</v>
      </c>
      <c r="F8" s="8">
        <v>4096</v>
      </c>
      <c r="G8" s="8">
        <f t="shared" si="0"/>
        <v>61632</v>
      </c>
      <c r="H8" s="8">
        <f t="shared" si="1"/>
        <v>159371.63636363635</v>
      </c>
      <c r="I8" s="8">
        <f t="shared" si="2"/>
        <v>28890</v>
      </c>
      <c r="J8" s="26">
        <f t="shared" si="3"/>
        <v>159371.63636363635</v>
      </c>
      <c r="K8" s="45">
        <v>0.16600000000000001</v>
      </c>
      <c r="L8" s="48">
        <v>0.34129999999999999</v>
      </c>
      <c r="M8" s="11">
        <v>0.40560000000000002</v>
      </c>
      <c r="N8" s="12">
        <f t="shared" si="9"/>
        <v>6.4300000000000024E-2</v>
      </c>
      <c r="O8" s="9">
        <v>0.285862</v>
      </c>
      <c r="P8" s="17">
        <f t="shared" si="4"/>
        <v>-5.5437999999999987E-2</v>
      </c>
      <c r="Q8" s="9">
        <v>0.286605</v>
      </c>
      <c r="R8" s="17">
        <f t="shared" si="10"/>
        <v>-5.4694999999999994E-2</v>
      </c>
      <c r="S8" s="9">
        <v>0.28606700000000002</v>
      </c>
      <c r="T8" s="17">
        <f t="shared" si="5"/>
        <v>-5.5232999999999977E-2</v>
      </c>
      <c r="U8" s="50">
        <f t="shared" si="6"/>
        <v>0.58028363984660936</v>
      </c>
      <c r="V8" s="8">
        <v>0.305421</v>
      </c>
      <c r="W8" s="9"/>
      <c r="X8" s="9">
        <v>0.29250599999999999</v>
      </c>
      <c r="Y8" s="9">
        <v>0.502637</v>
      </c>
      <c r="Z8" s="9">
        <v>0.54930599999999996</v>
      </c>
      <c r="AA8" s="9">
        <v>0.50348800000000005</v>
      </c>
      <c r="AB8" s="9">
        <v>0.291379</v>
      </c>
      <c r="AC8" s="17">
        <f t="shared" si="7"/>
        <v>-1.1269999999999891E-3</v>
      </c>
      <c r="AD8" s="9">
        <v>0.29276200000000002</v>
      </c>
      <c r="AE8" s="17">
        <f t="shared" si="8"/>
        <v>2.5600000000003398E-4</v>
      </c>
      <c r="AF8" s="8">
        <v>0.73357399999999995</v>
      </c>
      <c r="AG8" s="9"/>
    </row>
    <row r="9" spans="2:33" s="10" customFormat="1" ht="14.5" thickBot="1" x14ac:dyDescent="0.35">
      <c r="B9" s="67"/>
      <c r="C9" s="8">
        <v>1</v>
      </c>
      <c r="D9" s="8">
        <v>511</v>
      </c>
      <c r="E9" s="8">
        <v>4096</v>
      </c>
      <c r="F9" s="8">
        <v>4096</v>
      </c>
      <c r="G9" s="8">
        <f t="shared" si="0"/>
        <v>69768.53333333334</v>
      </c>
      <c r="H9" s="8">
        <f t="shared" si="1"/>
        <v>47662.545454545456</v>
      </c>
      <c r="I9" s="8">
        <f t="shared" si="2"/>
        <v>32704</v>
      </c>
      <c r="J9" s="26">
        <f t="shared" si="3"/>
        <v>69768.53333333334</v>
      </c>
      <c r="K9" s="45">
        <v>8.6999999999999994E-2</v>
      </c>
      <c r="L9" s="48">
        <v>0.2087</v>
      </c>
      <c r="M9" s="11">
        <v>0.23105300000000001</v>
      </c>
      <c r="N9" s="12">
        <f t="shared" si="9"/>
        <v>2.2353000000000012E-2</v>
      </c>
      <c r="O9" s="9">
        <v>0.18520300000000001</v>
      </c>
      <c r="P9" s="17">
        <f t="shared" si="4"/>
        <v>-2.349699999999999E-2</v>
      </c>
      <c r="Q9" s="9">
        <v>0.185498</v>
      </c>
      <c r="R9" s="17">
        <f t="shared" si="10"/>
        <v>-2.3202E-2</v>
      </c>
      <c r="S9" s="9">
        <v>0.185005</v>
      </c>
      <c r="T9" s="17">
        <f t="shared" si="5"/>
        <v>-2.3694999999999994E-2</v>
      </c>
      <c r="U9" s="50">
        <f t="shared" si="6"/>
        <v>0.47025756060647006</v>
      </c>
      <c r="V9" s="8">
        <v>0.203962</v>
      </c>
      <c r="W9" s="9"/>
      <c r="X9" s="9">
        <v>0.18636800000000001</v>
      </c>
      <c r="Y9" s="9">
        <v>0.24851200000000001</v>
      </c>
      <c r="Z9" s="9">
        <v>0.26184299999999999</v>
      </c>
      <c r="AA9" s="9">
        <v>0.21598700000000001</v>
      </c>
      <c r="AB9" s="9">
        <v>0.185728</v>
      </c>
      <c r="AC9" s="17">
        <f t="shared" si="7"/>
        <v>-6.4000000000000168E-4</v>
      </c>
      <c r="AD9" s="9">
        <v>0.18636800000000001</v>
      </c>
      <c r="AE9" s="17">
        <f t="shared" si="8"/>
        <v>0</v>
      </c>
      <c r="AF9" s="8">
        <v>0.77936000000000005</v>
      </c>
      <c r="AG9" s="9"/>
    </row>
    <row r="10" spans="2:33" s="10" customFormat="1" ht="14.5" thickBot="1" x14ac:dyDescent="0.35">
      <c r="B10" s="67"/>
      <c r="C10" s="8">
        <v>1</v>
      </c>
      <c r="D10" s="8">
        <v>511</v>
      </c>
      <c r="E10" s="8">
        <v>4096</v>
      </c>
      <c r="F10" s="8">
        <v>65024</v>
      </c>
      <c r="G10" s="8">
        <f t="shared" si="0"/>
        <v>69768.53333333334</v>
      </c>
      <c r="H10" s="8">
        <f>(E10*F10/16*2)/44</f>
        <v>756642.90909090906</v>
      </c>
      <c r="I10" s="8">
        <f t="shared" si="2"/>
        <v>519176</v>
      </c>
      <c r="J10" s="8">
        <f t="shared" si="3"/>
        <v>756642.90909090906</v>
      </c>
      <c r="K10" s="8">
        <v>1.0209999999999999</v>
      </c>
      <c r="L10" s="85">
        <v>8.1173000000000002</v>
      </c>
      <c r="M10" s="11">
        <v>11.902799999999999</v>
      </c>
      <c r="N10" s="12">
        <f t="shared" si="9"/>
        <v>3.785499999999999</v>
      </c>
      <c r="O10" s="9">
        <v>7.9826499999999996</v>
      </c>
      <c r="P10" s="17">
        <f t="shared" si="4"/>
        <v>-0.1346500000000006</v>
      </c>
      <c r="Q10" s="9">
        <v>7.9797599999999997</v>
      </c>
      <c r="R10" s="17">
        <f t="shared" si="10"/>
        <v>-0.13754000000000044</v>
      </c>
      <c r="S10" s="9">
        <v>7.9808500000000002</v>
      </c>
      <c r="T10" s="17">
        <f t="shared" si="5"/>
        <v>-0.13644999999999996</v>
      </c>
      <c r="U10" s="17">
        <f t="shared" si="6"/>
        <v>0.12793123539472612</v>
      </c>
      <c r="V10" s="8">
        <v>8.0657099999999993</v>
      </c>
      <c r="W10" s="9"/>
      <c r="X10" s="9">
        <v>7.9847599999999996</v>
      </c>
      <c r="Y10" s="9">
        <v>4.2139699999999998</v>
      </c>
      <c r="Z10" s="9">
        <v>4.2317999999999998</v>
      </c>
      <c r="AA10" s="9">
        <v>2.9123000000000001</v>
      </c>
      <c r="AB10" s="9">
        <v>7.9855</v>
      </c>
      <c r="AC10" s="17">
        <f t="shared" si="7"/>
        <v>7.40000000000407E-4</v>
      </c>
      <c r="AD10" s="9">
        <v>7.9942500000000001</v>
      </c>
      <c r="AE10" s="17">
        <f t="shared" si="8"/>
        <v>9.4900000000004425E-3</v>
      </c>
      <c r="AF10" s="8">
        <v>11.611599999999999</v>
      </c>
      <c r="AG10" s="9"/>
    </row>
    <row r="11" spans="2:33" s="10" customFormat="1" ht="14.5" thickBot="1" x14ac:dyDescent="0.35">
      <c r="B11" s="67"/>
      <c r="C11" s="8">
        <v>1</v>
      </c>
      <c r="D11" s="8">
        <v>511</v>
      </c>
      <c r="E11" s="8">
        <v>13696</v>
      </c>
      <c r="F11" s="8">
        <v>4096</v>
      </c>
      <c r="G11" s="8">
        <f t="shared" si="0"/>
        <v>233288.53333333333</v>
      </c>
      <c r="H11" s="8">
        <f t="shared" si="1"/>
        <v>159371.63636363635</v>
      </c>
      <c r="I11" s="8">
        <f t="shared" si="2"/>
        <v>109354</v>
      </c>
      <c r="J11" s="26">
        <f t="shared" si="3"/>
        <v>233288.53333333333</v>
      </c>
      <c r="K11" s="45">
        <v>0.224</v>
      </c>
      <c r="L11" s="48">
        <v>0.72089999999999999</v>
      </c>
      <c r="M11" s="11">
        <v>0.86444200000000004</v>
      </c>
      <c r="N11" s="12">
        <f t="shared" si="9"/>
        <v>0.14354200000000006</v>
      </c>
      <c r="O11" s="9">
        <v>0.57907799999999998</v>
      </c>
      <c r="P11" s="17">
        <f t="shared" si="4"/>
        <v>-0.141822</v>
      </c>
      <c r="Q11" s="9">
        <v>0.58026200000000006</v>
      </c>
      <c r="R11" s="17">
        <f t="shared" si="10"/>
        <v>-0.14063799999999993</v>
      </c>
      <c r="S11" s="9">
        <v>0.57856600000000002</v>
      </c>
      <c r="T11" s="17">
        <f t="shared" si="5"/>
        <v>-0.14233399999999996</v>
      </c>
      <c r="U11" s="50">
        <f t="shared" si="6"/>
        <v>0.38716412647822374</v>
      </c>
      <c r="V11" s="8">
        <v>0.60648899999999994</v>
      </c>
      <c r="W11" s="9"/>
      <c r="X11" s="9">
        <v>0.58444799999999997</v>
      </c>
      <c r="Y11" s="9">
        <v>1.0271699999999999</v>
      </c>
      <c r="Z11" s="9">
        <v>1.0776300000000001</v>
      </c>
      <c r="AA11" s="9">
        <v>0.68993300000000002</v>
      </c>
      <c r="AB11" s="9">
        <v>0.58582400000000001</v>
      </c>
      <c r="AC11" s="17">
        <f t="shared" si="7"/>
        <v>1.3760000000000439E-3</v>
      </c>
      <c r="AD11" s="9">
        <v>0.58504999999999996</v>
      </c>
      <c r="AE11" s="17">
        <f t="shared" si="8"/>
        <v>6.0199999999999143E-4</v>
      </c>
      <c r="AF11" s="8">
        <v>2.5252599999999998</v>
      </c>
      <c r="AG11" s="9"/>
    </row>
    <row r="12" spans="2:33" s="10" customFormat="1" ht="14.5" thickBot="1" x14ac:dyDescent="0.35">
      <c r="B12" s="67"/>
      <c r="C12" s="8">
        <v>1</v>
      </c>
      <c r="D12" s="8">
        <v>1024</v>
      </c>
      <c r="E12" s="8">
        <v>4096</v>
      </c>
      <c r="F12" s="8">
        <v>4096</v>
      </c>
      <c r="G12" s="8">
        <f t="shared" si="0"/>
        <v>139810.13333333333</v>
      </c>
      <c r="H12" s="8">
        <f t="shared" si="1"/>
        <v>47662.545454545456</v>
      </c>
      <c r="I12" s="8">
        <f t="shared" si="2"/>
        <v>65536</v>
      </c>
      <c r="J12" s="26">
        <f t="shared" si="3"/>
        <v>139810.13333333333</v>
      </c>
      <c r="K12" s="45">
        <v>0.19500000000000001</v>
      </c>
      <c r="L12" s="48">
        <v>0.29949999999999999</v>
      </c>
      <c r="M12" s="11">
        <v>0.21235799999999999</v>
      </c>
      <c r="N12" s="12">
        <f t="shared" si="9"/>
        <v>-8.7141999999999997E-2</v>
      </c>
      <c r="O12" s="9">
        <v>0.29285800000000001</v>
      </c>
      <c r="P12" s="17">
        <f t="shared" si="4"/>
        <v>-6.6419999999999813E-3</v>
      </c>
      <c r="Q12" s="9">
        <v>0.29441299999999998</v>
      </c>
      <c r="R12" s="17">
        <f t="shared" si="10"/>
        <v>-5.0870000000000082E-3</v>
      </c>
      <c r="S12" s="9">
        <v>0.29341400000000001</v>
      </c>
      <c r="T12" s="17">
        <f t="shared" si="5"/>
        <v>-6.0859999999999803E-3</v>
      </c>
      <c r="U12" s="50">
        <f t="shared" si="6"/>
        <v>0.66458996503234335</v>
      </c>
      <c r="V12" s="8">
        <v>0.33340199999999998</v>
      </c>
      <c r="W12" s="9"/>
      <c r="X12" s="9">
        <v>0.253382</v>
      </c>
      <c r="Y12" s="9">
        <v>0.40982400000000002</v>
      </c>
      <c r="Z12" s="9">
        <v>0.437504</v>
      </c>
      <c r="AA12" s="9">
        <v>0.30863400000000002</v>
      </c>
      <c r="AB12" s="9">
        <v>0.25387500000000002</v>
      </c>
      <c r="AC12" s="17">
        <f t="shared" si="7"/>
        <v>4.930000000000212E-4</v>
      </c>
      <c r="AD12" s="9">
        <v>0.25457299999999999</v>
      </c>
      <c r="AE12" s="17">
        <f t="shared" si="8"/>
        <v>1.1909999999999976E-3</v>
      </c>
      <c r="AF12" s="8">
        <v>1.48464</v>
      </c>
      <c r="AG12" s="9"/>
    </row>
    <row r="13" spans="2:33" s="10" customFormat="1" ht="14.5" thickBot="1" x14ac:dyDescent="0.35">
      <c r="B13" s="67"/>
      <c r="C13" s="8">
        <v>1</v>
      </c>
      <c r="D13" s="8">
        <v>1024</v>
      </c>
      <c r="E13" s="8">
        <v>4096</v>
      </c>
      <c r="F13" s="8">
        <v>65024</v>
      </c>
      <c r="G13" s="8">
        <f t="shared" si="0"/>
        <v>139810.13333333333</v>
      </c>
      <c r="H13" s="8">
        <f t="shared" si="1"/>
        <v>756642.90909090906</v>
      </c>
      <c r="I13" s="8">
        <f t="shared" si="2"/>
        <v>1040384</v>
      </c>
      <c r="J13" s="8">
        <f t="shared" si="3"/>
        <v>1040384</v>
      </c>
      <c r="K13" s="8">
        <v>1.9139999999999999</v>
      </c>
      <c r="L13" s="85">
        <v>4.3141999999999996</v>
      </c>
      <c r="M13" s="11">
        <v>4.6459599999999996</v>
      </c>
      <c r="N13" s="12">
        <f t="shared" si="9"/>
        <v>0.33176000000000005</v>
      </c>
      <c r="O13" s="9">
        <v>4.2987700000000002</v>
      </c>
      <c r="P13" s="17">
        <f t="shared" si="4"/>
        <v>-1.5429999999999389E-2</v>
      </c>
      <c r="Q13" s="9">
        <v>4.3109700000000002</v>
      </c>
      <c r="R13" s="17">
        <f t="shared" si="10"/>
        <v>-3.2299999999994E-3</v>
      </c>
      <c r="S13" s="9">
        <v>4.3035899999999998</v>
      </c>
      <c r="T13" s="17">
        <f t="shared" si="5"/>
        <v>-1.0609999999999786E-2</v>
      </c>
      <c r="U13" s="17">
        <f t="shared" si="6"/>
        <v>0.44474496873540464</v>
      </c>
      <c r="V13" s="8">
        <v>16.508600000000001</v>
      </c>
      <c r="W13" s="9"/>
      <c r="X13" s="9">
        <v>3.3327399999999998</v>
      </c>
      <c r="Y13" s="9">
        <v>8.4908300000000008</v>
      </c>
      <c r="Z13" s="9">
        <v>10.254899999999999</v>
      </c>
      <c r="AA13" s="9">
        <v>4.3872099999999996</v>
      </c>
      <c r="AB13" s="9">
        <v>4.3821899999999996</v>
      </c>
      <c r="AC13" s="17">
        <f t="shared" si="7"/>
        <v>1.0494499999999998</v>
      </c>
      <c r="AD13" s="9">
        <v>4.3929400000000003</v>
      </c>
      <c r="AE13" s="17">
        <f t="shared" si="8"/>
        <v>1.0602000000000005</v>
      </c>
      <c r="AF13" s="8">
        <v>22.683800000000002</v>
      </c>
      <c r="AG13" s="9"/>
    </row>
    <row r="14" spans="2:33" s="10" customFormat="1" ht="14.5" thickBot="1" x14ac:dyDescent="0.35">
      <c r="B14" s="68"/>
      <c r="C14" s="8">
        <v>1</v>
      </c>
      <c r="D14" s="8">
        <v>1024</v>
      </c>
      <c r="E14" s="8">
        <v>13696</v>
      </c>
      <c r="F14" s="8">
        <v>4096</v>
      </c>
      <c r="G14" s="8">
        <f t="shared" si="0"/>
        <v>467490.13333333336</v>
      </c>
      <c r="H14" s="8">
        <f t="shared" si="1"/>
        <v>159371.63636363635</v>
      </c>
      <c r="I14" s="8">
        <f t="shared" si="2"/>
        <v>219136</v>
      </c>
      <c r="J14" s="26">
        <f t="shared" si="3"/>
        <v>467490.13333333336</v>
      </c>
      <c r="K14" s="45">
        <v>0.46600000000000003</v>
      </c>
      <c r="L14" s="48">
        <v>0.93940000000000001</v>
      </c>
      <c r="M14" s="11">
        <v>0.920512</v>
      </c>
      <c r="N14" s="12">
        <f t="shared" si="9"/>
        <v>-1.8888000000000016E-2</v>
      </c>
      <c r="O14" s="9">
        <v>0.93238399999999999</v>
      </c>
      <c r="P14" s="17">
        <f t="shared" si="4"/>
        <v>-7.0160000000000222E-3</v>
      </c>
      <c r="Q14" s="9">
        <v>0.93197399999999997</v>
      </c>
      <c r="R14" s="17">
        <f t="shared" si="10"/>
        <v>-7.4260000000000437E-3</v>
      </c>
      <c r="S14" s="9">
        <v>0.92878700000000003</v>
      </c>
      <c r="T14" s="17">
        <f t="shared" si="5"/>
        <v>-1.0612999999999984E-2</v>
      </c>
      <c r="U14" s="50">
        <f t="shared" si="6"/>
        <v>0.50172967537228663</v>
      </c>
      <c r="V14" s="8">
        <v>1.2089099999999999</v>
      </c>
      <c r="W14" s="9"/>
      <c r="X14" s="9">
        <v>0.79479</v>
      </c>
      <c r="Y14" s="9">
        <v>2.0190700000000001</v>
      </c>
      <c r="Z14" s="9">
        <v>2.19936</v>
      </c>
      <c r="AA14" s="9">
        <v>1.02311</v>
      </c>
      <c r="AB14" s="9">
        <v>0.79562900000000003</v>
      </c>
      <c r="AC14" s="17">
        <f t="shared" si="7"/>
        <v>8.3900000000003416E-4</v>
      </c>
      <c r="AD14" s="9">
        <v>0.79581400000000002</v>
      </c>
      <c r="AE14" s="17">
        <f t="shared" si="8"/>
        <v>1.0240000000000249E-3</v>
      </c>
      <c r="AF14" s="8">
        <v>4.9056300000000004</v>
      </c>
      <c r="AG14" s="9"/>
    </row>
    <row r="15" spans="2:33" s="14" customFormat="1" ht="14.5" thickBot="1" x14ac:dyDescent="0.35">
      <c r="B15" s="69" t="s">
        <v>11</v>
      </c>
      <c r="C15" s="13">
        <v>1</v>
      </c>
      <c r="D15" s="13">
        <v>1</v>
      </c>
      <c r="E15" s="13">
        <v>4096</v>
      </c>
      <c r="F15" s="13">
        <v>4096</v>
      </c>
      <c r="G15" s="13">
        <f t="shared" si="0"/>
        <v>136.53333333333333</v>
      </c>
      <c r="H15" s="13">
        <f t="shared" si="1"/>
        <v>47662.545454545456</v>
      </c>
      <c r="I15" s="8">
        <f t="shared" si="2"/>
        <v>64</v>
      </c>
      <c r="J15" s="26">
        <f t="shared" si="3"/>
        <v>47662.545454545456</v>
      </c>
      <c r="K15" s="45">
        <v>4.2999999999999997E-2</v>
      </c>
      <c r="L15" s="47">
        <v>9.4200000000000006E-2</v>
      </c>
      <c r="M15" s="24"/>
      <c r="N15" s="24"/>
      <c r="O15" s="24">
        <v>9.4495899999999994E-2</v>
      </c>
      <c r="P15" s="18">
        <f t="shared" si="4"/>
        <v>2.9589999999998784E-4</v>
      </c>
      <c r="Q15" s="24">
        <v>9.4656000000000004E-2</v>
      </c>
      <c r="R15" s="18">
        <f t="shared" si="10"/>
        <v>4.5599999999999807E-4</v>
      </c>
      <c r="S15" s="24">
        <v>9.2755199999999996E-2</v>
      </c>
      <c r="T15" s="18">
        <f t="shared" si="5"/>
        <v>-1.44480000000001E-3</v>
      </c>
      <c r="U15" s="50">
        <f t="shared" si="6"/>
        <v>0.46358586904022631</v>
      </c>
      <c r="V15" s="13">
        <v>9.2736100000000002E-2</v>
      </c>
      <c r="W15" s="24"/>
      <c r="X15" s="55">
        <v>8.3488000000000007E-2</v>
      </c>
      <c r="Y15" s="24"/>
      <c r="Z15" s="24"/>
      <c r="AA15" s="55">
        <v>0.139872</v>
      </c>
      <c r="AB15" s="55">
        <v>8.3564899999999998E-2</v>
      </c>
      <c r="AC15" s="17">
        <f t="shared" si="7"/>
        <v>7.6899999999990865E-5</v>
      </c>
      <c r="AD15" s="55">
        <v>0.45153900000000002</v>
      </c>
      <c r="AE15" s="17">
        <f t="shared" si="8"/>
        <v>0.36805100000000002</v>
      </c>
      <c r="AF15" s="24"/>
      <c r="AG15" s="24"/>
    </row>
    <row r="16" spans="2:33" s="14" customFormat="1" ht="14.5" thickBot="1" x14ac:dyDescent="0.35">
      <c r="B16" s="69"/>
      <c r="C16" s="13">
        <v>1</v>
      </c>
      <c r="D16" s="13">
        <v>1</v>
      </c>
      <c r="E16" s="13">
        <v>4096</v>
      </c>
      <c r="F16" s="13">
        <v>32000</v>
      </c>
      <c r="G16" s="13">
        <f t="shared" si="0"/>
        <v>136.53333333333333</v>
      </c>
      <c r="H16" s="13">
        <f t="shared" si="1"/>
        <v>372363.63636363635</v>
      </c>
      <c r="I16" s="13">
        <f t="shared" si="2"/>
        <v>500</v>
      </c>
      <c r="J16" s="13">
        <f t="shared" si="3"/>
        <v>372363.63636363635</v>
      </c>
      <c r="K16" s="13">
        <v>0.20799999999999999</v>
      </c>
      <c r="L16" s="86">
        <v>0.45400000000000001</v>
      </c>
      <c r="M16" s="13"/>
      <c r="N16" s="15"/>
      <c r="O16" s="55">
        <v>0.51086100000000001</v>
      </c>
      <c r="P16" s="18">
        <f t="shared" si="4"/>
        <v>5.6860999999999995E-2</v>
      </c>
      <c r="Q16" s="55">
        <v>0.44770599999999999</v>
      </c>
      <c r="R16" s="18">
        <f t="shared" si="10"/>
        <v>-6.2940000000000218E-3</v>
      </c>
      <c r="S16" s="55">
        <v>0.44814700000000002</v>
      </c>
      <c r="T16" s="18">
        <f t="shared" si="5"/>
        <v>-5.8529999999999971E-3</v>
      </c>
      <c r="U16" s="18">
        <f t="shared" si="6"/>
        <v>0.46413342050711037</v>
      </c>
      <c r="V16" s="13">
        <v>0.469779</v>
      </c>
      <c r="W16" s="55"/>
      <c r="X16" s="55">
        <v>0.45112999999999998</v>
      </c>
      <c r="Y16" s="55"/>
      <c r="Z16" s="55"/>
      <c r="AA16" s="55">
        <v>0.82214399999999999</v>
      </c>
      <c r="AB16" s="55">
        <v>0.45109100000000002</v>
      </c>
      <c r="AC16" s="17">
        <f t="shared" si="7"/>
        <v>-3.8999999999955737E-5</v>
      </c>
      <c r="AD16" s="55">
        <v>0.876135</v>
      </c>
      <c r="AE16" s="18">
        <f t="shared" si="8"/>
        <v>0.42500500000000002</v>
      </c>
      <c r="AF16" s="55"/>
      <c r="AG16" s="55"/>
    </row>
    <row r="17" spans="2:33" s="14" customFormat="1" ht="14.5" thickBot="1" x14ac:dyDescent="0.35">
      <c r="B17" s="69"/>
      <c r="C17" s="13">
        <v>1</v>
      </c>
      <c r="D17" s="13">
        <v>1</v>
      </c>
      <c r="E17" s="13">
        <v>4096</v>
      </c>
      <c r="F17" s="13">
        <v>64000</v>
      </c>
      <c r="G17" s="13">
        <f t="shared" si="0"/>
        <v>136.53333333333333</v>
      </c>
      <c r="H17" s="13">
        <f t="shared" si="1"/>
        <v>744727.27272727271</v>
      </c>
      <c r="I17" s="13">
        <f t="shared" si="2"/>
        <v>1000</v>
      </c>
      <c r="J17" s="13">
        <f t="shared" si="3"/>
        <v>744727.27272727271</v>
      </c>
      <c r="K17" s="13">
        <v>0.38900000000000001</v>
      </c>
      <c r="L17" s="86">
        <v>0.88919999999999999</v>
      </c>
      <c r="M17" s="13"/>
      <c r="N17" s="15"/>
      <c r="O17" s="55">
        <v>1.00858</v>
      </c>
      <c r="P17" s="18">
        <f t="shared" si="4"/>
        <v>0.11938000000000004</v>
      </c>
      <c r="Q17" s="55">
        <v>0.88051199999999996</v>
      </c>
      <c r="R17" s="18">
        <f t="shared" si="10"/>
        <v>-8.688000000000029E-3</v>
      </c>
      <c r="S17" s="55">
        <v>0.88563199999999997</v>
      </c>
      <c r="T17" s="18">
        <f t="shared" si="5"/>
        <v>-3.5680000000000156E-3</v>
      </c>
      <c r="U17" s="18">
        <f t="shared" si="6"/>
        <v>0.43923435467553118</v>
      </c>
      <c r="V17" s="13">
        <v>0.89322900000000005</v>
      </c>
      <c r="W17" s="55"/>
      <c r="X17" s="55">
        <v>0.87910999999999995</v>
      </c>
      <c r="Y17" s="55"/>
      <c r="Z17" s="55"/>
      <c r="AA17" s="55">
        <v>1.8488599999999999</v>
      </c>
      <c r="AB17" s="55">
        <v>0.87633300000000003</v>
      </c>
      <c r="AC17" s="17">
        <f t="shared" si="7"/>
        <v>-2.7769999999999184E-3</v>
      </c>
      <c r="AD17" s="55">
        <v>0.17787500000000001</v>
      </c>
      <c r="AE17" s="18">
        <f t="shared" si="8"/>
        <v>-0.70123499999999994</v>
      </c>
      <c r="AF17" s="55"/>
      <c r="AG17" s="55"/>
    </row>
    <row r="18" spans="2:33" s="14" customFormat="1" ht="14.5" thickBot="1" x14ac:dyDescent="0.35">
      <c r="B18" s="69"/>
      <c r="C18" s="13">
        <v>1</v>
      </c>
      <c r="D18" s="13">
        <v>1</v>
      </c>
      <c r="E18" s="13">
        <v>11008</v>
      </c>
      <c r="F18" s="13">
        <v>4096</v>
      </c>
      <c r="G18" s="13">
        <f t="shared" si="0"/>
        <v>366.93333333333334</v>
      </c>
      <c r="H18" s="13">
        <f t="shared" si="1"/>
        <v>128093.09090909091</v>
      </c>
      <c r="I18" s="8">
        <f t="shared" si="2"/>
        <v>172</v>
      </c>
      <c r="J18" s="26">
        <f t="shared" si="3"/>
        <v>128093.09090909091</v>
      </c>
      <c r="K18" s="45">
        <v>8.5999999999999993E-2</v>
      </c>
      <c r="L18" s="48">
        <v>0.20760000000000001</v>
      </c>
      <c r="M18" s="13"/>
      <c r="N18" s="15"/>
      <c r="O18" s="24">
        <v>0.17457300000000001</v>
      </c>
      <c r="P18" s="18">
        <f t="shared" si="4"/>
        <v>-3.3027000000000001E-2</v>
      </c>
      <c r="Q18" s="24">
        <v>0.17626900000000001</v>
      </c>
      <c r="R18" s="18">
        <f t="shared" si="10"/>
        <v>-3.1330999999999998E-2</v>
      </c>
      <c r="S18" s="24">
        <v>0.17571800000000001</v>
      </c>
      <c r="T18" s="18">
        <f t="shared" si="5"/>
        <v>-3.1881999999999994E-2</v>
      </c>
      <c r="U18" s="50">
        <f t="shared" si="6"/>
        <v>0.48942054883392699</v>
      </c>
      <c r="V18" s="13">
        <v>0.189523</v>
      </c>
      <c r="W18" s="24"/>
      <c r="X18" s="55">
        <v>0.17832999999999999</v>
      </c>
      <c r="Y18" s="24"/>
      <c r="Z18" s="24"/>
      <c r="AA18" s="55">
        <v>0.33956500000000001</v>
      </c>
      <c r="AB18" s="55">
        <v>0.17819499999999999</v>
      </c>
      <c r="AC18" s="17">
        <f t="shared" si="7"/>
        <v>-1.3499999999999623E-4</v>
      </c>
      <c r="AD18" s="55">
        <v>0.10432</v>
      </c>
      <c r="AE18" s="17">
        <f t="shared" si="8"/>
        <v>-7.4009999999999992E-2</v>
      </c>
      <c r="AF18" s="24"/>
      <c r="AG18" s="24"/>
    </row>
    <row r="19" spans="2:33" s="14" customFormat="1" ht="13" customHeight="1" thickBot="1" x14ac:dyDescent="0.35">
      <c r="B19" s="69"/>
      <c r="C19" s="13">
        <v>1</v>
      </c>
      <c r="D19" s="13">
        <v>135</v>
      </c>
      <c r="E19" s="13">
        <v>4096</v>
      </c>
      <c r="F19" s="13">
        <v>4096</v>
      </c>
      <c r="G19" s="13">
        <f t="shared" si="0"/>
        <v>18432</v>
      </c>
      <c r="H19" s="13">
        <f t="shared" si="1"/>
        <v>47662.545454545456</v>
      </c>
      <c r="I19" s="8">
        <f t="shared" si="2"/>
        <v>8640</v>
      </c>
      <c r="J19" s="26">
        <f t="shared" si="3"/>
        <v>47662.545454545456</v>
      </c>
      <c r="K19" s="45">
        <v>5.0999999999999997E-2</v>
      </c>
      <c r="L19" s="48">
        <v>0.1215</v>
      </c>
      <c r="M19" s="13">
        <v>0.117024</v>
      </c>
      <c r="N19" s="15">
        <f>M19-L19</f>
        <v>-4.4759999999999939E-3</v>
      </c>
      <c r="O19" s="24">
        <v>0.115117</v>
      </c>
      <c r="P19" s="18">
        <f t="shared" si="4"/>
        <v>-6.3829999999999998E-3</v>
      </c>
      <c r="Q19" s="24">
        <v>0.115898</v>
      </c>
      <c r="R19" s="18">
        <f t="shared" si="10"/>
        <v>-5.6019999999999959E-3</v>
      </c>
      <c r="S19" s="24">
        <v>0.116186</v>
      </c>
      <c r="T19" s="18">
        <f t="shared" si="5"/>
        <v>-5.3139999999999993E-3</v>
      </c>
      <c r="U19" s="50">
        <f t="shared" si="6"/>
        <v>0.43895133664985453</v>
      </c>
      <c r="V19" s="13">
        <v>0.11785</v>
      </c>
      <c r="W19" s="24"/>
      <c r="X19" s="55">
        <v>0.10377599999999999</v>
      </c>
      <c r="Y19" s="55">
        <v>0.159917</v>
      </c>
      <c r="Z19" s="55">
        <v>0.165939</v>
      </c>
      <c r="AA19" s="55">
        <v>0.160723</v>
      </c>
      <c r="AB19" s="55">
        <v>0.10378900000000001</v>
      </c>
      <c r="AC19" s="17">
        <f t="shared" si="7"/>
        <v>1.3000000000013001E-5</v>
      </c>
      <c r="AD19" s="55">
        <v>0.47194900000000001</v>
      </c>
      <c r="AE19" s="17">
        <f t="shared" si="8"/>
        <v>0.36817300000000003</v>
      </c>
      <c r="AF19" s="24"/>
      <c r="AG19" s="24"/>
    </row>
    <row r="20" spans="2:33" s="14" customFormat="1" ht="14.5" thickBot="1" x14ac:dyDescent="0.35">
      <c r="B20" s="69"/>
      <c r="C20" s="13">
        <v>1</v>
      </c>
      <c r="D20" s="13">
        <v>135</v>
      </c>
      <c r="E20" s="13">
        <v>4096</v>
      </c>
      <c r="F20" s="13">
        <v>32000</v>
      </c>
      <c r="G20" s="13">
        <f t="shared" si="0"/>
        <v>18432</v>
      </c>
      <c r="H20" s="13">
        <f t="shared" si="1"/>
        <v>372363.63636363635</v>
      </c>
      <c r="I20" s="13">
        <f t="shared" si="2"/>
        <v>67500</v>
      </c>
      <c r="J20" s="13">
        <f t="shared" si="3"/>
        <v>372363.63636363635</v>
      </c>
      <c r="K20" s="13">
        <v>0.34499999999999997</v>
      </c>
      <c r="L20" s="86">
        <v>0.48099999999999998</v>
      </c>
      <c r="M20" s="13">
        <v>0.98558699999999999</v>
      </c>
      <c r="N20" s="15">
        <f t="shared" si="9"/>
        <v>0.50458700000000001</v>
      </c>
      <c r="O20" s="55">
        <v>0.48271399999999998</v>
      </c>
      <c r="P20" s="18">
        <f t="shared" si="4"/>
        <v>1.7139999999999933E-3</v>
      </c>
      <c r="Q20" s="55">
        <v>0.48247699999999999</v>
      </c>
      <c r="R20" s="18">
        <f t="shared" si="10"/>
        <v>1.4770000000000061E-3</v>
      </c>
      <c r="S20" s="55">
        <v>0.48250199999999999</v>
      </c>
      <c r="T20" s="18">
        <f t="shared" si="5"/>
        <v>1.5020000000000033E-3</v>
      </c>
      <c r="U20" s="18">
        <f t="shared" si="6"/>
        <v>0.71502294291008117</v>
      </c>
      <c r="V20" s="13">
        <v>0.51250600000000002</v>
      </c>
      <c r="W20" s="55"/>
      <c r="X20" s="55">
        <v>0.47175</v>
      </c>
      <c r="Y20" s="55">
        <v>0.980128</v>
      </c>
      <c r="Z20" s="55">
        <v>0.923072</v>
      </c>
      <c r="AA20" s="55">
        <v>0.95907200000000004</v>
      </c>
      <c r="AB20" s="55">
        <v>0.47183399999999998</v>
      </c>
      <c r="AC20" s="17">
        <f t="shared" si="7"/>
        <v>8.3999999999972985E-5</v>
      </c>
      <c r="AD20" s="55">
        <v>0.98414699999999999</v>
      </c>
      <c r="AE20" s="18">
        <f t="shared" si="8"/>
        <v>0.51239699999999999</v>
      </c>
      <c r="AF20" s="55"/>
      <c r="AG20" s="55"/>
    </row>
    <row r="21" spans="2:33" s="14" customFormat="1" ht="14.5" thickBot="1" x14ac:dyDescent="0.35">
      <c r="B21" s="69"/>
      <c r="C21" s="13">
        <v>1</v>
      </c>
      <c r="D21" s="13">
        <v>135</v>
      </c>
      <c r="E21" s="13">
        <v>4096</v>
      </c>
      <c r="F21" s="13">
        <v>64000</v>
      </c>
      <c r="G21" s="13">
        <f t="shared" si="0"/>
        <v>18432</v>
      </c>
      <c r="H21" s="13">
        <f t="shared" si="1"/>
        <v>744727.27272727271</v>
      </c>
      <c r="I21" s="13">
        <f t="shared" si="2"/>
        <v>135000</v>
      </c>
      <c r="J21" s="13">
        <f t="shared" si="3"/>
        <v>744727.27272727271</v>
      </c>
      <c r="K21" s="13">
        <v>0.65600000000000003</v>
      </c>
      <c r="L21" s="86">
        <v>0.92549999999999999</v>
      </c>
      <c r="M21" s="13">
        <v>2.0572499999999998</v>
      </c>
      <c r="N21" s="15">
        <f t="shared" si="9"/>
        <v>1.1317499999999998</v>
      </c>
      <c r="O21" s="55">
        <v>0.94766700000000004</v>
      </c>
      <c r="P21" s="18">
        <f t="shared" si="4"/>
        <v>2.2167000000000048E-2</v>
      </c>
      <c r="Q21" s="55">
        <v>0.94911400000000001</v>
      </c>
      <c r="R21" s="18">
        <f t="shared" si="10"/>
        <v>2.3614000000000024E-2</v>
      </c>
      <c r="S21" s="55">
        <v>0.95073300000000005</v>
      </c>
      <c r="T21" s="18">
        <f t="shared" si="5"/>
        <v>2.5233000000000061E-2</v>
      </c>
      <c r="U21" s="18">
        <f t="shared" si="6"/>
        <v>0.68999393099850326</v>
      </c>
      <c r="V21" s="55">
        <v>1.0585500000000001</v>
      </c>
      <c r="W21" s="55"/>
      <c r="X21" s="55">
        <v>0.98336000000000001</v>
      </c>
      <c r="Y21" s="55">
        <v>2.07666</v>
      </c>
      <c r="Z21" s="55">
        <v>2.0003099999999998</v>
      </c>
      <c r="AA21" s="55">
        <v>2.0881400000000001</v>
      </c>
      <c r="AB21" s="55">
        <v>0.984429</v>
      </c>
      <c r="AC21" s="17">
        <f t="shared" si="7"/>
        <v>1.0689999999999866E-3</v>
      </c>
      <c r="AD21" s="55">
        <v>0.24024999999999999</v>
      </c>
      <c r="AE21" s="18">
        <f t="shared" si="8"/>
        <v>-0.74311000000000005</v>
      </c>
      <c r="AF21" s="55"/>
      <c r="AG21" s="55"/>
    </row>
    <row r="22" spans="2:33" s="14" customFormat="1" ht="14.5" thickBot="1" x14ac:dyDescent="0.35">
      <c r="B22" s="69"/>
      <c r="C22" s="13">
        <v>1</v>
      </c>
      <c r="D22" s="13">
        <v>135</v>
      </c>
      <c r="E22" s="13">
        <v>11008</v>
      </c>
      <c r="F22" s="13">
        <v>4096</v>
      </c>
      <c r="G22" s="13">
        <f t="shared" si="0"/>
        <v>49536</v>
      </c>
      <c r="H22" s="13">
        <f t="shared" si="1"/>
        <v>128093.09090909091</v>
      </c>
      <c r="I22" s="8">
        <f t="shared" si="2"/>
        <v>23220</v>
      </c>
      <c r="J22" s="26">
        <f t="shared" si="3"/>
        <v>128093.09090909091</v>
      </c>
      <c r="K22" s="45">
        <v>0.14199999999999999</v>
      </c>
      <c r="L22" s="48">
        <v>0.28610000000000002</v>
      </c>
      <c r="M22" s="13">
        <v>0.333453</v>
      </c>
      <c r="N22" s="15">
        <f t="shared" si="9"/>
        <v>4.7352999999999978E-2</v>
      </c>
      <c r="O22" s="24">
        <v>0.24953</v>
      </c>
      <c r="P22" s="18">
        <f t="shared" si="4"/>
        <v>-3.6570000000000019E-2</v>
      </c>
      <c r="Q22" s="24">
        <v>0.24873600000000001</v>
      </c>
      <c r="R22" s="18">
        <f t="shared" si="10"/>
        <v>-3.7364000000000008E-2</v>
      </c>
      <c r="S22" s="24">
        <v>0.24988199999999999</v>
      </c>
      <c r="T22" s="18">
        <f t="shared" si="5"/>
        <v>-3.6218000000000028E-2</v>
      </c>
      <c r="U22" s="50">
        <f t="shared" si="6"/>
        <v>0.56826822260106769</v>
      </c>
      <c r="V22" s="29">
        <v>0.25033</v>
      </c>
      <c r="W22" s="24"/>
      <c r="X22" s="55">
        <v>0.24124200000000001</v>
      </c>
      <c r="Y22" s="55">
        <v>0.40234199999999998</v>
      </c>
      <c r="Z22" s="55">
        <v>0.42684800000000001</v>
      </c>
      <c r="AA22" s="55">
        <v>0.402138</v>
      </c>
      <c r="AB22" s="55">
        <v>0.23890600000000001</v>
      </c>
      <c r="AC22" s="17">
        <f t="shared" si="7"/>
        <v>-2.3360000000000047E-3</v>
      </c>
      <c r="AD22" s="55">
        <v>0.18632299999999999</v>
      </c>
      <c r="AE22" s="17">
        <f t="shared" si="8"/>
        <v>-5.4919000000000023E-2</v>
      </c>
      <c r="AF22" s="24"/>
      <c r="AG22" s="24"/>
    </row>
    <row r="23" spans="2:33" s="14" customFormat="1" ht="14.5" thickBot="1" x14ac:dyDescent="0.35">
      <c r="B23" s="69"/>
      <c r="C23" s="13">
        <v>1</v>
      </c>
      <c r="D23" s="13">
        <v>511</v>
      </c>
      <c r="E23" s="13">
        <v>4096</v>
      </c>
      <c r="F23" s="13">
        <v>4096</v>
      </c>
      <c r="G23" s="13">
        <f t="shared" si="0"/>
        <v>69768.53333333334</v>
      </c>
      <c r="H23" s="13">
        <f t="shared" si="1"/>
        <v>47662.545454545456</v>
      </c>
      <c r="I23" s="8">
        <f t="shared" si="2"/>
        <v>32704</v>
      </c>
      <c r="J23" s="26">
        <f t="shared" si="3"/>
        <v>69768.53333333334</v>
      </c>
      <c r="K23" s="45">
        <v>8.6999999999999994E-2</v>
      </c>
      <c r="L23" s="48">
        <v>0.2082</v>
      </c>
      <c r="M23" s="13">
        <v>0.23097000000000001</v>
      </c>
      <c r="N23" s="15">
        <f t="shared" si="9"/>
        <v>2.2770000000000012E-2</v>
      </c>
      <c r="O23" s="24">
        <v>0.18473600000000001</v>
      </c>
      <c r="P23" s="18">
        <f t="shared" si="4"/>
        <v>-2.3463999999999985E-2</v>
      </c>
      <c r="Q23" s="24">
        <v>0.18393000000000001</v>
      </c>
      <c r="R23" s="18">
        <f t="shared" si="10"/>
        <v>-2.4269999999999986E-2</v>
      </c>
      <c r="S23" s="24">
        <v>0.185894</v>
      </c>
      <c r="T23" s="18">
        <f t="shared" si="5"/>
        <v>-2.2305999999999993E-2</v>
      </c>
      <c r="U23" s="50">
        <f t="shared" si="6"/>
        <v>0.46800865009091197</v>
      </c>
      <c r="V23" s="29">
        <v>0.20606099999999999</v>
      </c>
      <c r="W23" s="24"/>
      <c r="X23" s="55">
        <v>0.18681</v>
      </c>
      <c r="Y23" s="55">
        <v>0.24789800000000001</v>
      </c>
      <c r="Z23" s="55">
        <v>0.26227200000000001</v>
      </c>
      <c r="AA23" s="55">
        <v>0.215085</v>
      </c>
      <c r="AB23" s="55">
        <v>0.18454999999999999</v>
      </c>
      <c r="AC23" s="17">
        <f t="shared" si="7"/>
        <v>-2.260000000000012E-3</v>
      </c>
      <c r="AD23" s="55">
        <v>0.74246400000000001</v>
      </c>
      <c r="AE23" s="17">
        <f t="shared" si="8"/>
        <v>0.55565399999999998</v>
      </c>
      <c r="AF23" s="24"/>
      <c r="AG23" s="24"/>
    </row>
    <row r="24" spans="2:33" s="14" customFormat="1" ht="14.5" thickBot="1" x14ac:dyDescent="0.35">
      <c r="B24" s="69"/>
      <c r="C24" s="13">
        <v>1</v>
      </c>
      <c r="D24" s="13">
        <v>511</v>
      </c>
      <c r="E24" s="13">
        <v>4096</v>
      </c>
      <c r="F24" s="13">
        <v>32000</v>
      </c>
      <c r="G24" s="13">
        <f t="shared" si="0"/>
        <v>69768.53333333334</v>
      </c>
      <c r="H24" s="13">
        <f t="shared" si="1"/>
        <v>372363.63636363635</v>
      </c>
      <c r="I24" s="13">
        <f t="shared" si="2"/>
        <v>255500</v>
      </c>
      <c r="J24" s="13">
        <f t="shared" si="3"/>
        <v>372363.63636363635</v>
      </c>
      <c r="K24" s="13">
        <v>0.50800000000000001</v>
      </c>
      <c r="L24" s="86">
        <v>0.81420000000000003</v>
      </c>
      <c r="M24" s="13">
        <v>2.2656100000000001</v>
      </c>
      <c r="N24" s="15">
        <f t="shared" si="9"/>
        <v>1.4514100000000001</v>
      </c>
      <c r="O24" s="55">
        <v>0.73806099999999997</v>
      </c>
      <c r="P24" s="18">
        <f t="shared" si="4"/>
        <v>-7.6139000000000068E-2</v>
      </c>
      <c r="Q24" s="55">
        <v>0.74017299999999997</v>
      </c>
      <c r="R24" s="18">
        <f t="shared" si="10"/>
        <v>-7.4027000000000065E-2</v>
      </c>
      <c r="S24" s="55">
        <v>0.740371</v>
      </c>
      <c r="T24" s="18">
        <f t="shared" si="5"/>
        <v>-7.3829000000000033E-2</v>
      </c>
      <c r="U24" s="18">
        <f t="shared" si="6"/>
        <v>0.68614248802289668</v>
      </c>
      <c r="V24" s="55">
        <v>0.85201899999999997</v>
      </c>
      <c r="W24" s="55"/>
      <c r="X24" s="55">
        <v>0.73726700000000001</v>
      </c>
      <c r="Y24" s="55">
        <v>1.9625699999999999</v>
      </c>
      <c r="Z24" s="55">
        <v>1.9541299999999999</v>
      </c>
      <c r="AA24" s="55">
        <v>1.36452</v>
      </c>
      <c r="AB24" s="55">
        <v>0.74055700000000002</v>
      </c>
      <c r="AC24" s="17">
        <f t="shared" si="7"/>
        <v>3.2900000000000151E-3</v>
      </c>
      <c r="AD24" s="55">
        <v>7.9666899999999998</v>
      </c>
      <c r="AE24" s="18">
        <f t="shared" si="8"/>
        <v>7.2294229999999997</v>
      </c>
      <c r="AF24" s="55"/>
      <c r="AG24" s="55"/>
    </row>
    <row r="25" spans="2:33" s="14" customFormat="1" ht="14.5" thickBot="1" x14ac:dyDescent="0.35">
      <c r="B25" s="69"/>
      <c r="C25" s="13">
        <v>1</v>
      </c>
      <c r="D25" s="13">
        <v>511</v>
      </c>
      <c r="E25" s="13">
        <v>4096</v>
      </c>
      <c r="F25" s="13">
        <v>64000</v>
      </c>
      <c r="G25" s="13">
        <f t="shared" si="0"/>
        <v>69768.53333333334</v>
      </c>
      <c r="H25" s="13">
        <f t="shared" si="1"/>
        <v>744727.27272727271</v>
      </c>
      <c r="I25" s="13">
        <f t="shared" si="2"/>
        <v>511000</v>
      </c>
      <c r="J25" s="13">
        <f t="shared" si="3"/>
        <v>744727.27272727271</v>
      </c>
      <c r="K25" s="13">
        <v>1.022</v>
      </c>
      <c r="L25" s="86">
        <v>7.984</v>
      </c>
      <c r="M25" s="13">
        <v>11.677</v>
      </c>
      <c r="N25" s="15">
        <f t="shared" si="9"/>
        <v>3.6929999999999996</v>
      </c>
      <c r="O25" s="55">
        <v>7.9494899999999999</v>
      </c>
      <c r="P25" s="18">
        <f t="shared" si="4"/>
        <v>-3.4510000000000041E-2</v>
      </c>
      <c r="Q25" s="55">
        <v>7.9507199999999996</v>
      </c>
      <c r="R25" s="18">
        <f t="shared" si="10"/>
        <v>-3.328000000000042E-2</v>
      </c>
      <c r="S25" s="55">
        <v>7.9554400000000003</v>
      </c>
      <c r="T25" s="18">
        <f t="shared" si="5"/>
        <v>-2.8559999999999697E-2</v>
      </c>
      <c r="U25" s="18">
        <f t="shared" si="6"/>
        <v>0.12846555313093933</v>
      </c>
      <c r="V25" s="55">
        <v>8.0411900000000003</v>
      </c>
      <c r="W25" s="55"/>
      <c r="X25" s="55">
        <v>7.9630400000000003</v>
      </c>
      <c r="Y25" s="55">
        <v>4.1263500000000004</v>
      </c>
      <c r="Z25" s="55">
        <v>4.1579800000000002</v>
      </c>
      <c r="AA25" s="55">
        <v>2.8849499999999999</v>
      </c>
      <c r="AB25" s="55">
        <v>7.9510800000000001</v>
      </c>
      <c r="AC25" s="17">
        <f t="shared" si="7"/>
        <v>-1.1960000000000193E-2</v>
      </c>
      <c r="AD25" s="55">
        <v>0.46581800000000001</v>
      </c>
      <c r="AE25" s="18">
        <f t="shared" si="8"/>
        <v>-7.4972220000000007</v>
      </c>
      <c r="AF25" s="55"/>
      <c r="AG25" s="55"/>
    </row>
    <row r="26" spans="2:33" s="14" customFormat="1" ht="14.5" thickBot="1" x14ac:dyDescent="0.35">
      <c r="B26" s="69"/>
      <c r="C26" s="13">
        <v>1</v>
      </c>
      <c r="D26" s="13">
        <v>511</v>
      </c>
      <c r="E26" s="13">
        <v>11008</v>
      </c>
      <c r="F26" s="13">
        <v>4096</v>
      </c>
      <c r="G26" s="13">
        <f t="shared" si="0"/>
        <v>187502.93333333332</v>
      </c>
      <c r="H26" s="13">
        <f t="shared" si="1"/>
        <v>128093.09090909091</v>
      </c>
      <c r="I26" s="8">
        <f t="shared" si="2"/>
        <v>87892</v>
      </c>
      <c r="J26" s="26">
        <f t="shared" si="3"/>
        <v>187502.93333333332</v>
      </c>
      <c r="K26" s="45">
        <v>0.185</v>
      </c>
      <c r="L26" s="48">
        <v>0.54530000000000001</v>
      </c>
      <c r="M26" s="13">
        <v>0.72933099999999995</v>
      </c>
      <c r="N26" s="15">
        <f t="shared" si="9"/>
        <v>0.18403099999999994</v>
      </c>
      <c r="O26" s="24">
        <v>0.46143400000000001</v>
      </c>
      <c r="P26" s="18">
        <f t="shared" si="4"/>
        <v>-8.3865999999999996E-2</v>
      </c>
      <c r="Q26" s="24">
        <v>0.46036500000000002</v>
      </c>
      <c r="R26" s="18">
        <f t="shared" si="10"/>
        <v>-8.4934999999999983E-2</v>
      </c>
      <c r="S26" s="24">
        <v>0.46176600000000001</v>
      </c>
      <c r="T26" s="18">
        <f t="shared" si="5"/>
        <v>-8.3533999999999997E-2</v>
      </c>
      <c r="U26" s="50">
        <f t="shared" si="6"/>
        <v>0.40063581987413538</v>
      </c>
      <c r="V26" s="29">
        <v>0.485485</v>
      </c>
      <c r="W26" s="24"/>
      <c r="X26" s="55">
        <v>0.46812799999999999</v>
      </c>
      <c r="Y26" s="55">
        <v>0.80937000000000003</v>
      </c>
      <c r="Z26" s="55">
        <v>0.84790399999999999</v>
      </c>
      <c r="AA26" s="55">
        <v>0.55236499999999999</v>
      </c>
      <c r="AB26" s="55">
        <v>0.46703299999999998</v>
      </c>
      <c r="AC26" s="17">
        <f t="shared" si="7"/>
        <v>-1.0950000000000126E-3</v>
      </c>
      <c r="AD26" s="55">
        <v>0.25496999999999997</v>
      </c>
      <c r="AE26" s="17">
        <f t="shared" si="8"/>
        <v>-0.21315800000000001</v>
      </c>
      <c r="AF26" s="24"/>
      <c r="AG26" s="24"/>
    </row>
    <row r="27" spans="2:33" s="14" customFormat="1" ht="14.5" thickBot="1" x14ac:dyDescent="0.35">
      <c r="B27" s="69"/>
      <c r="C27" s="13">
        <v>1</v>
      </c>
      <c r="D27" s="13">
        <v>1024</v>
      </c>
      <c r="E27" s="13">
        <v>4096</v>
      </c>
      <c r="F27" s="13">
        <v>4096</v>
      </c>
      <c r="G27" s="13">
        <f t="shared" si="0"/>
        <v>139810.13333333333</v>
      </c>
      <c r="H27" s="13">
        <f t="shared" si="1"/>
        <v>47662.545454545456</v>
      </c>
      <c r="I27" s="8">
        <f t="shared" si="2"/>
        <v>65536</v>
      </c>
      <c r="J27" s="26">
        <f t="shared" si="3"/>
        <v>139810.13333333333</v>
      </c>
      <c r="K27" s="45">
        <v>0.19400000000000001</v>
      </c>
      <c r="L27" s="48">
        <v>0.29609999999999997</v>
      </c>
      <c r="M27" s="13">
        <v>0.19956499999999999</v>
      </c>
      <c r="N27" s="15">
        <f t="shared" si="9"/>
        <v>-9.6534999999999982E-2</v>
      </c>
      <c r="O27" s="24">
        <v>0.29502699999999998</v>
      </c>
      <c r="P27" s="18">
        <f t="shared" si="4"/>
        <v>-1.0729999999999906E-3</v>
      </c>
      <c r="Q27" s="24">
        <v>0.294765</v>
      </c>
      <c r="R27" s="18">
        <f t="shared" si="10"/>
        <v>-1.3349999999999751E-3</v>
      </c>
      <c r="S27" s="24">
        <v>0.29887999999999998</v>
      </c>
      <c r="T27" s="18">
        <f t="shared" si="5"/>
        <v>2.7800000000000047E-3</v>
      </c>
      <c r="U27" s="50">
        <f t="shared" si="6"/>
        <v>0.64908993576017138</v>
      </c>
      <c r="V27" s="29">
        <v>0.33289600000000003</v>
      </c>
      <c r="W27" s="24"/>
      <c r="X27" s="55">
        <v>0.256826</v>
      </c>
      <c r="Y27" s="55">
        <v>0.409779</v>
      </c>
      <c r="Z27" s="55">
        <v>0.43559700000000001</v>
      </c>
      <c r="AA27" s="55">
        <v>0.30842199999999997</v>
      </c>
      <c r="AB27" s="55">
        <v>0.255629</v>
      </c>
      <c r="AC27" s="17">
        <f t="shared" si="7"/>
        <v>-1.1970000000000036E-3</v>
      </c>
      <c r="AD27" s="55">
        <v>2.1081099999999999</v>
      </c>
      <c r="AE27" s="17">
        <f t="shared" si="8"/>
        <v>1.8512839999999999</v>
      </c>
      <c r="AF27" s="24"/>
      <c r="AG27" s="24"/>
    </row>
    <row r="28" spans="2:33" s="14" customFormat="1" ht="14.5" thickBot="1" x14ac:dyDescent="0.35">
      <c r="B28" s="69"/>
      <c r="C28" s="13">
        <v>1</v>
      </c>
      <c r="D28" s="13">
        <v>1024</v>
      </c>
      <c r="E28" s="13">
        <v>4096</v>
      </c>
      <c r="F28" s="13">
        <v>32000</v>
      </c>
      <c r="G28" s="13">
        <f t="shared" si="0"/>
        <v>139810.13333333333</v>
      </c>
      <c r="H28" s="13">
        <f t="shared" si="1"/>
        <v>372363.63636363635</v>
      </c>
      <c r="I28" s="13">
        <f t="shared" si="2"/>
        <v>512000</v>
      </c>
      <c r="J28" s="13">
        <f t="shared" si="3"/>
        <v>512000</v>
      </c>
      <c r="K28" s="13">
        <v>1.006</v>
      </c>
      <c r="L28" s="86">
        <v>1.9930000000000001</v>
      </c>
      <c r="M28" s="13">
        <v>2.33012</v>
      </c>
      <c r="N28" s="15">
        <f t="shared" si="9"/>
        <v>0.33711999999999986</v>
      </c>
      <c r="O28" s="55">
        <v>1.98289</v>
      </c>
      <c r="P28" s="18">
        <f t="shared" si="4"/>
        <v>-1.0110000000000063E-2</v>
      </c>
      <c r="Q28" s="55">
        <v>1.99512</v>
      </c>
      <c r="R28" s="18">
        <f t="shared" si="10"/>
        <v>2.1199999999998997E-3</v>
      </c>
      <c r="S28" s="55">
        <v>1.99173</v>
      </c>
      <c r="T28" s="18">
        <f t="shared" si="5"/>
        <v>-1.2700000000001044E-3</v>
      </c>
      <c r="U28" s="18">
        <f t="shared" si="6"/>
        <v>0.50508854111752099</v>
      </c>
      <c r="V28" s="55">
        <v>8.0798400000000008</v>
      </c>
      <c r="W28" s="55"/>
      <c r="X28" s="55">
        <v>1.64588</v>
      </c>
      <c r="Y28" s="55">
        <v>4.03024</v>
      </c>
      <c r="Z28" s="55">
        <v>4.9151100000000003</v>
      </c>
      <c r="AA28" s="55">
        <v>2.1131199999999999</v>
      </c>
      <c r="AB28" s="55">
        <v>2.1126100000000001</v>
      </c>
      <c r="AC28" s="17">
        <f t="shared" si="7"/>
        <v>0.46673000000000009</v>
      </c>
      <c r="AD28" s="55">
        <v>4.3542300000000003</v>
      </c>
      <c r="AE28" s="18">
        <f t="shared" si="8"/>
        <v>2.7083500000000003</v>
      </c>
      <c r="AF28" s="55"/>
      <c r="AG28" s="55"/>
    </row>
    <row r="29" spans="2:33" s="14" customFormat="1" ht="14.5" thickBot="1" x14ac:dyDescent="0.35">
      <c r="B29" s="69"/>
      <c r="C29" s="13">
        <v>1</v>
      </c>
      <c r="D29" s="13">
        <v>1024</v>
      </c>
      <c r="E29" s="13">
        <v>4096</v>
      </c>
      <c r="F29" s="13">
        <v>64000</v>
      </c>
      <c r="G29" s="13">
        <f t="shared" si="0"/>
        <v>139810.13333333333</v>
      </c>
      <c r="H29" s="13">
        <f t="shared" si="1"/>
        <v>744727.27272727271</v>
      </c>
      <c r="I29" s="13">
        <f t="shared" si="2"/>
        <v>1024000</v>
      </c>
      <c r="J29" s="13">
        <f t="shared" si="3"/>
        <v>1024000</v>
      </c>
      <c r="K29" s="13">
        <v>1.9079999999999999</v>
      </c>
      <c r="L29" s="86">
        <v>4.2666000000000004</v>
      </c>
      <c r="M29" s="13">
        <v>4.6122100000000001</v>
      </c>
      <c r="N29" s="15">
        <f t="shared" si="9"/>
        <v>0.34560999999999975</v>
      </c>
      <c r="O29" s="55">
        <v>4.2614900000000002</v>
      </c>
      <c r="P29" s="18">
        <f t="shared" si="4"/>
        <v>-5.11000000000017E-3</v>
      </c>
      <c r="Q29" s="55">
        <v>4.2776300000000003</v>
      </c>
      <c r="R29" s="18">
        <f t="shared" si="10"/>
        <v>1.1029999999999873E-2</v>
      </c>
      <c r="S29" s="55">
        <v>4.2684600000000001</v>
      </c>
      <c r="T29" s="18">
        <f t="shared" si="5"/>
        <v>1.8599999999997507E-3</v>
      </c>
      <c r="U29" s="18">
        <f t="shared" si="6"/>
        <v>0.4469996204720203</v>
      </c>
      <c r="V29" s="55">
        <v>16.389800000000001</v>
      </c>
      <c r="W29" s="55"/>
      <c r="X29" s="55">
        <v>3.3648400000000001</v>
      </c>
      <c r="Y29" s="55">
        <v>8.2168799999999997</v>
      </c>
      <c r="Z29" s="55">
        <v>10.0265</v>
      </c>
      <c r="AA29" s="55">
        <v>4.3542699999999996</v>
      </c>
      <c r="AB29" s="55">
        <v>4.3449799999999996</v>
      </c>
      <c r="AC29" s="17">
        <f t="shared" si="7"/>
        <v>0.98013999999999957</v>
      </c>
      <c r="AD29" s="55">
        <v>0.63106600000000002</v>
      </c>
      <c r="AE29" s="18">
        <f t="shared" si="8"/>
        <v>-2.7337739999999999</v>
      </c>
      <c r="AF29" s="55"/>
      <c r="AG29" s="55"/>
    </row>
    <row r="30" spans="2:33" s="14" customFormat="1" ht="14.5" thickBot="1" x14ac:dyDescent="0.35">
      <c r="B30" s="69"/>
      <c r="C30" s="13">
        <v>1</v>
      </c>
      <c r="D30" s="13">
        <v>1024</v>
      </c>
      <c r="E30" s="13">
        <v>11008</v>
      </c>
      <c r="F30" s="13">
        <v>4096</v>
      </c>
      <c r="G30" s="13">
        <f t="shared" si="0"/>
        <v>375739.73333333334</v>
      </c>
      <c r="H30" s="13">
        <f t="shared" si="1"/>
        <v>128093.09090909091</v>
      </c>
      <c r="I30" s="8">
        <f t="shared" si="2"/>
        <v>176128</v>
      </c>
      <c r="J30" s="26">
        <f t="shared" si="3"/>
        <v>375739.73333333334</v>
      </c>
      <c r="K30" s="45">
        <v>0.35599999999999998</v>
      </c>
      <c r="L30" s="48">
        <v>0.84119999999999995</v>
      </c>
      <c r="M30" s="13">
        <v>0.80040999999999995</v>
      </c>
      <c r="N30" s="15">
        <f t="shared" si="9"/>
        <v>-4.0789999999999993E-2</v>
      </c>
      <c r="O30" s="24">
        <v>0.84326400000000001</v>
      </c>
      <c r="P30" s="18">
        <f t="shared" si="4"/>
        <v>2.0640000000000658E-3</v>
      </c>
      <c r="Q30" s="24">
        <v>0.82435199999999997</v>
      </c>
      <c r="R30" s="18">
        <f t="shared" si="10"/>
        <v>-1.6847999999999974E-2</v>
      </c>
      <c r="S30" s="24">
        <v>0.82665599999999995</v>
      </c>
      <c r="T30" s="18">
        <f t="shared" si="5"/>
        <v>-1.4544000000000001E-2</v>
      </c>
      <c r="U30" s="50">
        <f t="shared" si="6"/>
        <v>0.43065071807378158</v>
      </c>
      <c r="V30" s="29">
        <v>0.93800300000000003</v>
      </c>
      <c r="W30" s="24"/>
      <c r="X30" s="55">
        <v>0.62941400000000003</v>
      </c>
      <c r="Y30" s="55">
        <v>1.59459</v>
      </c>
      <c r="Z30" s="55">
        <v>1.6958</v>
      </c>
      <c r="AA30" s="55">
        <v>0.819712</v>
      </c>
      <c r="AB30" s="55">
        <v>0.63068199999999996</v>
      </c>
      <c r="AC30" s="17">
        <f t="shared" si="7"/>
        <v>1.2679999999999358E-3</v>
      </c>
      <c r="AD30" s="55"/>
      <c r="AE30" s="17">
        <f t="shared" si="8"/>
        <v>-0.62941400000000003</v>
      </c>
      <c r="AF30" s="24"/>
      <c r="AG30" s="24"/>
    </row>
    <row r="31" spans="2:33" s="32" customFormat="1" ht="14.5" thickBot="1" x14ac:dyDescent="0.35">
      <c r="B31" s="70" t="s">
        <v>12</v>
      </c>
      <c r="C31" s="33">
        <v>8</v>
      </c>
      <c r="D31" s="33">
        <v>1</v>
      </c>
      <c r="E31" s="33">
        <v>2048</v>
      </c>
      <c r="F31" s="33">
        <v>8192</v>
      </c>
      <c r="G31" s="33">
        <f t="shared" si="0"/>
        <v>546.13333333333333</v>
      </c>
      <c r="H31" s="33">
        <f t="shared" si="1"/>
        <v>47662.545454545456</v>
      </c>
      <c r="I31" s="8">
        <f t="shared" si="2"/>
        <v>512</v>
      </c>
      <c r="J31" s="26">
        <f t="shared" si="3"/>
        <v>47662.545454545456</v>
      </c>
      <c r="K31" s="45">
        <v>4.1000000000000002E-2</v>
      </c>
      <c r="L31" s="48">
        <v>9.3100000000000002E-2</v>
      </c>
      <c r="M31" s="33"/>
      <c r="N31" s="36"/>
      <c r="O31" s="37">
        <v>0.115078</v>
      </c>
      <c r="P31" s="38">
        <f t="shared" si="4"/>
        <v>2.1977999999999998E-2</v>
      </c>
      <c r="Q31" s="37">
        <v>9.3158400000000002E-2</v>
      </c>
      <c r="R31" s="38">
        <f t="shared" si="10"/>
        <v>5.8400000000000118E-5</v>
      </c>
      <c r="S31" s="37">
        <v>9.2038499999999995E-2</v>
      </c>
      <c r="T31" s="38">
        <f t="shared" si="5"/>
        <v>-1.0615000000000069E-3</v>
      </c>
      <c r="U31" s="50">
        <f t="shared" si="6"/>
        <v>0.44546575617812117</v>
      </c>
      <c r="V31" s="37">
        <v>9.45024E-2</v>
      </c>
      <c r="W31" s="37"/>
      <c r="X31" s="56">
        <v>8.8134299999999999E-2</v>
      </c>
      <c r="Y31" s="37"/>
      <c r="Z31" s="37"/>
      <c r="AA31" s="56">
        <v>0.16315499999999999</v>
      </c>
      <c r="AB31" s="56">
        <v>8.7123199999999998E-2</v>
      </c>
      <c r="AC31" s="17">
        <f t="shared" si="7"/>
        <v>-1.0111000000000009E-3</v>
      </c>
      <c r="AD31" s="56">
        <v>8.6764800000000003E-2</v>
      </c>
      <c r="AE31" s="17">
        <f t="shared" si="8"/>
        <v>-1.3694999999999957E-3</v>
      </c>
      <c r="AF31" s="37"/>
      <c r="AG31" s="37"/>
    </row>
    <row r="32" spans="2:33" s="32" customFormat="1" ht="14.5" thickBot="1" x14ac:dyDescent="0.35">
      <c r="B32" s="70"/>
      <c r="C32" s="33">
        <v>8</v>
      </c>
      <c r="D32" s="33">
        <v>1</v>
      </c>
      <c r="E32" s="33">
        <v>7168</v>
      </c>
      <c r="F32" s="33">
        <v>8192</v>
      </c>
      <c r="G32" s="33">
        <f t="shared" si="0"/>
        <v>1911.4666666666667</v>
      </c>
      <c r="H32" s="33">
        <f t="shared" si="1"/>
        <v>166818.90909090909</v>
      </c>
      <c r="I32" s="8">
        <f t="shared" si="2"/>
        <v>1792</v>
      </c>
      <c r="J32" s="26">
        <f t="shared" si="3"/>
        <v>166818.90909090909</v>
      </c>
      <c r="K32" s="45">
        <v>0.1</v>
      </c>
      <c r="L32" s="48">
        <v>0.22270000000000001</v>
      </c>
      <c r="M32" s="33"/>
      <c r="N32" s="36"/>
      <c r="O32" s="37">
        <v>0.216915</v>
      </c>
      <c r="P32" s="38">
        <f t="shared" si="4"/>
        <v>-5.7850000000000124E-3</v>
      </c>
      <c r="Q32" s="37">
        <v>0.222694</v>
      </c>
      <c r="R32" s="38">
        <f t="shared" si="10"/>
        <v>-6.0000000000060005E-6</v>
      </c>
      <c r="S32" s="37">
        <v>0.217306</v>
      </c>
      <c r="T32" s="38">
        <f t="shared" si="5"/>
        <v>-5.3940000000000099E-3</v>
      </c>
      <c r="U32" s="50">
        <f t="shared" si="6"/>
        <v>0.46018057485757413</v>
      </c>
      <c r="V32" s="37">
        <v>0.22988800000000001</v>
      </c>
      <c r="W32" s="37"/>
      <c r="X32" s="56">
        <v>0.220806</v>
      </c>
      <c r="Y32" s="37"/>
      <c r="Z32" s="37"/>
      <c r="AA32" s="56">
        <v>0.43759399999999998</v>
      </c>
      <c r="AB32" s="56">
        <v>0.22048000000000001</v>
      </c>
      <c r="AC32" s="17">
        <f t="shared" si="7"/>
        <v>-3.2599999999999296E-4</v>
      </c>
      <c r="AD32" s="56">
        <v>0.21920000000000001</v>
      </c>
      <c r="AE32" s="17">
        <f t="shared" si="8"/>
        <v>-1.6059999999999963E-3</v>
      </c>
      <c r="AF32" s="37"/>
      <c r="AG32" s="37"/>
    </row>
    <row r="33" spans="2:33" s="32" customFormat="1" ht="14.5" thickBot="1" x14ac:dyDescent="0.35">
      <c r="B33" s="70"/>
      <c r="C33" s="33">
        <v>8</v>
      </c>
      <c r="D33" s="33">
        <v>1</v>
      </c>
      <c r="E33" s="33">
        <v>8192</v>
      </c>
      <c r="F33" s="33">
        <v>32000</v>
      </c>
      <c r="G33" s="33">
        <f t="shared" si="0"/>
        <v>2184.5333333333333</v>
      </c>
      <c r="H33" s="33">
        <f t="shared" si="1"/>
        <v>744727.27272727271</v>
      </c>
      <c r="I33" s="33">
        <f t="shared" si="2"/>
        <v>8000</v>
      </c>
      <c r="J33" s="33">
        <f t="shared" si="3"/>
        <v>744727.27272727271</v>
      </c>
      <c r="K33" s="33">
        <v>0.56799999999999995</v>
      </c>
      <c r="L33" s="88">
        <v>0.91510000000000002</v>
      </c>
      <c r="M33" s="33"/>
      <c r="N33" s="36"/>
      <c r="O33" s="56">
        <v>0.87648599999999999</v>
      </c>
      <c r="P33" s="38">
        <f t="shared" si="4"/>
        <v>-3.8614000000000037E-2</v>
      </c>
      <c r="Q33" s="56">
        <v>0.91174999999999995</v>
      </c>
      <c r="R33" s="38">
        <f t="shared" si="10"/>
        <v>-3.3500000000000751E-3</v>
      </c>
      <c r="S33" s="56">
        <v>0.87746599999999997</v>
      </c>
      <c r="T33" s="38">
        <f t="shared" si="5"/>
        <v>-3.7634000000000056E-2</v>
      </c>
      <c r="U33" s="38">
        <f t="shared" si="6"/>
        <v>0.64731852858116434</v>
      </c>
      <c r="V33" s="56">
        <v>0.89236499999999996</v>
      </c>
      <c r="W33" s="56"/>
      <c r="X33" s="56">
        <v>0.88844800000000002</v>
      </c>
      <c r="Y33" s="56"/>
      <c r="Z33" s="56"/>
      <c r="AA33" s="56">
        <v>1.94102</v>
      </c>
      <c r="AB33" s="56">
        <v>0.88226599999999999</v>
      </c>
      <c r="AC33" s="17">
        <f t="shared" si="7"/>
        <v>-6.1820000000000208E-3</v>
      </c>
      <c r="AD33" s="56">
        <v>0.88227199999999995</v>
      </c>
      <c r="AE33" s="38">
        <f t="shared" si="8"/>
        <v>-6.1760000000000703E-3</v>
      </c>
      <c r="AF33" s="56"/>
      <c r="AG33" s="56"/>
    </row>
    <row r="34" spans="2:33" s="32" customFormat="1" ht="14.5" thickBot="1" x14ac:dyDescent="0.35">
      <c r="B34" s="70"/>
      <c r="C34" s="33">
        <v>8</v>
      </c>
      <c r="D34" s="33">
        <v>128</v>
      </c>
      <c r="E34" s="33">
        <v>2048</v>
      </c>
      <c r="F34" s="33">
        <v>8192</v>
      </c>
      <c r="G34" s="33">
        <f t="shared" si="0"/>
        <v>69905.066666666666</v>
      </c>
      <c r="H34" s="33">
        <f t="shared" si="1"/>
        <v>47662.545454545456</v>
      </c>
      <c r="I34" s="8">
        <f t="shared" si="2"/>
        <v>65536</v>
      </c>
      <c r="J34" s="26">
        <f t="shared" si="3"/>
        <v>69905.066666666666</v>
      </c>
      <c r="K34" s="45">
        <v>0.16700000000000001</v>
      </c>
      <c r="L34" s="48">
        <v>0.35499999999999998</v>
      </c>
      <c r="M34" s="33">
        <v>0.33722200000000002</v>
      </c>
      <c r="N34" s="36">
        <f t="shared" si="9"/>
        <v>-1.7777999999999961E-2</v>
      </c>
      <c r="O34" s="37">
        <v>0.35259499999999999</v>
      </c>
      <c r="P34" s="38">
        <f t="shared" si="4"/>
        <v>-2.4049999999999905E-3</v>
      </c>
      <c r="Q34" s="37">
        <v>0.35532799999999998</v>
      </c>
      <c r="R34" s="38">
        <f t="shared" si="10"/>
        <v>3.2799999999999496E-4</v>
      </c>
      <c r="S34" s="37">
        <v>0.35489900000000002</v>
      </c>
      <c r="T34" s="38">
        <f t="shared" si="5"/>
        <v>-1.0099999999996223E-4</v>
      </c>
      <c r="U34" s="50">
        <f t="shared" si="6"/>
        <v>0.47055641182420915</v>
      </c>
      <c r="V34" s="37">
        <v>0.30099199999999998</v>
      </c>
      <c r="W34" s="37"/>
      <c r="X34" s="56">
        <v>0.32427499999999998</v>
      </c>
      <c r="Y34" s="56">
        <v>0.51057900000000001</v>
      </c>
      <c r="Z34" s="56">
        <v>0.52613100000000002</v>
      </c>
      <c r="AA34" s="56">
        <v>0.32745000000000002</v>
      </c>
      <c r="AB34" s="56">
        <v>0.32419799999999999</v>
      </c>
      <c r="AC34" s="17">
        <f t="shared" si="7"/>
        <v>-7.699999999999374E-5</v>
      </c>
      <c r="AD34" s="56">
        <v>0.32348199999999999</v>
      </c>
      <c r="AE34" s="17">
        <f t="shared" si="8"/>
        <v>-7.9299999999998816E-4</v>
      </c>
      <c r="AF34" s="37"/>
      <c r="AG34" s="37"/>
    </row>
    <row r="35" spans="2:33" s="32" customFormat="1" ht="14.5" thickBot="1" x14ac:dyDescent="0.35">
      <c r="B35" s="70"/>
      <c r="C35" s="33">
        <v>8</v>
      </c>
      <c r="D35" s="33">
        <v>128</v>
      </c>
      <c r="E35" s="33">
        <v>7168</v>
      </c>
      <c r="F35" s="33">
        <v>8192</v>
      </c>
      <c r="G35" s="33">
        <f t="shared" si="0"/>
        <v>244667.73333333334</v>
      </c>
      <c r="H35" s="33">
        <f t="shared" si="1"/>
        <v>166818.90909090909</v>
      </c>
      <c r="I35" s="8">
        <f t="shared" si="2"/>
        <v>229376</v>
      </c>
      <c r="J35" s="26">
        <f t="shared" si="3"/>
        <v>244667.73333333334</v>
      </c>
      <c r="K35" s="45">
        <v>0.46300000000000002</v>
      </c>
      <c r="L35" s="48">
        <v>0.75039999999999996</v>
      </c>
      <c r="M35" s="33">
        <v>0.73429100000000003</v>
      </c>
      <c r="N35" s="36">
        <f t="shared" si="9"/>
        <v>-1.6108999999999929E-2</v>
      </c>
      <c r="O35" s="37">
        <v>0.74846100000000004</v>
      </c>
      <c r="P35" s="38">
        <f t="shared" si="4"/>
        <v>-1.938999999999913E-3</v>
      </c>
      <c r="Q35" s="37">
        <v>0.75065599999999999</v>
      </c>
      <c r="R35" s="38">
        <f t="shared" si="10"/>
        <v>2.5600000000003398E-4</v>
      </c>
      <c r="S35" s="37">
        <v>0.75023399999999996</v>
      </c>
      <c r="T35" s="38">
        <f t="shared" si="5"/>
        <v>-1.6599999999999948E-4</v>
      </c>
      <c r="U35" s="50">
        <f t="shared" si="6"/>
        <v>0.61714078540828599</v>
      </c>
      <c r="V35" s="37">
        <v>0.84894700000000001</v>
      </c>
      <c r="W35" s="37"/>
      <c r="X35" s="56">
        <v>0.67627499999999996</v>
      </c>
      <c r="Y35" s="56">
        <v>1.68136</v>
      </c>
      <c r="Z35" s="56">
        <v>1.8572</v>
      </c>
      <c r="AA35" s="56">
        <v>1.0466200000000001</v>
      </c>
      <c r="AB35" s="56">
        <v>0.67257</v>
      </c>
      <c r="AC35" s="17">
        <f t="shared" si="7"/>
        <v>-3.7049999999999583E-3</v>
      </c>
      <c r="AD35" s="56">
        <v>0.67395899999999997</v>
      </c>
      <c r="AE35" s="17">
        <f t="shared" si="8"/>
        <v>-2.3159999999999847E-3</v>
      </c>
      <c r="AF35" s="37"/>
      <c r="AG35" s="37"/>
    </row>
    <row r="36" spans="2:33" s="32" customFormat="1" ht="14.5" thickBot="1" x14ac:dyDescent="0.35">
      <c r="B36" s="70"/>
      <c r="C36" s="33">
        <v>8</v>
      </c>
      <c r="D36" s="33">
        <v>128</v>
      </c>
      <c r="E36" s="33">
        <v>8192</v>
      </c>
      <c r="F36" s="33">
        <v>32000</v>
      </c>
      <c r="G36" s="33">
        <f t="shared" si="0"/>
        <v>279620.26666666666</v>
      </c>
      <c r="H36" s="33">
        <f t="shared" si="1"/>
        <v>744727.27272727271</v>
      </c>
      <c r="I36" s="33">
        <f t="shared" si="2"/>
        <v>1024000</v>
      </c>
      <c r="J36" s="33">
        <f t="shared" si="3"/>
        <v>1024000</v>
      </c>
      <c r="K36" s="33">
        <v>1.954</v>
      </c>
      <c r="L36" s="88">
        <v>3.4899</v>
      </c>
      <c r="M36" s="33">
        <v>3.8164600000000002</v>
      </c>
      <c r="N36" s="36">
        <f t="shared" si="9"/>
        <v>0.32656000000000018</v>
      </c>
      <c r="O36" s="56">
        <v>3.4863599999999999</v>
      </c>
      <c r="P36" s="38">
        <f t="shared" si="4"/>
        <v>-3.5400000000000986E-3</v>
      </c>
      <c r="Q36" s="56">
        <v>3.4899399999999998</v>
      </c>
      <c r="R36" s="38">
        <f t="shared" si="10"/>
        <v>3.9999999999817959E-5</v>
      </c>
      <c r="S36" s="56">
        <v>3.48936</v>
      </c>
      <c r="T36" s="38">
        <f t="shared" si="5"/>
        <v>-5.3999999999998494E-4</v>
      </c>
      <c r="U36" s="38">
        <f t="shared" si="6"/>
        <v>0.55998807804296491</v>
      </c>
      <c r="V36" s="56">
        <v>16.4802</v>
      </c>
      <c r="W36" s="56"/>
      <c r="X36" s="56">
        <v>2.8197700000000001</v>
      </c>
      <c r="Y36" s="56">
        <v>8.8120899999999995</v>
      </c>
      <c r="Z36" s="56">
        <v>10.6732</v>
      </c>
      <c r="AA36" s="56">
        <v>4.9264599999999996</v>
      </c>
      <c r="AB36" s="56">
        <v>4.9299099999999996</v>
      </c>
      <c r="AC36" s="17">
        <f t="shared" si="7"/>
        <v>2.1101399999999995</v>
      </c>
      <c r="AD36" s="56">
        <v>4.9385599999999998</v>
      </c>
      <c r="AE36" s="38">
        <f t="shared" si="8"/>
        <v>2.1187899999999997</v>
      </c>
      <c r="AF36" s="56"/>
      <c r="AG36" s="56"/>
    </row>
    <row r="37" spans="2:33" s="32" customFormat="1" ht="14.5" thickBot="1" x14ac:dyDescent="0.35">
      <c r="B37" s="70"/>
      <c r="C37" s="33">
        <v>8</v>
      </c>
      <c r="D37" s="33">
        <v>511</v>
      </c>
      <c r="E37" s="33">
        <v>2048</v>
      </c>
      <c r="F37" s="33">
        <v>8192</v>
      </c>
      <c r="G37" s="33">
        <f t="shared" si="0"/>
        <v>279074.13333333336</v>
      </c>
      <c r="H37" s="33">
        <f t="shared" si="1"/>
        <v>47662.545454545456</v>
      </c>
      <c r="I37" s="8">
        <f t="shared" si="2"/>
        <v>261632</v>
      </c>
      <c r="J37" s="26">
        <f t="shared" si="3"/>
        <v>279074.13333333336</v>
      </c>
      <c r="K37" s="45">
        <v>0.54600000000000004</v>
      </c>
      <c r="L37" s="48">
        <v>1.9306000000000001</v>
      </c>
      <c r="M37" s="33">
        <v>2.23726</v>
      </c>
      <c r="N37" s="36">
        <f t="shared" si="9"/>
        <v>0.30665999999999993</v>
      </c>
      <c r="O37" s="37">
        <v>1.92788</v>
      </c>
      <c r="P37" s="38">
        <f t="shared" si="4"/>
        <v>-2.7200000000000557E-3</v>
      </c>
      <c r="Q37" s="37">
        <v>1.9262300000000001</v>
      </c>
      <c r="R37" s="38">
        <f t="shared" si="10"/>
        <v>-4.369999999999985E-3</v>
      </c>
      <c r="S37" s="37">
        <v>1.9266300000000001</v>
      </c>
      <c r="T37" s="38">
        <f t="shared" si="5"/>
        <v>-3.9700000000000291E-3</v>
      </c>
      <c r="U37" s="50">
        <f t="shared" si="6"/>
        <v>0.28339639681724049</v>
      </c>
      <c r="V37" s="37">
        <v>8.3734800000000007</v>
      </c>
      <c r="W37" s="37"/>
      <c r="X37" s="56">
        <v>2.0779299999999998</v>
      </c>
      <c r="Y37" s="56">
        <v>3.1017600000000001</v>
      </c>
      <c r="Z37" s="56">
        <v>3.2044600000000001</v>
      </c>
      <c r="AA37" s="56">
        <v>1.8780699999999999</v>
      </c>
      <c r="AB37" s="56">
        <v>2.0668899999999999</v>
      </c>
      <c r="AC37" s="17">
        <f t="shared" si="7"/>
        <v>-1.1039999999999939E-2</v>
      </c>
      <c r="AD37" s="56">
        <v>2.07178</v>
      </c>
      <c r="AE37" s="17">
        <f t="shared" si="8"/>
        <v>-6.1499999999998778E-3</v>
      </c>
      <c r="AF37" s="37"/>
      <c r="AG37" s="37"/>
    </row>
    <row r="38" spans="2:33" s="32" customFormat="1" ht="14.5" thickBot="1" x14ac:dyDescent="0.35">
      <c r="B38" s="70"/>
      <c r="C38" s="33">
        <v>8</v>
      </c>
      <c r="D38" s="33">
        <v>511</v>
      </c>
      <c r="E38" s="33">
        <v>7168</v>
      </c>
      <c r="F38" s="33">
        <v>8192</v>
      </c>
      <c r="G38" s="33">
        <f t="shared" si="0"/>
        <v>976759.46666666667</v>
      </c>
      <c r="H38" s="33">
        <f t="shared" si="1"/>
        <v>166818.90909090909</v>
      </c>
      <c r="I38" s="8">
        <f t="shared" si="2"/>
        <v>915712</v>
      </c>
      <c r="J38" s="26">
        <f t="shared" si="3"/>
        <v>976759.46666666667</v>
      </c>
      <c r="K38" s="45">
        <v>1.722</v>
      </c>
      <c r="L38" s="48">
        <v>3.5855000000000001</v>
      </c>
      <c r="M38" s="33">
        <v>3.9654099999999999</v>
      </c>
      <c r="N38" s="36">
        <f t="shared" si="9"/>
        <v>0.37990999999999975</v>
      </c>
      <c r="O38" s="37">
        <v>3.5903100000000001</v>
      </c>
      <c r="P38" s="38">
        <f t="shared" si="4"/>
        <v>4.809999999999981E-3</v>
      </c>
      <c r="Q38" s="37">
        <v>3.5872999999999999</v>
      </c>
      <c r="R38" s="38">
        <f t="shared" si="10"/>
        <v>1.7999999999998018E-3</v>
      </c>
      <c r="S38" s="37">
        <v>3.5897000000000001</v>
      </c>
      <c r="T38" s="38">
        <f t="shared" si="5"/>
        <v>4.1999999999999815E-3</v>
      </c>
      <c r="U38" s="50">
        <f t="shared" si="6"/>
        <v>0.47970582499930353</v>
      </c>
      <c r="V38" s="37">
        <v>17.449100000000001</v>
      </c>
      <c r="W38" s="37"/>
      <c r="X38" s="56">
        <v>5.2191700000000001</v>
      </c>
      <c r="Y38" s="56">
        <v>7.2435799999999997</v>
      </c>
      <c r="Z38" s="56">
        <v>9.9644700000000004</v>
      </c>
      <c r="AA38" s="56">
        <v>3.4571100000000001</v>
      </c>
      <c r="AB38" s="56">
        <v>5.2128199999999998</v>
      </c>
      <c r="AC38" s="17">
        <f t="shared" si="7"/>
        <v>-6.3500000000002998E-3</v>
      </c>
      <c r="AD38" s="56">
        <v>5.2210000000000001</v>
      </c>
      <c r="AE38" s="17">
        <f t="shared" si="8"/>
        <v>1.8299999999999983E-3</v>
      </c>
      <c r="AF38" s="37"/>
      <c r="AG38" s="37"/>
    </row>
    <row r="39" spans="2:33" s="32" customFormat="1" ht="14.5" thickBot="1" x14ac:dyDescent="0.35">
      <c r="B39" s="70"/>
      <c r="C39" s="33">
        <v>8</v>
      </c>
      <c r="D39" s="33">
        <v>511</v>
      </c>
      <c r="E39" s="33">
        <v>8192</v>
      </c>
      <c r="F39" s="33">
        <v>32000</v>
      </c>
      <c r="G39" s="33">
        <f t="shared" si="0"/>
        <v>1116296.5333333334</v>
      </c>
      <c r="H39" s="33">
        <f t="shared" si="1"/>
        <v>744727.27272727271</v>
      </c>
      <c r="I39" s="33">
        <f t="shared" si="2"/>
        <v>4088000</v>
      </c>
      <c r="J39" s="33">
        <f t="shared" si="3"/>
        <v>4088000</v>
      </c>
      <c r="K39" s="33">
        <v>7.3769999999999998</v>
      </c>
      <c r="L39" s="88">
        <v>16.335799999999999</v>
      </c>
      <c r="M39" s="33">
        <v>16.8203</v>
      </c>
      <c r="N39" s="36">
        <f t="shared" si="9"/>
        <v>0.4845000000000006</v>
      </c>
      <c r="O39" s="56">
        <v>16.3309</v>
      </c>
      <c r="P39" s="38">
        <f t="shared" si="4"/>
        <v>-4.8999999999992383E-3</v>
      </c>
      <c r="Q39" s="56">
        <v>16.338799999999999</v>
      </c>
      <c r="R39" s="38">
        <f t="shared" si="10"/>
        <v>3.0000000000001137E-3</v>
      </c>
      <c r="S39" s="56">
        <v>16.332599999999999</v>
      </c>
      <c r="T39" s="38">
        <f t="shared" si="5"/>
        <v>-3.1999999999996476E-3</v>
      </c>
      <c r="U39" s="38">
        <f t="shared" si="6"/>
        <v>0.45167334043569302</v>
      </c>
      <c r="V39" s="56">
        <v>68.166799999999995</v>
      </c>
      <c r="W39" s="56"/>
      <c r="X39" s="56">
        <v>21.547000000000001</v>
      </c>
      <c r="Y39" s="56">
        <v>34.885399999999997</v>
      </c>
      <c r="Z39" s="56">
        <v>43.032899999999998</v>
      </c>
      <c r="AA39" s="56">
        <v>15.391500000000001</v>
      </c>
      <c r="AB39" s="56">
        <v>15.3842</v>
      </c>
      <c r="AC39" s="17">
        <f t="shared" si="7"/>
        <v>-6.1628000000000007</v>
      </c>
      <c r="AD39" s="56">
        <v>15.407500000000001</v>
      </c>
      <c r="AE39" s="38">
        <f t="shared" si="8"/>
        <v>-6.1395</v>
      </c>
      <c r="AF39" s="56"/>
      <c r="AG39" s="56"/>
    </row>
    <row r="40" spans="2:33" s="16" customFormat="1" ht="14.5" thickBot="1" x14ac:dyDescent="0.35">
      <c r="B40" s="71" t="s">
        <v>13</v>
      </c>
      <c r="C40" s="31">
        <v>16</v>
      </c>
      <c r="D40" s="31">
        <v>1</v>
      </c>
      <c r="E40" s="31">
        <v>5120</v>
      </c>
      <c r="F40" s="31">
        <v>5120</v>
      </c>
      <c r="G40" s="31">
        <f t="shared" si="0"/>
        <v>2730.6666666666665</v>
      </c>
      <c r="H40" s="31">
        <f t="shared" si="1"/>
        <v>74472.727272727279</v>
      </c>
      <c r="I40" s="8">
        <f t="shared" si="2"/>
        <v>1600</v>
      </c>
      <c r="J40" s="26">
        <f t="shared" si="3"/>
        <v>74472.727272727279</v>
      </c>
      <c r="K40" s="45">
        <v>5.8999999999999997E-2</v>
      </c>
      <c r="L40" s="48">
        <v>0.13800000000000001</v>
      </c>
      <c r="M40" s="31"/>
      <c r="N40" s="42"/>
      <c r="O40" s="22">
        <v>0.130387</v>
      </c>
      <c r="P40" s="43">
        <f t="shared" si="4"/>
        <v>-7.6130000000000086E-3</v>
      </c>
      <c r="Q40" s="22">
        <v>0.13481599999999999</v>
      </c>
      <c r="R40" s="43">
        <f t="shared" si="10"/>
        <v>-3.1840000000000201E-3</v>
      </c>
      <c r="S40" s="22">
        <v>0.13091800000000001</v>
      </c>
      <c r="T40" s="43">
        <f t="shared" si="5"/>
        <v>-7.082000000000005E-3</v>
      </c>
      <c r="U40" s="50">
        <f t="shared" si="6"/>
        <v>0.45066377427091764</v>
      </c>
      <c r="V40" s="30">
        <v>0.124115</v>
      </c>
      <c r="W40" s="22"/>
      <c r="X40" s="57">
        <v>0.118061</v>
      </c>
      <c r="Y40" s="22"/>
      <c r="Z40" s="22"/>
      <c r="AA40" s="57">
        <v>0.26808999999999999</v>
      </c>
      <c r="AB40" s="57">
        <v>0.11780500000000001</v>
      </c>
      <c r="AC40" s="17">
        <f t="shared" si="7"/>
        <v>-2.5599999999999234E-4</v>
      </c>
      <c r="AD40" s="57">
        <v>0.117754</v>
      </c>
      <c r="AE40" s="17">
        <f t="shared" si="8"/>
        <v>-3.0700000000000172E-4</v>
      </c>
      <c r="AF40" s="22"/>
      <c r="AG40" s="22"/>
    </row>
    <row r="41" spans="2:33" s="16" customFormat="1" ht="14.5" thickBot="1" x14ac:dyDescent="0.35">
      <c r="B41" s="71"/>
      <c r="C41" s="31">
        <v>16</v>
      </c>
      <c r="D41" s="31">
        <v>1</v>
      </c>
      <c r="E41" s="31">
        <v>5120</v>
      </c>
      <c r="F41" s="31">
        <v>32000</v>
      </c>
      <c r="G41" s="31">
        <f t="shared" si="0"/>
        <v>2730.6666666666665</v>
      </c>
      <c r="H41" s="31">
        <f t="shared" si="1"/>
        <v>465454.54545454547</v>
      </c>
      <c r="I41" s="31">
        <f t="shared" si="2"/>
        <v>10000</v>
      </c>
      <c r="J41" s="31">
        <f t="shared" si="3"/>
        <v>465454.54545454547</v>
      </c>
      <c r="K41" s="31">
        <v>0.26600000000000001</v>
      </c>
      <c r="L41" s="89">
        <v>0.58809999999999996</v>
      </c>
      <c r="M41" s="31"/>
      <c r="N41" s="42"/>
      <c r="O41" s="57">
        <v>0.60179199999999999</v>
      </c>
      <c r="P41" s="43">
        <f t="shared" si="4"/>
        <v>1.3692000000000037E-2</v>
      </c>
      <c r="Q41" s="57">
        <v>0.58606100000000005</v>
      </c>
      <c r="R41" s="43">
        <f t="shared" si="10"/>
        <v>-2.038999999999902E-3</v>
      </c>
      <c r="S41" s="57">
        <v>0.60192599999999996</v>
      </c>
      <c r="T41" s="43">
        <f t="shared" si="5"/>
        <v>1.3826000000000005E-2</v>
      </c>
      <c r="U41" s="43">
        <f>K41/S41</f>
        <v>0.44191478686748875</v>
      </c>
      <c r="V41" s="57">
        <v>0.58076799999999995</v>
      </c>
      <c r="W41" s="57"/>
      <c r="X41" s="57">
        <v>0.56935100000000005</v>
      </c>
      <c r="Y41" s="57"/>
      <c r="Z41" s="57"/>
      <c r="AA41" s="57">
        <v>1.4656100000000001</v>
      </c>
      <c r="AB41" s="57">
        <v>0.56961899999999999</v>
      </c>
      <c r="AC41" s="17">
        <f t="shared" si="7"/>
        <v>2.6799999999993496E-4</v>
      </c>
      <c r="AD41" s="57">
        <v>0.56872999999999996</v>
      </c>
      <c r="AE41" s="43">
        <f t="shared" si="8"/>
        <v>-6.210000000000937E-4</v>
      </c>
      <c r="AF41" s="57"/>
      <c r="AG41" s="57"/>
    </row>
    <row r="42" spans="2:33" s="16" customFormat="1" ht="14.5" thickBot="1" x14ac:dyDescent="0.35">
      <c r="B42" s="71"/>
      <c r="C42" s="31">
        <v>16</v>
      </c>
      <c r="D42" s="31">
        <v>1</v>
      </c>
      <c r="E42" s="31">
        <v>13824</v>
      </c>
      <c r="F42" s="31">
        <v>5120</v>
      </c>
      <c r="G42" s="31">
        <f t="shared" si="0"/>
        <v>7372.8</v>
      </c>
      <c r="H42" s="31">
        <f t="shared" si="1"/>
        <v>201076.36363636365</v>
      </c>
      <c r="I42" s="8">
        <f t="shared" si="2"/>
        <v>4320</v>
      </c>
      <c r="J42" s="26">
        <f t="shared" si="3"/>
        <v>201076.36363636365</v>
      </c>
      <c r="K42" s="45">
        <v>0.123</v>
      </c>
      <c r="L42" s="48">
        <v>0.3034</v>
      </c>
      <c r="M42" s="31"/>
      <c r="N42" s="42"/>
      <c r="O42" s="22">
        <v>0.264986</v>
      </c>
      <c r="P42" s="43">
        <f t="shared" si="4"/>
        <v>-3.8414000000000004E-2</v>
      </c>
      <c r="Q42" s="22">
        <v>0.26627200000000001</v>
      </c>
      <c r="R42" s="43">
        <f t="shared" si="10"/>
        <v>-3.7127999999999994E-2</v>
      </c>
      <c r="S42" s="22">
        <v>0.26660499999999998</v>
      </c>
      <c r="T42" s="43">
        <f t="shared" si="5"/>
        <v>-3.6795000000000022E-2</v>
      </c>
      <c r="U42" s="50">
        <f t="shared" si="6"/>
        <v>0.46135668873426983</v>
      </c>
      <c r="V42" s="30">
        <v>0.27610200000000001</v>
      </c>
      <c r="W42" s="22"/>
      <c r="X42" s="57">
        <v>0.26520300000000002</v>
      </c>
      <c r="Y42" s="22"/>
      <c r="Z42" s="22"/>
      <c r="AA42" s="57">
        <v>0.58279700000000001</v>
      </c>
      <c r="AB42" s="57">
        <v>0.265235</v>
      </c>
      <c r="AC42" s="17">
        <f t="shared" si="7"/>
        <v>3.1999999999976492E-5</v>
      </c>
      <c r="AD42" s="57">
        <v>0.26480599999999999</v>
      </c>
      <c r="AE42" s="17">
        <f t="shared" si="8"/>
        <v>-3.9700000000003621E-4</v>
      </c>
      <c r="AF42" s="22"/>
      <c r="AG42" s="22"/>
    </row>
    <row r="43" spans="2:33" s="16" customFormat="1" ht="14.5" thickBot="1" x14ac:dyDescent="0.35">
      <c r="B43" s="71"/>
      <c r="C43" s="31">
        <v>16</v>
      </c>
      <c r="D43" s="31">
        <v>96</v>
      </c>
      <c r="E43" s="31">
        <v>5120</v>
      </c>
      <c r="F43" s="31">
        <v>5120</v>
      </c>
      <c r="G43" s="31">
        <f t="shared" si="0"/>
        <v>262144</v>
      </c>
      <c r="H43" s="31">
        <f t="shared" si="1"/>
        <v>74472.727272727279</v>
      </c>
      <c r="I43" s="8">
        <f t="shared" si="2"/>
        <v>153600</v>
      </c>
      <c r="J43" s="26">
        <f t="shared" si="3"/>
        <v>262144</v>
      </c>
      <c r="K43" s="45">
        <v>0.30499999999999999</v>
      </c>
      <c r="L43" s="48">
        <v>0.72099999999999997</v>
      </c>
      <c r="M43" s="31">
        <v>0.69619799999999998</v>
      </c>
      <c r="N43" s="42">
        <f t="shared" si="9"/>
        <v>-2.4801999999999991E-2</v>
      </c>
      <c r="O43" s="22">
        <v>0.71765100000000004</v>
      </c>
      <c r="P43" s="43">
        <f t="shared" si="4"/>
        <v>-3.3489999999999354E-3</v>
      </c>
      <c r="Q43" s="22">
        <v>0.71940499999999996</v>
      </c>
      <c r="R43" s="43">
        <f t="shared" si="10"/>
        <v>-1.5950000000000131E-3</v>
      </c>
      <c r="S43" s="22">
        <v>0.72048000000000001</v>
      </c>
      <c r="T43" s="43">
        <f t="shared" si="5"/>
        <v>-5.1999999999996493E-4</v>
      </c>
      <c r="U43" s="50">
        <f t="shared" si="6"/>
        <v>0.42332889184987782</v>
      </c>
      <c r="V43" s="30">
        <v>0.79377900000000001</v>
      </c>
      <c r="W43" s="22"/>
      <c r="X43" s="57">
        <v>0.69674199999999997</v>
      </c>
      <c r="Y43" s="57">
        <v>1.43069</v>
      </c>
      <c r="Z43" s="57">
        <v>1.43953</v>
      </c>
      <c r="AA43" s="57">
        <v>0.92695700000000003</v>
      </c>
      <c r="AB43" s="57">
        <v>0.69719699999999996</v>
      </c>
      <c r="AC43" s="17">
        <f t="shared" si="7"/>
        <v>4.549999999999832E-4</v>
      </c>
      <c r="AD43" s="57">
        <v>0.69828500000000004</v>
      </c>
      <c r="AE43" s="17">
        <f t="shared" si="8"/>
        <v>1.5430000000000721E-3</v>
      </c>
      <c r="AF43" s="22"/>
      <c r="AG43" s="22"/>
    </row>
    <row r="44" spans="2:33" s="16" customFormat="1" ht="14.5" thickBot="1" x14ac:dyDescent="0.35">
      <c r="B44" s="71"/>
      <c r="C44" s="31">
        <v>16</v>
      </c>
      <c r="D44" s="31">
        <v>96</v>
      </c>
      <c r="E44" s="31">
        <v>5120</v>
      </c>
      <c r="F44" s="31">
        <v>32000</v>
      </c>
      <c r="G44" s="31">
        <f t="shared" si="0"/>
        <v>262144</v>
      </c>
      <c r="H44" s="31">
        <f t="shared" si="1"/>
        <v>465454.54545454547</v>
      </c>
      <c r="I44" s="31">
        <f t="shared" si="2"/>
        <v>960000</v>
      </c>
      <c r="J44" s="31">
        <f t="shared" si="3"/>
        <v>960000</v>
      </c>
      <c r="K44" s="31">
        <v>1.746</v>
      </c>
      <c r="L44" s="89">
        <v>4.9161999999999999</v>
      </c>
      <c r="M44" s="31">
        <v>5.2926599999999997</v>
      </c>
      <c r="N44" s="42">
        <f t="shared" si="9"/>
        <v>0.37645999999999979</v>
      </c>
      <c r="O44" s="57">
        <v>4.9276600000000004</v>
      </c>
      <c r="P44" s="43">
        <f t="shared" si="4"/>
        <v>1.146000000000047E-2</v>
      </c>
      <c r="Q44" s="57">
        <v>4.9389200000000004</v>
      </c>
      <c r="R44" s="43">
        <f t="shared" si="10"/>
        <v>2.2720000000000518E-2</v>
      </c>
      <c r="S44" s="57">
        <v>4.9333900000000002</v>
      </c>
      <c r="T44" s="43">
        <f t="shared" si="5"/>
        <v>1.7190000000000261E-2</v>
      </c>
      <c r="U44" s="43">
        <f t="shared" si="6"/>
        <v>0.35391485368073472</v>
      </c>
      <c r="V44" s="57">
        <v>4.1124200000000002</v>
      </c>
      <c r="W44" s="57"/>
      <c r="X44" s="57">
        <v>3.8695900000000001</v>
      </c>
      <c r="Y44" s="57">
        <v>10.1729</v>
      </c>
      <c r="Z44" s="57">
        <v>8.9393200000000004</v>
      </c>
      <c r="AA44" s="57">
        <v>5.1177299999999999</v>
      </c>
      <c r="AB44" s="57">
        <v>5.1187199999999997</v>
      </c>
      <c r="AC44" s="17">
        <f t="shared" si="7"/>
        <v>1.2491299999999996</v>
      </c>
      <c r="AD44" s="57">
        <v>5.1341099999999997</v>
      </c>
      <c r="AE44" s="43">
        <f t="shared" si="8"/>
        <v>1.2645199999999996</v>
      </c>
      <c r="AF44" s="57"/>
      <c r="AG44" s="57"/>
    </row>
    <row r="45" spans="2:33" s="16" customFormat="1" ht="14.5" thickBot="1" x14ac:dyDescent="0.35">
      <c r="B45" s="71"/>
      <c r="C45" s="31">
        <v>16</v>
      </c>
      <c r="D45" s="31">
        <v>96</v>
      </c>
      <c r="E45" s="31">
        <v>13824</v>
      </c>
      <c r="F45" s="31">
        <v>5120</v>
      </c>
      <c r="G45" s="31">
        <f t="shared" si="0"/>
        <v>707788.80000000005</v>
      </c>
      <c r="H45" s="31">
        <f t="shared" si="1"/>
        <v>201076.36363636365</v>
      </c>
      <c r="I45" s="8">
        <f t="shared" si="2"/>
        <v>414720</v>
      </c>
      <c r="J45" s="26">
        <f t="shared" si="3"/>
        <v>707788.80000000005</v>
      </c>
      <c r="K45" s="45">
        <v>0.81100000000000005</v>
      </c>
      <c r="L45" s="48">
        <v>1.4295</v>
      </c>
      <c r="M45" s="31">
        <v>1.41798</v>
      </c>
      <c r="N45" s="42">
        <f t="shared" si="9"/>
        <v>-1.1519999999999975E-2</v>
      </c>
      <c r="O45" s="22">
        <v>1.42686</v>
      </c>
      <c r="P45" s="43">
        <f t="shared" si="4"/>
        <v>-2.6399999999999757E-3</v>
      </c>
      <c r="Q45" s="22">
        <v>1.4282600000000001</v>
      </c>
      <c r="R45" s="43">
        <f t="shared" si="10"/>
        <v>-1.2399999999999078E-3</v>
      </c>
      <c r="S45" s="22">
        <v>1.4290700000000001</v>
      </c>
      <c r="T45" s="43">
        <f t="shared" si="5"/>
        <v>-4.2999999999993044E-4</v>
      </c>
      <c r="U45" s="50">
        <f t="shared" si="6"/>
        <v>0.56750194182230407</v>
      </c>
      <c r="V45" s="30">
        <v>1.9255500000000001</v>
      </c>
      <c r="W45" s="22"/>
      <c r="X45" s="57">
        <v>1.5497700000000001</v>
      </c>
      <c r="Y45" s="57">
        <v>4.4626099999999997</v>
      </c>
      <c r="Z45" s="57">
        <v>3.9123100000000002</v>
      </c>
      <c r="AA45" s="57">
        <v>2.2309700000000001</v>
      </c>
      <c r="AB45" s="57">
        <v>1.5501799999999999</v>
      </c>
      <c r="AC45" s="17">
        <f t="shared" si="7"/>
        <v>4.0999999999979941E-4</v>
      </c>
      <c r="AD45" s="57">
        <v>1.55687</v>
      </c>
      <c r="AE45" s="17">
        <f t="shared" si="8"/>
        <v>7.0999999999998842E-3</v>
      </c>
      <c r="AF45" s="22"/>
      <c r="AG45" s="22"/>
    </row>
    <row r="46" spans="2:33" s="16" customFormat="1" ht="14.5" thickBot="1" x14ac:dyDescent="0.35">
      <c r="B46" s="71"/>
      <c r="C46" s="31">
        <v>16</v>
      </c>
      <c r="D46" s="31">
        <v>511</v>
      </c>
      <c r="E46" s="31">
        <v>5120</v>
      </c>
      <c r="F46" s="31">
        <v>5120</v>
      </c>
      <c r="G46" s="31">
        <f t="shared" si="0"/>
        <v>1395370.6666666667</v>
      </c>
      <c r="H46" s="31">
        <f t="shared" si="1"/>
        <v>74472.727272727279</v>
      </c>
      <c r="I46" s="8">
        <f t="shared" si="2"/>
        <v>817600</v>
      </c>
      <c r="J46" s="26">
        <f t="shared" si="3"/>
        <v>1395370.6666666667</v>
      </c>
      <c r="K46" s="45">
        <v>1.5169999999999999</v>
      </c>
      <c r="L46" s="48">
        <v>6.6196999999999999</v>
      </c>
      <c r="M46" s="31">
        <v>6.8750099999999996</v>
      </c>
      <c r="N46" s="42">
        <f t="shared" si="9"/>
        <v>0.2553099999999997</v>
      </c>
      <c r="O46" s="22">
        <v>6.6172899999999997</v>
      </c>
      <c r="P46" s="43">
        <f t="shared" si="4"/>
        <v>-2.4100000000002453E-3</v>
      </c>
      <c r="Q46" s="22">
        <v>6.62181</v>
      </c>
      <c r="R46" s="43">
        <f t="shared" si="10"/>
        <v>2.1100000000000563E-3</v>
      </c>
      <c r="S46" s="22">
        <v>6.6226500000000001</v>
      </c>
      <c r="T46" s="43">
        <f t="shared" si="5"/>
        <v>2.9500000000002302E-3</v>
      </c>
      <c r="U46" s="50">
        <f t="shared" si="6"/>
        <v>0.22906238439295445</v>
      </c>
      <c r="V46" s="30">
        <v>16.892900000000001</v>
      </c>
      <c r="W46" s="22"/>
      <c r="X46" s="57">
        <v>5.6608799999999997</v>
      </c>
      <c r="Y46" s="57">
        <v>8.4727200000000007</v>
      </c>
      <c r="Z46" s="57">
        <v>9.6299200000000003</v>
      </c>
      <c r="AA46" s="57">
        <v>4.6553699999999996</v>
      </c>
      <c r="AB46" s="57">
        <v>5.6574099999999996</v>
      </c>
      <c r="AC46" s="17">
        <f t="shared" si="7"/>
        <v>-3.4700000000000841E-3</v>
      </c>
      <c r="AD46" s="57">
        <v>5.6625699999999997</v>
      </c>
      <c r="AE46" s="17">
        <f t="shared" si="8"/>
        <v>1.6899999999999693E-3</v>
      </c>
      <c r="AF46" s="22"/>
      <c r="AG46" s="22"/>
    </row>
    <row r="47" spans="2:33" s="16" customFormat="1" ht="14.5" thickBot="1" x14ac:dyDescent="0.35">
      <c r="B47" s="71"/>
      <c r="C47" s="31">
        <v>16</v>
      </c>
      <c r="D47" s="31">
        <v>511</v>
      </c>
      <c r="E47" s="31">
        <v>5120</v>
      </c>
      <c r="F47" s="31">
        <v>32000</v>
      </c>
      <c r="G47" s="31">
        <f t="shared" si="0"/>
        <v>1395370.6666666667</v>
      </c>
      <c r="H47" s="31">
        <f t="shared" si="1"/>
        <v>465454.54545454547</v>
      </c>
      <c r="I47" s="31">
        <f t="shared" si="2"/>
        <v>5110000</v>
      </c>
      <c r="J47" s="31">
        <f t="shared" si="3"/>
        <v>5110000</v>
      </c>
      <c r="K47" s="31">
        <v>9.2479999999999993</v>
      </c>
      <c r="L47" s="89">
        <v>29.304400000000001</v>
      </c>
      <c r="M47" s="31">
        <v>29.585899999999999</v>
      </c>
      <c r="N47" s="42">
        <f t="shared" si="9"/>
        <v>0.28149999999999764</v>
      </c>
      <c r="O47" s="57">
        <v>29.274799999999999</v>
      </c>
      <c r="P47" s="43">
        <f t="shared" si="4"/>
        <v>-2.9600000000002069E-2</v>
      </c>
      <c r="Q47" s="57">
        <v>29.371200000000002</v>
      </c>
      <c r="R47" s="43">
        <f t="shared" si="10"/>
        <v>6.6800000000000637E-2</v>
      </c>
      <c r="S47" s="57">
        <v>29.293900000000001</v>
      </c>
      <c r="T47" s="43">
        <f t="shared" si="5"/>
        <v>-1.0500000000000398E-2</v>
      </c>
      <c r="U47" s="43">
        <f t="shared" si="6"/>
        <v>0.31569712465735184</v>
      </c>
      <c r="V47" s="57">
        <v>125.735</v>
      </c>
      <c r="W47" s="57"/>
      <c r="X47" s="57">
        <v>35.496600000000001</v>
      </c>
      <c r="Y47" s="57">
        <v>55.093400000000003</v>
      </c>
      <c r="Z47" s="57">
        <v>64.415700000000001</v>
      </c>
      <c r="AA47" s="57">
        <v>23.9129</v>
      </c>
      <c r="AB47" s="57">
        <v>23.9116</v>
      </c>
      <c r="AC47" s="17">
        <f t="shared" si="7"/>
        <v>-11.585000000000001</v>
      </c>
      <c r="AD47" s="57">
        <v>23.904699999999998</v>
      </c>
      <c r="AE47" s="43">
        <f t="shared" si="8"/>
        <v>-11.591900000000003</v>
      </c>
      <c r="AF47" s="57"/>
      <c r="AG47" s="57"/>
    </row>
    <row r="48" spans="2:33" s="16" customFormat="1" ht="14.5" thickBot="1" x14ac:dyDescent="0.35">
      <c r="B48" s="71"/>
      <c r="C48" s="31">
        <v>16</v>
      </c>
      <c r="D48" s="31">
        <v>511</v>
      </c>
      <c r="E48" s="31">
        <v>13824</v>
      </c>
      <c r="F48" s="31">
        <v>5120</v>
      </c>
      <c r="G48" s="31">
        <f t="shared" si="0"/>
        <v>3767500.7999999998</v>
      </c>
      <c r="H48" s="31">
        <f t="shared" si="1"/>
        <v>201076.36363636365</v>
      </c>
      <c r="I48" s="8">
        <f t="shared" si="2"/>
        <v>2207520</v>
      </c>
      <c r="J48" s="26">
        <f t="shared" si="3"/>
        <v>3767500.7999999998</v>
      </c>
      <c r="K48" s="45">
        <v>3.9409999999999998</v>
      </c>
      <c r="L48" s="48">
        <v>12.965199999999999</v>
      </c>
      <c r="M48" s="31">
        <v>13.178800000000001</v>
      </c>
      <c r="N48" s="42">
        <f t="shared" si="9"/>
        <v>0.21360000000000134</v>
      </c>
      <c r="O48" s="22">
        <v>12.9567</v>
      </c>
      <c r="P48" s="43">
        <f t="shared" si="4"/>
        <v>-8.49999999999973E-3</v>
      </c>
      <c r="Q48" s="22">
        <v>12.9649</v>
      </c>
      <c r="R48" s="43">
        <f t="shared" si="10"/>
        <v>-2.9999999999930083E-4</v>
      </c>
      <c r="S48" s="22">
        <v>12.964700000000001</v>
      </c>
      <c r="T48" s="43">
        <f t="shared" si="5"/>
        <v>-4.9999999999883471E-4</v>
      </c>
      <c r="U48" s="50">
        <f t="shared" si="6"/>
        <v>0.30397926677825171</v>
      </c>
      <c r="V48" s="30">
        <v>36.867899999999999</v>
      </c>
      <c r="W48" s="22"/>
      <c r="X48" s="57">
        <v>13.062200000000001</v>
      </c>
      <c r="Y48" s="57">
        <v>24.426300000000001</v>
      </c>
      <c r="Z48" s="57">
        <v>23.548999999999999</v>
      </c>
      <c r="AA48" s="57">
        <v>10.743499999999999</v>
      </c>
      <c r="AB48" s="57">
        <v>13.0572</v>
      </c>
      <c r="AC48" s="17">
        <f t="shared" si="7"/>
        <v>-5.0000000000007816E-3</v>
      </c>
      <c r="AD48" s="57">
        <v>13.065200000000001</v>
      </c>
      <c r="AE48" s="17">
        <f t="shared" si="8"/>
        <v>3.0000000000001137E-3</v>
      </c>
      <c r="AF48" s="22"/>
      <c r="AG48" s="22"/>
    </row>
    <row r="49" spans="2:33" s="16" customFormat="1" ht="14.5" thickBot="1" x14ac:dyDescent="0.35">
      <c r="B49" s="71"/>
      <c r="C49" s="31">
        <v>16</v>
      </c>
      <c r="D49" s="31">
        <v>1024</v>
      </c>
      <c r="E49" s="31">
        <v>5120</v>
      </c>
      <c r="F49" s="31">
        <v>5120</v>
      </c>
      <c r="G49" s="31">
        <f t="shared" si="0"/>
        <v>2796202.6666666665</v>
      </c>
      <c r="H49" s="31">
        <f t="shared" si="1"/>
        <v>74472.727272727279</v>
      </c>
      <c r="I49" s="8">
        <f t="shared" si="2"/>
        <v>1638400</v>
      </c>
      <c r="J49" s="26">
        <f t="shared" si="3"/>
        <v>2796202.6666666665</v>
      </c>
      <c r="K49" s="45">
        <v>3.0219999999999998</v>
      </c>
      <c r="L49" s="48">
        <v>13.571400000000001</v>
      </c>
      <c r="M49" s="31">
        <v>13.914199999999999</v>
      </c>
      <c r="N49" s="42">
        <f t="shared" si="9"/>
        <v>0.34279999999999866</v>
      </c>
      <c r="O49" s="22">
        <v>13.5587</v>
      </c>
      <c r="P49" s="43">
        <f t="shared" si="4"/>
        <v>-1.27000000000006E-2</v>
      </c>
      <c r="Q49" s="22">
        <v>13.5688</v>
      </c>
      <c r="R49" s="43">
        <f t="shared" si="10"/>
        <v>-2.6000000000010459E-3</v>
      </c>
      <c r="S49" s="22">
        <v>13.574999999999999</v>
      </c>
      <c r="T49" s="43">
        <f t="shared" si="5"/>
        <v>3.5999999999987153E-3</v>
      </c>
      <c r="U49" s="50">
        <f t="shared" si="6"/>
        <v>0.22261510128913445</v>
      </c>
      <c r="V49" s="30">
        <v>43.8307</v>
      </c>
      <c r="W49" s="22"/>
      <c r="X49" s="57">
        <v>12.897</v>
      </c>
      <c r="Y49" s="57">
        <v>17.140499999999999</v>
      </c>
      <c r="Z49" s="57">
        <v>23.263300000000001</v>
      </c>
      <c r="AA49" s="57">
        <v>9.2936999999999994</v>
      </c>
      <c r="AB49" s="57">
        <v>12.890599999999999</v>
      </c>
      <c r="AC49" s="17">
        <f t="shared" si="7"/>
        <v>-6.4000000000010715E-3</v>
      </c>
      <c r="AD49" s="57">
        <v>12.8962</v>
      </c>
      <c r="AE49" s="17">
        <f t="shared" si="8"/>
        <v>-7.9999999999991189E-4</v>
      </c>
      <c r="AF49" s="22"/>
      <c r="AG49" s="22"/>
    </row>
    <row r="50" spans="2:33" s="16" customFormat="1" ht="14.5" thickBot="1" x14ac:dyDescent="0.35">
      <c r="B50" s="71"/>
      <c r="C50" s="31">
        <v>16</v>
      </c>
      <c r="D50" s="31">
        <v>1024</v>
      </c>
      <c r="E50" s="31">
        <v>5120</v>
      </c>
      <c r="F50" s="31">
        <v>32000</v>
      </c>
      <c r="G50" s="31">
        <f t="shared" si="0"/>
        <v>2796202.6666666665</v>
      </c>
      <c r="H50" s="31">
        <f t="shared" si="1"/>
        <v>465454.54545454547</v>
      </c>
      <c r="I50" s="31">
        <f t="shared" si="2"/>
        <v>10240000</v>
      </c>
      <c r="J50" s="31">
        <f t="shared" si="3"/>
        <v>10240000</v>
      </c>
      <c r="K50" s="31">
        <v>18.366</v>
      </c>
      <c r="L50" s="89">
        <v>60.017299999999999</v>
      </c>
      <c r="M50" s="31">
        <v>60.384399999999999</v>
      </c>
      <c r="N50" s="42">
        <f t="shared" si="9"/>
        <v>0.36710000000000065</v>
      </c>
      <c r="O50" s="57">
        <v>60.023200000000003</v>
      </c>
      <c r="P50" s="43">
        <f t="shared" si="4"/>
        <v>5.9000000000040131E-3</v>
      </c>
      <c r="Q50" s="57">
        <v>60.821300000000001</v>
      </c>
      <c r="R50" s="43">
        <f t="shared" si="10"/>
        <v>0.80400000000000205</v>
      </c>
      <c r="S50" s="57">
        <v>60.060200000000002</v>
      </c>
      <c r="T50" s="43">
        <f t="shared" si="5"/>
        <v>4.2900000000003047E-2</v>
      </c>
      <c r="U50" s="43">
        <f t="shared" si="6"/>
        <v>0.30579318750187312</v>
      </c>
      <c r="V50" s="57">
        <v>256.892</v>
      </c>
      <c r="W50" s="57"/>
      <c r="X50" s="57">
        <v>78.769599999999997</v>
      </c>
      <c r="Y50" s="57">
        <v>110.062</v>
      </c>
      <c r="Z50" s="57">
        <v>134.523</v>
      </c>
      <c r="AA50" s="57">
        <v>47.203800000000001</v>
      </c>
      <c r="AB50" s="57">
        <v>47.2181</v>
      </c>
      <c r="AC50" s="17">
        <f t="shared" si="7"/>
        <v>-31.551499999999997</v>
      </c>
      <c r="AD50" s="57">
        <v>47.234200000000001</v>
      </c>
      <c r="AE50" s="43">
        <f t="shared" si="8"/>
        <v>-31.535399999999996</v>
      </c>
      <c r="AF50" s="57"/>
      <c r="AG50" s="57"/>
    </row>
    <row r="51" spans="2:33" s="16" customFormat="1" ht="14.5" thickBot="1" x14ac:dyDescent="0.35">
      <c r="B51" s="71"/>
      <c r="C51" s="31">
        <v>16</v>
      </c>
      <c r="D51" s="31">
        <v>1024</v>
      </c>
      <c r="E51" s="31">
        <v>13824</v>
      </c>
      <c r="F51" s="31">
        <v>5120</v>
      </c>
      <c r="G51" s="31">
        <f t="shared" si="0"/>
        <v>7549747.2000000002</v>
      </c>
      <c r="H51" s="31">
        <f t="shared" si="1"/>
        <v>201076.36363636365</v>
      </c>
      <c r="I51" s="8">
        <f t="shared" si="2"/>
        <v>4423680</v>
      </c>
      <c r="J51" s="26">
        <f t="shared" si="3"/>
        <v>7549747.2000000002</v>
      </c>
      <c r="K51" s="45">
        <v>7.8659999999999997</v>
      </c>
      <c r="L51" s="48">
        <v>26.327200000000001</v>
      </c>
      <c r="M51" s="31">
        <v>26.625900000000001</v>
      </c>
      <c r="N51" s="42">
        <f t="shared" si="9"/>
        <v>0.29870000000000019</v>
      </c>
      <c r="O51" s="22">
        <v>26.3064</v>
      </c>
      <c r="P51" s="43">
        <f t="shared" si="4"/>
        <v>-2.0800000000001262E-2</v>
      </c>
      <c r="Q51" s="22">
        <v>26.525300000000001</v>
      </c>
      <c r="R51" s="43">
        <f t="shared" si="10"/>
        <v>0.19810000000000016</v>
      </c>
      <c r="S51" s="22">
        <v>26.330100000000002</v>
      </c>
      <c r="T51" s="43">
        <f t="shared" si="5"/>
        <v>2.9000000000003467E-3</v>
      </c>
      <c r="U51" s="50">
        <f t="shared" si="6"/>
        <v>0.29874554217416566</v>
      </c>
      <c r="V51" s="30">
        <v>94.793899999999994</v>
      </c>
      <c r="W51" s="22"/>
      <c r="X51" s="57">
        <v>29.241499999999998</v>
      </c>
      <c r="Y51" s="57">
        <v>49.040199999999999</v>
      </c>
      <c r="Z51" s="57">
        <v>55.162399999999998</v>
      </c>
      <c r="AA51" s="57">
        <v>21.410299999999999</v>
      </c>
      <c r="AB51" s="57">
        <v>29.233599999999999</v>
      </c>
      <c r="AC51" s="17">
        <f t="shared" si="7"/>
        <v>-7.899999999999352E-3</v>
      </c>
      <c r="AD51" s="57">
        <v>29.260300000000001</v>
      </c>
      <c r="AE51" s="17">
        <f t="shared" si="8"/>
        <v>1.880000000000237E-2</v>
      </c>
      <c r="AF51" s="22"/>
      <c r="AG51" s="22"/>
    </row>
    <row r="52" spans="2:33" s="34" customFormat="1" ht="14.5" thickBot="1" x14ac:dyDescent="0.35">
      <c r="B52" s="72" t="s">
        <v>15</v>
      </c>
      <c r="C52" s="35">
        <v>16</v>
      </c>
      <c r="D52" s="35">
        <v>1</v>
      </c>
      <c r="E52" s="35">
        <v>2560</v>
      </c>
      <c r="F52" s="35">
        <v>5120</v>
      </c>
      <c r="G52" s="35">
        <f t="shared" si="0"/>
        <v>1365.3333333333333</v>
      </c>
      <c r="H52" s="35">
        <f t="shared" si="1"/>
        <v>37236.36363636364</v>
      </c>
      <c r="I52" s="8">
        <f t="shared" si="2"/>
        <v>800</v>
      </c>
      <c r="J52" s="26">
        <f t="shared" si="3"/>
        <v>37236.36363636364</v>
      </c>
      <c r="K52" s="45">
        <v>3.1E-2</v>
      </c>
      <c r="L52" s="48">
        <v>8.2199999999999995E-2</v>
      </c>
      <c r="M52" s="35"/>
      <c r="N52" s="39"/>
      <c r="O52" s="40">
        <v>9.8041600000000007E-2</v>
      </c>
      <c r="P52" s="41">
        <f t="shared" si="4"/>
        <v>1.5841600000000011E-2</v>
      </c>
      <c r="Q52" s="40">
        <v>8.2528000000000004E-2</v>
      </c>
      <c r="R52" s="41">
        <f t="shared" si="10"/>
        <v>3.2800000000000884E-4</v>
      </c>
      <c r="S52" s="40">
        <v>8.2048099999999999E-2</v>
      </c>
      <c r="T52" s="41">
        <f t="shared" si="5"/>
        <v>-1.5189999999999648E-4</v>
      </c>
      <c r="U52" s="50">
        <f t="shared" si="6"/>
        <v>0.37782715260926214</v>
      </c>
      <c r="V52" s="40">
        <v>8.1337599999999996E-2</v>
      </c>
      <c r="W52" s="40"/>
      <c r="X52" s="58">
        <v>7.3209700000000003E-2</v>
      </c>
      <c r="Y52" s="40"/>
      <c r="Z52" s="40"/>
      <c r="AA52" s="58">
        <v>0.149779</v>
      </c>
      <c r="AB52" s="58">
        <v>7.4323200000000006E-2</v>
      </c>
      <c r="AC52" s="17">
        <f t="shared" si="7"/>
        <v>1.1135000000000034E-3</v>
      </c>
      <c r="AD52" s="58">
        <v>7.3369599999999993E-2</v>
      </c>
      <c r="AE52" s="17">
        <f t="shared" si="8"/>
        <v>1.5989999999999061E-4</v>
      </c>
      <c r="AF52" s="40"/>
      <c r="AG52" s="40"/>
    </row>
    <row r="53" spans="2:33" s="34" customFormat="1" ht="14.5" thickBot="1" x14ac:dyDescent="0.35">
      <c r="B53" s="72"/>
      <c r="C53" s="35">
        <v>16</v>
      </c>
      <c r="D53" s="35">
        <v>1</v>
      </c>
      <c r="E53" s="35">
        <v>6912</v>
      </c>
      <c r="F53" s="35">
        <v>5120</v>
      </c>
      <c r="G53" s="35">
        <f t="shared" si="0"/>
        <v>3686.4</v>
      </c>
      <c r="H53" s="35">
        <f t="shared" si="1"/>
        <v>100538.18181818182</v>
      </c>
      <c r="I53" s="8">
        <f t="shared" si="2"/>
        <v>2160</v>
      </c>
      <c r="J53" s="26">
        <f t="shared" si="3"/>
        <v>100538.18181818182</v>
      </c>
      <c r="K53" s="45">
        <v>7.4999999999999997E-2</v>
      </c>
      <c r="L53" s="48">
        <v>0.16600000000000001</v>
      </c>
      <c r="M53" s="35"/>
      <c r="N53" s="39"/>
      <c r="O53" s="40">
        <v>0.15424599999999999</v>
      </c>
      <c r="P53" s="41">
        <f t="shared" si="4"/>
        <v>-1.1754000000000014E-2</v>
      </c>
      <c r="Q53" s="40">
        <v>0.16469800000000001</v>
      </c>
      <c r="R53" s="41">
        <f t="shared" si="10"/>
        <v>-1.3019999999999976E-3</v>
      </c>
      <c r="S53" s="40">
        <v>0.156167</v>
      </c>
      <c r="T53" s="41">
        <f t="shared" si="5"/>
        <v>-9.8330000000000084E-3</v>
      </c>
      <c r="U53" s="50">
        <f t="shared" si="6"/>
        <v>0.48025511151523687</v>
      </c>
      <c r="V53" s="40">
        <v>0.15656300000000001</v>
      </c>
      <c r="W53" s="40"/>
      <c r="X53" s="58">
        <v>0.147674</v>
      </c>
      <c r="Y53" s="40"/>
      <c r="Z53" s="40"/>
      <c r="AA53" s="58">
        <v>0.31120599999999998</v>
      </c>
      <c r="AB53" s="58">
        <v>0.14754600000000001</v>
      </c>
      <c r="AC53" s="17">
        <f t="shared" si="7"/>
        <v>-1.2799999999998923E-4</v>
      </c>
      <c r="AD53" s="58">
        <v>0.14749499999999999</v>
      </c>
      <c r="AE53" s="17">
        <f t="shared" si="8"/>
        <v>-1.7900000000001248E-4</v>
      </c>
      <c r="AF53" s="40"/>
      <c r="AG53" s="40"/>
    </row>
    <row r="54" spans="2:33" s="34" customFormat="1" ht="14.5" thickBot="1" x14ac:dyDescent="0.35">
      <c r="B54" s="72"/>
      <c r="C54" s="35">
        <v>16</v>
      </c>
      <c r="D54" s="35">
        <v>96</v>
      </c>
      <c r="E54" s="35">
        <v>2560</v>
      </c>
      <c r="F54" s="35">
        <v>5120</v>
      </c>
      <c r="G54" s="35">
        <f t="shared" si="0"/>
        <v>131072</v>
      </c>
      <c r="H54" s="35">
        <f t="shared" si="1"/>
        <v>37236.36363636364</v>
      </c>
      <c r="I54" s="8">
        <f t="shared" si="2"/>
        <v>76800</v>
      </c>
      <c r="J54" s="26">
        <f t="shared" si="3"/>
        <v>131072</v>
      </c>
      <c r="K54" s="45">
        <v>0.16600000000000001</v>
      </c>
      <c r="L54" s="48">
        <v>0.3654</v>
      </c>
      <c r="M54" s="35">
        <v>0.347686</v>
      </c>
      <c r="N54" s="39">
        <f t="shared" si="9"/>
        <v>-1.7714000000000008E-2</v>
      </c>
      <c r="O54" s="40">
        <v>0.364122</v>
      </c>
      <c r="P54" s="41">
        <f t="shared" si="4"/>
        <v>-1.2780000000000014E-3</v>
      </c>
      <c r="Q54" s="40">
        <v>0.36733399999999999</v>
      </c>
      <c r="R54" s="41">
        <f t="shared" si="10"/>
        <v>1.9339999999999913E-3</v>
      </c>
      <c r="S54" s="40">
        <v>0.36742399999999997</v>
      </c>
      <c r="T54" s="41">
        <f t="shared" si="5"/>
        <v>2.0239999999999703E-3</v>
      </c>
      <c r="U54" s="50">
        <f t="shared" si="6"/>
        <v>0.45179411252395058</v>
      </c>
      <c r="V54" s="40">
        <v>0.39961600000000003</v>
      </c>
      <c r="W54" s="40"/>
      <c r="X54" s="58">
        <v>0.37548799999999999</v>
      </c>
      <c r="Y54" s="58">
        <v>0.61862399999999995</v>
      </c>
      <c r="Z54" s="58">
        <v>0.66177299999999994</v>
      </c>
      <c r="AA54" s="58">
        <v>0.38841599999999998</v>
      </c>
      <c r="AB54" s="58">
        <v>0.37682599999999999</v>
      </c>
      <c r="AC54" s="17">
        <f t="shared" si="7"/>
        <v>1.3380000000000059E-3</v>
      </c>
      <c r="AD54" s="58">
        <v>0.376141</v>
      </c>
      <c r="AE54" s="17">
        <f t="shared" si="8"/>
        <v>6.5300000000001468E-4</v>
      </c>
      <c r="AF54" s="40"/>
      <c r="AG54" s="40"/>
    </row>
    <row r="55" spans="2:33" s="34" customFormat="1" ht="14.5" thickBot="1" x14ac:dyDescent="0.35">
      <c r="B55" s="72"/>
      <c r="C55" s="35">
        <v>16</v>
      </c>
      <c r="D55" s="35">
        <v>96</v>
      </c>
      <c r="E55" s="35">
        <v>6912</v>
      </c>
      <c r="F55" s="35">
        <v>5120</v>
      </c>
      <c r="G55" s="35">
        <f t="shared" si="0"/>
        <v>353894.40000000002</v>
      </c>
      <c r="H55" s="35">
        <f t="shared" si="1"/>
        <v>100538.18181818182</v>
      </c>
      <c r="I55" s="8">
        <f t="shared" si="2"/>
        <v>207360</v>
      </c>
      <c r="J55" s="26">
        <f t="shared" si="3"/>
        <v>353894.40000000002</v>
      </c>
      <c r="K55" s="45">
        <v>0.42699999999999999</v>
      </c>
      <c r="L55" s="48">
        <v>0.71970000000000001</v>
      </c>
      <c r="M55" s="35">
        <v>0.70268200000000003</v>
      </c>
      <c r="N55" s="39">
        <f t="shared" si="9"/>
        <v>-1.7017999999999978E-2</v>
      </c>
      <c r="O55" s="40">
        <v>0.72001300000000001</v>
      </c>
      <c r="P55" s="41">
        <f t="shared" si="4"/>
        <v>3.1300000000000772E-4</v>
      </c>
      <c r="Q55" s="40">
        <v>0.72181799999999996</v>
      </c>
      <c r="R55" s="41">
        <f t="shared" si="10"/>
        <v>2.1179999999999533E-3</v>
      </c>
      <c r="S55" s="40">
        <v>0.72209900000000005</v>
      </c>
      <c r="T55" s="41">
        <f t="shared" si="5"/>
        <v>2.39900000000004E-3</v>
      </c>
      <c r="U55" s="50">
        <f t="shared" si="6"/>
        <v>0.59133165950929156</v>
      </c>
      <c r="V55" s="40">
        <v>0.97799700000000001</v>
      </c>
      <c r="W55" s="40"/>
      <c r="X55" s="58">
        <v>0.80695099999999997</v>
      </c>
      <c r="Y55" s="58">
        <v>1.6552800000000001</v>
      </c>
      <c r="Z55" s="58">
        <v>1.8937299999999999</v>
      </c>
      <c r="AA55" s="58">
        <v>1.1485099999999999</v>
      </c>
      <c r="AB55" s="58">
        <v>0.80894100000000002</v>
      </c>
      <c r="AC55" s="17">
        <f t="shared" si="7"/>
        <v>1.9900000000000473E-3</v>
      </c>
      <c r="AD55" s="58">
        <v>0.80737300000000001</v>
      </c>
      <c r="AE55" s="17">
        <f t="shared" si="8"/>
        <v>4.2200000000003346E-4</v>
      </c>
      <c r="AF55" s="40"/>
      <c r="AG55" s="40"/>
    </row>
    <row r="56" spans="2:33" s="34" customFormat="1" ht="14.5" thickBot="1" x14ac:dyDescent="0.35">
      <c r="B56" s="72"/>
      <c r="C56" s="35">
        <v>16</v>
      </c>
      <c r="D56" s="35">
        <v>511</v>
      </c>
      <c r="E56" s="35">
        <v>2560</v>
      </c>
      <c r="F56" s="35">
        <v>5120</v>
      </c>
      <c r="G56" s="35">
        <f t="shared" si="0"/>
        <v>697685.33333333337</v>
      </c>
      <c r="H56" s="35">
        <f t="shared" si="1"/>
        <v>37236.36363636364</v>
      </c>
      <c r="I56" s="8">
        <f t="shared" si="2"/>
        <v>408800</v>
      </c>
      <c r="J56" s="26">
        <f t="shared" si="3"/>
        <v>697685.33333333337</v>
      </c>
      <c r="K56" s="45">
        <v>0.78100000000000003</v>
      </c>
      <c r="L56" s="48">
        <v>3.4942000000000002</v>
      </c>
      <c r="M56" s="35">
        <v>3.7354599999999998</v>
      </c>
      <c r="N56" s="39">
        <f t="shared" si="9"/>
        <v>0.24125999999999959</v>
      </c>
      <c r="O56" s="40">
        <v>3.4933900000000002</v>
      </c>
      <c r="P56" s="41">
        <f t="shared" si="4"/>
        <v>-8.099999999999774E-4</v>
      </c>
      <c r="Q56" s="40">
        <v>3.4961799999999998</v>
      </c>
      <c r="R56" s="41">
        <f t="shared" si="10"/>
        <v>1.9799999999996487E-3</v>
      </c>
      <c r="S56" s="40">
        <v>3.49634</v>
      </c>
      <c r="T56" s="41">
        <f t="shared" si="5"/>
        <v>2.1399999999998087E-3</v>
      </c>
      <c r="U56" s="50">
        <f t="shared" si="6"/>
        <v>0.22337644508257207</v>
      </c>
      <c r="V56" s="40">
        <v>8.1640599999999992</v>
      </c>
      <c r="W56" s="40"/>
      <c r="X56" s="58">
        <v>2.6535899999999999</v>
      </c>
      <c r="Y56" s="58">
        <v>3.6915900000000001</v>
      </c>
      <c r="Z56" s="58">
        <v>5.0327900000000003</v>
      </c>
      <c r="AA56" s="58">
        <v>2.69238</v>
      </c>
      <c r="AB56" s="58">
        <v>2.6514500000000001</v>
      </c>
      <c r="AC56" s="17">
        <f t="shared" si="7"/>
        <v>-2.1399999999998087E-3</v>
      </c>
      <c r="AD56" s="58">
        <v>2.6513</v>
      </c>
      <c r="AE56" s="17">
        <f t="shared" si="8"/>
        <v>-2.2899999999999032E-3</v>
      </c>
      <c r="AF56" s="40"/>
      <c r="AG56" s="40"/>
    </row>
    <row r="57" spans="2:33" s="34" customFormat="1" ht="14.5" thickBot="1" x14ac:dyDescent="0.35">
      <c r="B57" s="72"/>
      <c r="C57" s="35">
        <v>16</v>
      </c>
      <c r="D57" s="35">
        <v>511</v>
      </c>
      <c r="E57" s="35">
        <v>6912</v>
      </c>
      <c r="F57" s="35">
        <v>5120</v>
      </c>
      <c r="G57" s="35">
        <f t="shared" si="0"/>
        <v>1883750.3999999999</v>
      </c>
      <c r="H57" s="35">
        <f t="shared" si="1"/>
        <v>100538.18181818182</v>
      </c>
      <c r="I57" s="8">
        <f t="shared" si="2"/>
        <v>1103760</v>
      </c>
      <c r="J57" s="26">
        <f t="shared" si="3"/>
        <v>1883750.3999999999</v>
      </c>
      <c r="K57" s="45">
        <v>2.0299999999999998</v>
      </c>
      <c r="L57" s="48">
        <v>6.6806000000000001</v>
      </c>
      <c r="M57" s="35">
        <v>6.9547100000000004</v>
      </c>
      <c r="N57" s="39">
        <f t="shared" si="9"/>
        <v>0.2741100000000003</v>
      </c>
      <c r="O57" s="40">
        <v>6.6853400000000001</v>
      </c>
      <c r="P57" s="41">
        <f t="shared" si="4"/>
        <v>4.7399999999999665E-3</v>
      </c>
      <c r="Q57" s="40">
        <v>6.6894</v>
      </c>
      <c r="R57" s="41">
        <f t="shared" si="10"/>
        <v>8.799999999999919E-3</v>
      </c>
      <c r="S57" s="40">
        <v>6.6807699999999999</v>
      </c>
      <c r="T57" s="41">
        <f t="shared" si="5"/>
        <v>1.6999999999978144E-4</v>
      </c>
      <c r="U57" s="50">
        <f t="shared" si="6"/>
        <v>0.30385719011431317</v>
      </c>
      <c r="V57" s="40">
        <v>18.0304</v>
      </c>
      <c r="W57" s="40"/>
      <c r="X57" s="58">
        <v>6.4421799999999996</v>
      </c>
      <c r="Y57" s="58">
        <v>9.9687300000000008</v>
      </c>
      <c r="Z57" s="58">
        <v>11.405900000000001</v>
      </c>
      <c r="AA57" s="58">
        <v>5.6679700000000004</v>
      </c>
      <c r="AB57" s="58">
        <v>6.4231699999999998</v>
      </c>
      <c r="AC57" s="17">
        <f t="shared" si="7"/>
        <v>-1.9009999999999749E-2</v>
      </c>
      <c r="AD57" s="58">
        <v>6.4440200000000001</v>
      </c>
      <c r="AE57" s="17">
        <f t="shared" si="8"/>
        <v>1.8400000000005079E-3</v>
      </c>
      <c r="AF57" s="40"/>
      <c r="AG57" s="40"/>
    </row>
    <row r="58" spans="2:33" s="34" customFormat="1" ht="14.5" thickBot="1" x14ac:dyDescent="0.35">
      <c r="B58" s="72"/>
      <c r="C58" s="35">
        <v>16</v>
      </c>
      <c r="D58" s="35">
        <v>1024</v>
      </c>
      <c r="E58" s="35">
        <v>2560</v>
      </c>
      <c r="F58" s="35">
        <v>5120</v>
      </c>
      <c r="G58" s="35">
        <f t="shared" si="0"/>
        <v>1398101.3333333333</v>
      </c>
      <c r="H58" s="35">
        <f t="shared" si="1"/>
        <v>37236.36363636364</v>
      </c>
      <c r="I58" s="8">
        <f t="shared" si="2"/>
        <v>819200</v>
      </c>
      <c r="J58" s="26">
        <f t="shared" si="3"/>
        <v>1398101.3333333333</v>
      </c>
      <c r="K58" s="45">
        <v>1.5569999999999999</v>
      </c>
      <c r="L58" s="48">
        <v>7.28</v>
      </c>
      <c r="M58" s="35">
        <v>7.59863</v>
      </c>
      <c r="N58" s="39">
        <f t="shared" si="9"/>
        <v>0.31862999999999975</v>
      </c>
      <c r="O58" s="40">
        <v>7.2785200000000003</v>
      </c>
      <c r="P58" s="41">
        <f t="shared" si="4"/>
        <v>-1.4799999999999258E-3</v>
      </c>
      <c r="Q58" s="40">
        <v>7.27555</v>
      </c>
      <c r="R58" s="41">
        <f t="shared" si="10"/>
        <v>-4.4500000000002871E-3</v>
      </c>
      <c r="S58" s="40">
        <v>7.2898699999999996</v>
      </c>
      <c r="T58" s="41">
        <f t="shared" si="5"/>
        <v>9.8699999999993793E-3</v>
      </c>
      <c r="U58" s="50">
        <f t="shared" si="6"/>
        <v>0.2135840556827488</v>
      </c>
      <c r="V58" s="40">
        <v>20.904399999999999</v>
      </c>
      <c r="W58" s="40"/>
      <c r="X58" s="58">
        <v>6.01065</v>
      </c>
      <c r="Y58" s="58">
        <v>8.5711399999999998</v>
      </c>
      <c r="Z58" s="58">
        <v>11.614800000000001</v>
      </c>
      <c r="AA58" s="58">
        <v>5.7047600000000003</v>
      </c>
      <c r="AB58" s="58">
        <v>6.0149900000000001</v>
      </c>
      <c r="AC58" s="17">
        <f t="shared" si="7"/>
        <v>4.3400000000000105E-3</v>
      </c>
      <c r="AD58" s="58">
        <v>6.0148200000000003</v>
      </c>
      <c r="AE58" s="17">
        <f t="shared" si="8"/>
        <v>4.1700000000002291E-3</v>
      </c>
      <c r="AF58" s="40"/>
      <c r="AG58" s="40"/>
    </row>
    <row r="59" spans="2:33" s="34" customFormat="1" ht="14.5" thickBot="1" x14ac:dyDescent="0.35">
      <c r="B59" s="72"/>
      <c r="C59" s="35">
        <v>16</v>
      </c>
      <c r="D59" s="35">
        <v>1024</v>
      </c>
      <c r="E59" s="35">
        <v>6912</v>
      </c>
      <c r="F59" s="35">
        <v>5120</v>
      </c>
      <c r="G59" s="35">
        <f t="shared" si="0"/>
        <v>3774873.6000000001</v>
      </c>
      <c r="H59" s="35">
        <f t="shared" si="1"/>
        <v>100538.18181818182</v>
      </c>
      <c r="I59" s="8">
        <f t="shared" si="2"/>
        <v>2211840</v>
      </c>
      <c r="J59" s="26">
        <f t="shared" si="3"/>
        <v>3774873.6000000001</v>
      </c>
      <c r="K59" s="45">
        <v>3.9969999999999999</v>
      </c>
      <c r="L59" s="48">
        <v>13.862500000000001</v>
      </c>
      <c r="M59" s="35">
        <v>14.2407</v>
      </c>
      <c r="N59" s="39">
        <f t="shared" si="9"/>
        <v>0.37819999999999965</v>
      </c>
      <c r="O59" s="40">
        <v>13.874700000000001</v>
      </c>
      <c r="P59" s="41">
        <f t="shared" si="4"/>
        <v>1.2199999999999989E-2</v>
      </c>
      <c r="Q59" s="40">
        <v>13.8696</v>
      </c>
      <c r="R59" s="41">
        <f t="shared" si="10"/>
        <v>7.0999999999994401E-3</v>
      </c>
      <c r="S59" s="40">
        <v>13.8719</v>
      </c>
      <c r="T59" s="41">
        <f t="shared" si="5"/>
        <v>9.3999999999994088E-3</v>
      </c>
      <c r="U59" s="50">
        <f t="shared" si="6"/>
        <v>0.28813644850380987</v>
      </c>
      <c r="V59" s="40">
        <v>46.284399999999998</v>
      </c>
      <c r="W59" s="40"/>
      <c r="X59" s="58">
        <v>14.356</v>
      </c>
      <c r="Y59" s="58">
        <v>20.159700000000001</v>
      </c>
      <c r="Z59" s="58">
        <v>26.634599999999999</v>
      </c>
      <c r="AA59" s="58">
        <v>11.305400000000001</v>
      </c>
      <c r="AB59" s="58">
        <v>14.3293</v>
      </c>
      <c r="AC59" s="17">
        <f t="shared" si="7"/>
        <v>-2.6699999999999946E-2</v>
      </c>
      <c r="AD59" s="58">
        <v>14.3561</v>
      </c>
      <c r="AE59" s="17">
        <f t="shared" si="8"/>
        <v>9.9999999999766942E-5</v>
      </c>
      <c r="AF59" s="40"/>
      <c r="AG59" s="40"/>
    </row>
    <row r="60" spans="2:33" s="6" customFormat="1" ht="14.5" thickBot="1" x14ac:dyDescent="0.35">
      <c r="B60" s="65" t="s">
        <v>14</v>
      </c>
      <c r="C60" s="5">
        <v>20</v>
      </c>
      <c r="D60" s="5">
        <v>1</v>
      </c>
      <c r="E60" s="5">
        <v>2560</v>
      </c>
      <c r="F60" s="5">
        <v>5120</v>
      </c>
      <c r="G60" s="5">
        <f t="shared" si="0"/>
        <v>1706.6666666666667</v>
      </c>
      <c r="H60" s="5">
        <f t="shared" si="1"/>
        <v>37236.36363636364</v>
      </c>
      <c r="I60" s="8">
        <f t="shared" si="2"/>
        <v>1000</v>
      </c>
      <c r="J60" s="26">
        <f t="shared" si="3"/>
        <v>37236.36363636364</v>
      </c>
      <c r="K60" s="45">
        <v>3.1E-2</v>
      </c>
      <c r="L60" s="48">
        <v>8.48E-2</v>
      </c>
      <c r="M60" s="5"/>
      <c r="N60" s="7"/>
      <c r="O60" s="23">
        <v>9.9846400000000002E-2</v>
      </c>
      <c r="P60" s="19">
        <f t="shared" si="4"/>
        <v>1.5046400000000001E-2</v>
      </c>
      <c r="Q60" s="23">
        <v>8.26432E-2</v>
      </c>
      <c r="R60" s="19">
        <f t="shared" si="10"/>
        <v>-2.1568000000000004E-3</v>
      </c>
      <c r="S60" s="23">
        <v>8.3059300000000003E-2</v>
      </c>
      <c r="T60" s="19">
        <f t="shared" si="5"/>
        <v>-1.7406999999999978E-3</v>
      </c>
      <c r="U60" s="50">
        <f t="shared" si="6"/>
        <v>0.37322732072146042</v>
      </c>
      <c r="V60" s="28">
        <v>8.2694400000000001E-2</v>
      </c>
      <c r="W60" s="23"/>
      <c r="X60" s="54">
        <v>7.4284799999999998E-2</v>
      </c>
      <c r="Y60" s="23"/>
      <c r="Z60" s="23"/>
      <c r="AA60" s="54">
        <v>0.15004200000000001</v>
      </c>
      <c r="AB60" s="54">
        <v>7.3555200000000001E-2</v>
      </c>
      <c r="AC60" s="17">
        <f t="shared" si="7"/>
        <v>-7.2959999999999692E-4</v>
      </c>
      <c r="AD60" s="54">
        <v>7.4758400000000003E-2</v>
      </c>
      <c r="AE60" s="17">
        <f t="shared" si="8"/>
        <v>4.7360000000000457E-4</v>
      </c>
      <c r="AF60" s="23"/>
      <c r="AG60" s="23"/>
    </row>
    <row r="61" spans="2:33" s="6" customFormat="1" ht="14.5" thickBot="1" x14ac:dyDescent="0.35">
      <c r="B61" s="65"/>
      <c r="C61" s="5">
        <v>20</v>
      </c>
      <c r="D61" s="5">
        <v>1</v>
      </c>
      <c r="E61" s="5">
        <v>6848</v>
      </c>
      <c r="F61" s="5">
        <v>5120</v>
      </c>
      <c r="G61" s="5">
        <f t="shared" si="0"/>
        <v>4565.333333333333</v>
      </c>
      <c r="H61" s="5">
        <f t="shared" si="1"/>
        <v>99607.272727272721</v>
      </c>
      <c r="I61" s="8">
        <f t="shared" si="2"/>
        <v>2675</v>
      </c>
      <c r="J61" s="26">
        <f t="shared" si="3"/>
        <v>99607.272727272721</v>
      </c>
      <c r="K61" s="45">
        <v>7.0999999999999994E-2</v>
      </c>
      <c r="L61" s="48">
        <v>0.17050000000000001</v>
      </c>
      <c r="M61" s="5"/>
      <c r="N61" s="7"/>
      <c r="O61" s="23">
        <v>0.15502099999999999</v>
      </c>
      <c r="P61" s="19">
        <f t="shared" si="4"/>
        <v>-1.5479000000000021E-2</v>
      </c>
      <c r="Q61" s="23">
        <v>0.16481299999999999</v>
      </c>
      <c r="R61" s="19">
        <f t="shared" si="10"/>
        <v>-5.6870000000000254E-3</v>
      </c>
      <c r="S61" s="23">
        <v>0.155533</v>
      </c>
      <c r="T61" s="19">
        <f t="shared" si="5"/>
        <v>-1.4967000000000008E-2</v>
      </c>
      <c r="U61" s="50">
        <f t="shared" si="6"/>
        <v>0.45649476316923093</v>
      </c>
      <c r="V61" s="28">
        <v>0.15739500000000001</v>
      </c>
      <c r="W61" s="23"/>
      <c r="X61" s="54">
        <v>0.14809600000000001</v>
      </c>
      <c r="Y61" s="23"/>
      <c r="Z61" s="23"/>
      <c r="AA61" s="54">
        <v>0.31166700000000003</v>
      </c>
      <c r="AB61" s="54">
        <v>0.14871000000000001</v>
      </c>
      <c r="AC61" s="17">
        <f t="shared" si="7"/>
        <v>6.1400000000000343E-4</v>
      </c>
      <c r="AD61" s="54">
        <v>0.15037400000000001</v>
      </c>
      <c r="AE61" s="17">
        <f t="shared" si="8"/>
        <v>2.2780000000000022E-3</v>
      </c>
      <c r="AF61" s="23"/>
      <c r="AG61" s="23"/>
    </row>
    <row r="62" spans="2:33" s="6" customFormat="1" ht="14.5" thickBot="1" x14ac:dyDescent="0.35">
      <c r="B62" s="65"/>
      <c r="C62" s="5">
        <v>20</v>
      </c>
      <c r="D62" s="5">
        <v>1</v>
      </c>
      <c r="E62" s="5">
        <v>5120</v>
      </c>
      <c r="F62" s="5">
        <v>64000</v>
      </c>
      <c r="G62" s="5">
        <f t="shared" si="0"/>
        <v>3413.3333333333335</v>
      </c>
      <c r="H62" s="5">
        <f t="shared" si="1"/>
        <v>930909.09090909094</v>
      </c>
      <c r="I62" s="5">
        <f t="shared" si="2"/>
        <v>25000</v>
      </c>
      <c r="J62" s="5">
        <f t="shared" si="3"/>
        <v>930909.09090909094</v>
      </c>
      <c r="K62" s="5">
        <v>0.48299999999999998</v>
      </c>
      <c r="L62" s="84">
        <v>1.2</v>
      </c>
      <c r="M62" s="5"/>
      <c r="N62" s="7"/>
      <c r="O62" s="54">
        <v>1.16509</v>
      </c>
      <c r="P62" s="19">
        <f t="shared" si="4"/>
        <v>-3.4909999999999997E-2</v>
      </c>
      <c r="Q62" s="54">
        <v>1.1964699999999999</v>
      </c>
      <c r="R62" s="19">
        <f t="shared" si="10"/>
        <v>-3.5300000000000331E-3</v>
      </c>
      <c r="S62" s="54">
        <v>1.1647000000000001</v>
      </c>
      <c r="T62" s="19">
        <f t="shared" si="5"/>
        <v>-3.5299999999999887E-2</v>
      </c>
      <c r="U62" s="19">
        <f t="shared" si="6"/>
        <v>0.4146990641366875</v>
      </c>
      <c r="V62" s="54">
        <v>1.1318699999999999</v>
      </c>
      <c r="W62" s="54"/>
      <c r="X62" s="54">
        <v>1.1113599999999999</v>
      </c>
      <c r="Y62" s="54"/>
      <c r="Z62" s="54"/>
      <c r="AA62" s="54">
        <v>2.89777</v>
      </c>
      <c r="AB62" s="54">
        <v>1.10938</v>
      </c>
      <c r="AC62" s="17">
        <f t="shared" si="7"/>
        <v>-1.9799999999998708E-3</v>
      </c>
      <c r="AD62" s="54">
        <v>1.11222</v>
      </c>
      <c r="AE62" s="19">
        <f t="shared" si="8"/>
        <v>8.6000000000008292E-4</v>
      </c>
      <c r="AF62" s="54"/>
      <c r="AG62" s="54"/>
    </row>
    <row r="63" spans="2:33" s="6" customFormat="1" ht="14.5" thickBot="1" x14ac:dyDescent="0.35">
      <c r="B63" s="65"/>
      <c r="C63" s="5">
        <v>20</v>
      </c>
      <c r="D63" s="5">
        <v>512</v>
      </c>
      <c r="E63" s="5">
        <v>2560</v>
      </c>
      <c r="F63" s="5">
        <v>5120</v>
      </c>
      <c r="G63" s="5">
        <f t="shared" si="0"/>
        <v>873813.33333333337</v>
      </c>
      <c r="H63" s="5">
        <f t="shared" si="1"/>
        <v>37236.36363636364</v>
      </c>
      <c r="I63" s="8">
        <f t="shared" si="2"/>
        <v>512000</v>
      </c>
      <c r="J63" s="26">
        <f t="shared" si="3"/>
        <v>873813.33333333337</v>
      </c>
      <c r="K63" s="45">
        <v>0.97499999999999998</v>
      </c>
      <c r="L63" s="48">
        <v>4.4543999999999997</v>
      </c>
      <c r="M63" s="5">
        <v>4.7963800000000001</v>
      </c>
      <c r="N63" s="7">
        <f t="shared" si="9"/>
        <v>0.34198000000000039</v>
      </c>
      <c r="O63" s="23">
        <v>4.45669</v>
      </c>
      <c r="P63" s="19">
        <f t="shared" si="4"/>
        <v>2.2900000000003473E-3</v>
      </c>
      <c r="Q63" s="23">
        <v>4.4591200000000004</v>
      </c>
      <c r="R63" s="19">
        <f t="shared" si="10"/>
        <v>4.7200000000007236E-3</v>
      </c>
      <c r="S63" s="23">
        <v>4.4551699999999999</v>
      </c>
      <c r="T63" s="19">
        <f t="shared" si="5"/>
        <v>7.7000000000015945E-4</v>
      </c>
      <c r="U63" s="50">
        <f t="shared" si="6"/>
        <v>0.21884686779629062</v>
      </c>
      <c r="V63" s="28">
        <v>2.8536100000000002</v>
      </c>
      <c r="W63" s="23"/>
      <c r="X63" s="54">
        <v>2.67869</v>
      </c>
      <c r="Y63" s="54">
        <v>4.1960899999999999</v>
      </c>
      <c r="Z63" s="54">
        <v>6.0162300000000002</v>
      </c>
      <c r="AA63" s="54">
        <v>3.2409699999999999</v>
      </c>
      <c r="AB63" s="54">
        <v>2.6903899999999998</v>
      </c>
      <c r="AC63" s="17">
        <f t="shared" si="7"/>
        <v>1.1699999999999822E-2</v>
      </c>
      <c r="AD63" s="54">
        <v>2.6808900000000002</v>
      </c>
      <c r="AE63" s="17">
        <f t="shared" si="8"/>
        <v>2.2000000000002018E-3</v>
      </c>
      <c r="AF63" s="23"/>
      <c r="AG63" s="23"/>
    </row>
    <row r="64" spans="2:33" s="6" customFormat="1" ht="14.5" thickBot="1" x14ac:dyDescent="0.35">
      <c r="B64" s="65"/>
      <c r="C64" s="5">
        <v>20</v>
      </c>
      <c r="D64" s="5">
        <v>512</v>
      </c>
      <c r="E64" s="5">
        <v>6848</v>
      </c>
      <c r="F64" s="5">
        <v>5120</v>
      </c>
      <c r="G64" s="5">
        <f t="shared" si="0"/>
        <v>2337450.6666666665</v>
      </c>
      <c r="H64" s="5">
        <f t="shared" si="1"/>
        <v>99607.272727272721</v>
      </c>
      <c r="I64" s="8">
        <f t="shared" si="2"/>
        <v>1369600</v>
      </c>
      <c r="J64" s="26">
        <f t="shared" si="3"/>
        <v>2337450.6666666665</v>
      </c>
      <c r="K64" s="45">
        <v>2.4849999999999999</v>
      </c>
      <c r="L64" s="48">
        <v>8.7571999999999992</v>
      </c>
      <c r="M64" s="5">
        <v>9.1739800000000002</v>
      </c>
      <c r="N64" s="7">
        <f t="shared" si="9"/>
        <v>0.41678000000000104</v>
      </c>
      <c r="O64" s="23">
        <v>8.7606999999999999</v>
      </c>
      <c r="P64" s="19">
        <f t="shared" si="4"/>
        <v>3.5000000000007248E-3</v>
      </c>
      <c r="Q64" s="23">
        <v>8.7597699999999996</v>
      </c>
      <c r="R64" s="19">
        <f t="shared" si="10"/>
        <v>2.5700000000004053E-3</v>
      </c>
      <c r="S64" s="23">
        <v>8.7558100000000003</v>
      </c>
      <c r="T64" s="19">
        <f t="shared" si="5"/>
        <v>-1.3899999999988921E-3</v>
      </c>
      <c r="U64" s="50">
        <f t="shared" si="6"/>
        <v>0.28381154913137674</v>
      </c>
      <c r="V64" s="28">
        <v>6.4660700000000002</v>
      </c>
      <c r="W64" s="23"/>
      <c r="X64" s="54">
        <v>5.4625700000000004</v>
      </c>
      <c r="Y64" s="54">
        <v>12.6014</v>
      </c>
      <c r="Z64" s="54">
        <v>12.8811</v>
      </c>
      <c r="AA64" s="54">
        <v>7.3205799999999996</v>
      </c>
      <c r="AB64" s="54">
        <v>5.4638299999999997</v>
      </c>
      <c r="AC64" s="17">
        <f t="shared" si="7"/>
        <v>1.2599999999993727E-3</v>
      </c>
      <c r="AD64" s="54">
        <v>5.4654800000000003</v>
      </c>
      <c r="AE64" s="17">
        <f t="shared" si="8"/>
        <v>2.9099999999999682E-3</v>
      </c>
      <c r="AF64" s="23"/>
      <c r="AG64" s="23"/>
    </row>
    <row r="65" spans="2:33" s="6" customFormat="1" ht="14.5" thickBot="1" x14ac:dyDescent="0.35">
      <c r="B65" s="65"/>
      <c r="C65" s="5">
        <v>20</v>
      </c>
      <c r="D65" s="5">
        <v>512</v>
      </c>
      <c r="E65" s="5">
        <v>5120</v>
      </c>
      <c r="F65" s="5">
        <v>64000</v>
      </c>
      <c r="G65" s="5">
        <f t="shared" si="0"/>
        <v>1747626.6666666667</v>
      </c>
      <c r="H65" s="5">
        <f t="shared" si="1"/>
        <v>930909.09090909094</v>
      </c>
      <c r="I65" s="5">
        <f t="shared" si="2"/>
        <v>12800000</v>
      </c>
      <c r="J65" s="5">
        <f t="shared" si="3"/>
        <v>12800000</v>
      </c>
      <c r="K65" s="5">
        <v>23.081</v>
      </c>
      <c r="L65" s="84">
        <v>74.426599999999993</v>
      </c>
      <c r="M65" s="5">
        <v>74.688000000000002</v>
      </c>
      <c r="N65" s="7">
        <f>M65-L65</f>
        <v>0.26140000000000896</v>
      </c>
      <c r="O65" s="54">
        <v>74.362200000000001</v>
      </c>
      <c r="P65" s="19">
        <f t="shared" si="4"/>
        <v>-6.4399999999992019E-2</v>
      </c>
      <c r="Q65" s="54">
        <v>74.410200000000003</v>
      </c>
      <c r="R65" s="19">
        <f t="shared" si="10"/>
        <v>-1.63999999999902E-2</v>
      </c>
      <c r="S65" s="54">
        <v>74.4756</v>
      </c>
      <c r="T65" s="19">
        <f t="shared" si="5"/>
        <v>4.9000000000006594E-2</v>
      </c>
      <c r="U65" s="19">
        <f t="shared" si="6"/>
        <v>0.30991358243505257</v>
      </c>
      <c r="V65" s="54">
        <v>317.39800000000002</v>
      </c>
      <c r="W65" s="54"/>
      <c r="X65" s="54">
        <v>49.922800000000002</v>
      </c>
      <c r="Y65" s="54">
        <v>139.04599999999999</v>
      </c>
      <c r="Z65" s="54">
        <v>167.125</v>
      </c>
      <c r="AA65" s="54">
        <v>62.769399999999997</v>
      </c>
      <c r="AB65" s="54">
        <v>62.796500000000002</v>
      </c>
      <c r="AC65" s="17">
        <f t="shared" si="7"/>
        <v>12.873699999999999</v>
      </c>
      <c r="AD65" s="54">
        <v>62.8446</v>
      </c>
      <c r="AE65" s="19">
        <f t="shared" si="8"/>
        <v>12.921799999999998</v>
      </c>
      <c r="AF65" s="54"/>
      <c r="AG65" s="54"/>
    </row>
    <row r="66" spans="2:33" x14ac:dyDescent="0.3">
      <c r="U66" s="51">
        <f>AVERAGE(U3:U65)</f>
        <v>0.43342440753565098</v>
      </c>
    </row>
    <row r="86" spans="14:16" x14ac:dyDescent="0.3">
      <c r="N86" s="1">
        <v>4.2999999999999997E-2</v>
      </c>
      <c r="P86" s="59">
        <v>6.2195199999999999E-2</v>
      </c>
    </row>
    <row r="87" spans="14:16" x14ac:dyDescent="0.3">
      <c r="N87" s="1">
        <v>0.40500000000000003</v>
      </c>
      <c r="P87" s="59">
        <v>0.12526100000000001</v>
      </c>
    </row>
    <row r="88" spans="14:16" x14ac:dyDescent="0.3">
      <c r="N88" s="1">
        <v>0.10100000000000001</v>
      </c>
      <c r="P88" s="59">
        <v>0.455571</v>
      </c>
    </row>
    <row r="89" spans="14:16" x14ac:dyDescent="0.3">
      <c r="N89" s="1">
        <v>0.05</v>
      </c>
      <c r="P89" s="59">
        <v>0.35345900000000002</v>
      </c>
    </row>
    <row r="90" spans="14:16" x14ac:dyDescent="0.3">
      <c r="N90" s="1">
        <v>0.52200000000000002</v>
      </c>
      <c r="P90" s="59">
        <v>0.68381400000000003</v>
      </c>
    </row>
    <row r="91" spans="14:16" x14ac:dyDescent="0.3">
      <c r="N91" s="1">
        <v>0.16600000000000001</v>
      </c>
      <c r="P91" s="59">
        <v>3.0204300000000002</v>
      </c>
    </row>
    <row r="92" spans="14:16" x14ac:dyDescent="0.3">
      <c r="N92" s="1">
        <v>8.6999999999999994E-2</v>
      </c>
      <c r="P92" s="59">
        <v>1.9456100000000001</v>
      </c>
    </row>
    <row r="93" spans="14:16" x14ac:dyDescent="0.3">
      <c r="N93" s="1">
        <v>1.0209999999999999</v>
      </c>
      <c r="P93" s="59">
        <v>3.5058099999999999</v>
      </c>
    </row>
    <row r="94" spans="14:16" x14ac:dyDescent="0.3">
      <c r="N94" s="1">
        <v>0.224</v>
      </c>
      <c r="P94" s="59">
        <v>15.5305</v>
      </c>
    </row>
    <row r="95" spans="14:16" x14ac:dyDescent="0.3">
      <c r="N95" s="1">
        <v>0.19500000000000001</v>
      </c>
    </row>
    <row r="96" spans="14:16" x14ac:dyDescent="0.3">
      <c r="N96" s="1">
        <v>1.9139999999999999</v>
      </c>
    </row>
    <row r="97" spans="14:14" x14ac:dyDescent="0.3">
      <c r="N97" s="1">
        <v>0.46600000000000003</v>
      </c>
    </row>
    <row r="98" spans="14:14" x14ac:dyDescent="0.3">
      <c r="N98" s="1">
        <v>4.2999999999999997E-2</v>
      </c>
    </row>
    <row r="99" spans="14:14" x14ac:dyDescent="0.3">
      <c r="N99" s="1">
        <v>0.20799999999999999</v>
      </c>
    </row>
    <row r="100" spans="14:14" x14ac:dyDescent="0.3">
      <c r="N100" s="1">
        <v>0.38900000000000001</v>
      </c>
    </row>
    <row r="101" spans="14:14" x14ac:dyDescent="0.3">
      <c r="N101" s="1">
        <v>8.5999999999999993E-2</v>
      </c>
    </row>
    <row r="102" spans="14:14" x14ac:dyDescent="0.3">
      <c r="N102" s="1">
        <v>5.0999999999999997E-2</v>
      </c>
    </row>
    <row r="103" spans="14:14" x14ac:dyDescent="0.3">
      <c r="N103" s="1">
        <v>0.34499999999999997</v>
      </c>
    </row>
    <row r="104" spans="14:14" x14ac:dyDescent="0.3">
      <c r="N104" s="1">
        <v>0.65600000000000003</v>
      </c>
    </row>
    <row r="105" spans="14:14" x14ac:dyDescent="0.3">
      <c r="N105" s="1">
        <v>0.14199999999999999</v>
      </c>
    </row>
    <row r="106" spans="14:14" x14ac:dyDescent="0.3">
      <c r="N106" s="1">
        <v>8.6999999999999994E-2</v>
      </c>
    </row>
    <row r="107" spans="14:14" x14ac:dyDescent="0.3">
      <c r="N107" s="1">
        <v>0.50800000000000001</v>
      </c>
    </row>
    <row r="108" spans="14:14" x14ac:dyDescent="0.3">
      <c r="N108" s="1">
        <v>1.022</v>
      </c>
    </row>
    <row r="109" spans="14:14" x14ac:dyDescent="0.3">
      <c r="N109" s="1">
        <v>0.185</v>
      </c>
    </row>
    <row r="110" spans="14:14" x14ac:dyDescent="0.3">
      <c r="N110" s="1">
        <v>0.19400000000000001</v>
      </c>
    </row>
    <row r="111" spans="14:14" x14ac:dyDescent="0.3">
      <c r="N111" s="1">
        <v>1.006</v>
      </c>
    </row>
    <row r="112" spans="14:14" x14ac:dyDescent="0.3">
      <c r="N112" s="1">
        <v>1.9079999999999999</v>
      </c>
    </row>
    <row r="113" spans="14:14" x14ac:dyDescent="0.3">
      <c r="N113" s="1">
        <v>0.35599999999999998</v>
      </c>
    </row>
    <row r="114" spans="14:14" x14ac:dyDescent="0.3">
      <c r="N114" s="1">
        <v>4.1000000000000002E-2</v>
      </c>
    </row>
    <row r="115" spans="14:14" x14ac:dyDescent="0.3">
      <c r="N115" s="1">
        <v>0.1</v>
      </c>
    </row>
    <row r="116" spans="14:14" x14ac:dyDescent="0.3">
      <c r="N116" s="1">
        <v>0.56799999999999995</v>
      </c>
    </row>
    <row r="117" spans="14:14" x14ac:dyDescent="0.3">
      <c r="N117" s="1">
        <v>0.16700000000000001</v>
      </c>
    </row>
    <row r="118" spans="14:14" x14ac:dyDescent="0.3">
      <c r="N118" s="1">
        <v>0.46300000000000002</v>
      </c>
    </row>
    <row r="119" spans="14:14" x14ac:dyDescent="0.3">
      <c r="N119" s="1">
        <v>1.954</v>
      </c>
    </row>
    <row r="120" spans="14:14" x14ac:dyDescent="0.3">
      <c r="N120" s="1">
        <v>0.54600000000000004</v>
      </c>
    </row>
    <row r="121" spans="14:14" x14ac:dyDescent="0.3">
      <c r="N121" s="1">
        <v>1.722</v>
      </c>
    </row>
    <row r="122" spans="14:14" x14ac:dyDescent="0.3">
      <c r="N122" s="1">
        <v>7.3769999999999998</v>
      </c>
    </row>
    <row r="123" spans="14:14" x14ac:dyDescent="0.3">
      <c r="N123" s="1">
        <v>5.8999999999999997E-2</v>
      </c>
    </row>
    <row r="124" spans="14:14" x14ac:dyDescent="0.3">
      <c r="N124" s="1">
        <v>0.26600000000000001</v>
      </c>
    </row>
    <row r="125" spans="14:14" x14ac:dyDescent="0.3">
      <c r="N125" s="1">
        <v>0.123</v>
      </c>
    </row>
    <row r="126" spans="14:14" x14ac:dyDescent="0.3">
      <c r="N126" s="1">
        <v>0.30499999999999999</v>
      </c>
    </row>
    <row r="127" spans="14:14" x14ac:dyDescent="0.3">
      <c r="N127" s="1">
        <v>1.746</v>
      </c>
    </row>
    <row r="128" spans="14:14" x14ac:dyDescent="0.3">
      <c r="N128" s="1">
        <v>0.81100000000000005</v>
      </c>
    </row>
    <row r="129" spans="14:14" x14ac:dyDescent="0.3">
      <c r="N129" s="1">
        <v>1.5169999999999999</v>
      </c>
    </row>
    <row r="130" spans="14:14" x14ac:dyDescent="0.3">
      <c r="N130" s="1">
        <v>9.2479999999999993</v>
      </c>
    </row>
    <row r="131" spans="14:14" x14ac:dyDescent="0.3">
      <c r="N131" s="1">
        <v>3.9409999999999998</v>
      </c>
    </row>
    <row r="132" spans="14:14" x14ac:dyDescent="0.3">
      <c r="N132" s="1">
        <v>3.0219999999999998</v>
      </c>
    </row>
    <row r="133" spans="14:14" x14ac:dyDescent="0.3">
      <c r="N133" s="1">
        <v>18.366</v>
      </c>
    </row>
    <row r="134" spans="14:14" x14ac:dyDescent="0.3">
      <c r="N134" s="1">
        <v>7.8659999999999997</v>
      </c>
    </row>
    <row r="135" spans="14:14" x14ac:dyDescent="0.3">
      <c r="N135" s="1">
        <v>3.1E-2</v>
      </c>
    </row>
    <row r="136" spans="14:14" x14ac:dyDescent="0.3">
      <c r="N136" s="1">
        <v>7.4999999999999997E-2</v>
      </c>
    </row>
    <row r="137" spans="14:14" x14ac:dyDescent="0.3">
      <c r="N137" s="1">
        <v>0.16600000000000001</v>
      </c>
    </row>
    <row r="138" spans="14:14" x14ac:dyDescent="0.3">
      <c r="N138" s="1">
        <v>0.42699999999999999</v>
      </c>
    </row>
    <row r="139" spans="14:14" x14ac:dyDescent="0.3">
      <c r="N139" s="1">
        <v>0.78100000000000003</v>
      </c>
    </row>
    <row r="140" spans="14:14" x14ac:dyDescent="0.3">
      <c r="N140" s="1">
        <v>2.0299999999999998</v>
      </c>
    </row>
    <row r="141" spans="14:14" x14ac:dyDescent="0.3">
      <c r="N141" s="1">
        <v>1.5569999999999999</v>
      </c>
    </row>
    <row r="142" spans="14:14" x14ac:dyDescent="0.3">
      <c r="N142" s="1">
        <v>3.9969999999999999</v>
      </c>
    </row>
    <row r="143" spans="14:14" x14ac:dyDescent="0.3">
      <c r="N143" s="1">
        <v>3.1E-2</v>
      </c>
    </row>
    <row r="144" spans="14:14" x14ac:dyDescent="0.3">
      <c r="N144" s="1">
        <v>7.0999999999999994E-2</v>
      </c>
    </row>
    <row r="145" spans="14:14" x14ac:dyDescent="0.3">
      <c r="N145" s="1">
        <v>0.48299999999999998</v>
      </c>
    </row>
    <row r="146" spans="14:14" x14ac:dyDescent="0.3">
      <c r="N146" s="1">
        <v>0.97499999999999998</v>
      </c>
    </row>
    <row r="147" spans="14:14" x14ac:dyDescent="0.3">
      <c r="N147" s="1">
        <v>2.4849999999999999</v>
      </c>
    </row>
    <row r="148" spans="14:14" x14ac:dyDescent="0.3">
      <c r="N148" s="1">
        <v>23.081</v>
      </c>
    </row>
  </sheetData>
  <mergeCells count="25">
    <mergeCell ref="Y1:AA1"/>
    <mergeCell ref="AB1:AC1"/>
    <mergeCell ref="F1:F2"/>
    <mergeCell ref="Q1:R1"/>
    <mergeCell ref="V1:W1"/>
    <mergeCell ref="J1:J2"/>
    <mergeCell ref="G1:G2"/>
    <mergeCell ref="H1:H2"/>
    <mergeCell ref="I1:I2"/>
    <mergeCell ref="AF1:AG1"/>
    <mergeCell ref="K1:K2"/>
    <mergeCell ref="B60:B65"/>
    <mergeCell ref="B3:B14"/>
    <mergeCell ref="B15:B30"/>
    <mergeCell ref="B31:B39"/>
    <mergeCell ref="B40:B51"/>
    <mergeCell ref="B52:B59"/>
    <mergeCell ref="S1:U1"/>
    <mergeCell ref="L1:L2"/>
    <mergeCell ref="M1:N1"/>
    <mergeCell ref="O1:P1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5"/>
  <sheetViews>
    <sheetView tabSelected="1" topLeftCell="B37" zoomScale="115" zoomScaleNormal="115" workbookViewId="0">
      <selection activeCell="J79" sqref="J79"/>
    </sheetView>
  </sheetViews>
  <sheetFormatPr defaultRowHeight="14" x14ac:dyDescent="0.3"/>
  <cols>
    <col min="1" max="1" width="23.75" customWidth="1"/>
    <col min="5" max="5" width="12.6640625" customWidth="1"/>
    <col min="6" max="6" width="13.75" style="91" customWidth="1"/>
    <col min="7" max="7" width="25.6640625" customWidth="1"/>
    <col min="8" max="8" width="22.33203125" customWidth="1"/>
    <col min="9" max="9" width="14.5" customWidth="1"/>
    <col min="10" max="10" width="15.1640625" style="95" customWidth="1"/>
    <col min="11" max="11" width="17.1640625" style="59" customWidth="1"/>
    <col min="12" max="12" width="17.25" style="59" customWidth="1"/>
    <col min="13" max="13" width="14.25" style="59" customWidth="1"/>
    <col min="14" max="14" width="17.1640625" style="83" customWidth="1"/>
  </cols>
  <sheetData>
    <row r="1" spans="1:21" ht="14.5" thickBot="1" x14ac:dyDescent="0.35">
      <c r="A1" s="60"/>
      <c r="B1" s="60" t="s">
        <v>65</v>
      </c>
      <c r="C1" s="60" t="s">
        <v>2</v>
      </c>
      <c r="D1" s="60" t="s">
        <v>3</v>
      </c>
      <c r="E1" s="60" t="s">
        <v>4</v>
      </c>
      <c r="F1" s="92" t="s">
        <v>66</v>
      </c>
      <c r="G1" s="60" t="s">
        <v>67</v>
      </c>
      <c r="H1" s="60"/>
      <c r="I1" s="60"/>
      <c r="J1" s="60"/>
      <c r="K1" s="61" t="s">
        <v>52</v>
      </c>
      <c r="L1" s="73"/>
      <c r="M1" s="73"/>
      <c r="N1" s="62"/>
      <c r="O1" s="2"/>
      <c r="P1" s="2"/>
      <c r="Q1" s="2"/>
      <c r="R1" s="2"/>
      <c r="S1" s="2"/>
      <c r="T1" s="2"/>
      <c r="U1" s="2"/>
    </row>
    <row r="2" spans="1:21" ht="14.5" thickBot="1" x14ac:dyDescent="0.35">
      <c r="A2" s="60"/>
      <c r="B2" s="60"/>
      <c r="C2" s="60"/>
      <c r="D2" s="60"/>
      <c r="E2" s="60"/>
      <c r="F2" s="92"/>
      <c r="G2" s="52" t="s">
        <v>68</v>
      </c>
      <c r="H2" s="52" t="s">
        <v>69</v>
      </c>
      <c r="I2" s="52" t="s">
        <v>70</v>
      </c>
      <c r="J2" s="87" t="s">
        <v>71</v>
      </c>
      <c r="K2" s="52" t="s">
        <v>68</v>
      </c>
      <c r="L2" s="52" t="s">
        <v>69</v>
      </c>
      <c r="M2" s="52" t="s">
        <v>70</v>
      </c>
      <c r="N2" s="87" t="s">
        <v>71</v>
      </c>
      <c r="O2" s="2"/>
      <c r="P2" s="2"/>
      <c r="Q2" s="2"/>
      <c r="R2" s="2"/>
      <c r="S2" s="2"/>
      <c r="T2" s="2"/>
      <c r="U2" s="2"/>
    </row>
    <row r="3" spans="1:21" ht="14.5" thickBot="1" x14ac:dyDescent="0.35">
      <c r="A3" s="81" t="s">
        <v>10</v>
      </c>
      <c r="B3" s="8">
        <v>1</v>
      </c>
      <c r="C3" s="8">
        <v>1</v>
      </c>
      <c r="D3" s="8">
        <v>4096</v>
      </c>
      <c r="E3" s="8">
        <v>4096</v>
      </c>
      <c r="F3" s="90">
        <v>4.2999999999999997E-2</v>
      </c>
      <c r="G3" s="52">
        <v>5.6656699999999997E-2</v>
      </c>
      <c r="H3" s="52">
        <v>8.4447999999999995E-2</v>
      </c>
      <c r="I3" s="82">
        <f>H3-G3</f>
        <v>2.7791299999999998E-2</v>
      </c>
      <c r="J3" s="94">
        <f>G3/H3</f>
        <v>0.67090635657446007</v>
      </c>
      <c r="K3" s="52">
        <v>2.84563E-2</v>
      </c>
      <c r="L3" s="52">
        <v>5.7363200000000003E-2</v>
      </c>
      <c r="M3" s="52">
        <f>L3-K3</f>
        <v>2.8906900000000003E-2</v>
      </c>
      <c r="N3" s="94">
        <f>K3/L3</f>
        <v>0.49607239484547583</v>
      </c>
      <c r="O3" s="2"/>
      <c r="P3" s="2"/>
      <c r="Q3" s="2"/>
      <c r="R3" s="2"/>
      <c r="S3" s="2"/>
      <c r="T3" s="2"/>
      <c r="U3" s="2"/>
    </row>
    <row r="4" spans="1:21" ht="14.5" thickBot="1" x14ac:dyDescent="0.35">
      <c r="A4" s="81"/>
      <c r="B4" s="8">
        <v>1</v>
      </c>
      <c r="C4" s="8">
        <v>1</v>
      </c>
      <c r="D4" s="8">
        <v>4096</v>
      </c>
      <c r="E4" s="8">
        <v>65024</v>
      </c>
      <c r="F4" s="90">
        <v>0.40500000000000003</v>
      </c>
      <c r="G4" s="52">
        <v>0.90650699999999995</v>
      </c>
      <c r="H4" s="52">
        <v>1.8617900000000001</v>
      </c>
      <c r="I4" s="82">
        <f t="shared" ref="I4:I65" si="0">H4-G4</f>
        <v>0.9552830000000001</v>
      </c>
      <c r="J4" s="94">
        <f t="shared" ref="J4:J65" si="1">G4/H4</f>
        <v>0.486900778283265</v>
      </c>
      <c r="K4" s="52">
        <v>0.45530100000000001</v>
      </c>
      <c r="L4" s="52">
        <v>0.856653</v>
      </c>
      <c r="M4" s="52">
        <f t="shared" ref="M4:M65" si="2">L4-K4</f>
        <v>0.40135199999999999</v>
      </c>
      <c r="N4" s="94">
        <f t="shared" ref="N4:N65" si="3">K4/L4</f>
        <v>0.53148824553232177</v>
      </c>
      <c r="O4" s="2"/>
      <c r="P4" s="2"/>
      <c r="Q4" s="2"/>
      <c r="R4" s="2"/>
      <c r="S4" s="2"/>
      <c r="T4" s="2"/>
      <c r="U4" s="2"/>
    </row>
    <row r="5" spans="1:21" ht="14.5" thickBot="1" x14ac:dyDescent="0.35">
      <c r="A5" s="81"/>
      <c r="B5" s="8">
        <v>1</v>
      </c>
      <c r="C5" s="8">
        <v>1</v>
      </c>
      <c r="D5" s="8">
        <v>13696</v>
      </c>
      <c r="E5" s="8">
        <v>4096</v>
      </c>
      <c r="F5" s="90">
        <v>0.10100000000000001</v>
      </c>
      <c r="G5" s="52">
        <v>0.190608</v>
      </c>
      <c r="H5" s="52">
        <v>0.21551999999999999</v>
      </c>
      <c r="I5" s="82">
        <f t="shared" si="0"/>
        <v>2.491199999999999E-2</v>
      </c>
      <c r="J5" s="94">
        <f t="shared" si="1"/>
        <v>0.88440979955456578</v>
      </c>
      <c r="K5" s="52">
        <v>9.5432100000000006E-2</v>
      </c>
      <c r="L5" s="52">
        <v>0.12102400000000001</v>
      </c>
      <c r="M5" s="52">
        <f t="shared" si="2"/>
        <v>2.5591900000000001E-2</v>
      </c>
      <c r="N5" s="94">
        <f t="shared" si="3"/>
        <v>0.78853863696456905</v>
      </c>
      <c r="O5" s="2"/>
      <c r="P5" s="2"/>
      <c r="Q5" s="2"/>
      <c r="R5" s="2"/>
      <c r="S5" s="2"/>
      <c r="T5" s="2"/>
      <c r="U5" s="2"/>
    </row>
    <row r="6" spans="1:21" ht="14.5" thickBot="1" x14ac:dyDescent="0.35">
      <c r="A6" s="81"/>
      <c r="B6" s="8">
        <v>1</v>
      </c>
      <c r="C6" s="8">
        <v>135</v>
      </c>
      <c r="D6" s="8">
        <v>4096</v>
      </c>
      <c r="E6" s="8">
        <v>4096</v>
      </c>
      <c r="F6" s="90">
        <v>0.05</v>
      </c>
      <c r="G6" s="52">
        <v>7.46449E-2</v>
      </c>
      <c r="H6" s="52">
        <v>0.10452500000000001</v>
      </c>
      <c r="I6" s="82">
        <f t="shared" si="0"/>
        <v>2.9880100000000007E-2</v>
      </c>
      <c r="J6" s="94">
        <f t="shared" si="1"/>
        <v>0.71413441760344409</v>
      </c>
      <c r="K6" s="52">
        <v>3.7706499999999997E-2</v>
      </c>
      <c r="L6" s="52">
        <v>9.4534400000000005E-2</v>
      </c>
      <c r="M6" s="52">
        <f t="shared" si="2"/>
        <v>5.6827900000000008E-2</v>
      </c>
      <c r="N6" s="94">
        <f t="shared" si="3"/>
        <v>0.39886538656827564</v>
      </c>
      <c r="O6" s="2"/>
      <c r="P6" s="2"/>
      <c r="Q6" s="2"/>
      <c r="R6" s="2"/>
      <c r="S6" s="2"/>
      <c r="T6" s="2"/>
      <c r="U6" s="2"/>
    </row>
    <row r="7" spans="1:21" ht="14.5" thickBot="1" x14ac:dyDescent="0.35">
      <c r="A7" s="81"/>
      <c r="B7" s="8">
        <v>1</v>
      </c>
      <c r="C7" s="8">
        <v>135</v>
      </c>
      <c r="D7" s="8">
        <v>4096</v>
      </c>
      <c r="E7" s="8">
        <v>65024</v>
      </c>
      <c r="F7" s="90">
        <v>0.52200000000000002</v>
      </c>
      <c r="G7" s="52">
        <v>0.93217499999999998</v>
      </c>
      <c r="H7" s="52">
        <v>2.1031399999999998</v>
      </c>
      <c r="I7" s="82">
        <f t="shared" si="0"/>
        <v>1.1709649999999998</v>
      </c>
      <c r="J7" s="94">
        <f t="shared" si="1"/>
        <v>0.44323012257862054</v>
      </c>
      <c r="K7" s="52">
        <v>0.47223199999999999</v>
      </c>
      <c r="L7" s="52">
        <v>1.0932599999999999</v>
      </c>
      <c r="M7" s="52">
        <f t="shared" si="2"/>
        <v>0.62102799999999991</v>
      </c>
      <c r="N7" s="94">
        <f t="shared" si="3"/>
        <v>0.43194848434956007</v>
      </c>
      <c r="O7" s="2"/>
      <c r="P7" s="2"/>
      <c r="Q7" s="2"/>
      <c r="R7" s="2"/>
      <c r="S7" s="2"/>
      <c r="T7" s="2"/>
      <c r="U7" s="2"/>
    </row>
    <row r="8" spans="1:21" ht="14.5" thickBot="1" x14ac:dyDescent="0.35">
      <c r="A8" s="81"/>
      <c r="B8" s="8">
        <v>1</v>
      </c>
      <c r="C8" s="8">
        <v>135</v>
      </c>
      <c r="D8" s="8">
        <v>13696</v>
      </c>
      <c r="E8" s="8">
        <v>4096</v>
      </c>
      <c r="F8" s="90">
        <v>0.16600000000000001</v>
      </c>
      <c r="G8" s="52">
        <v>0.25010300000000002</v>
      </c>
      <c r="H8" s="52">
        <v>0.29030400000000001</v>
      </c>
      <c r="I8" s="82">
        <f t="shared" si="0"/>
        <v>4.0200999999999987E-2</v>
      </c>
      <c r="J8" s="94">
        <f t="shared" si="1"/>
        <v>0.86152102623456794</v>
      </c>
      <c r="K8" s="52">
        <v>0.12543499999999999</v>
      </c>
      <c r="L8" s="52">
        <v>0.25941799999999998</v>
      </c>
      <c r="M8" s="52">
        <f t="shared" si="2"/>
        <v>0.13398299999999999</v>
      </c>
      <c r="N8" s="94">
        <f t="shared" si="3"/>
        <v>0.4835246590444765</v>
      </c>
      <c r="O8" s="2"/>
      <c r="P8" s="2"/>
      <c r="Q8" s="2"/>
      <c r="R8" s="2"/>
      <c r="S8" s="2"/>
      <c r="T8" s="2"/>
      <c r="U8" s="2"/>
    </row>
    <row r="9" spans="1:21" ht="14.5" thickBot="1" x14ac:dyDescent="0.35">
      <c r="A9" s="81"/>
      <c r="B9" s="8">
        <v>1</v>
      </c>
      <c r="C9" s="8">
        <v>511</v>
      </c>
      <c r="D9" s="8">
        <v>4096</v>
      </c>
      <c r="E9" s="8">
        <v>4096</v>
      </c>
      <c r="F9" s="90">
        <v>8.6999999999999994E-2</v>
      </c>
      <c r="G9" s="52">
        <v>0.119616</v>
      </c>
      <c r="H9" s="52">
        <v>0.184947</v>
      </c>
      <c r="I9" s="82">
        <f t="shared" si="0"/>
        <v>6.5331E-2</v>
      </c>
      <c r="J9" s="94">
        <f t="shared" si="1"/>
        <v>0.64675826047462248</v>
      </c>
      <c r="K9" s="52">
        <v>6.0831799999999998E-2</v>
      </c>
      <c r="L9" s="52">
        <v>0.22770599999999999</v>
      </c>
      <c r="M9" s="52">
        <f t="shared" si="2"/>
        <v>0.1668742</v>
      </c>
      <c r="N9" s="94">
        <f t="shared" si="3"/>
        <v>0.26715062405031048</v>
      </c>
      <c r="O9" s="2"/>
      <c r="P9" s="2"/>
      <c r="Q9" s="2"/>
      <c r="R9" s="2"/>
      <c r="S9" s="2"/>
      <c r="T9" s="2"/>
      <c r="U9" s="2"/>
    </row>
    <row r="10" spans="1:21" ht="14.5" thickBot="1" x14ac:dyDescent="0.35">
      <c r="A10" s="81"/>
      <c r="B10" s="8">
        <v>1</v>
      </c>
      <c r="C10" s="8">
        <v>511</v>
      </c>
      <c r="D10" s="8">
        <v>4096</v>
      </c>
      <c r="E10" s="8">
        <v>65024</v>
      </c>
      <c r="F10" s="90">
        <v>1.0209999999999999</v>
      </c>
      <c r="G10" s="52">
        <v>0.99634599999999995</v>
      </c>
      <c r="H10" s="52">
        <v>2.8961299999999999</v>
      </c>
      <c r="I10" s="82">
        <f t="shared" si="0"/>
        <v>1.8997839999999999</v>
      </c>
      <c r="J10" s="94">
        <f t="shared" si="1"/>
        <v>0.34402668388504659</v>
      </c>
      <c r="K10" s="52">
        <v>0.51455700000000004</v>
      </c>
      <c r="L10" s="52">
        <v>1.81328</v>
      </c>
      <c r="M10" s="52">
        <f t="shared" si="2"/>
        <v>1.2987229999999998</v>
      </c>
      <c r="N10" s="94">
        <f t="shared" si="3"/>
        <v>0.28377139768816734</v>
      </c>
      <c r="O10" s="2"/>
      <c r="P10" s="2"/>
      <c r="Q10" s="2"/>
      <c r="R10" s="2"/>
      <c r="S10" s="2"/>
      <c r="T10" s="2"/>
      <c r="U10" s="2"/>
    </row>
    <row r="11" spans="1:21" ht="14.5" thickBot="1" x14ac:dyDescent="0.35">
      <c r="A11" s="81"/>
      <c r="B11" s="8">
        <v>1</v>
      </c>
      <c r="C11" s="8">
        <v>511</v>
      </c>
      <c r="D11" s="8">
        <v>13696</v>
      </c>
      <c r="E11" s="8">
        <v>4096</v>
      </c>
      <c r="F11" s="90">
        <v>0.224</v>
      </c>
      <c r="G11" s="52">
        <v>0.398839</v>
      </c>
      <c r="H11" s="52">
        <v>0.58657899999999996</v>
      </c>
      <c r="I11" s="82">
        <f t="shared" si="0"/>
        <v>0.18773999999999996</v>
      </c>
      <c r="J11" s="94">
        <f t="shared" si="1"/>
        <v>0.67994080933684986</v>
      </c>
      <c r="K11" s="52">
        <v>0.20044300000000001</v>
      </c>
      <c r="L11" s="52">
        <v>0.77261500000000005</v>
      </c>
      <c r="M11" s="52">
        <f t="shared" si="2"/>
        <v>0.57217200000000001</v>
      </c>
      <c r="N11" s="94">
        <f t="shared" si="3"/>
        <v>0.25943451783876831</v>
      </c>
      <c r="O11" s="2"/>
      <c r="P11" s="2"/>
      <c r="Q11" s="2"/>
      <c r="R11" s="2"/>
      <c r="S11" s="2"/>
      <c r="T11" s="2"/>
      <c r="U11" s="2"/>
    </row>
    <row r="12" spans="1:21" ht="14.5" thickBot="1" x14ac:dyDescent="0.35">
      <c r="A12" s="81"/>
      <c r="B12" s="8">
        <v>1</v>
      </c>
      <c r="C12" s="8">
        <v>1024</v>
      </c>
      <c r="D12" s="8">
        <v>4096</v>
      </c>
      <c r="E12" s="8">
        <v>4096</v>
      </c>
      <c r="F12" s="90">
        <v>0.19500000000000001</v>
      </c>
      <c r="G12" s="52">
        <v>0.25710499999999997</v>
      </c>
      <c r="H12" s="52">
        <v>0.25472600000000001</v>
      </c>
      <c r="I12" s="82">
        <f t="shared" si="0"/>
        <v>-2.3789999999999645E-3</v>
      </c>
      <c r="J12" s="94">
        <f t="shared" si="1"/>
        <v>1.0093394470921695</v>
      </c>
      <c r="K12" s="52">
        <v>0.13059999999999999</v>
      </c>
      <c r="L12" s="52">
        <v>0.21169299999999999</v>
      </c>
      <c r="M12" s="52">
        <f t="shared" si="2"/>
        <v>8.1092999999999998E-2</v>
      </c>
      <c r="N12" s="94">
        <f t="shared" si="3"/>
        <v>0.6169311219549064</v>
      </c>
      <c r="O12" s="2"/>
      <c r="P12" s="2"/>
      <c r="Q12" s="2"/>
      <c r="R12" s="2"/>
      <c r="S12" s="2"/>
      <c r="T12" s="2"/>
      <c r="U12" s="2"/>
    </row>
    <row r="13" spans="1:21" ht="14.5" thickBot="1" x14ac:dyDescent="0.35">
      <c r="A13" s="81"/>
      <c r="B13" s="8">
        <v>1</v>
      </c>
      <c r="C13" s="8">
        <v>1024</v>
      </c>
      <c r="D13" s="8">
        <v>4096</v>
      </c>
      <c r="E13" s="8">
        <v>65024</v>
      </c>
      <c r="F13" s="90">
        <v>1.9139999999999999</v>
      </c>
      <c r="G13" s="93">
        <v>1.0990200000000001</v>
      </c>
      <c r="H13" s="52">
        <v>4.3793800000000003</v>
      </c>
      <c r="I13" s="82">
        <f t="shared" si="0"/>
        <v>3.2803599999999999</v>
      </c>
      <c r="J13" s="94">
        <f t="shared" si="1"/>
        <v>0.25095333129347075</v>
      </c>
      <c r="K13" s="52">
        <v>0.58227700000000004</v>
      </c>
      <c r="L13" s="52">
        <v>3.0515699999999999</v>
      </c>
      <c r="M13" s="52">
        <f t="shared" si="2"/>
        <v>2.469293</v>
      </c>
      <c r="N13" s="94">
        <f t="shared" si="3"/>
        <v>0.19081227040507021</v>
      </c>
      <c r="O13" s="2"/>
      <c r="P13" s="2"/>
      <c r="Q13" s="2"/>
      <c r="R13" s="2"/>
      <c r="S13" s="2"/>
      <c r="T13" s="2"/>
      <c r="U13" s="2"/>
    </row>
    <row r="14" spans="1:21" ht="14.5" thickBot="1" x14ac:dyDescent="0.35">
      <c r="A14" s="81"/>
      <c r="B14" s="8">
        <v>1</v>
      </c>
      <c r="C14" s="8">
        <v>1024</v>
      </c>
      <c r="D14" s="8">
        <v>13696</v>
      </c>
      <c r="E14" s="8">
        <v>4096</v>
      </c>
      <c r="F14" s="90">
        <v>0.46600000000000003</v>
      </c>
      <c r="G14" s="52">
        <v>0.85799999999999998</v>
      </c>
      <c r="H14" s="52">
        <v>0.79396500000000003</v>
      </c>
      <c r="I14" s="82">
        <f t="shared" si="0"/>
        <v>-6.4034999999999953E-2</v>
      </c>
      <c r="J14" s="94">
        <f t="shared" si="1"/>
        <v>1.0806521698059737</v>
      </c>
      <c r="K14" s="52">
        <v>0.43104799999999999</v>
      </c>
      <c r="L14" s="52">
        <v>0.65496299999999996</v>
      </c>
      <c r="M14" s="52">
        <f t="shared" si="2"/>
        <v>0.22391499999999998</v>
      </c>
      <c r="N14" s="94">
        <f t="shared" si="3"/>
        <v>0.65812572618605936</v>
      </c>
      <c r="O14" s="2"/>
      <c r="P14" s="2"/>
      <c r="Q14" s="2"/>
      <c r="R14" s="2"/>
      <c r="S14" s="2"/>
      <c r="T14" s="2"/>
      <c r="U14" s="2"/>
    </row>
    <row r="15" spans="1:21" ht="14.5" thickBot="1" x14ac:dyDescent="0.35">
      <c r="A15" s="69" t="s">
        <v>11</v>
      </c>
      <c r="B15" s="13">
        <v>1</v>
      </c>
      <c r="C15" s="13">
        <v>1</v>
      </c>
      <c r="D15" s="13">
        <v>4096</v>
      </c>
      <c r="E15" s="13">
        <v>4096</v>
      </c>
      <c r="F15" s="90">
        <v>4.2999999999999997E-2</v>
      </c>
      <c r="G15" s="52">
        <v>5.6656699999999997E-2</v>
      </c>
      <c r="H15" s="52">
        <v>8.4019300000000005E-2</v>
      </c>
      <c r="I15" s="82">
        <f t="shared" si="0"/>
        <v>2.7362600000000008E-2</v>
      </c>
      <c r="J15" s="94">
        <f t="shared" si="1"/>
        <v>0.67432958855881919</v>
      </c>
      <c r="K15" s="52">
        <v>2.84563E-2</v>
      </c>
      <c r="L15" s="52">
        <v>5.7337600000000002E-2</v>
      </c>
      <c r="M15" s="52">
        <f t="shared" si="2"/>
        <v>2.8881300000000002E-2</v>
      </c>
      <c r="N15" s="94">
        <f t="shared" si="3"/>
        <v>0.49629388045540795</v>
      </c>
      <c r="O15" s="2"/>
      <c r="P15" s="2"/>
      <c r="Q15" s="2"/>
      <c r="R15" s="2"/>
      <c r="S15" s="2"/>
      <c r="T15" s="2"/>
      <c r="U15" s="2"/>
    </row>
    <row r="16" spans="1:21" ht="14.5" thickBot="1" x14ac:dyDescent="0.35">
      <c r="A16" s="69"/>
      <c r="B16" s="13">
        <v>1</v>
      </c>
      <c r="C16" s="13">
        <v>1</v>
      </c>
      <c r="D16" s="13">
        <v>4096</v>
      </c>
      <c r="E16" s="13">
        <v>32000</v>
      </c>
      <c r="F16" s="90">
        <v>0.20799999999999999</v>
      </c>
      <c r="G16" s="52">
        <v>0.45762199999999997</v>
      </c>
      <c r="H16" s="52">
        <v>0.82162599999999997</v>
      </c>
      <c r="I16" s="82">
        <f t="shared" si="0"/>
        <v>0.36400399999999999</v>
      </c>
      <c r="J16" s="94">
        <f t="shared" si="1"/>
        <v>0.55697117666675588</v>
      </c>
      <c r="K16" s="52">
        <v>0.22983500000000001</v>
      </c>
      <c r="L16" s="52">
        <v>0.44150400000000001</v>
      </c>
      <c r="M16" s="52">
        <f t="shared" si="2"/>
        <v>0.211669</v>
      </c>
      <c r="N16" s="94">
        <f t="shared" si="3"/>
        <v>0.52057286004203818</v>
      </c>
      <c r="O16" s="2"/>
      <c r="P16" s="2"/>
      <c r="Q16" s="2"/>
      <c r="R16" s="2"/>
      <c r="S16" s="2"/>
      <c r="T16" s="2"/>
      <c r="U16" s="2"/>
    </row>
    <row r="17" spans="1:21" ht="14.5" thickBot="1" x14ac:dyDescent="0.35">
      <c r="A17" s="69"/>
      <c r="B17" s="13">
        <v>1</v>
      </c>
      <c r="C17" s="13">
        <v>1</v>
      </c>
      <c r="D17" s="13">
        <v>4096</v>
      </c>
      <c r="E17" s="13">
        <v>64000</v>
      </c>
      <c r="F17" s="90">
        <v>0.38900000000000001</v>
      </c>
      <c r="G17" s="52">
        <v>0.89247900000000002</v>
      </c>
      <c r="H17" s="52">
        <v>1.83291</v>
      </c>
      <c r="I17" s="82">
        <f t="shared" si="0"/>
        <v>0.94043100000000002</v>
      </c>
      <c r="J17" s="94">
        <f t="shared" si="1"/>
        <v>0.48691916133361701</v>
      </c>
      <c r="K17" s="52">
        <v>0.44825599999999999</v>
      </c>
      <c r="L17" s="52">
        <v>0.84682299999999999</v>
      </c>
      <c r="M17" s="52">
        <f t="shared" si="2"/>
        <v>0.398567</v>
      </c>
      <c r="N17" s="94">
        <f t="shared" si="3"/>
        <v>0.5293384804144432</v>
      </c>
      <c r="O17" s="2"/>
      <c r="P17" s="2"/>
      <c r="Q17" s="2"/>
      <c r="R17" s="2"/>
      <c r="S17" s="2"/>
      <c r="T17" s="2"/>
      <c r="U17" s="2"/>
    </row>
    <row r="18" spans="1:21" ht="14.5" thickBot="1" x14ac:dyDescent="0.35">
      <c r="A18" s="69"/>
      <c r="B18" s="13">
        <v>1</v>
      </c>
      <c r="C18" s="13">
        <v>1</v>
      </c>
      <c r="D18" s="13">
        <v>11008</v>
      </c>
      <c r="E18" s="13">
        <v>4096</v>
      </c>
      <c r="F18" s="90">
        <v>8.5999999999999993E-2</v>
      </c>
      <c r="G18" s="52">
        <v>0.151833</v>
      </c>
      <c r="H18" s="52">
        <v>0.17801600000000001</v>
      </c>
      <c r="I18" s="82">
        <f t="shared" si="0"/>
        <v>2.6183000000000012E-2</v>
      </c>
      <c r="J18" s="94">
        <f t="shared" si="1"/>
        <v>0.85291771526154947</v>
      </c>
      <c r="K18" s="52">
        <v>7.6044399999999998E-2</v>
      </c>
      <c r="L18" s="52">
        <v>0.10194599999999999</v>
      </c>
      <c r="M18" s="52">
        <f t="shared" si="2"/>
        <v>2.5901599999999997E-2</v>
      </c>
      <c r="N18" s="94">
        <f t="shared" si="3"/>
        <v>0.74592823651737195</v>
      </c>
      <c r="O18" s="2"/>
      <c r="P18" s="2"/>
      <c r="Q18" s="2"/>
      <c r="R18" s="2"/>
      <c r="S18" s="2"/>
      <c r="T18" s="2"/>
      <c r="U18" s="2"/>
    </row>
    <row r="19" spans="1:21" ht="14.5" thickBot="1" x14ac:dyDescent="0.35">
      <c r="A19" s="69"/>
      <c r="B19" s="13">
        <v>1</v>
      </c>
      <c r="C19" s="13">
        <v>135</v>
      </c>
      <c r="D19" s="13">
        <v>4096</v>
      </c>
      <c r="E19" s="13">
        <v>4096</v>
      </c>
      <c r="F19" s="90">
        <v>5.0999999999999997E-2</v>
      </c>
      <c r="G19" s="52">
        <v>7.46449E-2</v>
      </c>
      <c r="H19" s="52">
        <v>0.10403800000000001</v>
      </c>
      <c r="I19" s="82">
        <f t="shared" si="0"/>
        <v>2.9393100000000005E-2</v>
      </c>
      <c r="J19" s="94">
        <f t="shared" si="1"/>
        <v>0.71747726792133637</v>
      </c>
      <c r="K19" s="52">
        <v>3.7706499999999997E-2</v>
      </c>
      <c r="L19" s="52">
        <v>9.45024E-2</v>
      </c>
      <c r="M19" s="52">
        <f t="shared" si="2"/>
        <v>5.6795900000000003E-2</v>
      </c>
      <c r="N19" s="94">
        <f t="shared" si="3"/>
        <v>0.39900044866585394</v>
      </c>
      <c r="O19" s="2"/>
      <c r="P19" s="2"/>
      <c r="Q19" s="2"/>
      <c r="R19" s="2"/>
      <c r="S19" s="2"/>
      <c r="T19" s="2"/>
      <c r="U19" s="2"/>
    </row>
    <row r="20" spans="1:21" ht="14.5" thickBot="1" x14ac:dyDescent="0.35">
      <c r="A20" s="69"/>
      <c r="B20" s="13">
        <v>1</v>
      </c>
      <c r="C20" s="13">
        <v>135</v>
      </c>
      <c r="D20" s="13">
        <v>4096</v>
      </c>
      <c r="E20" s="13">
        <v>32000</v>
      </c>
      <c r="F20" s="90">
        <v>0.34499999999999997</v>
      </c>
      <c r="G20" s="52">
        <v>0.47919499999999998</v>
      </c>
      <c r="H20" s="52">
        <v>0.951878</v>
      </c>
      <c r="I20" s="82">
        <f t="shared" si="0"/>
        <v>0.47268300000000002</v>
      </c>
      <c r="J20" s="94">
        <f t="shared" si="1"/>
        <v>0.50342060642225162</v>
      </c>
      <c r="K20" s="52">
        <v>0.242669</v>
      </c>
      <c r="L20" s="52">
        <v>0.53178899999999996</v>
      </c>
      <c r="M20" s="52">
        <f t="shared" si="2"/>
        <v>0.28911999999999993</v>
      </c>
      <c r="N20" s="94">
        <f t="shared" si="3"/>
        <v>0.45632572317216041</v>
      </c>
      <c r="O20" s="2"/>
      <c r="P20" s="2"/>
      <c r="Q20" s="2"/>
      <c r="R20" s="2"/>
      <c r="S20" s="2"/>
      <c r="T20" s="2"/>
      <c r="U20" s="2"/>
    </row>
    <row r="21" spans="1:21" ht="14.5" thickBot="1" x14ac:dyDescent="0.35">
      <c r="A21" s="69"/>
      <c r="B21" s="13">
        <v>1</v>
      </c>
      <c r="C21" s="13">
        <v>135</v>
      </c>
      <c r="D21" s="13">
        <v>4096</v>
      </c>
      <c r="E21" s="13">
        <v>64000</v>
      </c>
      <c r="F21" s="90">
        <v>0.65600000000000003</v>
      </c>
      <c r="G21" s="52">
        <v>0.91801900000000003</v>
      </c>
      <c r="H21" s="52">
        <v>2.0738699999999999</v>
      </c>
      <c r="I21" s="82">
        <f t="shared" si="0"/>
        <v>1.1558509999999997</v>
      </c>
      <c r="J21" s="94">
        <f t="shared" si="1"/>
        <v>0.44265985813961339</v>
      </c>
      <c r="K21" s="52">
        <v>0.46505800000000003</v>
      </c>
      <c r="L21" s="52">
        <v>1.0989599999999999</v>
      </c>
      <c r="M21" s="52">
        <f t="shared" si="2"/>
        <v>0.63390199999999997</v>
      </c>
      <c r="N21" s="94">
        <f t="shared" si="3"/>
        <v>0.42318009754677155</v>
      </c>
      <c r="O21" s="2"/>
      <c r="P21" s="2"/>
      <c r="Q21" s="2"/>
      <c r="R21" s="2"/>
      <c r="S21" s="2"/>
      <c r="T21" s="2"/>
      <c r="U21" s="2"/>
    </row>
    <row r="22" spans="1:21" ht="14.5" thickBot="1" x14ac:dyDescent="0.35">
      <c r="A22" s="69"/>
      <c r="B22" s="13">
        <v>1</v>
      </c>
      <c r="C22" s="13">
        <v>135</v>
      </c>
      <c r="D22" s="13">
        <v>11008</v>
      </c>
      <c r="E22" s="13">
        <v>4096</v>
      </c>
      <c r="F22" s="90">
        <v>0.14199999999999999</v>
      </c>
      <c r="G22" s="52">
        <v>0.19931199999999999</v>
      </c>
      <c r="H22" s="52">
        <v>0.23922599999999999</v>
      </c>
      <c r="I22" s="82">
        <f t="shared" si="0"/>
        <v>3.9914000000000005E-2</v>
      </c>
      <c r="J22" s="94">
        <f t="shared" si="1"/>
        <v>0.83315358698469233</v>
      </c>
      <c r="K22" s="52">
        <v>0.10004</v>
      </c>
      <c r="L22" s="52">
        <v>0.21068200000000001</v>
      </c>
      <c r="M22" s="52">
        <f t="shared" si="2"/>
        <v>0.110642</v>
      </c>
      <c r="N22" s="94">
        <f t="shared" si="3"/>
        <v>0.47483885666549586</v>
      </c>
      <c r="O22" s="2"/>
      <c r="P22" s="2"/>
      <c r="Q22" s="2"/>
      <c r="R22" s="2"/>
      <c r="S22" s="2"/>
      <c r="T22" s="2"/>
      <c r="U22" s="2"/>
    </row>
    <row r="23" spans="1:21" ht="14.5" thickBot="1" x14ac:dyDescent="0.35">
      <c r="A23" s="69"/>
      <c r="B23" s="13">
        <v>1</v>
      </c>
      <c r="C23" s="13">
        <v>511</v>
      </c>
      <c r="D23" s="13">
        <v>4096</v>
      </c>
      <c r="E23" s="13">
        <v>4096</v>
      </c>
      <c r="F23" s="90">
        <v>8.6999999999999994E-2</v>
      </c>
      <c r="G23" s="52">
        <v>0.119616</v>
      </c>
      <c r="H23" s="52">
        <v>0.18518399999999999</v>
      </c>
      <c r="I23" s="82">
        <f t="shared" si="0"/>
        <v>6.5567999999999987E-2</v>
      </c>
      <c r="J23" s="94">
        <f t="shared" si="1"/>
        <v>0.64593053395541733</v>
      </c>
      <c r="K23" s="52">
        <v>6.0831799999999998E-2</v>
      </c>
      <c r="L23" s="52">
        <v>0.22786600000000001</v>
      </c>
      <c r="M23" s="52">
        <f t="shared" si="2"/>
        <v>0.16703420000000002</v>
      </c>
      <c r="N23" s="94">
        <f t="shared" si="3"/>
        <v>0.26696303968121615</v>
      </c>
      <c r="O23" s="2"/>
      <c r="P23" s="2"/>
      <c r="Q23" s="2"/>
      <c r="R23" s="2"/>
      <c r="S23" s="2"/>
      <c r="T23" s="2"/>
      <c r="U23" s="2"/>
    </row>
    <row r="24" spans="1:21" ht="14.5" thickBot="1" x14ac:dyDescent="0.35">
      <c r="A24" s="69"/>
      <c r="B24" s="13">
        <v>1</v>
      </c>
      <c r="C24" s="13">
        <v>511</v>
      </c>
      <c r="D24" s="13">
        <v>4096</v>
      </c>
      <c r="E24" s="13">
        <v>32000</v>
      </c>
      <c r="F24" s="90">
        <v>0.50800000000000001</v>
      </c>
      <c r="G24" s="52">
        <v>0.53312499999999996</v>
      </c>
      <c r="H24" s="52">
        <v>1.35144</v>
      </c>
      <c r="I24" s="82">
        <f t="shared" si="0"/>
        <v>0.81831500000000001</v>
      </c>
      <c r="J24" s="94">
        <f t="shared" si="1"/>
        <v>0.39448662167761794</v>
      </c>
      <c r="K24" s="52">
        <v>0.27475500000000003</v>
      </c>
      <c r="L24" s="52">
        <v>0.74327100000000002</v>
      </c>
      <c r="M24" s="52">
        <f t="shared" si="2"/>
        <v>0.46851599999999999</v>
      </c>
      <c r="N24" s="94">
        <f t="shared" si="3"/>
        <v>0.36965655864415536</v>
      </c>
      <c r="O24" s="2"/>
      <c r="P24" s="2"/>
      <c r="Q24" s="2"/>
      <c r="R24" s="2"/>
      <c r="S24" s="2"/>
      <c r="T24" s="2"/>
      <c r="U24" s="2"/>
    </row>
    <row r="25" spans="1:21" ht="14.5" thickBot="1" x14ac:dyDescent="0.35">
      <c r="A25" s="69"/>
      <c r="B25" s="13">
        <v>1</v>
      </c>
      <c r="C25" s="13">
        <v>511</v>
      </c>
      <c r="D25" s="13">
        <v>4096</v>
      </c>
      <c r="E25" s="13">
        <v>64000</v>
      </c>
      <c r="F25" s="90">
        <v>1.022</v>
      </c>
      <c r="G25" s="52">
        <v>0.98187000000000002</v>
      </c>
      <c r="H25" s="52">
        <v>2.8699499999999998</v>
      </c>
      <c r="I25" s="82">
        <f t="shared" si="0"/>
        <v>1.8880799999999998</v>
      </c>
      <c r="J25" s="94">
        <f t="shared" si="1"/>
        <v>0.34212094287356926</v>
      </c>
      <c r="K25" s="52">
        <v>0.50706300000000004</v>
      </c>
      <c r="L25" s="52">
        <v>1.8101400000000001</v>
      </c>
      <c r="M25" s="52">
        <f t="shared" si="2"/>
        <v>1.303077</v>
      </c>
      <c r="N25" s="94">
        <f t="shared" si="3"/>
        <v>0.28012363684576885</v>
      </c>
      <c r="O25" s="2"/>
      <c r="P25" s="2"/>
      <c r="Q25" s="2"/>
      <c r="R25" s="2"/>
      <c r="S25" s="2"/>
      <c r="T25" s="2"/>
      <c r="U25" s="2"/>
    </row>
    <row r="26" spans="1:21" ht="14.5" thickBot="1" x14ac:dyDescent="0.35">
      <c r="A26" s="69"/>
      <c r="B26" s="13">
        <v>1</v>
      </c>
      <c r="C26" s="13">
        <v>511</v>
      </c>
      <c r="D26" s="13">
        <v>11008</v>
      </c>
      <c r="E26" s="13">
        <v>4096</v>
      </c>
      <c r="F26" s="90">
        <v>0.185</v>
      </c>
      <c r="G26" s="52">
        <v>0.31801099999999999</v>
      </c>
      <c r="H26" s="52">
        <v>0.467219</v>
      </c>
      <c r="I26" s="82">
        <f t="shared" si="0"/>
        <v>0.14920800000000001</v>
      </c>
      <c r="J26" s="94">
        <f t="shared" si="1"/>
        <v>0.68064654904873301</v>
      </c>
      <c r="K26" s="52">
        <v>0.160029</v>
      </c>
      <c r="L26" s="52">
        <v>0.60568299999999997</v>
      </c>
      <c r="M26" s="52">
        <f t="shared" si="2"/>
        <v>0.44565399999999999</v>
      </c>
      <c r="N26" s="94">
        <f t="shared" si="3"/>
        <v>0.26421246757792444</v>
      </c>
      <c r="O26" s="2"/>
      <c r="P26" s="2"/>
      <c r="Q26" s="2"/>
      <c r="R26" s="2"/>
      <c r="S26" s="2"/>
      <c r="T26" s="2"/>
      <c r="U26" s="2"/>
    </row>
    <row r="27" spans="1:21" ht="14.5" thickBot="1" x14ac:dyDescent="0.35">
      <c r="A27" s="69"/>
      <c r="B27" s="13">
        <v>1</v>
      </c>
      <c r="C27" s="13">
        <v>1024</v>
      </c>
      <c r="D27" s="13">
        <v>4096</v>
      </c>
      <c r="E27" s="13">
        <v>4096</v>
      </c>
      <c r="F27" s="90">
        <v>0.19400000000000001</v>
      </c>
      <c r="G27" s="52">
        <v>0.25710499999999997</v>
      </c>
      <c r="H27" s="52">
        <v>0.25475799999999998</v>
      </c>
      <c r="I27" s="82">
        <f t="shared" si="0"/>
        <v>-2.346999999999988E-3</v>
      </c>
      <c r="J27" s="94">
        <f t="shared" si="1"/>
        <v>1.0092126645679429</v>
      </c>
      <c r="K27" s="52">
        <v>0.13059999999999999</v>
      </c>
      <c r="L27" s="52">
        <v>0.211872</v>
      </c>
      <c r="M27" s="52">
        <f t="shared" si="2"/>
        <v>8.1272000000000011E-2</v>
      </c>
      <c r="N27" s="94">
        <f t="shared" si="3"/>
        <v>0.61640990786890193</v>
      </c>
      <c r="O27" s="2"/>
      <c r="P27" s="2"/>
      <c r="Q27" s="2"/>
      <c r="R27" s="2"/>
      <c r="S27" s="2"/>
      <c r="T27" s="2"/>
      <c r="U27" s="2"/>
    </row>
    <row r="28" spans="1:21" ht="14.5" thickBot="1" x14ac:dyDescent="0.35">
      <c r="A28" s="69"/>
      <c r="B28" s="13">
        <v>1</v>
      </c>
      <c r="C28" s="13">
        <v>1024</v>
      </c>
      <c r="D28" s="13">
        <v>4096</v>
      </c>
      <c r="E28" s="13">
        <v>32000</v>
      </c>
      <c r="F28" s="90">
        <v>1.006</v>
      </c>
      <c r="G28" s="52">
        <v>0.61941400000000002</v>
      </c>
      <c r="H28" s="52">
        <v>2.1046100000000001</v>
      </c>
      <c r="I28" s="82">
        <f t="shared" si="0"/>
        <v>1.4851960000000002</v>
      </c>
      <c r="J28" s="94">
        <f t="shared" si="1"/>
        <v>0.29431296059602491</v>
      </c>
      <c r="K28" s="52">
        <v>0.32609100000000002</v>
      </c>
      <c r="L28" s="52">
        <v>1.36208</v>
      </c>
      <c r="M28" s="52">
        <f t="shared" si="2"/>
        <v>1.0359889999999998</v>
      </c>
      <c r="N28" s="94">
        <f t="shared" si="3"/>
        <v>0.23940664278162813</v>
      </c>
      <c r="O28" s="2"/>
      <c r="P28" s="2"/>
      <c r="Q28" s="2"/>
      <c r="R28" s="2"/>
      <c r="S28" s="2"/>
      <c r="T28" s="2"/>
      <c r="U28" s="2"/>
    </row>
    <row r="29" spans="1:21" ht="14.5" thickBot="1" x14ac:dyDescent="0.35">
      <c r="A29" s="69"/>
      <c r="B29" s="13">
        <v>1</v>
      </c>
      <c r="C29" s="13">
        <v>1024</v>
      </c>
      <c r="D29" s="13">
        <v>4096</v>
      </c>
      <c r="E29" s="13">
        <v>64000</v>
      </c>
      <c r="F29" s="90">
        <v>1.9079999999999999</v>
      </c>
      <c r="G29" s="93">
        <v>1.08403</v>
      </c>
      <c r="H29" s="52">
        <v>4.3421599999999998</v>
      </c>
      <c r="I29" s="82">
        <f t="shared" si="0"/>
        <v>3.2581299999999995</v>
      </c>
      <c r="J29" s="94">
        <f t="shared" si="1"/>
        <v>0.24965224680804027</v>
      </c>
      <c r="K29" s="52">
        <v>0.574272</v>
      </c>
      <c r="L29" s="52">
        <v>3.0507599999999999</v>
      </c>
      <c r="M29" s="52">
        <f t="shared" si="2"/>
        <v>2.4764879999999998</v>
      </c>
      <c r="N29" s="94">
        <f t="shared" si="3"/>
        <v>0.18823899618455731</v>
      </c>
      <c r="O29" s="2"/>
      <c r="P29" s="2"/>
      <c r="Q29" s="2"/>
      <c r="R29" s="2"/>
      <c r="S29" s="2"/>
      <c r="T29" s="2"/>
      <c r="U29" s="2"/>
    </row>
    <row r="30" spans="1:21" ht="14.5" thickBot="1" x14ac:dyDescent="0.35">
      <c r="A30" s="69"/>
      <c r="B30" s="13">
        <v>1</v>
      </c>
      <c r="C30" s="13">
        <v>1024</v>
      </c>
      <c r="D30" s="13">
        <v>11008</v>
      </c>
      <c r="E30" s="13">
        <v>4096</v>
      </c>
      <c r="F30" s="90">
        <v>0.35599999999999998</v>
      </c>
      <c r="G30" s="52">
        <v>0.68405700000000003</v>
      </c>
      <c r="H30" s="52">
        <v>0.62883800000000001</v>
      </c>
      <c r="I30" s="82">
        <f t="shared" si="0"/>
        <v>-5.5219000000000018E-2</v>
      </c>
      <c r="J30" s="94">
        <f t="shared" si="1"/>
        <v>1.0878111691723464</v>
      </c>
      <c r="K30" s="52">
        <v>0.34407599999999999</v>
      </c>
      <c r="L30" s="52">
        <v>0.51707499999999995</v>
      </c>
      <c r="M30" s="52">
        <f t="shared" si="2"/>
        <v>0.17299899999999996</v>
      </c>
      <c r="N30" s="94">
        <f t="shared" si="3"/>
        <v>0.66542764589276227</v>
      </c>
      <c r="O30" s="2"/>
      <c r="P30" s="2"/>
      <c r="Q30" s="2"/>
      <c r="R30" s="2"/>
      <c r="S30" s="2"/>
      <c r="T30" s="2"/>
      <c r="U30" s="2"/>
    </row>
    <row r="31" spans="1:21" ht="14.5" thickBot="1" x14ac:dyDescent="0.35">
      <c r="A31" s="70" t="s">
        <v>12</v>
      </c>
      <c r="B31" s="33">
        <v>8</v>
      </c>
      <c r="C31" s="33">
        <v>1</v>
      </c>
      <c r="D31" s="33">
        <v>2048</v>
      </c>
      <c r="E31" s="33">
        <v>8192</v>
      </c>
      <c r="F31" s="90">
        <v>4.1000000000000002E-2</v>
      </c>
      <c r="G31" s="52">
        <v>5.2543599999999996E-2</v>
      </c>
      <c r="H31" s="52">
        <v>8.7161600000000006E-2</v>
      </c>
      <c r="I31" s="82">
        <f t="shared" si="0"/>
        <v>3.461800000000001E-2</v>
      </c>
      <c r="J31" s="94">
        <f t="shared" si="1"/>
        <v>0.60282968646743507</v>
      </c>
      <c r="K31" s="52">
        <v>2.6527800000000001E-2</v>
      </c>
      <c r="L31" s="52">
        <v>5.9692799999999997E-2</v>
      </c>
      <c r="M31" s="52">
        <f t="shared" si="2"/>
        <v>3.3165E-2</v>
      </c>
      <c r="N31" s="94">
        <f t="shared" si="3"/>
        <v>0.44440535541974913</v>
      </c>
      <c r="O31" s="2"/>
      <c r="P31" s="2"/>
      <c r="Q31" s="2"/>
      <c r="R31" s="2"/>
      <c r="S31" s="2"/>
      <c r="T31" s="2"/>
      <c r="U31" s="2"/>
    </row>
    <row r="32" spans="1:21" ht="14.5" thickBot="1" x14ac:dyDescent="0.35">
      <c r="A32" s="70"/>
      <c r="B32" s="33">
        <v>8</v>
      </c>
      <c r="C32" s="33">
        <v>1</v>
      </c>
      <c r="D32" s="33">
        <v>7168</v>
      </c>
      <c r="E32" s="33">
        <v>8192</v>
      </c>
      <c r="F32" s="90">
        <v>0.1</v>
      </c>
      <c r="G32" s="52">
        <v>0.18262300000000001</v>
      </c>
      <c r="H32" s="52">
        <v>0.218752</v>
      </c>
      <c r="I32" s="82">
        <f t="shared" si="0"/>
        <v>3.6128999999999994E-2</v>
      </c>
      <c r="J32" s="94">
        <f t="shared" si="1"/>
        <v>0.83484036717378585</v>
      </c>
      <c r="K32" s="52">
        <v>9.1567300000000004E-2</v>
      </c>
      <c r="L32" s="52">
        <v>0.12334100000000001</v>
      </c>
      <c r="M32" s="52">
        <f t="shared" si="2"/>
        <v>3.1773700000000002E-2</v>
      </c>
      <c r="N32" s="94">
        <f t="shared" si="3"/>
        <v>0.74239141891179738</v>
      </c>
      <c r="O32" s="2"/>
      <c r="P32" s="2"/>
      <c r="Q32" s="2"/>
      <c r="R32" s="2"/>
      <c r="S32" s="2"/>
      <c r="T32" s="2"/>
      <c r="U32" s="2"/>
    </row>
    <row r="33" spans="1:21" ht="14.5" thickBot="1" x14ac:dyDescent="0.35">
      <c r="A33" s="70"/>
      <c r="B33" s="33">
        <v>8</v>
      </c>
      <c r="C33" s="33">
        <v>1</v>
      </c>
      <c r="D33" s="33">
        <v>8192</v>
      </c>
      <c r="E33" s="33">
        <v>32000</v>
      </c>
      <c r="F33" s="90">
        <v>0.56799999999999995</v>
      </c>
      <c r="G33" s="52">
        <v>0.91319700000000004</v>
      </c>
      <c r="H33" s="52">
        <v>1.93388</v>
      </c>
      <c r="I33" s="82">
        <f t="shared" si="0"/>
        <v>1.020683</v>
      </c>
      <c r="J33" s="94">
        <f t="shared" si="1"/>
        <v>0.47220975448321512</v>
      </c>
      <c r="K33" s="52">
        <v>0.45762199999999997</v>
      </c>
      <c r="L33" s="52">
        <v>0.89426600000000001</v>
      </c>
      <c r="M33" s="52">
        <f t="shared" si="2"/>
        <v>0.43664400000000003</v>
      </c>
      <c r="N33" s="94">
        <f t="shared" si="3"/>
        <v>0.51172917230443737</v>
      </c>
      <c r="O33" s="2"/>
      <c r="P33" s="2"/>
      <c r="Q33" s="2"/>
      <c r="R33" s="2"/>
      <c r="S33" s="2"/>
      <c r="T33" s="2"/>
      <c r="U33" s="2"/>
    </row>
    <row r="34" spans="1:21" ht="14.5" thickBot="1" x14ac:dyDescent="0.35">
      <c r="A34" s="70"/>
      <c r="B34" s="33">
        <v>8</v>
      </c>
      <c r="C34" s="33">
        <v>128</v>
      </c>
      <c r="D34" s="33">
        <v>2048</v>
      </c>
      <c r="E34" s="33">
        <v>8192</v>
      </c>
      <c r="F34" s="90">
        <v>0.16700000000000001</v>
      </c>
      <c r="G34" s="52">
        <v>0.19129599999999999</v>
      </c>
      <c r="H34" s="52">
        <v>0.32477499999999998</v>
      </c>
      <c r="I34" s="82">
        <f t="shared" si="0"/>
        <v>0.13347899999999999</v>
      </c>
      <c r="J34" s="94">
        <f t="shared" si="1"/>
        <v>0.58901085366792394</v>
      </c>
      <c r="K34" s="52">
        <v>9.9743799999999994E-2</v>
      </c>
      <c r="L34" s="52">
        <v>0.26284800000000003</v>
      </c>
      <c r="M34" s="52">
        <f t="shared" si="2"/>
        <v>0.16310420000000003</v>
      </c>
      <c r="N34" s="94">
        <f t="shared" si="3"/>
        <v>0.3794733077672266</v>
      </c>
      <c r="O34" s="2"/>
      <c r="P34" s="2"/>
      <c r="Q34" s="2"/>
      <c r="R34" s="2"/>
      <c r="S34" s="2"/>
      <c r="T34" s="2"/>
      <c r="U34" s="2"/>
    </row>
    <row r="35" spans="1:21" ht="14.5" thickBot="1" x14ac:dyDescent="0.35">
      <c r="A35" s="70"/>
      <c r="B35" s="33">
        <v>8</v>
      </c>
      <c r="C35" s="33">
        <v>128</v>
      </c>
      <c r="D35" s="33">
        <v>7168</v>
      </c>
      <c r="E35" s="33">
        <v>8192</v>
      </c>
      <c r="F35" s="90">
        <v>0.46300000000000002</v>
      </c>
      <c r="G35" s="52">
        <v>0.64905500000000005</v>
      </c>
      <c r="H35" s="52">
        <v>0.67388800000000004</v>
      </c>
      <c r="I35" s="82">
        <f t="shared" si="0"/>
        <v>2.4832999999999994E-2</v>
      </c>
      <c r="J35" s="94">
        <f t="shared" si="1"/>
        <v>0.96314966285198733</v>
      </c>
      <c r="K35" s="52">
        <v>0.328623</v>
      </c>
      <c r="L35" s="52">
        <v>0.53226899999999999</v>
      </c>
      <c r="M35" s="52">
        <f t="shared" si="2"/>
        <v>0.20364599999999999</v>
      </c>
      <c r="N35" s="94">
        <f t="shared" si="3"/>
        <v>0.61740022432266395</v>
      </c>
      <c r="O35" s="2"/>
      <c r="P35" s="2"/>
      <c r="Q35" s="2"/>
      <c r="R35" s="2"/>
      <c r="S35" s="2"/>
      <c r="T35" s="2"/>
      <c r="U35" s="2"/>
    </row>
    <row r="36" spans="1:21" ht="14.5" thickBot="1" x14ac:dyDescent="0.35">
      <c r="A36" s="70"/>
      <c r="B36" s="33">
        <v>8</v>
      </c>
      <c r="C36" s="33">
        <v>128</v>
      </c>
      <c r="D36" s="33">
        <v>8192</v>
      </c>
      <c r="E36" s="33">
        <v>32000</v>
      </c>
      <c r="F36" s="90">
        <v>1.954</v>
      </c>
      <c r="G36" s="93">
        <v>1.2060599999999999</v>
      </c>
      <c r="H36" s="52">
        <v>4.9218200000000003</v>
      </c>
      <c r="I36" s="82">
        <f t="shared" si="0"/>
        <v>3.7157600000000004</v>
      </c>
      <c r="J36" s="94">
        <f t="shared" si="1"/>
        <v>0.24504350016863677</v>
      </c>
      <c r="K36" s="52">
        <v>0.61941500000000005</v>
      </c>
      <c r="L36" s="52">
        <v>2.9610300000000001</v>
      </c>
      <c r="M36" s="52">
        <f t="shared" si="2"/>
        <v>2.341615</v>
      </c>
      <c r="N36" s="94">
        <f t="shared" si="3"/>
        <v>0.20918903219487814</v>
      </c>
      <c r="O36" s="2"/>
      <c r="P36" s="2"/>
      <c r="Q36" s="2"/>
      <c r="R36" s="2"/>
      <c r="S36" s="2"/>
      <c r="T36" s="2"/>
      <c r="U36" s="2"/>
    </row>
    <row r="37" spans="1:21" ht="14.5" thickBot="1" x14ac:dyDescent="0.35">
      <c r="A37" s="70"/>
      <c r="B37" s="33">
        <v>8</v>
      </c>
      <c r="C37" s="33">
        <v>511</v>
      </c>
      <c r="D37" s="33">
        <v>2048</v>
      </c>
      <c r="E37" s="33">
        <v>8192</v>
      </c>
      <c r="F37" s="90">
        <v>0.54600000000000004</v>
      </c>
      <c r="G37" s="52">
        <v>0.76518200000000003</v>
      </c>
      <c r="H37" s="52">
        <v>2.07124</v>
      </c>
      <c r="I37" s="82">
        <f t="shared" si="0"/>
        <v>1.3060579999999999</v>
      </c>
      <c r="J37" s="94">
        <f t="shared" si="1"/>
        <v>0.36943183793283252</v>
      </c>
      <c r="K37" s="52">
        <v>0.39897500000000002</v>
      </c>
      <c r="L37" s="52">
        <v>2.0726900000000001</v>
      </c>
      <c r="M37" s="52">
        <f t="shared" si="2"/>
        <v>1.6737150000000001</v>
      </c>
      <c r="N37" s="94">
        <f t="shared" si="3"/>
        <v>0.19249140006465029</v>
      </c>
      <c r="O37" s="2"/>
      <c r="P37" s="2"/>
      <c r="Q37" s="2"/>
      <c r="R37" s="2"/>
      <c r="S37" s="2"/>
      <c r="T37" s="2"/>
      <c r="U37" s="2"/>
    </row>
    <row r="38" spans="1:21" ht="14.5" thickBot="1" x14ac:dyDescent="0.35">
      <c r="A38" s="70"/>
      <c r="B38" s="33">
        <v>8</v>
      </c>
      <c r="C38" s="33">
        <v>511</v>
      </c>
      <c r="D38" s="33">
        <v>7168</v>
      </c>
      <c r="E38" s="33">
        <v>8192</v>
      </c>
      <c r="F38" s="90">
        <v>1.722</v>
      </c>
      <c r="G38" s="93">
        <v>2.5962200000000002</v>
      </c>
      <c r="H38" s="52">
        <v>5.2157299999999998</v>
      </c>
      <c r="I38" s="82">
        <f t="shared" si="0"/>
        <v>2.6195099999999996</v>
      </c>
      <c r="J38" s="94">
        <f t="shared" si="1"/>
        <v>0.49776733074756557</v>
      </c>
      <c r="K38" s="52">
        <v>1.3144899999999999</v>
      </c>
      <c r="L38" s="52">
        <v>4.9890499999999998</v>
      </c>
      <c r="M38" s="52">
        <f t="shared" si="2"/>
        <v>3.6745599999999996</v>
      </c>
      <c r="N38" s="94">
        <f t="shared" si="3"/>
        <v>0.26347501027249676</v>
      </c>
      <c r="O38" s="2"/>
      <c r="P38" s="2"/>
      <c r="Q38" s="2"/>
      <c r="R38" s="2"/>
      <c r="S38" s="2"/>
      <c r="T38" s="2"/>
      <c r="U38" s="2"/>
    </row>
    <row r="39" spans="1:21" ht="14.5" thickBot="1" x14ac:dyDescent="0.35">
      <c r="A39" s="70"/>
      <c r="B39" s="33">
        <v>8</v>
      </c>
      <c r="C39" s="33">
        <v>511</v>
      </c>
      <c r="D39" s="33">
        <v>8192</v>
      </c>
      <c r="E39" s="33">
        <v>32000</v>
      </c>
      <c r="F39" s="90">
        <v>7.3769999999999998</v>
      </c>
      <c r="G39" s="93">
        <v>2.14323</v>
      </c>
      <c r="H39" s="52">
        <v>15.381399999999999</v>
      </c>
      <c r="I39" s="82">
        <f t="shared" si="0"/>
        <v>13.23817</v>
      </c>
      <c r="J39" s="94">
        <f t="shared" si="1"/>
        <v>0.13933907186602001</v>
      </c>
      <c r="K39" s="52">
        <v>1.1371500000000001</v>
      </c>
      <c r="L39" s="52">
        <v>19.4147</v>
      </c>
      <c r="M39" s="52">
        <f t="shared" si="2"/>
        <v>18.277549999999998</v>
      </c>
      <c r="N39" s="94">
        <f t="shared" si="3"/>
        <v>5.8571597809906929E-2</v>
      </c>
      <c r="O39" s="2"/>
      <c r="P39" s="2"/>
      <c r="Q39" s="2"/>
      <c r="R39" s="2"/>
      <c r="S39" s="2"/>
      <c r="T39" s="2"/>
      <c r="U39" s="2"/>
    </row>
    <row r="40" spans="1:21" ht="14.5" thickBot="1" x14ac:dyDescent="0.35">
      <c r="A40" s="71" t="s">
        <v>13</v>
      </c>
      <c r="B40" s="31">
        <v>16</v>
      </c>
      <c r="C40" s="31">
        <v>1</v>
      </c>
      <c r="D40" s="31">
        <v>5120</v>
      </c>
      <c r="E40" s="31">
        <v>5120</v>
      </c>
      <c r="F40" s="90">
        <v>5.8999999999999997E-2</v>
      </c>
      <c r="G40" s="52">
        <v>8.5715399999999997E-2</v>
      </c>
      <c r="H40" s="52">
        <v>0.117702</v>
      </c>
      <c r="I40" s="82">
        <f t="shared" si="0"/>
        <v>3.1986600000000004E-2</v>
      </c>
      <c r="J40" s="94">
        <f t="shared" si="1"/>
        <v>0.72824081154101028</v>
      </c>
      <c r="K40" s="52">
        <v>4.3017699999999999E-2</v>
      </c>
      <c r="L40" s="52">
        <v>7.6319999999999999E-2</v>
      </c>
      <c r="M40" s="52">
        <f t="shared" si="2"/>
        <v>3.33023E-2</v>
      </c>
      <c r="N40" s="94">
        <f t="shared" si="3"/>
        <v>0.56364910901467502</v>
      </c>
      <c r="O40" s="2"/>
      <c r="P40" s="2"/>
      <c r="Q40" s="2"/>
      <c r="R40" s="2"/>
      <c r="S40" s="2"/>
      <c r="T40" s="2"/>
      <c r="U40" s="2"/>
    </row>
    <row r="41" spans="1:21" ht="14.5" thickBot="1" x14ac:dyDescent="0.35">
      <c r="A41" s="71"/>
      <c r="B41" s="31">
        <v>16</v>
      </c>
      <c r="C41" s="31">
        <v>1</v>
      </c>
      <c r="D41" s="31">
        <v>5120</v>
      </c>
      <c r="E41" s="31">
        <v>32000</v>
      </c>
      <c r="F41" s="90">
        <v>0.26600000000000001</v>
      </c>
      <c r="G41" s="52">
        <v>0.57151600000000002</v>
      </c>
      <c r="H41" s="52">
        <v>1.4599899999999999</v>
      </c>
      <c r="I41" s="82">
        <f t="shared" si="0"/>
        <v>0.88847399999999987</v>
      </c>
      <c r="J41" s="94">
        <f t="shared" si="1"/>
        <v>0.39145199624654969</v>
      </c>
      <c r="K41" s="52">
        <v>0.28678199999999998</v>
      </c>
      <c r="L41" s="52">
        <v>0.78400000000000003</v>
      </c>
      <c r="M41" s="52">
        <f t="shared" si="2"/>
        <v>0.49721800000000005</v>
      </c>
      <c r="N41" s="94">
        <f t="shared" si="3"/>
        <v>0.36579336734693874</v>
      </c>
      <c r="O41" s="2"/>
      <c r="P41" s="2"/>
      <c r="Q41" s="2"/>
      <c r="R41" s="2"/>
      <c r="S41" s="2"/>
      <c r="T41" s="2"/>
      <c r="U41" s="2"/>
    </row>
    <row r="42" spans="1:21" ht="14.5" thickBot="1" x14ac:dyDescent="0.35">
      <c r="A42" s="71"/>
      <c r="B42" s="31">
        <v>16</v>
      </c>
      <c r="C42" s="31">
        <v>1</v>
      </c>
      <c r="D42" s="31">
        <v>13824</v>
      </c>
      <c r="E42" s="31">
        <v>5120</v>
      </c>
      <c r="F42" s="90">
        <v>0.123</v>
      </c>
      <c r="G42" s="52">
        <v>0.23088800000000001</v>
      </c>
      <c r="H42" s="52">
        <v>0.26513900000000001</v>
      </c>
      <c r="I42" s="82">
        <f t="shared" si="0"/>
        <v>3.4251000000000004E-2</v>
      </c>
      <c r="J42" s="94">
        <f t="shared" si="1"/>
        <v>0.87081870264276473</v>
      </c>
      <c r="K42" s="52">
        <v>0.115604</v>
      </c>
      <c r="L42" s="52">
        <v>0.150451</v>
      </c>
      <c r="M42" s="52">
        <f t="shared" si="2"/>
        <v>3.4847000000000003E-2</v>
      </c>
      <c r="N42" s="94">
        <f t="shared" si="3"/>
        <v>0.76838306159480496</v>
      </c>
      <c r="O42" s="2"/>
      <c r="P42" s="2"/>
      <c r="Q42" s="2"/>
      <c r="R42" s="2"/>
      <c r="S42" s="2"/>
      <c r="T42" s="2"/>
      <c r="U42" s="2"/>
    </row>
    <row r="43" spans="1:21" ht="14.5" thickBot="1" x14ac:dyDescent="0.35">
      <c r="A43" s="71"/>
      <c r="B43" s="31">
        <v>16</v>
      </c>
      <c r="C43" s="31">
        <v>96</v>
      </c>
      <c r="D43" s="31">
        <v>5120</v>
      </c>
      <c r="E43" s="31">
        <v>5120</v>
      </c>
      <c r="F43" s="90">
        <v>0.30499999999999999</v>
      </c>
      <c r="G43" s="52">
        <v>0.57236900000000002</v>
      </c>
      <c r="H43" s="52">
        <v>0.69598700000000002</v>
      </c>
      <c r="I43" s="82">
        <f t="shared" si="0"/>
        <v>0.12361800000000001</v>
      </c>
      <c r="J43" s="94">
        <f t="shared" si="1"/>
        <v>0.82238461350571201</v>
      </c>
      <c r="K43" s="52">
        <v>0.29002499999999998</v>
      </c>
      <c r="L43" s="52">
        <v>0.683782</v>
      </c>
      <c r="M43" s="52">
        <f t="shared" si="2"/>
        <v>0.39375700000000002</v>
      </c>
      <c r="N43" s="94">
        <f t="shared" si="3"/>
        <v>0.42414833967551058</v>
      </c>
      <c r="O43" s="2"/>
      <c r="P43" s="2"/>
      <c r="Q43" s="2"/>
      <c r="R43" s="2"/>
      <c r="S43" s="2"/>
      <c r="T43" s="2"/>
      <c r="U43" s="2"/>
    </row>
    <row r="44" spans="1:21" ht="14.5" thickBot="1" x14ac:dyDescent="0.35">
      <c r="A44" s="71"/>
      <c r="B44" s="31">
        <v>16</v>
      </c>
      <c r="C44" s="31">
        <v>96</v>
      </c>
      <c r="D44" s="31">
        <v>5120</v>
      </c>
      <c r="E44" s="31">
        <v>32000</v>
      </c>
      <c r="F44" s="90">
        <v>1.746</v>
      </c>
      <c r="G44" s="52">
        <v>0.869842</v>
      </c>
      <c r="H44" s="52">
        <v>5.1092300000000002</v>
      </c>
      <c r="I44" s="82">
        <f t="shared" si="0"/>
        <v>4.2393879999999999</v>
      </c>
      <c r="J44" s="94">
        <f t="shared" si="1"/>
        <v>0.17024913734554914</v>
      </c>
      <c r="K44" s="52">
        <v>0.45949699999999999</v>
      </c>
      <c r="L44" s="52">
        <v>3.6015100000000002</v>
      </c>
      <c r="M44" s="52">
        <f t="shared" si="2"/>
        <v>3.1420130000000004</v>
      </c>
      <c r="N44" s="94">
        <f t="shared" si="3"/>
        <v>0.12758454092866603</v>
      </c>
      <c r="O44" s="2"/>
      <c r="P44" s="2"/>
      <c r="Q44" s="2"/>
      <c r="R44" s="2"/>
      <c r="S44" s="2"/>
      <c r="T44" s="2"/>
      <c r="U44" s="2"/>
    </row>
    <row r="45" spans="1:21" ht="14.5" thickBot="1" x14ac:dyDescent="0.35">
      <c r="A45" s="71"/>
      <c r="B45" s="31">
        <v>16</v>
      </c>
      <c r="C45" s="31">
        <v>96</v>
      </c>
      <c r="D45" s="31">
        <v>13824</v>
      </c>
      <c r="E45" s="31">
        <v>5120</v>
      </c>
      <c r="F45" s="90">
        <v>0.81100000000000005</v>
      </c>
      <c r="G45" s="93">
        <v>1.53234</v>
      </c>
      <c r="H45" s="52">
        <v>1.5492999999999999</v>
      </c>
      <c r="I45" s="82">
        <f t="shared" si="0"/>
        <v>1.6959999999999864E-2</v>
      </c>
      <c r="J45" s="94">
        <f t="shared" si="1"/>
        <v>0.98905312076421614</v>
      </c>
      <c r="K45" s="52">
        <v>0.770011</v>
      </c>
      <c r="L45" s="52">
        <v>1.47105</v>
      </c>
      <c r="M45" s="52">
        <f t="shared" si="2"/>
        <v>0.70103899999999997</v>
      </c>
      <c r="N45" s="94">
        <f t="shared" si="3"/>
        <v>0.52344311886067774</v>
      </c>
      <c r="O45" s="2"/>
      <c r="P45" s="2"/>
      <c r="Q45" s="2"/>
      <c r="R45" s="2"/>
      <c r="S45" s="2"/>
      <c r="T45" s="2"/>
      <c r="U45" s="2"/>
    </row>
    <row r="46" spans="1:21" ht="14.5" thickBot="1" x14ac:dyDescent="0.35">
      <c r="A46" s="71"/>
      <c r="B46" s="31">
        <v>16</v>
      </c>
      <c r="C46" s="31">
        <v>511</v>
      </c>
      <c r="D46" s="31">
        <v>5120</v>
      </c>
      <c r="E46" s="31">
        <v>5120</v>
      </c>
      <c r="F46" s="90">
        <v>1.5169999999999999</v>
      </c>
      <c r="G46" s="93">
        <v>2.8540399999999999</v>
      </c>
      <c r="H46" s="52">
        <v>5.6585999999999999</v>
      </c>
      <c r="I46" s="82">
        <f t="shared" si="0"/>
        <v>2.8045599999999999</v>
      </c>
      <c r="J46" s="94">
        <f t="shared" si="1"/>
        <v>0.50437210617467221</v>
      </c>
      <c r="K46" s="52">
        <v>1.4475</v>
      </c>
      <c r="L46" s="52">
        <v>5.3190999999999997</v>
      </c>
      <c r="M46" s="52">
        <f t="shared" si="2"/>
        <v>3.8715999999999999</v>
      </c>
      <c r="N46" s="94">
        <f t="shared" si="3"/>
        <v>0.27213250361903329</v>
      </c>
      <c r="O46" s="2"/>
      <c r="P46" s="2"/>
      <c r="Q46" s="2"/>
      <c r="R46" s="2"/>
      <c r="S46" s="2"/>
      <c r="T46" s="2"/>
      <c r="U46" s="2"/>
    </row>
    <row r="47" spans="1:21" ht="14.5" thickBot="1" x14ac:dyDescent="0.35">
      <c r="A47" s="71"/>
      <c r="B47" s="31">
        <v>16</v>
      </c>
      <c r="C47" s="31">
        <v>511</v>
      </c>
      <c r="D47" s="31">
        <v>5120</v>
      </c>
      <c r="E47" s="31">
        <v>32000</v>
      </c>
      <c r="F47" s="90">
        <v>9.2479999999999993</v>
      </c>
      <c r="G47" s="93">
        <v>2.2187899999999998</v>
      </c>
      <c r="H47" s="52">
        <v>23.8934</v>
      </c>
      <c r="I47" s="82">
        <f t="shared" si="0"/>
        <v>21.674610000000001</v>
      </c>
      <c r="J47" s="94">
        <f t="shared" si="1"/>
        <v>9.2862045585810307E-2</v>
      </c>
      <c r="K47" s="52">
        <v>1.24047</v>
      </c>
      <c r="L47" s="52">
        <v>34.787799999999997</v>
      </c>
      <c r="M47" s="52">
        <f t="shared" si="2"/>
        <v>33.547329999999995</v>
      </c>
      <c r="N47" s="94">
        <f t="shared" si="3"/>
        <v>3.5658190515065628E-2</v>
      </c>
      <c r="O47" s="2"/>
      <c r="P47" s="2"/>
      <c r="Q47" s="2"/>
      <c r="R47" s="2"/>
      <c r="S47" s="2"/>
      <c r="T47" s="2"/>
      <c r="U47" s="2"/>
    </row>
    <row r="48" spans="1:21" ht="14.5" thickBot="1" x14ac:dyDescent="0.35">
      <c r="A48" s="71"/>
      <c r="B48" s="31">
        <v>16</v>
      </c>
      <c r="C48" s="31">
        <v>511</v>
      </c>
      <c r="D48" s="31">
        <v>13824</v>
      </c>
      <c r="E48" s="31">
        <v>5120</v>
      </c>
      <c r="F48" s="90">
        <v>3.9409999999999998</v>
      </c>
      <c r="G48" s="93">
        <v>7.6362800000000002</v>
      </c>
      <c r="H48" s="52">
        <v>13.0587</v>
      </c>
      <c r="I48" s="82">
        <f t="shared" si="0"/>
        <v>5.4224199999999998</v>
      </c>
      <c r="J48" s="94">
        <f t="shared" si="1"/>
        <v>0.58476571174772374</v>
      </c>
      <c r="K48" s="52">
        <v>3.8386200000000001</v>
      </c>
      <c r="L48" s="52">
        <v>11.979200000000001</v>
      </c>
      <c r="M48" s="52">
        <f t="shared" si="2"/>
        <v>8.1405799999999999</v>
      </c>
      <c r="N48" s="94">
        <f t="shared" si="3"/>
        <v>0.32044043007880324</v>
      </c>
      <c r="O48" s="2"/>
      <c r="P48" s="2"/>
      <c r="Q48" s="2"/>
      <c r="R48" s="2"/>
      <c r="S48" s="2"/>
      <c r="T48" s="2"/>
      <c r="U48" s="2"/>
    </row>
    <row r="49" spans="1:21" ht="14.5" thickBot="1" x14ac:dyDescent="0.35">
      <c r="A49" s="71"/>
      <c r="B49" s="31">
        <v>16</v>
      </c>
      <c r="C49" s="31">
        <v>1024</v>
      </c>
      <c r="D49" s="31">
        <v>5120</v>
      </c>
      <c r="E49" s="31">
        <v>5120</v>
      </c>
      <c r="F49" s="90">
        <v>3.0219999999999998</v>
      </c>
      <c r="G49" s="93">
        <v>5.7080900000000003</v>
      </c>
      <c r="H49" s="52">
        <v>12.9018</v>
      </c>
      <c r="I49" s="82">
        <f t="shared" si="0"/>
        <v>7.1937099999999994</v>
      </c>
      <c r="J49" s="94">
        <f t="shared" si="1"/>
        <v>0.44242586305786791</v>
      </c>
      <c r="K49" s="52">
        <v>2.895</v>
      </c>
      <c r="L49" s="52">
        <v>12.5694</v>
      </c>
      <c r="M49" s="52">
        <f t="shared" si="2"/>
        <v>9.6744000000000003</v>
      </c>
      <c r="N49" s="94">
        <f t="shared" si="3"/>
        <v>0.23032125638455297</v>
      </c>
      <c r="O49" s="2"/>
      <c r="P49" s="2"/>
      <c r="Q49" s="2"/>
      <c r="R49" s="2"/>
      <c r="S49" s="2"/>
      <c r="T49" s="2"/>
      <c r="U49" s="2"/>
    </row>
    <row r="50" spans="1:21" ht="14.5" thickBot="1" x14ac:dyDescent="0.35">
      <c r="A50" s="71"/>
      <c r="B50" s="31">
        <v>16</v>
      </c>
      <c r="C50" s="31">
        <v>1024</v>
      </c>
      <c r="D50" s="31">
        <v>5120</v>
      </c>
      <c r="E50" s="31">
        <v>32000</v>
      </c>
      <c r="F50" s="90">
        <v>18.366</v>
      </c>
      <c r="G50" s="93">
        <v>3.8790399999999998</v>
      </c>
      <c r="H50" s="52">
        <v>47.235199999999999</v>
      </c>
      <c r="I50" s="82">
        <f t="shared" si="0"/>
        <v>43.356160000000003</v>
      </c>
      <c r="J50" s="94">
        <f t="shared" si="1"/>
        <v>8.2121807465618854E-2</v>
      </c>
      <c r="K50" s="52">
        <v>2.20166</v>
      </c>
      <c r="L50" s="52">
        <v>70.671199999999999</v>
      </c>
      <c r="M50" s="52">
        <f t="shared" si="2"/>
        <v>68.469539999999995</v>
      </c>
      <c r="N50" s="94">
        <f t="shared" si="3"/>
        <v>3.1153567506990117E-2</v>
      </c>
      <c r="O50" s="2"/>
      <c r="P50" s="2"/>
      <c r="Q50" s="2"/>
      <c r="R50" s="2"/>
      <c r="S50" s="2"/>
      <c r="T50" s="2"/>
      <c r="U50" s="2"/>
    </row>
    <row r="51" spans="1:21" ht="14.5" thickBot="1" x14ac:dyDescent="0.35">
      <c r="A51" s="71"/>
      <c r="B51" s="31">
        <v>16</v>
      </c>
      <c r="C51" s="31">
        <v>1024</v>
      </c>
      <c r="D51" s="31">
        <v>13824</v>
      </c>
      <c r="E51" s="31">
        <v>5120</v>
      </c>
      <c r="F51" s="90">
        <v>7.8659999999999997</v>
      </c>
      <c r="G51" s="93">
        <v>15.272600000000001</v>
      </c>
      <c r="H51" s="52">
        <v>29.2349</v>
      </c>
      <c r="I51" s="82">
        <f t="shared" si="0"/>
        <v>13.962299999999999</v>
      </c>
      <c r="J51" s="94">
        <f t="shared" si="1"/>
        <v>0.52240985944880947</v>
      </c>
      <c r="K51" s="52">
        <v>7.6772400000000003</v>
      </c>
      <c r="L51" s="52">
        <v>27.712</v>
      </c>
      <c r="M51" s="52">
        <f t="shared" si="2"/>
        <v>20.034759999999999</v>
      </c>
      <c r="N51" s="94">
        <f t="shared" si="3"/>
        <v>0.27703666281755196</v>
      </c>
      <c r="O51" s="2"/>
      <c r="P51" s="2"/>
      <c r="Q51" s="2"/>
      <c r="R51" s="2"/>
      <c r="S51" s="2"/>
      <c r="T51" s="2"/>
      <c r="U51" s="2"/>
    </row>
    <row r="52" spans="1:21" ht="14.5" thickBot="1" x14ac:dyDescent="0.35">
      <c r="A52" s="72" t="s">
        <v>15</v>
      </c>
      <c r="B52" s="35">
        <v>16</v>
      </c>
      <c r="C52" s="35">
        <v>1</v>
      </c>
      <c r="D52" s="35">
        <v>2560</v>
      </c>
      <c r="E52" s="35">
        <v>5120</v>
      </c>
      <c r="F52" s="90">
        <v>3.1E-2</v>
      </c>
      <c r="G52" s="52">
        <v>4.3017699999999999E-2</v>
      </c>
      <c r="H52" s="52">
        <v>7.3350499999999999E-2</v>
      </c>
      <c r="I52" s="82">
        <f t="shared" si="0"/>
        <v>3.03328E-2</v>
      </c>
      <c r="J52" s="94">
        <f t="shared" si="1"/>
        <v>0.58646771323985525</v>
      </c>
      <c r="K52" s="52">
        <v>2.1668799999999998E-2</v>
      </c>
      <c r="L52" s="52">
        <v>5.4316799999999998E-2</v>
      </c>
      <c r="M52" s="52">
        <f t="shared" si="2"/>
        <v>3.2647999999999996E-2</v>
      </c>
      <c r="N52" s="94">
        <f t="shared" si="3"/>
        <v>0.39893366324967594</v>
      </c>
      <c r="O52" s="2"/>
      <c r="P52" s="2"/>
      <c r="Q52" s="2"/>
      <c r="R52" s="2"/>
      <c r="S52" s="2"/>
      <c r="T52" s="2"/>
      <c r="U52" s="2"/>
    </row>
    <row r="53" spans="1:21" ht="14.5" thickBot="1" x14ac:dyDescent="0.35">
      <c r="A53" s="72"/>
      <c r="B53" s="35">
        <v>16</v>
      </c>
      <c r="C53" s="35">
        <v>1</v>
      </c>
      <c r="D53" s="35">
        <v>6912</v>
      </c>
      <c r="E53" s="35">
        <v>5120</v>
      </c>
      <c r="F53" s="90">
        <v>7.4999999999999997E-2</v>
      </c>
      <c r="G53" s="52">
        <v>0.115604</v>
      </c>
      <c r="H53" s="52">
        <v>0.14816699999999999</v>
      </c>
      <c r="I53" s="82">
        <f t="shared" si="0"/>
        <v>3.2562999999999995E-2</v>
      </c>
      <c r="J53" s="94">
        <f t="shared" si="1"/>
        <v>0.78022771602313612</v>
      </c>
      <c r="K53" s="52">
        <v>5.7961899999999997E-2</v>
      </c>
      <c r="L53" s="52">
        <v>9.2076900000000003E-2</v>
      </c>
      <c r="M53" s="52">
        <f t="shared" si="2"/>
        <v>3.4115000000000006E-2</v>
      </c>
      <c r="N53" s="94">
        <f t="shared" si="3"/>
        <v>0.62949447689920046</v>
      </c>
      <c r="O53" s="2"/>
      <c r="P53" s="2"/>
      <c r="Q53" s="2"/>
      <c r="R53" s="2"/>
      <c r="S53" s="2"/>
      <c r="T53" s="2"/>
      <c r="U53" s="2"/>
    </row>
    <row r="54" spans="1:21" ht="14.5" thickBot="1" x14ac:dyDescent="0.35">
      <c r="A54" s="72"/>
      <c r="B54" s="35">
        <v>16</v>
      </c>
      <c r="C54" s="35">
        <v>96</v>
      </c>
      <c r="D54" s="35">
        <v>2560</v>
      </c>
      <c r="E54" s="35">
        <v>5120</v>
      </c>
      <c r="F54" s="90">
        <v>0.16600000000000001</v>
      </c>
      <c r="G54" s="52">
        <v>0.29002499999999998</v>
      </c>
      <c r="H54" s="52">
        <v>0.37475799999999998</v>
      </c>
      <c r="I54" s="82">
        <f t="shared" si="0"/>
        <v>8.4733000000000003E-2</v>
      </c>
      <c r="J54" s="94">
        <f t="shared" si="1"/>
        <v>0.77389942309437021</v>
      </c>
      <c r="K54" s="52">
        <v>0.14885200000000001</v>
      </c>
      <c r="L54" s="52">
        <v>0.36464600000000003</v>
      </c>
      <c r="M54" s="52">
        <f t="shared" si="2"/>
        <v>0.21579400000000001</v>
      </c>
      <c r="N54" s="94">
        <f t="shared" si="3"/>
        <v>0.40820960602886086</v>
      </c>
      <c r="O54" s="2"/>
      <c r="P54" s="2"/>
      <c r="Q54" s="2"/>
      <c r="R54" s="2"/>
      <c r="S54" s="2"/>
      <c r="T54" s="2"/>
      <c r="U54" s="2"/>
    </row>
    <row r="55" spans="1:21" ht="14.5" thickBot="1" x14ac:dyDescent="0.35">
      <c r="A55" s="72"/>
      <c r="B55" s="35">
        <v>16</v>
      </c>
      <c r="C55" s="35">
        <v>96</v>
      </c>
      <c r="D55" s="35">
        <v>6912</v>
      </c>
      <c r="E55" s="35">
        <v>5120</v>
      </c>
      <c r="F55" s="90">
        <v>0.42699999999999999</v>
      </c>
      <c r="G55" s="52">
        <v>0.770011</v>
      </c>
      <c r="H55" s="52">
        <v>0.808064</v>
      </c>
      <c r="I55" s="82">
        <f t="shared" si="0"/>
        <v>3.8053000000000003E-2</v>
      </c>
      <c r="J55" s="94">
        <f t="shared" si="1"/>
        <v>0.95290843299540628</v>
      </c>
      <c r="K55" s="52">
        <v>0.388845</v>
      </c>
      <c r="L55" s="52">
        <v>0.75667799999999996</v>
      </c>
      <c r="M55" s="52">
        <f t="shared" si="2"/>
        <v>0.36783299999999997</v>
      </c>
      <c r="N55" s="94">
        <f t="shared" si="3"/>
        <v>0.51388437353801752</v>
      </c>
      <c r="O55" s="2"/>
      <c r="P55" s="2"/>
      <c r="Q55" s="2"/>
      <c r="R55" s="2"/>
      <c r="S55" s="2"/>
      <c r="T55" s="2"/>
      <c r="U55" s="2"/>
    </row>
    <row r="56" spans="1:21" ht="14.5" thickBot="1" x14ac:dyDescent="0.35">
      <c r="A56" s="72"/>
      <c r="B56" s="35">
        <v>16</v>
      </c>
      <c r="C56" s="35">
        <v>511</v>
      </c>
      <c r="D56" s="35">
        <v>2560</v>
      </c>
      <c r="E56" s="35">
        <v>5120</v>
      </c>
      <c r="F56" s="90">
        <v>0.78100000000000003</v>
      </c>
      <c r="G56" s="93">
        <v>1.4475</v>
      </c>
      <c r="H56" s="52">
        <v>2.6519900000000001</v>
      </c>
      <c r="I56" s="82">
        <f t="shared" si="0"/>
        <v>1.2044900000000001</v>
      </c>
      <c r="J56" s="94">
        <f t="shared" si="1"/>
        <v>0.54581653776975025</v>
      </c>
      <c r="K56" s="52">
        <v>0.74423099999999998</v>
      </c>
      <c r="L56" s="52">
        <v>2.4210600000000002</v>
      </c>
      <c r="M56" s="52">
        <f t="shared" si="2"/>
        <v>1.6768290000000001</v>
      </c>
      <c r="N56" s="94">
        <f t="shared" si="3"/>
        <v>0.30739882530792295</v>
      </c>
      <c r="O56" s="2"/>
      <c r="P56" s="2"/>
      <c r="Q56" s="2"/>
      <c r="R56" s="2"/>
      <c r="S56" s="2"/>
      <c r="T56" s="2"/>
      <c r="U56" s="2"/>
    </row>
    <row r="57" spans="1:21" ht="14.5" thickBot="1" x14ac:dyDescent="0.35">
      <c r="A57" s="72"/>
      <c r="B57" s="35">
        <v>16</v>
      </c>
      <c r="C57" s="35">
        <v>511</v>
      </c>
      <c r="D57" s="35">
        <v>6912</v>
      </c>
      <c r="E57" s="35">
        <v>5120</v>
      </c>
      <c r="F57" s="90">
        <v>2.0299999999999998</v>
      </c>
      <c r="G57" s="93">
        <v>3.8386200000000001</v>
      </c>
      <c r="H57" s="52">
        <v>6.4314</v>
      </c>
      <c r="I57" s="82">
        <f t="shared" si="0"/>
        <v>2.5927799999999999</v>
      </c>
      <c r="J57" s="94">
        <f t="shared" si="1"/>
        <v>0.59685605000466468</v>
      </c>
      <c r="K57" s="52">
        <v>1.9397899999999999</v>
      </c>
      <c r="L57" s="52">
        <v>5.8248600000000001</v>
      </c>
      <c r="M57" s="52">
        <f t="shared" si="2"/>
        <v>3.8850700000000002</v>
      </c>
      <c r="N57" s="94">
        <f t="shared" si="3"/>
        <v>0.33301916269232218</v>
      </c>
      <c r="O57" s="2"/>
      <c r="P57" s="2"/>
      <c r="Q57" s="2"/>
      <c r="R57" s="2"/>
      <c r="S57" s="2"/>
      <c r="T57" s="2"/>
      <c r="U57" s="2"/>
    </row>
    <row r="58" spans="1:21" ht="14.5" thickBot="1" x14ac:dyDescent="0.35">
      <c r="A58" s="72"/>
      <c r="B58" s="35">
        <v>16</v>
      </c>
      <c r="C58" s="35">
        <v>1024</v>
      </c>
      <c r="D58" s="35">
        <v>2560</v>
      </c>
      <c r="E58" s="35">
        <v>5120</v>
      </c>
      <c r="F58" s="90">
        <v>1.5569999999999999</v>
      </c>
      <c r="G58" s="93">
        <v>2.895</v>
      </c>
      <c r="H58" s="52">
        <v>6.0148700000000002</v>
      </c>
      <c r="I58" s="82">
        <f t="shared" si="0"/>
        <v>3.1198700000000001</v>
      </c>
      <c r="J58" s="94">
        <f t="shared" si="1"/>
        <v>0.48130716042075722</v>
      </c>
      <c r="K58" s="52">
        <v>1.4884599999999999</v>
      </c>
      <c r="L58" s="52">
        <v>5.6792100000000003</v>
      </c>
      <c r="M58" s="52">
        <f t="shared" si="2"/>
        <v>4.1907500000000004</v>
      </c>
      <c r="N58" s="94">
        <f t="shared" si="3"/>
        <v>0.26208926945825206</v>
      </c>
      <c r="O58" s="2"/>
      <c r="P58" s="2"/>
      <c r="Q58" s="2"/>
      <c r="R58" s="2"/>
      <c r="S58" s="2"/>
      <c r="T58" s="2"/>
      <c r="U58" s="2"/>
    </row>
    <row r="59" spans="1:21" ht="14.5" thickBot="1" x14ac:dyDescent="0.35">
      <c r="A59" s="72"/>
      <c r="B59" s="35">
        <v>16</v>
      </c>
      <c r="C59" s="35">
        <v>1024</v>
      </c>
      <c r="D59" s="35">
        <v>6912</v>
      </c>
      <c r="E59" s="35">
        <v>5120</v>
      </c>
      <c r="F59" s="90">
        <v>3.9969999999999999</v>
      </c>
      <c r="G59" s="93">
        <v>7.6772400000000003</v>
      </c>
      <c r="H59" s="52">
        <v>14.3476</v>
      </c>
      <c r="I59" s="82">
        <f t="shared" si="0"/>
        <v>6.6703599999999996</v>
      </c>
      <c r="J59" s="94">
        <f t="shared" si="1"/>
        <v>0.53508879533859321</v>
      </c>
      <c r="K59" s="52">
        <v>3.8795799999999998</v>
      </c>
      <c r="L59" s="52">
        <v>13.4382</v>
      </c>
      <c r="M59" s="52">
        <f t="shared" si="2"/>
        <v>9.5586200000000012</v>
      </c>
      <c r="N59" s="94">
        <f t="shared" si="3"/>
        <v>0.28869789108660382</v>
      </c>
      <c r="O59" s="2"/>
      <c r="P59" s="2"/>
      <c r="Q59" s="2"/>
      <c r="R59" s="2"/>
      <c r="S59" s="2"/>
      <c r="T59" s="2"/>
      <c r="U59" s="2"/>
    </row>
    <row r="60" spans="1:21" ht="14.5" thickBot="1" x14ac:dyDescent="0.35">
      <c r="A60" s="65" t="s">
        <v>14</v>
      </c>
      <c r="B60" s="5">
        <v>20</v>
      </c>
      <c r="C60" s="5">
        <v>1</v>
      </c>
      <c r="D60" s="5">
        <v>2560</v>
      </c>
      <c r="E60" s="5">
        <v>5120</v>
      </c>
      <c r="F60" s="90">
        <v>3.1E-2</v>
      </c>
      <c r="G60" s="52">
        <v>4.3017699999999999E-2</v>
      </c>
      <c r="H60" s="52">
        <v>7.392E-2</v>
      </c>
      <c r="I60" s="82">
        <f t="shared" si="0"/>
        <v>3.0902300000000001E-2</v>
      </c>
      <c r="J60" s="94">
        <f t="shared" si="1"/>
        <v>0.58194940476190471</v>
      </c>
      <c r="K60" s="52">
        <v>2.1668799999999998E-2</v>
      </c>
      <c r="L60" s="52">
        <v>5.3273599999999997E-2</v>
      </c>
      <c r="M60" s="52">
        <f t="shared" si="2"/>
        <v>3.1604800000000002E-2</v>
      </c>
      <c r="N60" s="94">
        <f t="shared" si="3"/>
        <v>0.40674555502162418</v>
      </c>
      <c r="O60" s="2"/>
      <c r="P60" s="2"/>
      <c r="Q60" s="2"/>
      <c r="R60" s="2"/>
      <c r="S60" s="2"/>
      <c r="T60" s="2"/>
      <c r="U60" s="2"/>
    </row>
    <row r="61" spans="1:21" ht="14.5" thickBot="1" x14ac:dyDescent="0.35">
      <c r="A61" s="65"/>
      <c r="B61" s="5">
        <v>20</v>
      </c>
      <c r="C61" s="5">
        <v>1</v>
      </c>
      <c r="D61" s="5">
        <v>6848</v>
      </c>
      <c r="E61" s="5">
        <v>5120</v>
      </c>
      <c r="F61" s="90">
        <v>7.0999999999999994E-2</v>
      </c>
      <c r="G61" s="52">
        <v>0.115604</v>
      </c>
      <c r="H61" s="52">
        <v>0.14917800000000001</v>
      </c>
      <c r="I61" s="82">
        <f t="shared" si="0"/>
        <v>3.3574000000000007E-2</v>
      </c>
      <c r="J61" s="94">
        <f t="shared" si="1"/>
        <v>0.7749400045583128</v>
      </c>
      <c r="K61" s="52">
        <v>5.7961899999999997E-2</v>
      </c>
      <c r="L61" s="52">
        <v>9.3478400000000003E-2</v>
      </c>
      <c r="M61" s="52">
        <f t="shared" si="2"/>
        <v>3.5516500000000006E-2</v>
      </c>
      <c r="N61" s="94">
        <f t="shared" si="3"/>
        <v>0.6200566120087635</v>
      </c>
      <c r="O61" s="2"/>
      <c r="P61" s="2"/>
      <c r="Q61" s="2"/>
      <c r="R61" s="2"/>
      <c r="S61" s="2"/>
      <c r="T61" s="2"/>
      <c r="U61" s="2"/>
    </row>
    <row r="62" spans="1:21" ht="14.5" thickBot="1" x14ac:dyDescent="0.35">
      <c r="A62" s="65"/>
      <c r="B62" s="5">
        <v>20</v>
      </c>
      <c r="C62" s="5">
        <v>1</v>
      </c>
      <c r="D62" s="5">
        <v>5120</v>
      </c>
      <c r="E62" s="5">
        <v>64000</v>
      </c>
      <c r="F62" s="90">
        <v>0.48299999999999998</v>
      </c>
      <c r="G62" s="93">
        <v>1.11459</v>
      </c>
      <c r="H62" s="52">
        <v>2.8884099999999999</v>
      </c>
      <c r="I62" s="82">
        <f t="shared" si="0"/>
        <v>1.77382</v>
      </c>
      <c r="J62" s="94">
        <f t="shared" si="1"/>
        <v>0.38588358300933734</v>
      </c>
      <c r="K62" s="52">
        <v>0.55931200000000003</v>
      </c>
      <c r="L62" s="52">
        <v>1.59823</v>
      </c>
      <c r="M62" s="52">
        <f t="shared" si="2"/>
        <v>1.038918</v>
      </c>
      <c r="N62" s="94">
        <f t="shared" si="3"/>
        <v>0.34995714008622042</v>
      </c>
      <c r="O62" s="2"/>
      <c r="P62" s="2"/>
      <c r="Q62" s="2"/>
      <c r="R62" s="2"/>
      <c r="S62" s="2"/>
      <c r="T62" s="2"/>
      <c r="U62" s="2"/>
    </row>
    <row r="63" spans="1:21" ht="14.5" thickBot="1" x14ac:dyDescent="0.35">
      <c r="A63" s="65"/>
      <c r="B63" s="5">
        <v>20</v>
      </c>
      <c r="C63" s="5">
        <v>512</v>
      </c>
      <c r="D63" s="5">
        <v>2560</v>
      </c>
      <c r="E63" s="5">
        <v>5120</v>
      </c>
      <c r="F63" s="90">
        <v>0.97499999999999998</v>
      </c>
      <c r="G63" s="93">
        <v>1.80938</v>
      </c>
      <c r="H63" s="52">
        <v>2.6918500000000001</v>
      </c>
      <c r="I63" s="82">
        <f t="shared" si="0"/>
        <v>0.88247000000000009</v>
      </c>
      <c r="J63" s="94">
        <f t="shared" si="1"/>
        <v>0.67216969741999</v>
      </c>
      <c r="K63" s="52">
        <v>0.930288</v>
      </c>
      <c r="L63" s="52">
        <v>2.6189200000000001</v>
      </c>
      <c r="M63" s="52">
        <f t="shared" si="2"/>
        <v>1.6886320000000001</v>
      </c>
      <c r="N63" s="94">
        <f t="shared" si="3"/>
        <v>0.35521818154048229</v>
      </c>
      <c r="O63" s="2"/>
      <c r="P63" s="2"/>
      <c r="Q63" s="2"/>
      <c r="R63" s="2"/>
      <c r="S63" s="2"/>
      <c r="T63" s="2"/>
      <c r="U63" s="2"/>
    </row>
    <row r="64" spans="1:21" ht="14.5" thickBot="1" x14ac:dyDescent="0.35">
      <c r="A64" s="65"/>
      <c r="B64" s="5">
        <v>20</v>
      </c>
      <c r="C64" s="5">
        <v>512</v>
      </c>
      <c r="D64" s="5">
        <v>6848</v>
      </c>
      <c r="E64" s="5">
        <v>5120</v>
      </c>
      <c r="F64" s="90">
        <v>2.4849999999999999</v>
      </c>
      <c r="G64" s="93">
        <v>4.7982800000000001</v>
      </c>
      <c r="H64" s="52">
        <v>5.4618700000000002</v>
      </c>
      <c r="I64" s="82">
        <f t="shared" si="0"/>
        <v>0.66359000000000012</v>
      </c>
      <c r="J64" s="94">
        <f t="shared" si="1"/>
        <v>0.87850498089482176</v>
      </c>
      <c r="K64" s="52">
        <v>2.4247399999999999</v>
      </c>
      <c r="L64" s="52">
        <v>5.2714299999999996</v>
      </c>
      <c r="M64" s="52">
        <f t="shared" si="2"/>
        <v>2.8466899999999997</v>
      </c>
      <c r="N64" s="94">
        <f t="shared" si="3"/>
        <v>0.45997765312258726</v>
      </c>
      <c r="O64" s="2"/>
      <c r="P64" s="2"/>
      <c r="Q64" s="2"/>
      <c r="R64" s="2"/>
      <c r="S64" s="2"/>
      <c r="T64" s="2"/>
      <c r="U64" s="2"/>
    </row>
    <row r="65" spans="1:21" ht="14.5" thickBot="1" x14ac:dyDescent="0.35">
      <c r="A65" s="65"/>
      <c r="B65" s="5">
        <v>20</v>
      </c>
      <c r="C65" s="5">
        <v>512</v>
      </c>
      <c r="D65" s="5">
        <v>5120</v>
      </c>
      <c r="E65" s="5">
        <v>64000</v>
      </c>
      <c r="F65" s="90">
        <v>23.081</v>
      </c>
      <c r="G65" s="93">
        <v>3.4923799999999998</v>
      </c>
      <c r="H65" s="52">
        <v>62.8123</v>
      </c>
      <c r="I65" s="82">
        <f t="shared" si="0"/>
        <v>59.319920000000003</v>
      </c>
      <c r="J65" s="94">
        <f t="shared" si="1"/>
        <v>5.5600256637633072E-2</v>
      </c>
      <c r="K65" s="52">
        <v>2.0687500000000001</v>
      </c>
      <c r="L65" s="52">
        <v>81.153499999999994</v>
      </c>
      <c r="M65" s="52">
        <f t="shared" si="2"/>
        <v>79.08475</v>
      </c>
      <c r="N65" s="94">
        <f t="shared" si="3"/>
        <v>2.549181489399718E-2</v>
      </c>
      <c r="O65" s="2"/>
      <c r="P65" s="2"/>
      <c r="Q65" s="2"/>
      <c r="R65" s="2"/>
      <c r="S65" s="2"/>
      <c r="T65" s="2"/>
      <c r="U65" s="2"/>
    </row>
    <row r="66" spans="1:21" ht="14.5" thickBot="1" x14ac:dyDescent="0.35">
      <c r="J66" s="94">
        <f>AVERAGE(J3:J65)</f>
        <v>0.59303481666285129</v>
      </c>
      <c r="N66" s="97">
        <f>AVERAGE(N3:N65)</f>
        <v>0.39778771169412741</v>
      </c>
    </row>
    <row r="67" spans="1:21" ht="14.5" thickBot="1" x14ac:dyDescent="0.35">
      <c r="J67" s="94"/>
    </row>
    <row r="68" spans="1:21" ht="14.5" thickBot="1" x14ac:dyDescent="0.35">
      <c r="J68" s="94"/>
    </row>
    <row r="69" spans="1:21" ht="14.5" thickBot="1" x14ac:dyDescent="0.35">
      <c r="J69" s="94"/>
    </row>
    <row r="70" spans="1:21" ht="14.5" thickBot="1" x14ac:dyDescent="0.35">
      <c r="J70" s="94"/>
    </row>
    <row r="71" spans="1:21" ht="14.5" thickBot="1" x14ac:dyDescent="0.35">
      <c r="J71" s="94"/>
    </row>
    <row r="72" spans="1:21" ht="14.5" thickBot="1" x14ac:dyDescent="0.35">
      <c r="J72" s="94"/>
    </row>
    <row r="73" spans="1:21" ht="14.5" thickBot="1" x14ac:dyDescent="0.35">
      <c r="J73" s="94"/>
    </row>
    <row r="74" spans="1:21" ht="14.5" thickBot="1" x14ac:dyDescent="0.35">
      <c r="A74" s="60" t="s">
        <v>72</v>
      </c>
      <c r="B74" s="5">
        <v>1</v>
      </c>
      <c r="C74" s="5">
        <v>512</v>
      </c>
      <c r="D74" s="5">
        <v>4096</v>
      </c>
      <c r="E74" s="5">
        <v>4096</v>
      </c>
      <c r="F74" s="96"/>
      <c r="G74" s="2">
        <v>0.12509300000000001</v>
      </c>
      <c r="H74" s="2">
        <v>0.185363</v>
      </c>
      <c r="I74" s="2">
        <f>H74-G74</f>
        <v>6.026999999999999E-2</v>
      </c>
      <c r="J74" s="94">
        <f>G74/H74</f>
        <v>0.67485420499236637</v>
      </c>
      <c r="K74" s="2">
        <v>6.0831799999999998E-2</v>
      </c>
      <c r="L74" s="2">
        <v>0.22963800000000001</v>
      </c>
      <c r="M74" s="2">
        <f>L74-K74</f>
        <v>0.16880620000000002</v>
      </c>
      <c r="N74" s="94">
        <f>K74/L74</f>
        <v>0.26490302127696636</v>
      </c>
      <c r="O74" s="2"/>
      <c r="P74" s="2"/>
      <c r="Q74" s="2"/>
      <c r="R74" s="2"/>
      <c r="S74" s="2"/>
      <c r="T74" s="2"/>
      <c r="U74" s="2"/>
    </row>
    <row r="75" spans="1:21" ht="14.5" thickBot="1" x14ac:dyDescent="0.35">
      <c r="A75" s="60"/>
      <c r="B75" s="5">
        <v>1</v>
      </c>
      <c r="C75" s="5">
        <v>512</v>
      </c>
      <c r="D75" s="5">
        <v>11008</v>
      </c>
      <c r="E75" s="5">
        <v>4096</v>
      </c>
      <c r="F75" s="96"/>
      <c r="G75" s="2">
        <v>0.33618799999999999</v>
      </c>
      <c r="H75" s="2">
        <v>0.46560600000000002</v>
      </c>
      <c r="I75" s="2">
        <f t="shared" ref="I75:I85" si="4">H75-G75</f>
        <v>0.12941800000000003</v>
      </c>
      <c r="J75" s="94">
        <f t="shared" ref="J75:J85" si="5">G75/H75</f>
        <v>0.7220439599146059</v>
      </c>
      <c r="K75" s="2">
        <v>0.522401</v>
      </c>
      <c r="L75" s="2">
        <v>0.75007400000000002</v>
      </c>
      <c r="M75" s="2">
        <f t="shared" ref="M75:M82" si="6">L75-K75</f>
        <v>0.22767300000000001</v>
      </c>
      <c r="N75" s="94">
        <f>K75/L75</f>
        <v>0.69646594869306222</v>
      </c>
      <c r="O75" s="2"/>
      <c r="P75" s="2"/>
      <c r="Q75" s="2"/>
      <c r="R75" s="2"/>
      <c r="S75" s="2"/>
      <c r="T75" s="2"/>
      <c r="U75" s="2"/>
    </row>
    <row r="76" spans="1:21" ht="14.5" thickBot="1" x14ac:dyDescent="0.35">
      <c r="A76" s="60"/>
      <c r="B76" s="5">
        <v>8</v>
      </c>
      <c r="C76" s="5">
        <v>512</v>
      </c>
      <c r="D76" s="5">
        <v>4096</v>
      </c>
      <c r="E76" s="5">
        <v>4096</v>
      </c>
      <c r="F76" s="96"/>
      <c r="G76" s="2">
        <v>0.85372099999999995</v>
      </c>
      <c r="H76" s="2">
        <v>0.97216000000000002</v>
      </c>
      <c r="I76" s="2">
        <f t="shared" si="4"/>
        <v>0.11843900000000007</v>
      </c>
      <c r="J76" s="94">
        <f t="shared" si="5"/>
        <v>0.87816923140223824</v>
      </c>
      <c r="K76" s="2">
        <v>1.0448</v>
      </c>
      <c r="L76" s="2">
        <v>1.6716500000000001</v>
      </c>
      <c r="M76" s="2">
        <f t="shared" si="6"/>
        <v>0.62685000000000013</v>
      </c>
      <c r="N76" s="94">
        <f>K76/L76</f>
        <v>0.62501121646277624</v>
      </c>
      <c r="O76" s="2"/>
      <c r="P76" s="2"/>
      <c r="Q76" s="2"/>
      <c r="R76" s="2"/>
      <c r="S76" s="2"/>
      <c r="T76" s="2"/>
      <c r="U76" s="2"/>
    </row>
    <row r="77" spans="1:21" ht="14.5" thickBot="1" x14ac:dyDescent="0.35">
      <c r="A77" s="60"/>
      <c r="B77" s="5">
        <v>8</v>
      </c>
      <c r="C77" s="5">
        <v>512</v>
      </c>
      <c r="D77" s="5">
        <v>11008</v>
      </c>
      <c r="E77" s="5">
        <v>4096</v>
      </c>
      <c r="F77" s="96"/>
      <c r="G77" s="2">
        <v>2.2943799999999999</v>
      </c>
      <c r="H77" s="2">
        <v>2.4781399999999998</v>
      </c>
      <c r="I77" s="2">
        <f t="shared" si="4"/>
        <v>0.18375999999999992</v>
      </c>
      <c r="J77" s="94">
        <f t="shared" si="5"/>
        <v>0.92584761151508799</v>
      </c>
      <c r="K77" s="2"/>
      <c r="L77" s="2"/>
      <c r="M77" s="2"/>
      <c r="N77" s="94"/>
      <c r="O77" s="2"/>
      <c r="P77" s="2"/>
      <c r="Q77" s="2"/>
      <c r="R77" s="2"/>
      <c r="S77" s="2"/>
      <c r="T77" s="2"/>
      <c r="U77" s="2"/>
    </row>
    <row r="78" spans="1:21" ht="14.5" thickBot="1" x14ac:dyDescent="0.35">
      <c r="A78" s="60"/>
      <c r="B78" s="5">
        <v>16</v>
      </c>
      <c r="C78" s="5">
        <v>512</v>
      </c>
      <c r="D78" s="5">
        <v>4096</v>
      </c>
      <c r="E78" s="5">
        <v>4096</v>
      </c>
      <c r="F78" s="96"/>
      <c r="G78" s="2">
        <v>1.63371</v>
      </c>
      <c r="H78" s="2">
        <v>2.0637599999999998</v>
      </c>
      <c r="I78" s="2">
        <f t="shared" si="4"/>
        <v>0.43004999999999982</v>
      </c>
      <c r="J78" s="94">
        <f t="shared" si="5"/>
        <v>0.7916182114199326</v>
      </c>
      <c r="K78" s="2"/>
      <c r="L78" s="2"/>
      <c r="M78" s="2"/>
      <c r="N78" s="94"/>
      <c r="O78" s="2"/>
      <c r="P78" s="2"/>
      <c r="Q78" s="2"/>
      <c r="R78" s="2"/>
      <c r="S78" s="2"/>
      <c r="T78" s="2"/>
      <c r="U78" s="2"/>
    </row>
    <row r="79" spans="1:21" ht="14.5" thickBot="1" x14ac:dyDescent="0.35">
      <c r="A79" s="60"/>
      <c r="B79" s="5">
        <v>16</v>
      </c>
      <c r="C79" s="5">
        <v>512</v>
      </c>
      <c r="D79" s="5">
        <v>11008</v>
      </c>
      <c r="E79" s="5">
        <v>4096</v>
      </c>
      <c r="F79" s="96"/>
      <c r="G79" s="2">
        <v>4.3906099999999997</v>
      </c>
      <c r="H79" s="2">
        <v>5.0179</v>
      </c>
      <c r="I79" s="2">
        <f t="shared" si="4"/>
        <v>0.62729000000000035</v>
      </c>
      <c r="J79" s="94">
        <f t="shared" si="5"/>
        <v>0.8749895374559078</v>
      </c>
      <c r="K79" s="2"/>
      <c r="L79" s="2"/>
      <c r="M79" s="2"/>
      <c r="N79" s="94"/>
      <c r="O79" s="2"/>
      <c r="P79" s="2"/>
      <c r="Q79" s="2"/>
      <c r="R79" s="2"/>
      <c r="S79" s="2"/>
      <c r="T79" s="2"/>
      <c r="U79" s="2"/>
    </row>
    <row r="80" spans="1:21" ht="14" customHeight="1" thickBot="1" x14ac:dyDescent="0.35">
      <c r="A80" s="77" t="s">
        <v>73</v>
      </c>
      <c r="B80" s="5">
        <v>1</v>
      </c>
      <c r="C80" s="5">
        <v>1</v>
      </c>
      <c r="D80" s="5">
        <v>4096</v>
      </c>
      <c r="E80" s="5">
        <v>4096</v>
      </c>
      <c r="F80" s="96"/>
      <c r="G80" s="2">
        <v>6.3926300000000005E-2</v>
      </c>
      <c r="H80" s="2">
        <v>8.4243200000000004E-2</v>
      </c>
      <c r="I80" s="2">
        <f t="shared" si="4"/>
        <v>2.0316899999999999E-2</v>
      </c>
      <c r="J80" s="94">
        <f t="shared" si="5"/>
        <v>0.75883038631011168</v>
      </c>
      <c r="K80" s="2">
        <v>2.84563E-2</v>
      </c>
      <c r="L80" s="2">
        <v>5.8707200000000001E-2</v>
      </c>
      <c r="M80" s="2">
        <f t="shared" si="6"/>
        <v>3.0250900000000001E-2</v>
      </c>
      <c r="N80" s="94">
        <f>K80/L80</f>
        <v>0.48471567371634144</v>
      </c>
      <c r="O80" s="2"/>
      <c r="P80" s="2"/>
      <c r="Q80" s="2"/>
      <c r="R80" s="2"/>
      <c r="S80" s="2"/>
      <c r="T80" s="2"/>
      <c r="U80" s="2"/>
    </row>
    <row r="81" spans="1:21" ht="14.5" thickBot="1" x14ac:dyDescent="0.35">
      <c r="A81" s="78"/>
      <c r="B81" s="5">
        <v>1</v>
      </c>
      <c r="C81" s="5">
        <v>1</v>
      </c>
      <c r="D81" s="5">
        <v>11008</v>
      </c>
      <c r="E81" s="5">
        <v>4096</v>
      </c>
      <c r="F81" s="96"/>
      <c r="G81" s="2">
        <v>0.17180200000000001</v>
      </c>
      <c r="H81" s="2">
        <v>0.17813100000000001</v>
      </c>
      <c r="I81" s="2">
        <f t="shared" si="4"/>
        <v>6.3290000000000013E-3</v>
      </c>
      <c r="J81" s="94">
        <f t="shared" si="5"/>
        <v>0.96446996873087787</v>
      </c>
      <c r="K81" s="2">
        <v>2.84563E-2</v>
      </c>
      <c r="L81" s="2">
        <v>5.8368000000000003E-2</v>
      </c>
      <c r="M81" s="2">
        <f t="shared" si="6"/>
        <v>2.9911700000000003E-2</v>
      </c>
      <c r="N81" s="94">
        <f>K81/L81</f>
        <v>0.48753255208333329</v>
      </c>
      <c r="O81" s="2"/>
      <c r="P81" s="2"/>
      <c r="Q81" s="2"/>
      <c r="R81" s="2"/>
      <c r="S81" s="2"/>
      <c r="T81" s="2"/>
      <c r="U81" s="2"/>
    </row>
    <row r="82" spans="1:21" ht="14.5" thickBot="1" x14ac:dyDescent="0.35">
      <c r="A82" s="78"/>
      <c r="B82" s="5">
        <v>8</v>
      </c>
      <c r="C82" s="5">
        <v>1</v>
      </c>
      <c r="D82" s="5">
        <v>4096</v>
      </c>
      <c r="E82" s="5">
        <v>4096</v>
      </c>
      <c r="F82" s="96"/>
      <c r="G82" s="2">
        <v>6.3926300000000005E-2</v>
      </c>
      <c r="H82" s="2">
        <v>8.4563200000000005E-2</v>
      </c>
      <c r="I82" s="2">
        <f t="shared" si="4"/>
        <v>2.06369E-2</v>
      </c>
      <c r="J82" s="94">
        <f t="shared" si="5"/>
        <v>0.75595885680768937</v>
      </c>
      <c r="K82" s="2">
        <v>2.84563E-2</v>
      </c>
      <c r="L82" s="2">
        <v>5.9001600000000001E-2</v>
      </c>
      <c r="M82" s="2">
        <f t="shared" si="6"/>
        <v>3.0545300000000001E-2</v>
      </c>
      <c r="N82" s="94">
        <f>K82/L82</f>
        <v>0.48229709024840006</v>
      </c>
      <c r="O82" s="2"/>
      <c r="P82" s="2"/>
      <c r="Q82" s="2"/>
      <c r="R82" s="2"/>
      <c r="S82" s="2"/>
      <c r="T82" s="2"/>
      <c r="U82" s="2"/>
    </row>
    <row r="83" spans="1:21" ht="14.5" thickBot="1" x14ac:dyDescent="0.35">
      <c r="A83" s="78"/>
      <c r="B83" s="5">
        <v>8</v>
      </c>
      <c r="C83" s="5">
        <v>1</v>
      </c>
      <c r="D83" s="5">
        <v>11008</v>
      </c>
      <c r="E83" s="5">
        <v>4096</v>
      </c>
      <c r="F83" s="96"/>
      <c r="G83" s="2">
        <v>0.17180200000000001</v>
      </c>
      <c r="H83" s="2">
        <v>0.17907799999999999</v>
      </c>
      <c r="I83" s="2">
        <f t="shared" si="4"/>
        <v>7.2759999999999769E-3</v>
      </c>
      <c r="J83" s="94">
        <f t="shared" si="5"/>
        <v>0.959369660148092</v>
      </c>
      <c r="K83" s="52"/>
      <c r="L83" s="52"/>
      <c r="M83" s="52"/>
      <c r="N83" s="87"/>
      <c r="O83" s="2"/>
      <c r="P83" s="2"/>
      <c r="Q83" s="2"/>
      <c r="R83" s="2"/>
      <c r="S83" s="2"/>
      <c r="T83" s="2"/>
      <c r="U83" s="2"/>
    </row>
    <row r="84" spans="1:21" ht="14.5" thickBot="1" x14ac:dyDescent="0.35">
      <c r="A84" s="78"/>
      <c r="B84" s="5">
        <v>16</v>
      </c>
      <c r="C84" s="5">
        <v>1</v>
      </c>
      <c r="D84" s="5">
        <v>4096</v>
      </c>
      <c r="E84" s="5">
        <v>4096</v>
      </c>
      <c r="F84" s="96"/>
      <c r="G84" s="2">
        <v>6.3926300000000005E-2</v>
      </c>
      <c r="H84" s="2">
        <v>8.6368E-2</v>
      </c>
      <c r="I84" s="2">
        <f t="shared" si="4"/>
        <v>2.2441699999999995E-2</v>
      </c>
      <c r="J84" s="94">
        <f t="shared" si="5"/>
        <v>0.74016186550574292</v>
      </c>
      <c r="K84" s="52"/>
      <c r="L84" s="52"/>
      <c r="M84" s="52"/>
      <c r="N84" s="87"/>
      <c r="O84" s="2"/>
      <c r="P84" s="2"/>
      <c r="Q84" s="2"/>
      <c r="R84" s="2"/>
      <c r="S84" s="2"/>
      <c r="T84" s="2"/>
      <c r="U84" s="2"/>
    </row>
    <row r="85" spans="1:21" ht="14.5" thickBot="1" x14ac:dyDescent="0.35">
      <c r="A85" s="79"/>
      <c r="B85" s="5">
        <v>16</v>
      </c>
      <c r="C85" s="5">
        <v>1</v>
      </c>
      <c r="D85" s="5">
        <v>11008</v>
      </c>
      <c r="E85" s="5">
        <v>4096</v>
      </c>
      <c r="F85" s="96"/>
      <c r="G85" s="2">
        <v>0.17180200000000001</v>
      </c>
      <c r="H85" s="2">
        <v>0.18113899999999999</v>
      </c>
      <c r="I85" s="2">
        <f t="shared" si="4"/>
        <v>9.3369999999999842E-3</v>
      </c>
      <c r="J85" s="94">
        <f t="shared" si="5"/>
        <v>0.9484539497292136</v>
      </c>
      <c r="K85" s="52"/>
      <c r="L85" s="52"/>
      <c r="M85" s="52"/>
      <c r="N85" s="87"/>
      <c r="O85" s="2"/>
      <c r="P85" s="2"/>
      <c r="Q85" s="2"/>
      <c r="R85" s="2"/>
      <c r="S85" s="2"/>
      <c r="T85" s="2"/>
      <c r="U85" s="2"/>
    </row>
  </sheetData>
  <mergeCells count="16">
    <mergeCell ref="A74:A79"/>
    <mergeCell ref="A80:A85"/>
    <mergeCell ref="A15:A30"/>
    <mergeCell ref="A31:A39"/>
    <mergeCell ref="A40:A51"/>
    <mergeCell ref="A52:A59"/>
    <mergeCell ref="A60:A65"/>
    <mergeCell ref="G1:J1"/>
    <mergeCell ref="F1:F2"/>
    <mergeCell ref="A3:A14"/>
    <mergeCell ref="K1:N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7"/>
  <sheetViews>
    <sheetView workbookViewId="0">
      <selection activeCell="E12" sqref="E12"/>
    </sheetView>
  </sheetViews>
  <sheetFormatPr defaultRowHeight="14" x14ac:dyDescent="0.3"/>
  <cols>
    <col min="3" max="3" width="11.75" customWidth="1"/>
    <col min="4" max="4" width="14.83203125" customWidth="1"/>
    <col min="5" max="5" width="26.58203125" customWidth="1"/>
    <col min="6" max="6" width="17.6640625" customWidth="1"/>
  </cols>
  <sheetData>
    <row r="1" spans="3:6" x14ac:dyDescent="0.3">
      <c r="D1" t="s">
        <v>57</v>
      </c>
      <c r="E1" t="s">
        <v>58</v>
      </c>
      <c r="F1" t="s">
        <v>59</v>
      </c>
    </row>
    <row r="2" spans="3:6" x14ac:dyDescent="0.3">
      <c r="D2">
        <v>5.1062000000000003</v>
      </c>
      <c r="E2">
        <v>3.5625</v>
      </c>
      <c r="F2">
        <v>4.0316000000000001</v>
      </c>
    </row>
    <row r="3" spans="3:6" x14ac:dyDescent="0.3">
      <c r="D3">
        <v>5.5487000000000002</v>
      </c>
      <c r="E3">
        <v>3.1696</v>
      </c>
      <c r="F3">
        <v>4.6443000000000003</v>
      </c>
    </row>
    <row r="4" spans="3:6" x14ac:dyDescent="0.3">
      <c r="D4">
        <v>19.970800000000001</v>
      </c>
      <c r="E4">
        <v>20.5534</v>
      </c>
      <c r="F4">
        <v>15.370200000000001</v>
      </c>
    </row>
    <row r="5" spans="3:6" x14ac:dyDescent="0.3">
      <c r="D5">
        <v>74.465199999999996</v>
      </c>
      <c r="E5">
        <v>74.809600000000003</v>
      </c>
      <c r="F5">
        <v>47.197200000000002</v>
      </c>
    </row>
    <row r="6" spans="3:6" x14ac:dyDescent="0.3">
      <c r="C6">
        <v>29.229299999999999</v>
      </c>
      <c r="D6">
        <v>30.487500000000001</v>
      </c>
      <c r="E6">
        <v>30.310099999999998</v>
      </c>
      <c r="F6">
        <v>21.416399999999999</v>
      </c>
    </row>
    <row r="7" spans="3:6" x14ac:dyDescent="0.3">
      <c r="F7">
        <v>61.979500000000002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opLeftCell="C1" zoomScale="205" zoomScaleNormal="205" workbookViewId="0">
      <selection activeCell="H10" sqref="H10"/>
    </sheetView>
  </sheetViews>
  <sheetFormatPr defaultRowHeight="14" x14ac:dyDescent="0.3"/>
  <cols>
    <col min="7" max="7" width="18.75" customWidth="1"/>
    <col min="8" max="8" width="14.1640625" customWidth="1"/>
    <col min="9" max="9" width="11.08203125" customWidth="1"/>
    <col min="10" max="11" width="15.08203125" customWidth="1"/>
    <col min="13" max="13" width="12.1640625" customWidth="1"/>
  </cols>
  <sheetData>
    <row r="1" spans="1:17" x14ac:dyDescent="0.3">
      <c r="B1" t="s">
        <v>52</v>
      </c>
      <c r="H1" t="s">
        <v>26</v>
      </c>
      <c r="I1" s="80" t="s">
        <v>27</v>
      </c>
      <c r="J1" s="80"/>
      <c r="K1" s="80"/>
      <c r="L1" t="s">
        <v>28</v>
      </c>
      <c r="M1" t="s">
        <v>51</v>
      </c>
      <c r="N1" t="s">
        <v>48</v>
      </c>
      <c r="O1" t="s">
        <v>50</v>
      </c>
      <c r="P1" t="s">
        <v>49</v>
      </c>
    </row>
    <row r="2" spans="1:17" x14ac:dyDescent="0.3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I2" t="s">
        <v>45</v>
      </c>
      <c r="J2" t="s">
        <v>46</v>
      </c>
      <c r="K2" t="s">
        <v>47</v>
      </c>
    </row>
    <row r="3" spans="1:17" x14ac:dyDescent="0.3">
      <c r="A3" t="s">
        <v>41</v>
      </c>
      <c r="B3">
        <v>8</v>
      </c>
      <c r="C3">
        <v>1</v>
      </c>
      <c r="D3">
        <v>2048</v>
      </c>
      <c r="E3">
        <v>8192</v>
      </c>
      <c r="F3">
        <v>6.2195199999999999E-2</v>
      </c>
      <c r="G3">
        <f>(B3*C3*D3*E3)/F3/1000*2</f>
        <v>4316015.6410784107</v>
      </c>
      <c r="H3">
        <f>(64*D3)*2/60</f>
        <v>4369.0666666666666</v>
      </c>
      <c r="I3">
        <f>(D3*E3/16*2)/44/2</f>
        <v>23831.272727272728</v>
      </c>
      <c r="L3">
        <f>(64*D3*E3/16)/16384</f>
        <v>4096</v>
      </c>
      <c r="M3">
        <f>SUM(H3:L3)</f>
        <v>32296.339393939394</v>
      </c>
      <c r="N3">
        <f t="shared" ref="N3:N10" si="0">MAX(H3:L3)</f>
        <v>23831.272727272728</v>
      </c>
      <c r="O3">
        <f>N3/1000000</f>
        <v>2.3831272727272729E-2</v>
      </c>
      <c r="P3">
        <f>O3/F3</f>
        <v>0.38316900222642147</v>
      </c>
      <c r="Q3">
        <f>M3/1000000/F3</f>
        <v>0.51927382489226492</v>
      </c>
    </row>
    <row r="4" spans="1:17" x14ac:dyDescent="0.3">
      <c r="B4">
        <v>8</v>
      </c>
      <c r="C4">
        <v>1</v>
      </c>
      <c r="D4">
        <v>7168</v>
      </c>
      <c r="E4">
        <v>8192</v>
      </c>
      <c r="F4">
        <v>0.12526100000000001</v>
      </c>
      <c r="G4">
        <f>(B4*C4*D4*E4)/F4/1000*2</f>
        <v>7500531.6578983078</v>
      </c>
      <c r="H4">
        <f>(64*D4)*2/60</f>
        <v>15291.733333333334</v>
      </c>
      <c r="I4">
        <f>(D4*E4/16*2)/44/2</f>
        <v>83409.454545454544</v>
      </c>
      <c r="L4">
        <f>(64*D4*E4/16)/16384</f>
        <v>14336</v>
      </c>
      <c r="M4">
        <f t="shared" ref="M4:M11" si="1">SUM(H4:L4)</f>
        <v>113037.18787878788</v>
      </c>
      <c r="N4">
        <f t="shared" si="0"/>
        <v>83409.454545454544</v>
      </c>
      <c r="O4">
        <f t="shared" ref="O4:O11" si="2">N4/1000000</f>
        <v>8.3409454545454551E-2</v>
      </c>
      <c r="P4">
        <f>O4/F4</f>
        <v>0.66588526792421054</v>
      </c>
      <c r="Q4">
        <f>M4/1000000/F4</f>
        <v>0.90241326413478962</v>
      </c>
    </row>
    <row r="5" spans="1:17" x14ac:dyDescent="0.3">
      <c r="B5">
        <v>8</v>
      </c>
      <c r="C5">
        <v>1</v>
      </c>
      <c r="D5">
        <v>8192</v>
      </c>
      <c r="E5">
        <v>32000</v>
      </c>
      <c r="F5">
        <v>0.455571</v>
      </c>
      <c r="G5">
        <f>(B5*C5*D5*E5)/F5/1000*2</f>
        <v>9206696.6510159783</v>
      </c>
      <c r="H5">
        <f>(64*D5)*2/60</f>
        <v>17476.266666666666</v>
      </c>
      <c r="I5">
        <f>(D5*E5/16*2)/44/2</f>
        <v>372363.63636363635</v>
      </c>
      <c r="L5">
        <f>(64*D5*E5/16)/16384</f>
        <v>64000</v>
      </c>
      <c r="M5">
        <f t="shared" si="1"/>
        <v>453839.90303030302</v>
      </c>
      <c r="N5">
        <f t="shared" si="0"/>
        <v>372363.63636363635</v>
      </c>
      <c r="O5">
        <f t="shared" si="2"/>
        <v>0.37236363636363634</v>
      </c>
      <c r="P5">
        <f>O5/F5</f>
        <v>0.81735588165979911</v>
      </c>
      <c r="Q5">
        <f>M5/1000000/F5</f>
        <v>0.99620015986597699</v>
      </c>
    </row>
    <row r="6" spans="1:17" x14ac:dyDescent="0.3">
      <c r="B6">
        <v>8</v>
      </c>
      <c r="C6">
        <v>128</v>
      </c>
      <c r="D6">
        <v>2048</v>
      </c>
      <c r="E6">
        <v>8192</v>
      </c>
      <c r="F6">
        <v>0.26327</v>
      </c>
      <c r="G6">
        <f>(B6*C6*D6*E6)/F6/1000*2</f>
        <v>130511407.93861815</v>
      </c>
      <c r="H6">
        <f>(B6*C6*D6)*2/60</f>
        <v>69905.066666666666</v>
      </c>
      <c r="I6">
        <f>(D6*E6/16*2)/44/2 * (B6*C6)/1024</f>
        <v>23831.272727272728</v>
      </c>
      <c r="J6">
        <f>(D6*E6/16)/256 * 8</f>
        <v>32768</v>
      </c>
      <c r="K6">
        <f>I6+J6</f>
        <v>56599.272727272728</v>
      </c>
      <c r="L6">
        <f>(64*D6*E6/16)/16384</f>
        <v>4096</v>
      </c>
      <c r="M6">
        <f t="shared" si="1"/>
        <v>187199.61212121212</v>
      </c>
      <c r="N6">
        <f t="shared" si="0"/>
        <v>69905.066666666666</v>
      </c>
      <c r="O6">
        <f t="shared" si="2"/>
        <v>6.9905066666666668E-2</v>
      </c>
      <c r="P6">
        <f>O6/F6</f>
        <v>0.26552613919803497</v>
      </c>
      <c r="Q6">
        <f>M6/1000000/F6</f>
        <v>0.71105561636803327</v>
      </c>
    </row>
    <row r="7" spans="1:17" x14ac:dyDescent="0.3">
      <c r="B7">
        <v>8</v>
      </c>
      <c r="C7">
        <v>128</v>
      </c>
      <c r="D7">
        <v>7168</v>
      </c>
      <c r="E7">
        <v>8192</v>
      </c>
      <c r="F7">
        <v>0.606541</v>
      </c>
      <c r="G7">
        <f>(B7*C7*D7*E7)/F7/1000*2</f>
        <v>198270330.09804779</v>
      </c>
      <c r="H7">
        <f t="shared" ref="H7:H11" si="3">(B7*C7*D7)*2/60</f>
        <v>244667.73333333334</v>
      </c>
      <c r="I7">
        <f>(D7*E7/16*2)/44/2 * (B7*C7)/1024</f>
        <v>83409.454545454544</v>
      </c>
      <c r="J7">
        <f>(D7*E7/16)/256 * 8</f>
        <v>114688</v>
      </c>
      <c r="K7">
        <f t="shared" ref="K7:K11" si="4">I7+J7</f>
        <v>198097.45454545453</v>
      </c>
      <c r="L7">
        <f>(64*D7*E7/16)/16384</f>
        <v>14336</v>
      </c>
      <c r="M7">
        <f t="shared" si="1"/>
        <v>655198.64242424234</v>
      </c>
      <c r="N7">
        <f t="shared" si="0"/>
        <v>244667.73333333334</v>
      </c>
      <c r="O7">
        <f t="shared" si="2"/>
        <v>0.24466773333333333</v>
      </c>
      <c r="P7">
        <f>O7/F7</f>
        <v>0.40338201924244749</v>
      </c>
      <c r="Q7">
        <f>M7/1000000/F7</f>
        <v>1.0802215224102614</v>
      </c>
    </row>
    <row r="8" spans="1:17" x14ac:dyDescent="0.3">
      <c r="B8">
        <v>8</v>
      </c>
      <c r="C8">
        <v>128</v>
      </c>
      <c r="D8">
        <v>8192</v>
      </c>
      <c r="E8">
        <v>32000</v>
      </c>
      <c r="F8">
        <v>2.59443</v>
      </c>
      <c r="G8">
        <f>(B8*C8*D8*E8)/F8/1000*2</f>
        <v>206932124.58998701</v>
      </c>
      <c r="H8">
        <f t="shared" si="3"/>
        <v>279620.26666666666</v>
      </c>
      <c r="I8">
        <f>(D8*E8/16*2)/44/2 * (B8*C8)/1024</f>
        <v>372363.63636363635</v>
      </c>
      <c r="J8">
        <f>(D8*E8/16)/256 * 8</f>
        <v>512000</v>
      </c>
      <c r="K8">
        <f t="shared" si="4"/>
        <v>884363.63636363635</v>
      </c>
      <c r="L8">
        <f>(64*D8*E8/16)/16384</f>
        <v>64000</v>
      </c>
      <c r="M8">
        <f t="shared" si="1"/>
        <v>2112347.5393939395</v>
      </c>
      <c r="N8">
        <f t="shared" si="0"/>
        <v>884363.63636363635</v>
      </c>
      <c r="O8">
        <f t="shared" si="2"/>
        <v>0.88436363636363635</v>
      </c>
      <c r="P8">
        <f>O8/F8</f>
        <v>0.34087010879601159</v>
      </c>
      <c r="Q8">
        <f>M8/1000000/F8</f>
        <v>0.81418559737358087</v>
      </c>
    </row>
    <row r="9" spans="1:17" x14ac:dyDescent="0.3">
      <c r="B9">
        <v>8</v>
      </c>
      <c r="C9">
        <v>511</v>
      </c>
      <c r="D9">
        <v>2048</v>
      </c>
      <c r="E9">
        <v>8192</v>
      </c>
      <c r="F9">
        <v>1.97793</v>
      </c>
      <c r="G9">
        <f>(B9*C9*D9*E9)/F9/1000*2</f>
        <v>69350542.241636455</v>
      </c>
      <c r="H9">
        <f t="shared" si="3"/>
        <v>279074.13333333336</v>
      </c>
      <c r="I9">
        <f>(D9*E9/16*2)/44/2 * (B9*C9)/1024</f>
        <v>95138.909090909088</v>
      </c>
      <c r="J9">
        <f>(D9*E9/16)/256 * 8</f>
        <v>32768</v>
      </c>
      <c r="K9">
        <f t="shared" si="4"/>
        <v>127906.90909090909</v>
      </c>
      <c r="L9">
        <f>(64*D9*E9/16)/16384</f>
        <v>4096</v>
      </c>
      <c r="M9">
        <f t="shared" si="1"/>
        <v>538983.95151515154</v>
      </c>
      <c r="N9">
        <f t="shared" si="0"/>
        <v>279074.13333333336</v>
      </c>
      <c r="O9">
        <f t="shared" si="2"/>
        <v>0.27907413333333336</v>
      </c>
      <c r="P9">
        <f>O9/F9</f>
        <v>0.14109403939135023</v>
      </c>
      <c r="Q9">
        <f>M9/1000000/F9</f>
        <v>0.27249900224737555</v>
      </c>
    </row>
    <row r="10" spans="1:17" x14ac:dyDescent="0.3">
      <c r="B10">
        <v>8</v>
      </c>
      <c r="C10">
        <v>511</v>
      </c>
      <c r="D10">
        <v>7168</v>
      </c>
      <c r="E10">
        <v>8192</v>
      </c>
      <c r="F10">
        <v>3.5058099999999999</v>
      </c>
      <c r="G10">
        <f>(B10*C10*D10*E10)/F10/1000*2</f>
        <v>136943192.31675419</v>
      </c>
      <c r="H10">
        <f>(B10*C10*D10)*2/60*(E10/16/256)</f>
        <v>1953518.9333333333</v>
      </c>
      <c r="I10">
        <f>(D10*E10/16*2)/44/2 * (B10*C10)/1024</f>
        <v>332986.18181818182</v>
      </c>
      <c r="J10">
        <f>(D10*E10/16)/256 * 8</f>
        <v>114688</v>
      </c>
      <c r="K10">
        <f t="shared" si="4"/>
        <v>447674.18181818182</v>
      </c>
      <c r="L10">
        <f>(64*D10*E10/16)/16384</f>
        <v>14336</v>
      </c>
      <c r="M10">
        <f t="shared" si="1"/>
        <v>2863203.2969696969</v>
      </c>
      <c r="N10">
        <f t="shared" si="0"/>
        <v>1953518.9333333333</v>
      </c>
      <c r="O10">
        <f t="shared" si="2"/>
        <v>1.9535189333333334</v>
      </c>
      <c r="P10">
        <f>O10/F10</f>
        <v>0.55722327602845945</v>
      </c>
      <c r="Q10">
        <f>M10/1000000/F10</f>
        <v>0.81670235893265664</v>
      </c>
    </row>
    <row r="11" spans="1:17" x14ac:dyDescent="0.3">
      <c r="B11">
        <v>8</v>
      </c>
      <c r="C11">
        <v>511</v>
      </c>
      <c r="D11">
        <v>8192</v>
      </c>
      <c r="E11">
        <v>32000</v>
      </c>
      <c r="F11">
        <v>15.5305</v>
      </c>
      <c r="G11">
        <f>(B11*C11*D11*E11)/F11/1000*2</f>
        <v>138005173.30414346</v>
      </c>
      <c r="H11">
        <f t="shared" si="3"/>
        <v>1116296.5333333334</v>
      </c>
      <c r="I11">
        <f>(D11*E11/16*2)/44/2 * (B11*C11)/1024</f>
        <v>1486545.4545454546</v>
      </c>
      <c r="J11">
        <f>(D11*E11/16)/256 * 8</f>
        <v>512000</v>
      </c>
      <c r="K11">
        <f t="shared" si="4"/>
        <v>1998545.4545454546</v>
      </c>
      <c r="L11">
        <f>(64*D11*E11/16)/16384</f>
        <v>64000</v>
      </c>
      <c r="M11">
        <f t="shared" si="1"/>
        <v>5177387.4424242433</v>
      </c>
      <c r="N11">
        <f>MAX(H11:L11)</f>
        <v>1998545.4545454546</v>
      </c>
      <c r="O11">
        <f t="shared" si="2"/>
        <v>1.9985454545454546</v>
      </c>
      <c r="P11">
        <f>O11/F11</f>
        <v>0.12868519716335305</v>
      </c>
      <c r="Q11">
        <f>M11/1000000/F11</f>
        <v>0.33336901210033443</v>
      </c>
    </row>
  </sheetData>
  <mergeCells count="1">
    <mergeCell ref="I1:K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10" sqref="B10"/>
    </sheetView>
  </sheetViews>
  <sheetFormatPr defaultRowHeight="14" x14ac:dyDescent="0.3"/>
  <sheetData>
    <row r="1" spans="1:5" x14ac:dyDescent="0.3">
      <c r="A1" t="s">
        <v>2</v>
      </c>
      <c r="B1" t="s">
        <v>3</v>
      </c>
      <c r="C1" t="s">
        <v>4</v>
      </c>
      <c r="D1" t="s">
        <v>30</v>
      </c>
      <c r="E1" t="s">
        <v>31</v>
      </c>
    </row>
    <row r="2" spans="1:5" x14ac:dyDescent="0.3">
      <c r="A2">
        <v>1</v>
      </c>
      <c r="B2">
        <v>11008</v>
      </c>
      <c r="C2">
        <v>4096</v>
      </c>
      <c r="D2">
        <v>0.1988</v>
      </c>
      <c r="E2">
        <v>0.1779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220" zoomScaleNormal="220" workbookViewId="0">
      <selection activeCell="H10" sqref="H10"/>
    </sheetView>
  </sheetViews>
  <sheetFormatPr defaultRowHeight="14" x14ac:dyDescent="0.3"/>
  <sheetData>
    <row r="1" spans="1:9" x14ac:dyDescent="0.3">
      <c r="A1" t="s">
        <v>2</v>
      </c>
      <c r="B1" t="s">
        <v>3</v>
      </c>
      <c r="C1" t="s">
        <v>4</v>
      </c>
      <c r="D1" s="20" t="s">
        <v>25</v>
      </c>
      <c r="E1" s="80" t="s">
        <v>23</v>
      </c>
      <c r="F1" s="80"/>
      <c r="G1" s="80"/>
      <c r="H1" s="21" t="s">
        <v>24</v>
      </c>
      <c r="I1" t="s">
        <v>9</v>
      </c>
    </row>
    <row r="2" spans="1:9" x14ac:dyDescent="0.3">
      <c r="A2">
        <v>1</v>
      </c>
      <c r="B2">
        <v>11008</v>
      </c>
      <c r="C2">
        <v>4096</v>
      </c>
      <c r="D2" s="20">
        <v>0.17860000000000001</v>
      </c>
      <c r="E2">
        <v>0.17660000000000001</v>
      </c>
      <c r="F2">
        <v>0.17730000000000001</v>
      </c>
      <c r="G2">
        <v>0.17730000000000001</v>
      </c>
      <c r="H2" s="21">
        <f>(E2+F2+G2)/3</f>
        <v>0.17706666666666668</v>
      </c>
      <c r="I2">
        <f>H2-D2</f>
        <v>-1.533333333333331E-3</v>
      </c>
    </row>
    <row r="3" spans="1:9" x14ac:dyDescent="0.3">
      <c r="A3">
        <v>32</v>
      </c>
      <c r="B3">
        <v>11008</v>
      </c>
      <c r="C3">
        <v>4096</v>
      </c>
      <c r="D3" s="20">
        <v>0.18559999999999999</v>
      </c>
      <c r="E3">
        <v>0.1862</v>
      </c>
      <c r="F3">
        <v>0.17730000000000001</v>
      </c>
      <c r="G3">
        <v>0.18690000000000001</v>
      </c>
      <c r="H3" s="21">
        <f t="shared" ref="H3:H5" si="0">(E3+F3+G3)/3</f>
        <v>0.18346666666666667</v>
      </c>
      <c r="I3">
        <f t="shared" ref="I3:I5" si="1">H3-D3</f>
        <v>-2.1333333333333204E-3</v>
      </c>
    </row>
    <row r="4" spans="1:9" x14ac:dyDescent="0.3">
      <c r="A4">
        <v>64</v>
      </c>
      <c r="B4">
        <v>11008</v>
      </c>
      <c r="C4">
        <v>4096</v>
      </c>
      <c r="D4" s="20">
        <v>0.1978</v>
      </c>
      <c r="E4">
        <v>0.19650000000000001</v>
      </c>
      <c r="F4">
        <v>0.1978</v>
      </c>
      <c r="G4">
        <v>0.1933</v>
      </c>
      <c r="H4" s="21">
        <f t="shared" si="0"/>
        <v>0.19586666666666666</v>
      </c>
      <c r="I4">
        <f t="shared" si="1"/>
        <v>-1.9333333333333425E-3</v>
      </c>
    </row>
    <row r="5" spans="1:9" x14ac:dyDescent="0.3">
      <c r="A5">
        <v>128</v>
      </c>
      <c r="B5">
        <v>11008</v>
      </c>
      <c r="C5">
        <v>4096</v>
      </c>
      <c r="D5" s="20">
        <v>0.22020000000000001</v>
      </c>
      <c r="E5">
        <v>0.2195</v>
      </c>
      <c r="F5">
        <v>0.21060000000000001</v>
      </c>
      <c r="G5">
        <v>0.22140000000000001</v>
      </c>
      <c r="H5" s="21">
        <f t="shared" si="0"/>
        <v>0.2171666666666667</v>
      </c>
      <c r="I5">
        <f t="shared" si="1"/>
        <v>-3.0333333333333046E-3</v>
      </c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I49" sqref="I49"/>
    </sheetView>
  </sheetViews>
  <sheetFormatPr defaultRowHeight="14" x14ac:dyDescent="0.3"/>
  <sheetData>
    <row r="1" spans="1:3" x14ac:dyDescent="0.3">
      <c r="A1">
        <v>1</v>
      </c>
      <c r="B1">
        <v>2</v>
      </c>
      <c r="C1" t="s">
        <v>21</v>
      </c>
    </row>
    <row r="2" spans="1:3" x14ac:dyDescent="0.3">
      <c r="A2">
        <v>9.1499999999999998E-2</v>
      </c>
      <c r="B2">
        <v>0.11650000000000001</v>
      </c>
      <c r="C2">
        <v>9.4100000000000003E-2</v>
      </c>
    </row>
    <row r="3" spans="1:3" x14ac:dyDescent="0.3">
      <c r="A3">
        <v>0.14080000000000001</v>
      </c>
      <c r="B3">
        <v>0.15870000000000001</v>
      </c>
      <c r="C3">
        <v>0.11650000000000001</v>
      </c>
    </row>
    <row r="4" spans="1:3" x14ac:dyDescent="0.3">
      <c r="A4">
        <v>0.25729999999999997</v>
      </c>
      <c r="B4">
        <v>0.26050000000000001</v>
      </c>
      <c r="C4">
        <v>0.15359999999999999</v>
      </c>
    </row>
    <row r="5" spans="1:3" x14ac:dyDescent="0.3">
      <c r="A5">
        <v>0.3347</v>
      </c>
      <c r="B5">
        <v>0.33600000000000002</v>
      </c>
      <c r="C5">
        <v>0.17979999999999999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4" sqref="D4"/>
    </sheetView>
  </sheetViews>
  <sheetFormatPr defaultRowHeight="14" x14ac:dyDescent="0.3"/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>
        <v>1</v>
      </c>
      <c r="B2">
        <v>11008</v>
      </c>
      <c r="C2">
        <v>4096</v>
      </c>
      <c r="D2">
        <v>0.17399999999999999</v>
      </c>
    </row>
    <row r="3" spans="1:4" x14ac:dyDescent="0.3">
      <c r="A3">
        <v>32</v>
      </c>
      <c r="B3">
        <v>11008</v>
      </c>
      <c r="C3">
        <v>4096</v>
      </c>
      <c r="D3">
        <v>0.18329999999999999</v>
      </c>
    </row>
    <row r="4" spans="1:4" x14ac:dyDescent="0.3">
      <c r="A4">
        <v>64</v>
      </c>
      <c r="B4">
        <v>11008</v>
      </c>
      <c r="C4">
        <v>4096</v>
      </c>
      <c r="D4">
        <v>0.19719999999999999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模型CASE性能-BF16-S8</vt:lpstr>
      <vt:lpstr>模型CASE性能-BF16-BF16</vt:lpstr>
      <vt:lpstr>性能汇总</vt:lpstr>
      <vt:lpstr>Sheet4</vt:lpstr>
      <vt:lpstr>Sheet2</vt:lpstr>
      <vt:lpstr>Sheet1</vt:lpstr>
      <vt:lpstr>H&lt;=64 TLR</vt:lpstr>
      <vt:lpstr>模板化kw</vt:lpstr>
      <vt:lpstr>H_512_1 vs H_512_2</vt:lpstr>
      <vt:lpstr>output_is_uma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Tingning Yuan(袁庭宁)</dc:creator>
  <cp:keywords/>
  <dc:description/>
  <cp:lastModifiedBy>Tingning Yuan(袁庭宁)</cp:lastModifiedBy>
  <cp:revision/>
  <dcterms:created xsi:type="dcterms:W3CDTF">2023-11-15T05:55:32Z</dcterms:created>
  <dcterms:modified xsi:type="dcterms:W3CDTF">2023-12-11T02:49:57Z</dcterms:modified>
  <cp:category/>
  <cp:contentStatus/>
</cp:coreProperties>
</file>