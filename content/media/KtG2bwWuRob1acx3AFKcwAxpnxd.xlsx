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大模型\"/>
    </mc:Choice>
  </mc:AlternateContent>
  <bookViews>
    <workbookView xWindow="0" yWindow="0" windowWidth="19200" windowHeight="7008"/>
  </bookViews>
  <sheets>
    <sheet name="GQA" sheetId="6" r:id="rId1"/>
    <sheet name="ROPE" sheetId="5" r:id="rId2"/>
    <sheet name="theory_128" sheetId="7" r:id="rId3"/>
    <sheet name="theory_576" sheetId="11" r:id="rId4"/>
    <sheet name="theory_from_nicol" sheetId="10" r:id="rId5"/>
    <sheet name="Sheet6" sheetId="12" r:id="rId6"/>
    <sheet name="Sheet1" sheetId="13" r:id="rId7"/>
  </sheets>
  <definedNames>
    <definedName name="_xlnm._FilterDatabase" localSheetId="2" hidden="1">theory_128!$C$1:$C$178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2" l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1" i="12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O33" i="6"/>
  <c r="AO34" i="6"/>
  <c r="AO35" i="6"/>
  <c r="AO36" i="6"/>
  <c r="AO37" i="6"/>
  <c r="AO38" i="6"/>
  <c r="AO39" i="6"/>
  <c r="AO40" i="6"/>
  <c r="AO41" i="6"/>
  <c r="AO42" i="6"/>
  <c r="AO43" i="6"/>
  <c r="AO44" i="6"/>
  <c r="AO45" i="6"/>
  <c r="AO46" i="6"/>
  <c r="AO47" i="6"/>
  <c r="AO48" i="6"/>
  <c r="AO49" i="6"/>
  <c r="AO50" i="6"/>
  <c r="AO51" i="6"/>
  <c r="AO52" i="6"/>
  <c r="AO53" i="6"/>
  <c r="AO54" i="6"/>
  <c r="AO55" i="6"/>
  <c r="AO56" i="6"/>
  <c r="AO57" i="6"/>
  <c r="AO58" i="6"/>
  <c r="AO59" i="6"/>
  <c r="AO60" i="6"/>
  <c r="AO61" i="6"/>
  <c r="AO62" i="6"/>
  <c r="AO63" i="6"/>
  <c r="AO64" i="6"/>
  <c r="AO65" i="6"/>
  <c r="AO66" i="6"/>
  <c r="AO67" i="6"/>
  <c r="AO68" i="6"/>
  <c r="AO69" i="6"/>
  <c r="AO70" i="6"/>
  <c r="AO71" i="6"/>
  <c r="AO72" i="6"/>
  <c r="AO73" i="6"/>
  <c r="AO74" i="6"/>
  <c r="AO75" i="6"/>
  <c r="AO76" i="6"/>
  <c r="AO77" i="6"/>
  <c r="AO78" i="6"/>
  <c r="AO79" i="6"/>
  <c r="AO80" i="6"/>
  <c r="AO81" i="6"/>
  <c r="AO82" i="6"/>
  <c r="AO83" i="6"/>
  <c r="AO84" i="6"/>
  <c r="AO85" i="6"/>
  <c r="AO86" i="6"/>
  <c r="AO87" i="6"/>
  <c r="AO88" i="6"/>
  <c r="AO89" i="6"/>
  <c r="AO90" i="6"/>
  <c r="AO91" i="6"/>
  <c r="AO92" i="6"/>
  <c r="AO93" i="6"/>
  <c r="AO94" i="6"/>
  <c r="AO95" i="6"/>
  <c r="AO96" i="6"/>
  <c r="AO97" i="6"/>
  <c r="AO98" i="6"/>
  <c r="AO99" i="6"/>
  <c r="AO100" i="6"/>
  <c r="AO101" i="6"/>
  <c r="AO102" i="6"/>
  <c r="AO103" i="6"/>
  <c r="AO104" i="6"/>
  <c r="AO105" i="6"/>
  <c r="AO106" i="6"/>
  <c r="AO107" i="6"/>
  <c r="AO108" i="6"/>
  <c r="AO109" i="6"/>
  <c r="AO110" i="6"/>
  <c r="AO111" i="6"/>
  <c r="AO112" i="6"/>
  <c r="AO113" i="6"/>
  <c r="AO114" i="6"/>
  <c r="AO115" i="6"/>
  <c r="AO116" i="6"/>
  <c r="AO117" i="6"/>
  <c r="AO118" i="6"/>
  <c r="AO119" i="6"/>
  <c r="AO120" i="6"/>
  <c r="AO121" i="6"/>
  <c r="AO122" i="6"/>
  <c r="AO123" i="6"/>
  <c r="AO124" i="6"/>
  <c r="AO125" i="6"/>
  <c r="AO126" i="6"/>
  <c r="AO127" i="6"/>
  <c r="AO128" i="6"/>
  <c r="AO129" i="6"/>
  <c r="AO130" i="6"/>
  <c r="AO131" i="6"/>
  <c r="AO132" i="6"/>
  <c r="AO133" i="6"/>
  <c r="AO134" i="6"/>
  <c r="AO135" i="6"/>
  <c r="AO136" i="6"/>
  <c r="AO137" i="6"/>
  <c r="AO138" i="6"/>
  <c r="AO139" i="6"/>
  <c r="AO140" i="6"/>
  <c r="AO141" i="6"/>
  <c r="AO142" i="6"/>
  <c r="AO143" i="6"/>
  <c r="AO144" i="6"/>
  <c r="AO145" i="6"/>
  <c r="AO146" i="6"/>
  <c r="AO147" i="6"/>
  <c r="AO148" i="6"/>
  <c r="AO149" i="6"/>
  <c r="AO150" i="6"/>
  <c r="AO151" i="6"/>
  <c r="AO152" i="6"/>
  <c r="AO153" i="6"/>
  <c r="AO154" i="6"/>
  <c r="AO155" i="6"/>
  <c r="AO156" i="6"/>
  <c r="AO157" i="6"/>
  <c r="AO158" i="6"/>
  <c r="AO159" i="6"/>
  <c r="AO160" i="6"/>
  <c r="AO161" i="6"/>
  <c r="AO162" i="6"/>
  <c r="AO163" i="6"/>
  <c r="AO164" i="6"/>
  <c r="AO165" i="6"/>
  <c r="AO166" i="6"/>
  <c r="AO167" i="6"/>
  <c r="AO168" i="6"/>
  <c r="AO169" i="6"/>
  <c r="AO170" i="6"/>
  <c r="AO171" i="6"/>
  <c r="AO172" i="6"/>
  <c r="AO173" i="6"/>
  <c r="AO174" i="6"/>
  <c r="AO175" i="6"/>
  <c r="AO176" i="6"/>
  <c r="AO177" i="6"/>
  <c r="AO178" i="6"/>
  <c r="AO179" i="6"/>
  <c r="AO180" i="6"/>
  <c r="AO181" i="6"/>
  <c r="AO182" i="6"/>
  <c r="AO183" i="6"/>
  <c r="AO184" i="6"/>
  <c r="AO185" i="6"/>
  <c r="AO186" i="6"/>
  <c r="AO187" i="6"/>
  <c r="AO188" i="6"/>
  <c r="AO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9" i="6"/>
  <c r="E82" i="10" l="1"/>
  <c r="L69" i="10"/>
  <c r="K69" i="10"/>
  <c r="L68" i="10"/>
  <c r="K68" i="10"/>
  <c r="J68" i="10"/>
  <c r="L67" i="10"/>
  <c r="K67" i="10"/>
  <c r="L66" i="10"/>
  <c r="K66" i="10"/>
  <c r="L65" i="10"/>
  <c r="K65" i="10"/>
  <c r="L64" i="10"/>
  <c r="K64" i="10"/>
  <c r="J64" i="10"/>
  <c r="L63" i="10"/>
  <c r="K63" i="10"/>
  <c r="J63" i="10"/>
  <c r="E63" i="10"/>
  <c r="L62" i="10"/>
  <c r="K62" i="10"/>
  <c r="J62" i="10"/>
  <c r="E62" i="10"/>
  <c r="E54" i="10"/>
  <c r="E53" i="10"/>
  <c r="J49" i="10"/>
  <c r="L49" i="10" s="1"/>
  <c r="L48" i="10"/>
  <c r="J48" i="10"/>
  <c r="J47" i="10"/>
  <c r="L47" i="10" s="1"/>
  <c r="L46" i="10"/>
  <c r="J46" i="10"/>
  <c r="J45" i="10"/>
  <c r="L45" i="10" s="1"/>
  <c r="L38" i="10"/>
  <c r="L37" i="10"/>
  <c r="L39" i="10" s="1"/>
  <c r="L55" i="10" s="1"/>
  <c r="J32" i="10"/>
  <c r="L32" i="10" s="1"/>
  <c r="L31" i="10"/>
  <c r="L30" i="10"/>
  <c r="J30" i="10"/>
  <c r="L29" i="10"/>
  <c r="J29" i="10"/>
  <c r="J28" i="10"/>
  <c r="L28" i="10" s="1"/>
  <c r="L33" i="10" s="1"/>
  <c r="L53" i="10" s="1"/>
  <c r="R23" i="10"/>
  <c r="Q23" i="10"/>
  <c r="P23" i="10"/>
  <c r="W22" i="10"/>
  <c r="R22" i="10"/>
  <c r="Q22" i="10"/>
  <c r="P22" i="10"/>
  <c r="L22" i="10"/>
  <c r="K22" i="10"/>
  <c r="V22" i="10" s="1"/>
  <c r="J22" i="10"/>
  <c r="S22" i="10" s="1"/>
  <c r="C22" i="10"/>
  <c r="C23" i="10" s="1"/>
  <c r="C24" i="10" s="1"/>
  <c r="C21" i="10"/>
  <c r="D9" i="10"/>
  <c r="D8" i="10"/>
  <c r="L4" i="10"/>
  <c r="L23" i="10" s="1"/>
  <c r="K4" i="10"/>
  <c r="K23" i="10" s="1"/>
  <c r="T23" i="10" s="1"/>
  <c r="J4" i="10"/>
  <c r="J23" i="10" s="1"/>
  <c r="L3" i="10"/>
  <c r="K3" i="10"/>
  <c r="J3" i="10"/>
  <c r="O72" i="11"/>
  <c r="S8" i="11"/>
  <c r="S16" i="11"/>
  <c r="S24" i="11"/>
  <c r="S32" i="11"/>
  <c r="S40" i="11"/>
  <c r="S64" i="11"/>
  <c r="S72" i="11"/>
  <c r="S80" i="11"/>
  <c r="S88" i="11"/>
  <c r="S96" i="11"/>
  <c r="S104" i="11"/>
  <c r="S112" i="11"/>
  <c r="S113" i="11"/>
  <c r="S120" i="11"/>
  <c r="S121" i="11"/>
  <c r="S128" i="11"/>
  <c r="S129" i="11"/>
  <c r="S136" i="11"/>
  <c r="S144" i="11"/>
  <c r="S152" i="11"/>
  <c r="S153" i="11"/>
  <c r="S161" i="11"/>
  <c r="S166" i="11"/>
  <c r="S168" i="11"/>
  <c r="S169" i="11"/>
  <c r="S176" i="11"/>
  <c r="K181" i="11"/>
  <c r="J181" i="11"/>
  <c r="S181" i="11" s="1"/>
  <c r="K180" i="11"/>
  <c r="J180" i="11"/>
  <c r="S180" i="11" s="1"/>
  <c r="K179" i="11"/>
  <c r="J179" i="11"/>
  <c r="S179" i="11" s="1"/>
  <c r="K178" i="11"/>
  <c r="P178" i="11" s="1"/>
  <c r="J178" i="11"/>
  <c r="S178" i="11" s="1"/>
  <c r="K177" i="11"/>
  <c r="J177" i="11"/>
  <c r="S177" i="11" s="1"/>
  <c r="K176" i="11"/>
  <c r="J176" i="11"/>
  <c r="T176" i="11" s="1"/>
  <c r="K175" i="11"/>
  <c r="P175" i="11" s="1"/>
  <c r="J175" i="11"/>
  <c r="S175" i="11" s="1"/>
  <c r="K174" i="11"/>
  <c r="P174" i="11" s="1"/>
  <c r="J174" i="11"/>
  <c r="S174" i="11" s="1"/>
  <c r="K173" i="11"/>
  <c r="J173" i="11"/>
  <c r="S173" i="11" s="1"/>
  <c r="K172" i="11"/>
  <c r="J172" i="11"/>
  <c r="S172" i="11" s="1"/>
  <c r="K171" i="11"/>
  <c r="J171" i="11"/>
  <c r="S171" i="11" s="1"/>
  <c r="K170" i="11"/>
  <c r="P170" i="11" s="1"/>
  <c r="J170" i="11"/>
  <c r="S170" i="11" s="1"/>
  <c r="K169" i="11"/>
  <c r="J169" i="11"/>
  <c r="K168" i="11"/>
  <c r="P168" i="11" s="1"/>
  <c r="J168" i="11"/>
  <c r="T167" i="11"/>
  <c r="K167" i="11"/>
  <c r="P167" i="11" s="1"/>
  <c r="J167" i="11"/>
  <c r="S167" i="11" s="1"/>
  <c r="K166" i="11"/>
  <c r="J166" i="11"/>
  <c r="K165" i="11"/>
  <c r="J165" i="11"/>
  <c r="S165" i="11" s="1"/>
  <c r="K164" i="11"/>
  <c r="J164" i="11"/>
  <c r="S164" i="11" s="1"/>
  <c r="K163" i="11"/>
  <c r="P163" i="11" s="1"/>
  <c r="J163" i="11"/>
  <c r="S163" i="11" s="1"/>
  <c r="K162" i="11"/>
  <c r="T162" i="11" s="1"/>
  <c r="J162" i="11"/>
  <c r="S162" i="11" s="1"/>
  <c r="K161" i="11"/>
  <c r="P161" i="11" s="1"/>
  <c r="J161" i="11"/>
  <c r="K160" i="11"/>
  <c r="S160" i="11" s="1"/>
  <c r="J160" i="11"/>
  <c r="K159" i="11"/>
  <c r="J159" i="11"/>
  <c r="T159" i="11" s="1"/>
  <c r="K158" i="11"/>
  <c r="J158" i="11"/>
  <c r="S158" i="11" s="1"/>
  <c r="K157" i="11"/>
  <c r="P157" i="11" s="1"/>
  <c r="J157" i="11"/>
  <c r="S157" i="11" s="1"/>
  <c r="K156" i="11"/>
  <c r="J156" i="11"/>
  <c r="S156" i="11" s="1"/>
  <c r="K155" i="11"/>
  <c r="J155" i="11"/>
  <c r="S155" i="11" s="1"/>
  <c r="K154" i="11"/>
  <c r="P154" i="11" s="1"/>
  <c r="J154" i="11"/>
  <c r="S154" i="11" s="1"/>
  <c r="K153" i="11"/>
  <c r="J153" i="11"/>
  <c r="K152" i="11"/>
  <c r="J152" i="11"/>
  <c r="K151" i="11"/>
  <c r="P151" i="11" s="1"/>
  <c r="J151" i="11"/>
  <c r="S151" i="11" s="1"/>
  <c r="K150" i="11"/>
  <c r="J150" i="11"/>
  <c r="S150" i="11" s="1"/>
  <c r="K149" i="11"/>
  <c r="J149" i="11"/>
  <c r="T149" i="11" s="1"/>
  <c r="K148" i="11"/>
  <c r="J148" i="11"/>
  <c r="S148" i="11" s="1"/>
  <c r="T147" i="11"/>
  <c r="K147" i="11"/>
  <c r="J147" i="11"/>
  <c r="S147" i="11" s="1"/>
  <c r="K146" i="11"/>
  <c r="P146" i="11" s="1"/>
  <c r="J146" i="11"/>
  <c r="S146" i="11" s="1"/>
  <c r="K145" i="11"/>
  <c r="J145" i="11"/>
  <c r="T145" i="11" s="1"/>
  <c r="K144" i="11"/>
  <c r="J144" i="11"/>
  <c r="K143" i="11"/>
  <c r="P143" i="11" s="1"/>
  <c r="J143" i="11"/>
  <c r="S143" i="11" s="1"/>
  <c r="K142" i="11"/>
  <c r="J142" i="11"/>
  <c r="S142" i="11" s="1"/>
  <c r="T141" i="11"/>
  <c r="K141" i="11"/>
  <c r="P141" i="11" s="1"/>
  <c r="J141" i="11"/>
  <c r="S141" i="11" s="1"/>
  <c r="K140" i="11"/>
  <c r="J140" i="11"/>
  <c r="S140" i="11" s="1"/>
  <c r="K139" i="11"/>
  <c r="J139" i="11"/>
  <c r="S139" i="11" s="1"/>
  <c r="W138" i="11"/>
  <c r="K138" i="11"/>
  <c r="T138" i="11" s="1"/>
  <c r="J138" i="11"/>
  <c r="V138" i="11" s="1"/>
  <c r="O137" i="11"/>
  <c r="K137" i="11"/>
  <c r="T137" i="11" s="1"/>
  <c r="J137" i="11"/>
  <c r="V137" i="11" s="1"/>
  <c r="K136" i="11"/>
  <c r="T136" i="11" s="1"/>
  <c r="J136" i="11"/>
  <c r="V136" i="11" s="1"/>
  <c r="K135" i="11"/>
  <c r="J135" i="11"/>
  <c r="V135" i="11" s="1"/>
  <c r="K134" i="11"/>
  <c r="J134" i="11"/>
  <c r="V134" i="11" s="1"/>
  <c r="P133" i="11"/>
  <c r="O133" i="11"/>
  <c r="K133" i="11"/>
  <c r="T133" i="11" s="1"/>
  <c r="J133" i="11"/>
  <c r="V133" i="11" s="1"/>
  <c r="K132" i="11"/>
  <c r="J132" i="11"/>
  <c r="V132" i="11" s="1"/>
  <c r="O131" i="11"/>
  <c r="J131" i="11"/>
  <c r="S131" i="11" s="1"/>
  <c r="N130" i="11"/>
  <c r="J130" i="11"/>
  <c r="S130" i="11" s="1"/>
  <c r="J129" i="11"/>
  <c r="J128" i="11"/>
  <c r="V128" i="11" s="1"/>
  <c r="J127" i="11"/>
  <c r="S127" i="11" s="1"/>
  <c r="W126" i="11"/>
  <c r="R126" i="11"/>
  <c r="P126" i="11"/>
  <c r="O126" i="11"/>
  <c r="J126" i="11"/>
  <c r="V126" i="11" s="1"/>
  <c r="N125" i="11"/>
  <c r="J125" i="11"/>
  <c r="P125" i="11" s="1"/>
  <c r="J124" i="11"/>
  <c r="W124" i="11" s="1"/>
  <c r="P123" i="11"/>
  <c r="O123" i="11"/>
  <c r="J123" i="11"/>
  <c r="S123" i="11" s="1"/>
  <c r="N122" i="11"/>
  <c r="J122" i="11"/>
  <c r="R122" i="11" s="1"/>
  <c r="J121" i="11"/>
  <c r="W121" i="11" s="1"/>
  <c r="N120" i="11"/>
  <c r="J120" i="11"/>
  <c r="V120" i="11" s="1"/>
  <c r="T119" i="11"/>
  <c r="J119" i="11"/>
  <c r="S119" i="11" s="1"/>
  <c r="O118" i="11"/>
  <c r="J118" i="11"/>
  <c r="V118" i="11" s="1"/>
  <c r="J117" i="11"/>
  <c r="P117" i="11" s="1"/>
  <c r="V116" i="11"/>
  <c r="N116" i="11"/>
  <c r="J116" i="11"/>
  <c r="W116" i="11" s="1"/>
  <c r="O115" i="11"/>
  <c r="J115" i="11"/>
  <c r="S115" i="11" s="1"/>
  <c r="W114" i="11"/>
  <c r="V114" i="11"/>
  <c r="P114" i="11"/>
  <c r="O114" i="11"/>
  <c r="N114" i="11"/>
  <c r="J114" i="11"/>
  <c r="S114" i="11" s="1"/>
  <c r="W113" i="11"/>
  <c r="O113" i="11"/>
  <c r="J113" i="11"/>
  <c r="V113" i="11" s="1"/>
  <c r="J112" i="11"/>
  <c r="J111" i="11"/>
  <c r="S111" i="11" s="1"/>
  <c r="T110" i="11"/>
  <c r="J110" i="11"/>
  <c r="R110" i="11" s="1"/>
  <c r="V109" i="11"/>
  <c r="J109" i="11"/>
  <c r="P109" i="11" s="1"/>
  <c r="V108" i="11"/>
  <c r="P108" i="11"/>
  <c r="N108" i="11"/>
  <c r="J108" i="11"/>
  <c r="W108" i="11" s="1"/>
  <c r="J107" i="11"/>
  <c r="S107" i="11" s="1"/>
  <c r="W106" i="11"/>
  <c r="T106" i="11"/>
  <c r="R106" i="11"/>
  <c r="J106" i="11"/>
  <c r="S106" i="11" s="1"/>
  <c r="U106" i="11" s="1"/>
  <c r="N105" i="11"/>
  <c r="J105" i="11"/>
  <c r="V105" i="11" s="1"/>
  <c r="J104" i="11"/>
  <c r="T104" i="11" s="1"/>
  <c r="J103" i="11"/>
  <c r="S103" i="11" s="1"/>
  <c r="V102" i="11"/>
  <c r="T102" i="11"/>
  <c r="J102" i="11"/>
  <c r="R102" i="11" s="1"/>
  <c r="V101" i="11"/>
  <c r="J101" i="11"/>
  <c r="P101" i="11" s="1"/>
  <c r="J100" i="11"/>
  <c r="S100" i="11" s="1"/>
  <c r="W99" i="11"/>
  <c r="J99" i="11"/>
  <c r="T99" i="11" s="1"/>
  <c r="W98" i="11"/>
  <c r="T98" i="11"/>
  <c r="R98" i="11"/>
  <c r="J98" i="11"/>
  <c r="S98" i="11" s="1"/>
  <c r="U98" i="11" s="1"/>
  <c r="J97" i="11"/>
  <c r="W97" i="11" s="1"/>
  <c r="J96" i="11"/>
  <c r="P95" i="11"/>
  <c r="J95" i="11"/>
  <c r="S95" i="11" s="1"/>
  <c r="V94" i="11"/>
  <c r="T94" i="11"/>
  <c r="P94" i="11"/>
  <c r="O94" i="11"/>
  <c r="N94" i="11"/>
  <c r="J94" i="11"/>
  <c r="W94" i="11" s="1"/>
  <c r="N93" i="11"/>
  <c r="J93" i="11"/>
  <c r="P93" i="11" s="1"/>
  <c r="J92" i="11"/>
  <c r="R92" i="11" s="1"/>
  <c r="O91" i="11"/>
  <c r="K91" i="11"/>
  <c r="T91" i="11" s="1"/>
  <c r="J91" i="11"/>
  <c r="S91" i="11" s="1"/>
  <c r="K90" i="11"/>
  <c r="P90" i="11" s="1"/>
  <c r="J90" i="11"/>
  <c r="S90" i="11" s="1"/>
  <c r="K89" i="11"/>
  <c r="J89" i="11"/>
  <c r="P89" i="11" s="1"/>
  <c r="T88" i="11"/>
  <c r="K88" i="11"/>
  <c r="P88" i="11" s="1"/>
  <c r="J88" i="11"/>
  <c r="K87" i="11"/>
  <c r="T87" i="11" s="1"/>
  <c r="J87" i="11"/>
  <c r="S87" i="11" s="1"/>
  <c r="K86" i="11"/>
  <c r="P86" i="11" s="1"/>
  <c r="J86" i="11"/>
  <c r="S86" i="11" s="1"/>
  <c r="O85" i="11"/>
  <c r="K85" i="11"/>
  <c r="J85" i="11"/>
  <c r="S85" i="11" s="1"/>
  <c r="K84" i="11"/>
  <c r="J84" i="11"/>
  <c r="W84" i="11" s="1"/>
  <c r="K83" i="11"/>
  <c r="T83" i="11" s="1"/>
  <c r="J83" i="11"/>
  <c r="S83" i="11" s="1"/>
  <c r="K82" i="11"/>
  <c r="J82" i="11"/>
  <c r="S82" i="11" s="1"/>
  <c r="K81" i="11"/>
  <c r="J81" i="11"/>
  <c r="S81" i="11" s="1"/>
  <c r="K80" i="11"/>
  <c r="J80" i="11"/>
  <c r="K79" i="11"/>
  <c r="J79" i="11"/>
  <c r="T79" i="11" s="1"/>
  <c r="R78" i="11"/>
  <c r="K78" i="11"/>
  <c r="T78" i="11" s="1"/>
  <c r="J78" i="11"/>
  <c r="P78" i="11" s="1"/>
  <c r="K77" i="11"/>
  <c r="J77" i="11"/>
  <c r="S77" i="11" s="1"/>
  <c r="P76" i="11"/>
  <c r="K76" i="11"/>
  <c r="J76" i="11"/>
  <c r="S76" i="11" s="1"/>
  <c r="K75" i="11"/>
  <c r="J75" i="11"/>
  <c r="S75" i="11" s="1"/>
  <c r="T74" i="11"/>
  <c r="P74" i="11"/>
  <c r="N74" i="11"/>
  <c r="K74" i="11"/>
  <c r="J74" i="11"/>
  <c r="S74" i="11" s="1"/>
  <c r="K73" i="11"/>
  <c r="T73" i="11" s="1"/>
  <c r="J73" i="11"/>
  <c r="P73" i="11" s="1"/>
  <c r="V72" i="11"/>
  <c r="T72" i="11"/>
  <c r="K72" i="11"/>
  <c r="J72" i="11"/>
  <c r="N72" i="11" s="1"/>
  <c r="K71" i="11"/>
  <c r="J71" i="11"/>
  <c r="T71" i="11" s="1"/>
  <c r="T70" i="11"/>
  <c r="N70" i="11"/>
  <c r="K70" i="11"/>
  <c r="P70" i="11" s="1"/>
  <c r="J70" i="11"/>
  <c r="R70" i="11" s="1"/>
  <c r="T69" i="11"/>
  <c r="K69" i="11"/>
  <c r="J69" i="11"/>
  <c r="V69" i="11" s="1"/>
  <c r="K68" i="11"/>
  <c r="P68" i="11" s="1"/>
  <c r="J68" i="11"/>
  <c r="T68" i="11" s="1"/>
  <c r="K67" i="11"/>
  <c r="J67" i="11"/>
  <c r="V67" i="11" s="1"/>
  <c r="T66" i="11"/>
  <c r="R66" i="11"/>
  <c r="K66" i="11"/>
  <c r="J66" i="11"/>
  <c r="S66" i="11" s="1"/>
  <c r="N65" i="11"/>
  <c r="K65" i="11"/>
  <c r="T65" i="11" s="1"/>
  <c r="J65" i="11"/>
  <c r="S65" i="11" s="1"/>
  <c r="K64" i="11"/>
  <c r="T64" i="11" s="1"/>
  <c r="J64" i="11"/>
  <c r="V64" i="11" s="1"/>
  <c r="N63" i="11"/>
  <c r="K63" i="11"/>
  <c r="J63" i="11"/>
  <c r="S63" i="11" s="1"/>
  <c r="K62" i="11"/>
  <c r="T62" i="11" s="1"/>
  <c r="J62" i="11"/>
  <c r="R62" i="11" s="1"/>
  <c r="T61" i="11"/>
  <c r="K61" i="11"/>
  <c r="J61" i="11"/>
  <c r="V61" i="11" s="1"/>
  <c r="K60" i="11"/>
  <c r="P60" i="11" s="1"/>
  <c r="J60" i="11"/>
  <c r="K59" i="11"/>
  <c r="J59" i="11"/>
  <c r="V59" i="11" s="1"/>
  <c r="N58" i="11"/>
  <c r="K58" i="11"/>
  <c r="T58" i="11" s="1"/>
  <c r="J58" i="11"/>
  <c r="S58" i="11" s="1"/>
  <c r="T57" i="11"/>
  <c r="P57" i="11"/>
  <c r="N57" i="11"/>
  <c r="K57" i="11"/>
  <c r="J57" i="11"/>
  <c r="S57" i="11" s="1"/>
  <c r="K56" i="11"/>
  <c r="J56" i="11"/>
  <c r="V56" i="11" s="1"/>
  <c r="R55" i="11"/>
  <c r="N55" i="11"/>
  <c r="K55" i="11"/>
  <c r="J55" i="11"/>
  <c r="T55" i="11" s="1"/>
  <c r="P54" i="11"/>
  <c r="N54" i="11"/>
  <c r="K54" i="11"/>
  <c r="T54" i="11" s="1"/>
  <c r="J54" i="11"/>
  <c r="S54" i="11" s="1"/>
  <c r="K53" i="11"/>
  <c r="J53" i="11"/>
  <c r="T53" i="11" s="1"/>
  <c r="K52" i="11"/>
  <c r="P52" i="11" s="1"/>
  <c r="J52" i="11"/>
  <c r="V52" i="11" s="1"/>
  <c r="K51" i="11"/>
  <c r="J51" i="11"/>
  <c r="S51" i="11" s="1"/>
  <c r="K50" i="11"/>
  <c r="T50" i="11" s="1"/>
  <c r="J50" i="11"/>
  <c r="S50" i="11" s="1"/>
  <c r="K49" i="11"/>
  <c r="T49" i="11" s="1"/>
  <c r="J49" i="11"/>
  <c r="N49" i="11" s="1"/>
  <c r="K48" i="11"/>
  <c r="S48" i="11" s="1"/>
  <c r="J48" i="11"/>
  <c r="K47" i="11"/>
  <c r="J47" i="11"/>
  <c r="T47" i="11" s="1"/>
  <c r="R46" i="11"/>
  <c r="K46" i="11"/>
  <c r="P46" i="11" s="1"/>
  <c r="J46" i="11"/>
  <c r="N46" i="11" s="1"/>
  <c r="K45" i="11"/>
  <c r="J45" i="11"/>
  <c r="K44" i="11"/>
  <c r="J44" i="11"/>
  <c r="S44" i="11" s="1"/>
  <c r="K43" i="11"/>
  <c r="J43" i="11"/>
  <c r="R43" i="11" s="1"/>
  <c r="T42" i="11"/>
  <c r="P42" i="11"/>
  <c r="N42" i="11"/>
  <c r="K42" i="11"/>
  <c r="J42" i="11"/>
  <c r="S42" i="11" s="1"/>
  <c r="N41" i="11"/>
  <c r="J41" i="11"/>
  <c r="W41" i="11" s="1"/>
  <c r="J40" i="11"/>
  <c r="W40" i="11" s="1"/>
  <c r="W39" i="11"/>
  <c r="T39" i="11"/>
  <c r="R39" i="11"/>
  <c r="J39" i="11"/>
  <c r="P39" i="11" s="1"/>
  <c r="V38" i="11"/>
  <c r="O38" i="11"/>
  <c r="N38" i="11"/>
  <c r="J38" i="11"/>
  <c r="S38" i="11" s="1"/>
  <c r="T37" i="11"/>
  <c r="O37" i="11"/>
  <c r="N37" i="11"/>
  <c r="J37" i="11"/>
  <c r="W37" i="11" s="1"/>
  <c r="J36" i="11"/>
  <c r="S36" i="11" s="1"/>
  <c r="V35" i="11"/>
  <c r="J35" i="11"/>
  <c r="S35" i="11" s="1"/>
  <c r="T34" i="11"/>
  <c r="R34" i="11"/>
  <c r="O34" i="11"/>
  <c r="J34" i="11"/>
  <c r="S34" i="11" s="1"/>
  <c r="U34" i="11" s="1"/>
  <c r="V33" i="11"/>
  <c r="T33" i="11"/>
  <c r="J33" i="11"/>
  <c r="W33" i="11" s="1"/>
  <c r="O32" i="11"/>
  <c r="J32" i="11"/>
  <c r="R32" i="11" s="1"/>
  <c r="N31" i="11"/>
  <c r="J31" i="11"/>
  <c r="W31" i="11" s="1"/>
  <c r="J30" i="11"/>
  <c r="V30" i="11" s="1"/>
  <c r="T29" i="11"/>
  <c r="R29" i="11"/>
  <c r="J29" i="11"/>
  <c r="O29" i="11" s="1"/>
  <c r="J28" i="11"/>
  <c r="S28" i="11" s="1"/>
  <c r="P27" i="11"/>
  <c r="J27" i="11"/>
  <c r="T27" i="11" s="1"/>
  <c r="J26" i="11"/>
  <c r="S26" i="11" s="1"/>
  <c r="T25" i="11"/>
  <c r="R25" i="11"/>
  <c r="J25" i="11"/>
  <c r="W25" i="11" s="1"/>
  <c r="J24" i="11"/>
  <c r="W24" i="11" s="1"/>
  <c r="V23" i="11"/>
  <c r="T23" i="11"/>
  <c r="J23" i="11"/>
  <c r="P23" i="11" s="1"/>
  <c r="J22" i="11"/>
  <c r="V22" i="11" s="1"/>
  <c r="V21" i="11"/>
  <c r="T21" i="11"/>
  <c r="J21" i="11"/>
  <c r="O20" i="11"/>
  <c r="N20" i="11"/>
  <c r="J20" i="11"/>
  <c r="V20" i="11" s="1"/>
  <c r="J19" i="11"/>
  <c r="S19" i="11" s="1"/>
  <c r="J18" i="11"/>
  <c r="T18" i="11" s="1"/>
  <c r="V17" i="11"/>
  <c r="T17" i="11"/>
  <c r="J17" i="11"/>
  <c r="R17" i="11" s="1"/>
  <c r="J16" i="11"/>
  <c r="T15" i="11"/>
  <c r="P15" i="11"/>
  <c r="J15" i="11"/>
  <c r="S15" i="11" s="1"/>
  <c r="V14" i="11"/>
  <c r="T14" i="11"/>
  <c r="P14" i="11"/>
  <c r="O14" i="11"/>
  <c r="N14" i="11"/>
  <c r="J14" i="11"/>
  <c r="W14" i="11" s="1"/>
  <c r="V13" i="11"/>
  <c r="R13" i="11"/>
  <c r="N13" i="11"/>
  <c r="J13" i="11"/>
  <c r="P13" i="11" s="1"/>
  <c r="R12" i="11"/>
  <c r="P12" i="11"/>
  <c r="J12" i="11"/>
  <c r="S12" i="11" s="1"/>
  <c r="T11" i="11"/>
  <c r="P11" i="11"/>
  <c r="O11" i="11"/>
  <c r="J11" i="11"/>
  <c r="V11" i="11" s="1"/>
  <c r="W10" i="11"/>
  <c r="V10" i="11"/>
  <c r="T10" i="11"/>
  <c r="P10" i="11"/>
  <c r="O10" i="11"/>
  <c r="N10" i="11"/>
  <c r="Q10" i="11" s="1"/>
  <c r="J10" i="11"/>
  <c r="S10" i="11" s="1"/>
  <c r="W9" i="11"/>
  <c r="V9" i="11"/>
  <c r="N9" i="11"/>
  <c r="J9" i="11"/>
  <c r="S9" i="11" s="1"/>
  <c r="J8" i="11"/>
  <c r="V8" i="11" s="1"/>
  <c r="J7" i="11"/>
  <c r="S7" i="11" s="1"/>
  <c r="N6" i="11"/>
  <c r="J6" i="11"/>
  <c r="V6" i="11" s="1"/>
  <c r="J5" i="11"/>
  <c r="P5" i="11" s="1"/>
  <c r="J4" i="11"/>
  <c r="P4" i="11" s="1"/>
  <c r="T3" i="11"/>
  <c r="P3" i="11"/>
  <c r="O3" i="11"/>
  <c r="J3" i="11"/>
  <c r="V3" i="11" s="1"/>
  <c r="T2" i="11"/>
  <c r="P2" i="11"/>
  <c r="O2" i="11"/>
  <c r="N2" i="11"/>
  <c r="J2" i="11"/>
  <c r="V2" i="11" s="1"/>
  <c r="U3" i="7"/>
  <c r="U4" i="7"/>
  <c r="U5" i="7"/>
  <c r="U6" i="7"/>
  <c r="U7" i="7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U69" i="7"/>
  <c r="U70" i="7"/>
  <c r="U71" i="7"/>
  <c r="U72" i="7"/>
  <c r="U73" i="7"/>
  <c r="U74" i="7"/>
  <c r="U75" i="7"/>
  <c r="U76" i="7"/>
  <c r="U77" i="7"/>
  <c r="U78" i="7"/>
  <c r="U79" i="7"/>
  <c r="U80" i="7"/>
  <c r="U81" i="7"/>
  <c r="U82" i="7"/>
  <c r="U83" i="7"/>
  <c r="U84" i="7"/>
  <c r="U85" i="7"/>
  <c r="U86" i="7"/>
  <c r="U87" i="7"/>
  <c r="U88" i="7"/>
  <c r="U89" i="7"/>
  <c r="U90" i="7"/>
  <c r="U91" i="7"/>
  <c r="U92" i="7"/>
  <c r="U93" i="7"/>
  <c r="U94" i="7"/>
  <c r="U95" i="7"/>
  <c r="U96" i="7"/>
  <c r="U97" i="7"/>
  <c r="U98" i="7"/>
  <c r="U99" i="7"/>
  <c r="U100" i="7"/>
  <c r="U101" i="7"/>
  <c r="U102" i="7"/>
  <c r="U103" i="7"/>
  <c r="U104" i="7"/>
  <c r="U105" i="7"/>
  <c r="U106" i="7"/>
  <c r="U107" i="7"/>
  <c r="U108" i="7"/>
  <c r="U109" i="7"/>
  <c r="U110" i="7"/>
  <c r="U111" i="7"/>
  <c r="U112" i="7"/>
  <c r="U113" i="7"/>
  <c r="U114" i="7"/>
  <c r="U115" i="7"/>
  <c r="U116" i="7"/>
  <c r="U117" i="7"/>
  <c r="U118" i="7"/>
  <c r="U119" i="7"/>
  <c r="U120" i="7"/>
  <c r="U121" i="7"/>
  <c r="U122" i="7"/>
  <c r="U123" i="7"/>
  <c r="U124" i="7"/>
  <c r="U125" i="7"/>
  <c r="U126" i="7"/>
  <c r="U127" i="7"/>
  <c r="U128" i="7"/>
  <c r="U129" i="7"/>
  <c r="U130" i="7"/>
  <c r="U131" i="7"/>
  <c r="U132" i="7"/>
  <c r="U133" i="7"/>
  <c r="U134" i="7"/>
  <c r="U135" i="7"/>
  <c r="U136" i="7"/>
  <c r="U137" i="7"/>
  <c r="U138" i="7"/>
  <c r="U139" i="7"/>
  <c r="U140" i="7"/>
  <c r="U141" i="7"/>
  <c r="U142" i="7"/>
  <c r="U143" i="7"/>
  <c r="U144" i="7"/>
  <c r="U145" i="7"/>
  <c r="U146" i="7"/>
  <c r="U147" i="7"/>
  <c r="U148" i="7"/>
  <c r="U149" i="7"/>
  <c r="U150" i="7"/>
  <c r="U151" i="7"/>
  <c r="U152" i="7"/>
  <c r="U153" i="7"/>
  <c r="U154" i="7"/>
  <c r="U155" i="7"/>
  <c r="U156" i="7"/>
  <c r="U157" i="7"/>
  <c r="U158" i="7"/>
  <c r="U159" i="7"/>
  <c r="U160" i="7"/>
  <c r="U161" i="7"/>
  <c r="U162" i="7"/>
  <c r="U163" i="7"/>
  <c r="U164" i="7"/>
  <c r="U165" i="7"/>
  <c r="U166" i="7"/>
  <c r="U167" i="7"/>
  <c r="U168" i="7"/>
  <c r="U169" i="7"/>
  <c r="U170" i="7"/>
  <c r="U171" i="7"/>
  <c r="U172" i="7"/>
  <c r="U173" i="7"/>
  <c r="U174" i="7"/>
  <c r="U175" i="7"/>
  <c r="U176" i="7"/>
  <c r="U177" i="7"/>
  <c r="U178" i="7"/>
  <c r="U179" i="7"/>
  <c r="U180" i="7"/>
  <c r="U181" i="7"/>
  <c r="U2" i="7"/>
  <c r="W6" i="11" l="1"/>
  <c r="U32" i="11"/>
  <c r="S145" i="11"/>
  <c r="S137" i="11"/>
  <c r="S105" i="11"/>
  <c r="S97" i="11"/>
  <c r="S89" i="11"/>
  <c r="S73" i="11"/>
  <c r="S49" i="11"/>
  <c r="S41" i="11"/>
  <c r="U41" i="11" s="1"/>
  <c r="S33" i="11"/>
  <c r="S25" i="11"/>
  <c r="U25" i="11" s="1"/>
  <c r="S17" i="11"/>
  <c r="R2" i="11"/>
  <c r="W3" i="11"/>
  <c r="O6" i="11"/>
  <c r="T7" i="11"/>
  <c r="R14" i="11"/>
  <c r="W17" i="11"/>
  <c r="T20" i="11"/>
  <c r="W23" i="11"/>
  <c r="V25" i="11"/>
  <c r="R27" i="11"/>
  <c r="O31" i="11"/>
  <c r="P32" i="11"/>
  <c r="P38" i="11"/>
  <c r="V39" i="11"/>
  <c r="P41" i="11"/>
  <c r="R42" i="11"/>
  <c r="U42" i="11" s="1"/>
  <c r="T45" i="11"/>
  <c r="T46" i="11"/>
  <c r="T48" i="11"/>
  <c r="N50" i="11"/>
  <c r="R54" i="11"/>
  <c r="U54" i="11" s="1"/>
  <c r="T60" i="11"/>
  <c r="N62" i="11"/>
  <c r="R63" i="11"/>
  <c r="P65" i="11"/>
  <c r="R74" i="11"/>
  <c r="T81" i="11"/>
  <c r="T89" i="11"/>
  <c r="P91" i="11"/>
  <c r="O93" i="11"/>
  <c r="R94" i="11"/>
  <c r="V97" i="11"/>
  <c r="V98" i="11"/>
  <c r="N100" i="11"/>
  <c r="W101" i="11"/>
  <c r="W102" i="11"/>
  <c r="O105" i="11"/>
  <c r="V106" i="11"/>
  <c r="R108" i="11"/>
  <c r="W109" i="11"/>
  <c r="V110" i="11"/>
  <c r="N117" i="11"/>
  <c r="P118" i="11"/>
  <c r="R120" i="11"/>
  <c r="O122" i="11"/>
  <c r="W123" i="11"/>
  <c r="O125" i="11"/>
  <c r="T126" i="11"/>
  <c r="O130" i="11"/>
  <c r="Q130" i="11" s="1"/>
  <c r="W131" i="11"/>
  <c r="W133" i="11"/>
  <c r="P137" i="11"/>
  <c r="T139" i="11"/>
  <c r="P145" i="11"/>
  <c r="T151" i="11"/>
  <c r="T154" i="11"/>
  <c r="T157" i="11"/>
  <c r="P171" i="11"/>
  <c r="S159" i="11"/>
  <c r="S135" i="11"/>
  <c r="U135" i="11" s="1"/>
  <c r="S79" i="11"/>
  <c r="S71" i="11"/>
  <c r="S55" i="11"/>
  <c r="S47" i="11"/>
  <c r="S39" i="11"/>
  <c r="S31" i="11"/>
  <c r="S23" i="11"/>
  <c r="S56" i="11"/>
  <c r="U56" i="11" s="1"/>
  <c r="V27" i="11"/>
  <c r="R41" i="11"/>
  <c r="P50" i="11"/>
  <c r="T56" i="11"/>
  <c r="P62" i="11"/>
  <c r="N71" i="11"/>
  <c r="N73" i="11"/>
  <c r="T77" i="11"/>
  <c r="P84" i="11"/>
  <c r="R93" i="11"/>
  <c r="P100" i="11"/>
  <c r="W105" i="11"/>
  <c r="W110" i="11"/>
  <c r="O117" i="11"/>
  <c r="Q117" i="11" s="1"/>
  <c r="R118" i="11"/>
  <c r="T120" i="11"/>
  <c r="P122" i="11"/>
  <c r="R125" i="11"/>
  <c r="P130" i="11"/>
  <c r="W137" i="11"/>
  <c r="O139" i="11"/>
  <c r="T171" i="11"/>
  <c r="S2" i="11"/>
  <c r="U2" i="11" s="1"/>
  <c r="S134" i="11"/>
  <c r="S126" i="11"/>
  <c r="S118" i="11"/>
  <c r="S110" i="11"/>
  <c r="U110" i="11" s="1"/>
  <c r="S102" i="11"/>
  <c r="S94" i="11"/>
  <c r="S78" i="11"/>
  <c r="U78" i="11" s="1"/>
  <c r="S70" i="11"/>
  <c r="U70" i="11" s="1"/>
  <c r="S62" i="11"/>
  <c r="U62" i="11" s="1"/>
  <c r="S46" i="11"/>
  <c r="U46" i="11" s="1"/>
  <c r="S30" i="11"/>
  <c r="S22" i="11"/>
  <c r="S14" i="11"/>
  <c r="U14" i="11" s="1"/>
  <c r="S6" i="11"/>
  <c r="R6" i="11"/>
  <c r="T8" i="11"/>
  <c r="N17" i="11"/>
  <c r="R18" i="11"/>
  <c r="N21" i="11"/>
  <c r="N23" i="11"/>
  <c r="O26" i="11"/>
  <c r="N30" i="11"/>
  <c r="R31" i="11"/>
  <c r="T41" i="11"/>
  <c r="R50" i="11"/>
  <c r="R71" i="11"/>
  <c r="T82" i="11"/>
  <c r="T84" i="11"/>
  <c r="O87" i="11"/>
  <c r="V93" i="11"/>
  <c r="N102" i="11"/>
  <c r="N110" i="11"/>
  <c r="Q110" i="11" s="1"/>
  <c r="Y110" i="11" s="1"/>
  <c r="Z110" i="11" s="1"/>
  <c r="R117" i="11"/>
  <c r="T118" i="11"/>
  <c r="T122" i="11"/>
  <c r="N124" i="11"/>
  <c r="V125" i="11"/>
  <c r="R130" i="11"/>
  <c r="U130" i="11" s="1"/>
  <c r="T132" i="11"/>
  <c r="T134" i="11"/>
  <c r="O136" i="11"/>
  <c r="P139" i="11"/>
  <c r="P149" i="11"/>
  <c r="P155" i="11"/>
  <c r="P165" i="11"/>
  <c r="T168" i="11"/>
  <c r="T175" i="11"/>
  <c r="S149" i="11"/>
  <c r="U149" i="11" s="1"/>
  <c r="S133" i="11"/>
  <c r="S125" i="11"/>
  <c r="S117" i="11"/>
  <c r="S109" i="11"/>
  <c r="S101" i="11"/>
  <c r="S93" i="11"/>
  <c r="S69" i="11"/>
  <c r="S61" i="11"/>
  <c r="S53" i="11"/>
  <c r="S45" i="11"/>
  <c r="S37" i="11"/>
  <c r="S29" i="11"/>
  <c r="U29" i="11" s="1"/>
  <c r="S21" i="11"/>
  <c r="U21" i="11" s="1"/>
  <c r="S13" i="11"/>
  <c r="S5" i="11"/>
  <c r="W32" i="11"/>
  <c r="W2" i="11"/>
  <c r="N5" i="11"/>
  <c r="O17" i="11"/>
  <c r="W18" i="11"/>
  <c r="O21" i="11"/>
  <c r="O23" i="11"/>
  <c r="N25" i="11"/>
  <c r="R26" i="11"/>
  <c r="U26" i="11" s="1"/>
  <c r="O30" i="11"/>
  <c r="T31" i="11"/>
  <c r="N33" i="11"/>
  <c r="N39" i="11"/>
  <c r="O40" i="11"/>
  <c r="V41" i="11"/>
  <c r="N47" i="11"/>
  <c r="P58" i="11"/>
  <c r="N79" i="11"/>
  <c r="P82" i="11"/>
  <c r="P87" i="11"/>
  <c r="N92" i="11"/>
  <c r="W93" i="11"/>
  <c r="N98" i="11"/>
  <c r="O99" i="11"/>
  <c r="N101" i="11"/>
  <c r="Q101" i="11" s="1"/>
  <c r="O102" i="11"/>
  <c r="N104" i="11"/>
  <c r="N106" i="11"/>
  <c r="O107" i="11"/>
  <c r="N109" i="11"/>
  <c r="O110" i="11"/>
  <c r="W118" i="11"/>
  <c r="V122" i="11"/>
  <c r="P124" i="11"/>
  <c r="W125" i="11"/>
  <c r="T130" i="11"/>
  <c r="W132" i="11"/>
  <c r="O134" i="11"/>
  <c r="P136" i="11"/>
  <c r="T155" i="11"/>
  <c r="P179" i="11"/>
  <c r="S132" i="11"/>
  <c r="S124" i="11"/>
  <c r="S116" i="11"/>
  <c r="S108" i="11"/>
  <c r="S92" i="11"/>
  <c r="S84" i="11"/>
  <c r="S68" i="11"/>
  <c r="S60" i="11"/>
  <c r="U60" i="11" s="1"/>
  <c r="S52" i="11"/>
  <c r="S20" i="11"/>
  <c r="S4" i="11"/>
  <c r="P6" i="11"/>
  <c r="R5" i="11"/>
  <c r="T6" i="11"/>
  <c r="R10" i="11"/>
  <c r="U10" i="11" s="1"/>
  <c r="Y10" i="11" s="1"/>
  <c r="Z10" i="11" s="1"/>
  <c r="W11" i="11"/>
  <c r="P17" i="11"/>
  <c r="P21" i="11"/>
  <c r="O25" i="11"/>
  <c r="T26" i="11"/>
  <c r="N29" i="11"/>
  <c r="P30" i="11"/>
  <c r="V31" i="11"/>
  <c r="P33" i="11"/>
  <c r="W34" i="11"/>
  <c r="O39" i="11"/>
  <c r="P40" i="11"/>
  <c r="N43" i="11"/>
  <c r="R47" i="11"/>
  <c r="P49" i="11"/>
  <c r="R58" i="11"/>
  <c r="N66" i="11"/>
  <c r="T76" i="11"/>
  <c r="N78" i="11"/>
  <c r="R79" i="11"/>
  <c r="W82" i="11"/>
  <c r="P92" i="11"/>
  <c r="O98" i="11"/>
  <c r="P99" i="11"/>
  <c r="O101" i="11"/>
  <c r="P102" i="11"/>
  <c r="R104" i="11"/>
  <c r="O106" i="11"/>
  <c r="P107" i="11"/>
  <c r="O109" i="11"/>
  <c r="Q109" i="11" s="1"/>
  <c r="P110" i="11"/>
  <c r="R114" i="11"/>
  <c r="U114" i="11" s="1"/>
  <c r="P116" i="11"/>
  <c r="V117" i="11"/>
  <c r="V121" i="11"/>
  <c r="W122" i="11"/>
  <c r="R124" i="11"/>
  <c r="V130" i="11"/>
  <c r="P134" i="11"/>
  <c r="W136" i="11"/>
  <c r="O138" i="11"/>
  <c r="T143" i="11"/>
  <c r="P153" i="11"/>
  <c r="P159" i="11"/>
  <c r="P176" i="11"/>
  <c r="T179" i="11"/>
  <c r="S99" i="11"/>
  <c r="S67" i="11"/>
  <c r="S59" i="11"/>
  <c r="S43" i="11"/>
  <c r="S27" i="11"/>
  <c r="S11" i="11"/>
  <c r="S3" i="11"/>
  <c r="P31" i="11"/>
  <c r="V5" i="11"/>
  <c r="R21" i="11"/>
  <c r="R23" i="11"/>
  <c r="U23" i="11" s="1"/>
  <c r="P25" i="11"/>
  <c r="W26" i="11"/>
  <c r="R33" i="11"/>
  <c r="T63" i="11"/>
  <c r="P66" i="11"/>
  <c r="V92" i="11"/>
  <c r="P98" i="11"/>
  <c r="R101" i="11"/>
  <c r="P106" i="11"/>
  <c r="R109" i="11"/>
  <c r="N113" i="11"/>
  <c r="T114" i="11"/>
  <c r="R116" i="11"/>
  <c r="W117" i="11"/>
  <c r="V124" i="11"/>
  <c r="W130" i="11"/>
  <c r="W134" i="11"/>
  <c r="P138" i="11"/>
  <c r="P147" i="11"/>
  <c r="T153" i="11"/>
  <c r="S138" i="11"/>
  <c r="S122" i="11"/>
  <c r="U122" i="11" s="1"/>
  <c r="S18" i="11"/>
  <c r="U18" i="11" s="1"/>
  <c r="Q17" i="11"/>
  <c r="Q25" i="11"/>
  <c r="Q98" i="11"/>
  <c r="Q30" i="11"/>
  <c r="Q94" i="11"/>
  <c r="L50" i="10"/>
  <c r="L54" i="10" s="1"/>
  <c r="U22" i="10"/>
  <c r="X22" i="10" s="1"/>
  <c r="D30" i="10" s="1"/>
  <c r="W23" i="10"/>
  <c r="V23" i="10"/>
  <c r="S23" i="10"/>
  <c r="T22" i="10"/>
  <c r="Y25" i="11"/>
  <c r="Z25" i="11" s="1"/>
  <c r="AE25" i="11" s="1"/>
  <c r="Q20" i="11"/>
  <c r="Q31" i="11"/>
  <c r="Q93" i="11"/>
  <c r="Q102" i="11"/>
  <c r="Q113" i="11"/>
  <c r="Q23" i="11"/>
  <c r="Q125" i="11"/>
  <c r="Q14" i="11"/>
  <c r="Q29" i="11"/>
  <c r="Q106" i="11"/>
  <c r="Y106" i="11" s="1"/>
  <c r="Z106" i="11" s="1"/>
  <c r="Q21" i="11"/>
  <c r="Q37" i="11"/>
  <c r="Q114" i="11"/>
  <c r="W51" i="11"/>
  <c r="O51" i="11"/>
  <c r="T51" i="11"/>
  <c r="R51" i="11"/>
  <c r="U51" i="11" s="1"/>
  <c r="P51" i="11"/>
  <c r="N51" i="11"/>
  <c r="Y14" i="11"/>
  <c r="Z14" i="11" s="1"/>
  <c r="U16" i="11"/>
  <c r="R16" i="11"/>
  <c r="P16" i="11"/>
  <c r="W16" i="11"/>
  <c r="O16" i="11"/>
  <c r="W44" i="11"/>
  <c r="O44" i="11"/>
  <c r="N44" i="11"/>
  <c r="T44" i="11"/>
  <c r="V51" i="11"/>
  <c r="T146" i="11"/>
  <c r="R166" i="11"/>
  <c r="W166" i="11"/>
  <c r="O166" i="11"/>
  <c r="V166" i="11"/>
  <c r="N166" i="11"/>
  <c r="W75" i="11"/>
  <c r="O75" i="11"/>
  <c r="T75" i="11"/>
  <c r="R75" i="11"/>
  <c r="N75" i="11"/>
  <c r="P75" i="11"/>
  <c r="W19" i="11"/>
  <c r="O19" i="11"/>
  <c r="T19" i="11"/>
  <c r="R19" i="11"/>
  <c r="P19" i="11"/>
  <c r="AD25" i="11"/>
  <c r="R36" i="11"/>
  <c r="U36" i="11" s="1"/>
  <c r="P36" i="11"/>
  <c r="O36" i="11"/>
  <c r="N36" i="11"/>
  <c r="V36" i="11"/>
  <c r="V75" i="11"/>
  <c r="U13" i="11"/>
  <c r="R15" i="11"/>
  <c r="U15" i="11" s="1"/>
  <c r="W15" i="11"/>
  <c r="O15" i="11"/>
  <c r="V15" i="11"/>
  <c r="N15" i="11"/>
  <c r="N16" i="11"/>
  <c r="N19" i="11"/>
  <c r="N28" i="11"/>
  <c r="W43" i="11"/>
  <c r="O43" i="11"/>
  <c r="Q43" i="11" s="1"/>
  <c r="T43" i="11"/>
  <c r="U43" i="11"/>
  <c r="P43" i="11"/>
  <c r="W48" i="11"/>
  <c r="O48" i="11"/>
  <c r="R48" i="11"/>
  <c r="P48" i="11"/>
  <c r="N48" i="11"/>
  <c r="W4" i="11"/>
  <c r="O4" i="11"/>
  <c r="N4" i="11"/>
  <c r="V4" i="11"/>
  <c r="T4" i="11"/>
  <c r="Q6" i="11"/>
  <c r="T9" i="11"/>
  <c r="P9" i="11"/>
  <c r="P44" i="11"/>
  <c r="P45" i="11"/>
  <c r="T85" i="11"/>
  <c r="P85" i="11"/>
  <c r="W90" i="11"/>
  <c r="T90" i="11"/>
  <c r="P96" i="11"/>
  <c r="W96" i="11"/>
  <c r="O96" i="11"/>
  <c r="V96" i="11"/>
  <c r="T96" i="11"/>
  <c r="R96" i="11"/>
  <c r="N96" i="11"/>
  <c r="T22" i="11"/>
  <c r="R22" i="11"/>
  <c r="O22" i="11"/>
  <c r="N22" i="11"/>
  <c r="U172" i="11"/>
  <c r="R172" i="11"/>
  <c r="W172" i="11"/>
  <c r="O172" i="11"/>
  <c r="V172" i="11"/>
  <c r="N172" i="11"/>
  <c r="T172" i="11"/>
  <c r="P22" i="11"/>
  <c r="R28" i="11"/>
  <c r="U28" i="11" s="1"/>
  <c r="P28" i="11"/>
  <c r="T28" i="11"/>
  <c r="O28" i="11"/>
  <c r="T16" i="11"/>
  <c r="V19" i="11"/>
  <c r="W22" i="11"/>
  <c r="V28" i="11"/>
  <c r="W35" i="11"/>
  <c r="O35" i="11"/>
  <c r="T35" i="11"/>
  <c r="P35" i="11"/>
  <c r="N35" i="11"/>
  <c r="T36" i="11"/>
  <c r="V80" i="11"/>
  <c r="N80" i="11"/>
  <c r="R80" i="11"/>
  <c r="U80" i="11" s="1"/>
  <c r="O80" i="11"/>
  <c r="W80" i="11"/>
  <c r="W67" i="11"/>
  <c r="O67" i="11"/>
  <c r="T67" i="11"/>
  <c r="R67" i="11"/>
  <c r="N67" i="11"/>
  <c r="P67" i="11"/>
  <c r="W28" i="11"/>
  <c r="R35" i="11"/>
  <c r="W36" i="11"/>
  <c r="R44" i="11"/>
  <c r="U50" i="11"/>
  <c r="W56" i="11"/>
  <c r="O56" i="11"/>
  <c r="R56" i="11"/>
  <c r="P56" i="11"/>
  <c r="N56" i="11"/>
  <c r="U58" i="11"/>
  <c r="W64" i="11"/>
  <c r="O64" i="11"/>
  <c r="R64" i="11"/>
  <c r="P64" i="11"/>
  <c r="N64" i="11"/>
  <c r="U66" i="11"/>
  <c r="W72" i="11"/>
  <c r="R72" i="11"/>
  <c r="U72" i="11" s="1"/>
  <c r="P72" i="11"/>
  <c r="U74" i="11"/>
  <c r="T80" i="11"/>
  <c r="P80" i="11"/>
  <c r="W59" i="11"/>
  <c r="O59" i="11"/>
  <c r="T59" i="11"/>
  <c r="R59" i="11"/>
  <c r="P59" i="11"/>
  <c r="N59" i="11"/>
  <c r="AE106" i="11"/>
  <c r="AD106" i="11"/>
  <c r="P152" i="11"/>
  <c r="T152" i="11"/>
  <c r="V24" i="11"/>
  <c r="N24" i="11"/>
  <c r="T24" i="11"/>
  <c r="U24" i="11"/>
  <c r="R24" i="11"/>
  <c r="P24" i="11"/>
  <c r="O24" i="11"/>
  <c r="W45" i="11"/>
  <c r="O45" i="11"/>
  <c r="R45" i="11"/>
  <c r="N45" i="11"/>
  <c r="R4" i="11"/>
  <c r="U4" i="11" s="1"/>
  <c r="R8" i="11"/>
  <c r="U8" i="11" s="1"/>
  <c r="P8" i="11"/>
  <c r="W8" i="11"/>
  <c r="O8" i="11"/>
  <c r="U5" i="11"/>
  <c r="R7" i="11"/>
  <c r="U7" i="11" s="1"/>
  <c r="W7" i="11"/>
  <c r="O7" i="11"/>
  <c r="V7" i="11"/>
  <c r="N7" i="11"/>
  <c r="N8" i="11"/>
  <c r="O9" i="11"/>
  <c r="Q9" i="11" s="1"/>
  <c r="Q2" i="11"/>
  <c r="Y2" i="11" s="1"/>
  <c r="Z2" i="11" s="1"/>
  <c r="P7" i="11"/>
  <c r="R9" i="11"/>
  <c r="W12" i="11"/>
  <c r="O12" i="11"/>
  <c r="N12" i="11"/>
  <c r="V12" i="11"/>
  <c r="T12" i="11"/>
  <c r="U12" i="11"/>
  <c r="V16" i="11"/>
  <c r="U27" i="11"/>
  <c r="V37" i="11"/>
  <c r="R37" i="11"/>
  <c r="U37" i="11" s="1"/>
  <c r="Y37" i="11" s="1"/>
  <c r="Z37" i="11" s="1"/>
  <c r="P37" i="11"/>
  <c r="Q38" i="11"/>
  <c r="Q39" i="11"/>
  <c r="V43" i="11"/>
  <c r="V44" i="11"/>
  <c r="V45" i="11"/>
  <c r="V48" i="11"/>
  <c r="V86" i="11"/>
  <c r="N86" i="11"/>
  <c r="R86" i="11"/>
  <c r="O86" i="11"/>
  <c r="W86" i="11"/>
  <c r="T86" i="11"/>
  <c r="W53" i="11"/>
  <c r="O53" i="11"/>
  <c r="V53" i="11"/>
  <c r="R60" i="11"/>
  <c r="R68" i="11"/>
  <c r="U71" i="11"/>
  <c r="R76" i="11"/>
  <c r="R111" i="11"/>
  <c r="P111" i="11"/>
  <c r="W111" i="11"/>
  <c r="O111" i="11"/>
  <c r="V111" i="11"/>
  <c r="N111" i="11"/>
  <c r="T111" i="11"/>
  <c r="T135" i="11"/>
  <c r="W135" i="11"/>
  <c r="R144" i="11"/>
  <c r="W144" i="11"/>
  <c r="O144" i="11"/>
  <c r="V144" i="11"/>
  <c r="N144" i="11"/>
  <c r="P166" i="11"/>
  <c r="R169" i="11"/>
  <c r="W169" i="11"/>
  <c r="O169" i="11"/>
  <c r="V169" i="11"/>
  <c r="N169" i="11"/>
  <c r="T169" i="11"/>
  <c r="R3" i="11"/>
  <c r="U3" i="11" s="1"/>
  <c r="T5" i="11"/>
  <c r="R11" i="11"/>
  <c r="T13" i="11"/>
  <c r="P26" i="11"/>
  <c r="V26" i="11"/>
  <c r="N26" i="11"/>
  <c r="Q26" i="11" s="1"/>
  <c r="V29" i="11"/>
  <c r="U31" i="11"/>
  <c r="Y31" i="11" s="1"/>
  <c r="Z31" i="11" s="1"/>
  <c r="T38" i="11"/>
  <c r="R38" i="11"/>
  <c r="U38" i="11" s="1"/>
  <c r="W38" i="11"/>
  <c r="V40" i="11"/>
  <c r="N40" i="11"/>
  <c r="Q40" i="11" s="1"/>
  <c r="T40" i="11"/>
  <c r="W42" i="11"/>
  <c r="O42" i="11"/>
  <c r="Q42" i="11" s="1"/>
  <c r="V42" i="11"/>
  <c r="R49" i="11"/>
  <c r="U49" i="11" s="1"/>
  <c r="W50" i="11"/>
  <c r="O50" i="11"/>
  <c r="V50" i="11"/>
  <c r="R57" i="11"/>
  <c r="U57" i="11" s="1"/>
  <c r="W58" i="11"/>
  <c r="O58" i="11"/>
  <c r="Q58" i="11" s="1"/>
  <c r="Y58" i="11" s="1"/>
  <c r="Z58" i="11" s="1"/>
  <c r="V58" i="11"/>
  <c r="R65" i="11"/>
  <c r="U65" i="11" s="1"/>
  <c r="W66" i="11"/>
  <c r="O66" i="11"/>
  <c r="V66" i="11"/>
  <c r="R73" i="11"/>
  <c r="U73" i="11" s="1"/>
  <c r="W74" i="11"/>
  <c r="O74" i="11"/>
  <c r="Q74" i="11" s="1"/>
  <c r="V74" i="11"/>
  <c r="O81" i="11"/>
  <c r="V82" i="11"/>
  <c r="N82" i="11"/>
  <c r="R82" i="11"/>
  <c r="U82" i="11" s="1"/>
  <c r="O82" i="11"/>
  <c r="R95" i="11"/>
  <c r="U95" i="11" s="1"/>
  <c r="W95" i="11"/>
  <c r="O95" i="11"/>
  <c r="V95" i="11"/>
  <c r="N95" i="11"/>
  <c r="T95" i="11"/>
  <c r="W100" i="11"/>
  <c r="O100" i="11"/>
  <c r="Q100" i="11" s="1"/>
  <c r="T100" i="11"/>
  <c r="U100" i="11"/>
  <c r="V100" i="11"/>
  <c r="R100" i="11"/>
  <c r="V107" i="11"/>
  <c r="N107" i="11"/>
  <c r="Q107" i="11" s="1"/>
  <c r="T107" i="11"/>
  <c r="R107" i="11"/>
  <c r="U107" i="11" s="1"/>
  <c r="W107" i="11"/>
  <c r="O135" i="11"/>
  <c r="P144" i="11"/>
  <c r="T144" i="11"/>
  <c r="T166" i="11"/>
  <c r="P169" i="11"/>
  <c r="R52" i="11"/>
  <c r="U55" i="11"/>
  <c r="W61" i="11"/>
  <c r="O61" i="11"/>
  <c r="U63" i="11"/>
  <c r="W69" i="11"/>
  <c r="O69" i="11"/>
  <c r="W77" i="11"/>
  <c r="O77" i="11"/>
  <c r="V77" i="11"/>
  <c r="U79" i="11"/>
  <c r="W88" i="11"/>
  <c r="U11" i="11"/>
  <c r="R20" i="11"/>
  <c r="U20" i="11" s="1"/>
  <c r="P20" i="11"/>
  <c r="W20" i="11"/>
  <c r="W29" i="11"/>
  <c r="Y29" i="11" s="1"/>
  <c r="Z29" i="11" s="1"/>
  <c r="W47" i="11"/>
  <c r="O47" i="11"/>
  <c r="Q47" i="11" s="1"/>
  <c r="V47" i="11"/>
  <c r="T52" i="11"/>
  <c r="N53" i="11"/>
  <c r="Q53" i="11" s="1"/>
  <c r="W55" i="11"/>
  <c r="O55" i="11"/>
  <c r="Q55" i="11" s="1"/>
  <c r="V55" i="11"/>
  <c r="N61" i="11"/>
  <c r="W63" i="11"/>
  <c r="O63" i="11"/>
  <c r="Q63" i="11" s="1"/>
  <c r="V63" i="11"/>
  <c r="N69" i="11"/>
  <c r="W71" i="11"/>
  <c r="O71" i="11"/>
  <c r="Q71" i="11" s="1"/>
  <c r="V71" i="11"/>
  <c r="N77" i="11"/>
  <c r="W79" i="11"/>
  <c r="O79" i="11"/>
  <c r="Q79" i="11" s="1"/>
  <c r="V79" i="11"/>
  <c r="P81" i="11"/>
  <c r="V88" i="11"/>
  <c r="N88" i="11"/>
  <c r="R88" i="11"/>
  <c r="O88" i="11"/>
  <c r="R103" i="11"/>
  <c r="P103" i="11"/>
  <c r="W103" i="11"/>
  <c r="O103" i="11"/>
  <c r="V103" i="11"/>
  <c r="N103" i="11"/>
  <c r="T103" i="11"/>
  <c r="Q105" i="11"/>
  <c r="U111" i="11"/>
  <c r="P135" i="11"/>
  <c r="U160" i="11"/>
  <c r="R160" i="11"/>
  <c r="W160" i="11"/>
  <c r="O160" i="11"/>
  <c r="V160" i="11"/>
  <c r="N160" i="11"/>
  <c r="P160" i="11"/>
  <c r="T160" i="11"/>
  <c r="P53" i="11"/>
  <c r="W68" i="11"/>
  <c r="O68" i="11"/>
  <c r="V68" i="11"/>
  <c r="P69" i="11"/>
  <c r="Y98" i="11"/>
  <c r="Z98" i="11" s="1"/>
  <c r="P112" i="11"/>
  <c r="W112" i="11"/>
  <c r="O112" i="11"/>
  <c r="V112" i="11"/>
  <c r="T112" i="11"/>
  <c r="O5" i="11"/>
  <c r="Q5" i="11" s="1"/>
  <c r="W5" i="11"/>
  <c r="P18" i="11"/>
  <c r="V18" i="11"/>
  <c r="N18" i="11"/>
  <c r="W27" i="11"/>
  <c r="O27" i="11"/>
  <c r="W49" i="11"/>
  <c r="O49" i="11"/>
  <c r="Q49" i="11" s="1"/>
  <c r="V49" i="11"/>
  <c r="W57" i="11"/>
  <c r="O57" i="11"/>
  <c r="Q57" i="11" s="1"/>
  <c r="V57" i="11"/>
  <c r="W65" i="11"/>
  <c r="O65" i="11"/>
  <c r="Q65" i="11" s="1"/>
  <c r="V65" i="11"/>
  <c r="W73" i="11"/>
  <c r="O73" i="11"/>
  <c r="Q73" i="11" s="1"/>
  <c r="V73" i="11"/>
  <c r="O83" i="11"/>
  <c r="V84" i="11"/>
  <c r="N84" i="11"/>
  <c r="R84" i="11"/>
  <c r="U84" i="11" s="1"/>
  <c r="O84" i="11"/>
  <c r="U94" i="11"/>
  <c r="Y94" i="11" s="1"/>
  <c r="Z94" i="11" s="1"/>
  <c r="T97" i="11"/>
  <c r="P97" i="11"/>
  <c r="U97" i="11"/>
  <c r="R97" i="11"/>
  <c r="O97" i="11"/>
  <c r="U103" i="11"/>
  <c r="N112" i="11"/>
  <c r="U118" i="11"/>
  <c r="T129" i="11"/>
  <c r="R129" i="11"/>
  <c r="P129" i="11"/>
  <c r="V129" i="11"/>
  <c r="O129" i="11"/>
  <c r="N129" i="11"/>
  <c r="W52" i="11"/>
  <c r="O52" i="11"/>
  <c r="W60" i="11"/>
  <c r="O60" i="11"/>
  <c r="V60" i="11"/>
  <c r="P61" i="11"/>
  <c r="W76" i="11"/>
  <c r="O76" i="11"/>
  <c r="V76" i="11"/>
  <c r="P77" i="11"/>
  <c r="O13" i="11"/>
  <c r="Q13" i="11" s="1"/>
  <c r="Y13" i="11" s="1"/>
  <c r="Z13" i="11" s="1"/>
  <c r="W13" i="11"/>
  <c r="U17" i="11"/>
  <c r="Y17" i="11" s="1"/>
  <c r="Z17" i="11" s="1"/>
  <c r="N3" i="11"/>
  <c r="Q3" i="11" s="1"/>
  <c r="N11" i="11"/>
  <c r="Q11" i="11" s="1"/>
  <c r="O18" i="11"/>
  <c r="W21" i="11"/>
  <c r="N27" i="11"/>
  <c r="Q27" i="11" s="1"/>
  <c r="P29" i="11"/>
  <c r="T30" i="11"/>
  <c r="R30" i="11"/>
  <c r="U30" i="11" s="1"/>
  <c r="W30" i="11"/>
  <c r="V32" i="11"/>
  <c r="N32" i="11"/>
  <c r="Q32" i="11" s="1"/>
  <c r="T32" i="11"/>
  <c r="P34" i="11"/>
  <c r="V34" i="11"/>
  <c r="N34" i="11"/>
  <c r="Q34" i="11" s="1"/>
  <c r="U39" i="11"/>
  <c r="R40" i="11"/>
  <c r="U40" i="11" s="1"/>
  <c r="W46" i="11"/>
  <c r="O46" i="11"/>
  <c r="Q46" i="11" s="1"/>
  <c r="Y46" i="11" s="1"/>
  <c r="Z46" i="11" s="1"/>
  <c r="V46" i="11"/>
  <c r="P47" i="11"/>
  <c r="N52" i="11"/>
  <c r="R53" i="11"/>
  <c r="U53" i="11" s="1"/>
  <c r="W54" i="11"/>
  <c r="O54" i="11"/>
  <c r="Q54" i="11" s="1"/>
  <c r="V54" i="11"/>
  <c r="P55" i="11"/>
  <c r="N60" i="11"/>
  <c r="R61" i="11"/>
  <c r="U61" i="11" s="1"/>
  <c r="W62" i="11"/>
  <c r="O62" i="11"/>
  <c r="Q62" i="11" s="1"/>
  <c r="V62" i="11"/>
  <c r="P63" i="11"/>
  <c r="N68" i="11"/>
  <c r="Q68" i="11" s="1"/>
  <c r="R69" i="11"/>
  <c r="U69" i="11" s="1"/>
  <c r="W70" i="11"/>
  <c r="O70" i="11"/>
  <c r="Q70" i="11" s="1"/>
  <c r="Y70" i="11" s="1"/>
  <c r="Z70" i="11" s="1"/>
  <c r="V70" i="11"/>
  <c r="P71" i="11"/>
  <c r="N76" i="11"/>
  <c r="Q76" i="11" s="1"/>
  <c r="R77" i="11"/>
  <c r="U77" i="11" s="1"/>
  <c r="W78" i="11"/>
  <c r="O78" i="11"/>
  <c r="Q78" i="11" s="1"/>
  <c r="V78" i="11"/>
  <c r="P79" i="11"/>
  <c r="P83" i="11"/>
  <c r="O89" i="11"/>
  <c r="V90" i="11"/>
  <c r="N90" i="11"/>
  <c r="R90" i="11"/>
  <c r="U90" i="11" s="1"/>
  <c r="O90" i="11"/>
  <c r="V91" i="11"/>
  <c r="N91" i="11"/>
  <c r="Q91" i="11" s="1"/>
  <c r="R91" i="11"/>
  <c r="W91" i="11"/>
  <c r="W92" i="11"/>
  <c r="O92" i="11"/>
  <c r="Q92" i="11" s="1"/>
  <c r="T92" i="11"/>
  <c r="U92" i="11"/>
  <c r="N97" i="11"/>
  <c r="Q97" i="11" s="1"/>
  <c r="U102" i="11"/>
  <c r="U104" i="11"/>
  <c r="P104" i="11"/>
  <c r="W104" i="11"/>
  <c r="O104" i="11"/>
  <c r="Q104" i="11" s="1"/>
  <c r="V104" i="11"/>
  <c r="R112" i="11"/>
  <c r="V115" i="11"/>
  <c r="N115" i="11"/>
  <c r="Q115" i="11" s="1"/>
  <c r="T115" i="11"/>
  <c r="U115" i="11"/>
  <c r="R115" i="11"/>
  <c r="W115" i="11"/>
  <c r="P115" i="11"/>
  <c r="W129" i="11"/>
  <c r="R152" i="11"/>
  <c r="U152" i="11" s="1"/>
  <c r="W152" i="11"/>
  <c r="O152" i="11"/>
  <c r="V152" i="11"/>
  <c r="N152" i="11"/>
  <c r="P128" i="11"/>
  <c r="W128" i="11"/>
  <c r="O128" i="11"/>
  <c r="R142" i="11"/>
  <c r="U142" i="11" s="1"/>
  <c r="W142" i="11"/>
  <c r="O142" i="11"/>
  <c r="V142" i="11"/>
  <c r="N142" i="11"/>
  <c r="R150" i="11"/>
  <c r="U150" i="11" s="1"/>
  <c r="W150" i="11"/>
  <c r="O150" i="11"/>
  <c r="V150" i="11"/>
  <c r="N150" i="11"/>
  <c r="R158" i="11"/>
  <c r="W158" i="11"/>
  <c r="O158" i="11"/>
  <c r="V158" i="11"/>
  <c r="N158" i="11"/>
  <c r="R164" i="11"/>
  <c r="W164" i="11"/>
  <c r="O164" i="11"/>
  <c r="V164" i="11"/>
  <c r="N164" i="11"/>
  <c r="U125" i="11"/>
  <c r="Y125" i="11" s="1"/>
  <c r="Z125" i="11" s="1"/>
  <c r="R127" i="11"/>
  <c r="U127" i="11" s="1"/>
  <c r="P127" i="11"/>
  <c r="W127" i="11"/>
  <c r="O127" i="11"/>
  <c r="V127" i="11"/>
  <c r="N127" i="11"/>
  <c r="N128" i="11"/>
  <c r="V131" i="11"/>
  <c r="N131" i="11"/>
  <c r="Q131" i="11" s="1"/>
  <c r="T131" i="11"/>
  <c r="R131" i="11"/>
  <c r="P142" i="11"/>
  <c r="P150" i="11"/>
  <c r="P158" i="11"/>
  <c r="P164" i="11"/>
  <c r="R174" i="11"/>
  <c r="U174" i="11" s="1"/>
  <c r="W174" i="11"/>
  <c r="O174" i="11"/>
  <c r="V174" i="11"/>
  <c r="N174" i="11"/>
  <c r="R180" i="11"/>
  <c r="W180" i="11"/>
  <c r="O180" i="11"/>
  <c r="V180" i="11"/>
  <c r="N180" i="11"/>
  <c r="T180" i="11"/>
  <c r="T121" i="11"/>
  <c r="R121" i="11"/>
  <c r="U121" i="11" s="1"/>
  <c r="P121" i="11"/>
  <c r="R128" i="11"/>
  <c r="U128" i="11" s="1"/>
  <c r="R140" i="11"/>
  <c r="W140" i="11"/>
  <c r="O140" i="11"/>
  <c r="V140" i="11"/>
  <c r="N140" i="11"/>
  <c r="T142" i="11"/>
  <c r="R148" i="11"/>
  <c r="W148" i="11"/>
  <c r="O148" i="11"/>
  <c r="V148" i="11"/>
  <c r="N148" i="11"/>
  <c r="T150" i="11"/>
  <c r="R156" i="11"/>
  <c r="W156" i="11"/>
  <c r="O156" i="11"/>
  <c r="V156" i="11"/>
  <c r="N156" i="11"/>
  <c r="T158" i="11"/>
  <c r="T164" i="11"/>
  <c r="R177" i="11"/>
  <c r="W177" i="11"/>
  <c r="O177" i="11"/>
  <c r="V177" i="11"/>
  <c r="N177" i="11"/>
  <c r="T177" i="11"/>
  <c r="O33" i="11"/>
  <c r="Q33" i="11" s="1"/>
  <c r="O41" i="11"/>
  <c r="Q41" i="11" s="1"/>
  <c r="V81" i="11"/>
  <c r="N81" i="11"/>
  <c r="R81" i="11"/>
  <c r="W81" i="11"/>
  <c r="V83" i="11"/>
  <c r="N83" i="11"/>
  <c r="R83" i="11"/>
  <c r="U83" i="11" s="1"/>
  <c r="W83" i="11"/>
  <c r="V85" i="11"/>
  <c r="N85" i="11"/>
  <c r="Q85" i="11" s="1"/>
  <c r="R85" i="11"/>
  <c r="W85" i="11"/>
  <c r="V87" i="11"/>
  <c r="N87" i="11"/>
  <c r="Q87" i="11" s="1"/>
  <c r="R87" i="11"/>
  <c r="U87" i="11" s="1"/>
  <c r="W87" i="11"/>
  <c r="V89" i="11"/>
  <c r="N89" i="11"/>
  <c r="Q89" i="11" s="1"/>
  <c r="R89" i="11"/>
  <c r="U89" i="11" s="1"/>
  <c r="W89" i="11"/>
  <c r="U93" i="11"/>
  <c r="Y93" i="11" s="1"/>
  <c r="Z93" i="11" s="1"/>
  <c r="U120" i="11"/>
  <c r="P120" i="11"/>
  <c r="W120" i="11"/>
  <c r="O120" i="11"/>
  <c r="Q120" i="11" s="1"/>
  <c r="N121" i="11"/>
  <c r="Q122" i="11"/>
  <c r="V123" i="11"/>
  <c r="N123" i="11"/>
  <c r="Q123" i="11" s="1"/>
  <c r="T123" i="11"/>
  <c r="U123" i="11"/>
  <c r="R123" i="11"/>
  <c r="U126" i="11"/>
  <c r="T128" i="11"/>
  <c r="P131" i="11"/>
  <c r="O132" i="11"/>
  <c r="P140" i="11"/>
  <c r="P148" i="11"/>
  <c r="P156" i="11"/>
  <c r="R162" i="11"/>
  <c r="W162" i="11"/>
  <c r="O162" i="11"/>
  <c r="V162" i="11"/>
  <c r="N162" i="11"/>
  <c r="T174" i="11"/>
  <c r="P177" i="11"/>
  <c r="V99" i="11"/>
  <c r="N99" i="11"/>
  <c r="Q99" i="11" s="1"/>
  <c r="R99" i="11"/>
  <c r="U99" i="11" s="1"/>
  <c r="T105" i="11"/>
  <c r="R105" i="11"/>
  <c r="U105" i="11" s="1"/>
  <c r="P105" i="11"/>
  <c r="T113" i="11"/>
  <c r="R113" i="11"/>
  <c r="U113" i="11" s="1"/>
  <c r="Y113" i="11" s="1"/>
  <c r="Z113" i="11" s="1"/>
  <c r="P113" i="11"/>
  <c r="R119" i="11"/>
  <c r="U119" i="11" s="1"/>
  <c r="P119" i="11"/>
  <c r="W119" i="11"/>
  <c r="O119" i="11"/>
  <c r="V119" i="11"/>
  <c r="N119" i="11"/>
  <c r="O121" i="11"/>
  <c r="T127" i="11"/>
  <c r="P132" i="11"/>
  <c r="T140" i="11"/>
  <c r="U146" i="11"/>
  <c r="R146" i="11"/>
  <c r="W146" i="11"/>
  <c r="O146" i="11"/>
  <c r="V146" i="11"/>
  <c r="N146" i="11"/>
  <c r="T148" i="11"/>
  <c r="R154" i="11"/>
  <c r="W154" i="11"/>
  <c r="O154" i="11"/>
  <c r="V154" i="11"/>
  <c r="N154" i="11"/>
  <c r="T156" i="11"/>
  <c r="P162" i="11"/>
  <c r="T93" i="11"/>
  <c r="T101" i="11"/>
  <c r="U108" i="11"/>
  <c r="T109" i="11"/>
  <c r="U116" i="11"/>
  <c r="T117" i="11"/>
  <c r="U124" i="11"/>
  <c r="T125" i="11"/>
  <c r="R132" i="11"/>
  <c r="R133" i="11"/>
  <c r="R134" i="11"/>
  <c r="U134" i="11" s="1"/>
  <c r="R135" i="11"/>
  <c r="R136" i="11"/>
  <c r="U136" i="11" s="1"/>
  <c r="R137" i="11"/>
  <c r="R138" i="11"/>
  <c r="R139" i="11"/>
  <c r="U139" i="11" s="1"/>
  <c r="R167" i="11"/>
  <c r="W167" i="11"/>
  <c r="O167" i="11"/>
  <c r="V167" i="11"/>
  <c r="N167" i="11"/>
  <c r="P172" i="11"/>
  <c r="U175" i="11"/>
  <c r="R175" i="11"/>
  <c r="W175" i="11"/>
  <c r="O175" i="11"/>
  <c r="V175" i="11"/>
  <c r="N175" i="11"/>
  <c r="P180" i="11"/>
  <c r="T108" i="11"/>
  <c r="T116" i="11"/>
  <c r="N118" i="11"/>
  <c r="Q118" i="11" s="1"/>
  <c r="T124" i="11"/>
  <c r="N126" i="11"/>
  <c r="Q126" i="11" s="1"/>
  <c r="U132" i="11"/>
  <c r="U141" i="11"/>
  <c r="R141" i="11"/>
  <c r="W141" i="11"/>
  <c r="O141" i="11"/>
  <c r="V141" i="11"/>
  <c r="N141" i="11"/>
  <c r="R143" i="11"/>
  <c r="W143" i="11"/>
  <c r="O143" i="11"/>
  <c r="V143" i="11"/>
  <c r="N143" i="11"/>
  <c r="R145" i="11"/>
  <c r="U145" i="11" s="1"/>
  <c r="W145" i="11"/>
  <c r="O145" i="11"/>
  <c r="V145" i="11"/>
  <c r="N145" i="11"/>
  <c r="R147" i="11"/>
  <c r="W147" i="11"/>
  <c r="O147" i="11"/>
  <c r="V147" i="11"/>
  <c r="N147" i="11"/>
  <c r="R149" i="11"/>
  <c r="W149" i="11"/>
  <c r="O149" i="11"/>
  <c r="V149" i="11"/>
  <c r="N149" i="11"/>
  <c r="Q149" i="11" s="1"/>
  <c r="R151" i="11"/>
  <c r="W151" i="11"/>
  <c r="O151" i="11"/>
  <c r="V151" i="11"/>
  <c r="N151" i="11"/>
  <c r="R153" i="11"/>
  <c r="U153" i="11" s="1"/>
  <c r="W153" i="11"/>
  <c r="O153" i="11"/>
  <c r="V153" i="11"/>
  <c r="N153" i="11"/>
  <c r="R155" i="11"/>
  <c r="W155" i="11"/>
  <c r="O155" i="11"/>
  <c r="V155" i="11"/>
  <c r="N155" i="11"/>
  <c r="U157" i="11"/>
  <c r="R157" i="11"/>
  <c r="W157" i="11"/>
  <c r="O157" i="11"/>
  <c r="V157" i="11"/>
  <c r="N157" i="11"/>
  <c r="R159" i="11"/>
  <c r="W159" i="11"/>
  <c r="O159" i="11"/>
  <c r="V159" i="11"/>
  <c r="N159" i="11"/>
  <c r="R161" i="11"/>
  <c r="U161" i="11" s="1"/>
  <c r="W161" i="11"/>
  <c r="O161" i="11"/>
  <c r="V161" i="11"/>
  <c r="N161" i="11"/>
  <c r="R163" i="11"/>
  <c r="W163" i="11"/>
  <c r="O163" i="11"/>
  <c r="V163" i="11"/>
  <c r="N163" i="11"/>
  <c r="R165" i="11"/>
  <c r="U165" i="11" s="1"/>
  <c r="W165" i="11"/>
  <c r="O165" i="11"/>
  <c r="V165" i="11"/>
  <c r="N165" i="11"/>
  <c r="R170" i="11"/>
  <c r="W170" i="11"/>
  <c r="O170" i="11"/>
  <c r="V170" i="11"/>
  <c r="N170" i="11"/>
  <c r="U178" i="11"/>
  <c r="R178" i="11"/>
  <c r="W178" i="11"/>
  <c r="O178" i="11"/>
  <c r="V178" i="11"/>
  <c r="N178" i="11"/>
  <c r="W139" i="11"/>
  <c r="V139" i="11"/>
  <c r="U173" i="11"/>
  <c r="R173" i="11"/>
  <c r="W173" i="11"/>
  <c r="O173" i="11"/>
  <c r="V173" i="11"/>
  <c r="N173" i="11"/>
  <c r="R181" i="11"/>
  <c r="W181" i="11"/>
  <c r="O181" i="11"/>
  <c r="V181" i="11"/>
  <c r="N181" i="11"/>
  <c r="T161" i="11"/>
  <c r="T163" i="11"/>
  <c r="T165" i="11"/>
  <c r="R168" i="11"/>
  <c r="W168" i="11"/>
  <c r="O168" i="11"/>
  <c r="V168" i="11"/>
  <c r="N168" i="11"/>
  <c r="T170" i="11"/>
  <c r="P173" i="11"/>
  <c r="R176" i="11"/>
  <c r="W176" i="11"/>
  <c r="O176" i="11"/>
  <c r="V176" i="11"/>
  <c r="N176" i="11"/>
  <c r="T178" i="11"/>
  <c r="P181" i="11"/>
  <c r="O108" i="11"/>
  <c r="Q108" i="11" s="1"/>
  <c r="O116" i="11"/>
  <c r="Q116" i="11" s="1"/>
  <c r="Y116" i="11" s="1"/>
  <c r="Z116" i="11" s="1"/>
  <c r="O124" i="11"/>
  <c r="Q124" i="11" s="1"/>
  <c r="N132" i="11"/>
  <c r="Q132" i="11" s="1"/>
  <c r="Y132" i="11" s="1"/>
  <c r="Z132" i="11" s="1"/>
  <c r="N133" i="11"/>
  <c r="Q133" i="11" s="1"/>
  <c r="N134" i="11"/>
  <c r="Q134" i="11" s="1"/>
  <c r="N135" i="11"/>
  <c r="Q135" i="11" s="1"/>
  <c r="N136" i="11"/>
  <c r="Q136" i="11" s="1"/>
  <c r="N137" i="11"/>
  <c r="Q137" i="11" s="1"/>
  <c r="N138" i="11"/>
  <c r="N139" i="11"/>
  <c r="Q139" i="11" s="1"/>
  <c r="R171" i="11"/>
  <c r="W171" i="11"/>
  <c r="O171" i="11"/>
  <c r="V171" i="11"/>
  <c r="N171" i="11"/>
  <c r="T173" i="11"/>
  <c r="R179" i="11"/>
  <c r="U179" i="11" s="1"/>
  <c r="W179" i="11"/>
  <c r="O179" i="11"/>
  <c r="V179" i="11"/>
  <c r="N179" i="11"/>
  <c r="T181" i="11"/>
  <c r="AD110" i="11" l="1"/>
  <c r="AE110" i="11"/>
  <c r="Y130" i="11"/>
  <c r="Z130" i="11" s="1"/>
  <c r="AD10" i="11"/>
  <c r="AE10" i="11"/>
  <c r="Y74" i="11"/>
  <c r="Z74" i="11" s="1"/>
  <c r="AD74" i="11" s="1"/>
  <c r="U33" i="11"/>
  <c r="Y33" i="11" s="1"/>
  <c r="Z33" i="11" s="1"/>
  <c r="Y122" i="11"/>
  <c r="Z122" i="11" s="1"/>
  <c r="Y32" i="11"/>
  <c r="Z32" i="11" s="1"/>
  <c r="Y21" i="11"/>
  <c r="Z21" i="11" s="1"/>
  <c r="Q86" i="11"/>
  <c r="Q138" i="11"/>
  <c r="Y108" i="11"/>
  <c r="Z108" i="11" s="1"/>
  <c r="AE108" i="11" s="1"/>
  <c r="Q69" i="11"/>
  <c r="Y69" i="11" s="1"/>
  <c r="Z69" i="11" s="1"/>
  <c r="AE69" i="11" s="1"/>
  <c r="Y53" i="11"/>
  <c r="Z53" i="11" s="1"/>
  <c r="Q66" i="11"/>
  <c r="Y114" i="11"/>
  <c r="Z114" i="11" s="1"/>
  <c r="AE114" i="11" s="1"/>
  <c r="Y23" i="11"/>
  <c r="Z23" i="11" s="1"/>
  <c r="AE23" i="11" s="1"/>
  <c r="U101" i="11"/>
  <c r="Y101" i="11" s="1"/>
  <c r="Z101" i="11" s="1"/>
  <c r="U6" i="11"/>
  <c r="Y6" i="11" s="1"/>
  <c r="Z6" i="11" s="1"/>
  <c r="Y73" i="11"/>
  <c r="Z73" i="11" s="1"/>
  <c r="Y42" i="11"/>
  <c r="Z42" i="11" s="1"/>
  <c r="AE42" i="11" s="1"/>
  <c r="Y54" i="11"/>
  <c r="Z54" i="11" s="1"/>
  <c r="Q50" i="11"/>
  <c r="Y50" i="11" s="1"/>
  <c r="Z50" i="11" s="1"/>
  <c r="U109" i="11"/>
  <c r="Y109" i="11" s="1"/>
  <c r="Z109" i="11" s="1"/>
  <c r="U47" i="11"/>
  <c r="Q165" i="11"/>
  <c r="Y41" i="11"/>
  <c r="Z41" i="11" s="1"/>
  <c r="AD41" i="11" s="1"/>
  <c r="Y30" i="11"/>
  <c r="Z30" i="11" s="1"/>
  <c r="Q16" i="11"/>
  <c r="Y16" i="11" s="1"/>
  <c r="Z16" i="11" s="1"/>
  <c r="U117" i="11"/>
  <c r="Y117" i="11" s="1"/>
  <c r="Z117" i="11" s="1"/>
  <c r="Y62" i="11"/>
  <c r="Z62" i="11" s="1"/>
  <c r="Y118" i="11"/>
  <c r="Z118" i="11" s="1"/>
  <c r="Y20" i="11"/>
  <c r="Z20" i="11" s="1"/>
  <c r="Q174" i="11"/>
  <c r="Q18" i="11"/>
  <c r="Y18" i="11" s="1"/>
  <c r="Z18" i="11" s="1"/>
  <c r="AD18" i="11" s="1"/>
  <c r="Q141" i="11"/>
  <c r="Y141" i="11" s="1"/>
  <c r="Z141" i="11" s="1"/>
  <c r="Y87" i="11"/>
  <c r="Z87" i="11" s="1"/>
  <c r="AD87" i="11" s="1"/>
  <c r="Q180" i="11"/>
  <c r="Q52" i="11"/>
  <c r="Y102" i="11"/>
  <c r="Z102" i="11" s="1"/>
  <c r="Q144" i="11"/>
  <c r="Y126" i="11"/>
  <c r="Z126" i="11" s="1"/>
  <c r="AE126" i="11" s="1"/>
  <c r="Q128" i="11"/>
  <c r="Q142" i="11"/>
  <c r="Y142" i="11" s="1"/>
  <c r="Z142" i="11" s="1"/>
  <c r="Q157" i="11"/>
  <c r="Y157" i="11" s="1"/>
  <c r="Z157" i="11" s="1"/>
  <c r="Q146" i="11"/>
  <c r="Y146" i="11" s="1"/>
  <c r="Z146" i="11" s="1"/>
  <c r="AE146" i="11" s="1"/>
  <c r="Q81" i="11"/>
  <c r="Q127" i="11"/>
  <c r="Q95" i="11"/>
  <c r="Q35" i="11"/>
  <c r="D37" i="10"/>
  <c r="U23" i="10"/>
  <c r="X23" i="10" s="1"/>
  <c r="D31" i="10" s="1"/>
  <c r="M54" i="10"/>
  <c r="L56" i="10"/>
  <c r="L57" i="10"/>
  <c r="Y57" i="11"/>
  <c r="Z57" i="11" s="1"/>
  <c r="Y97" i="11"/>
  <c r="Z97" i="11" s="1"/>
  <c r="Y66" i="11"/>
  <c r="Z66" i="11" s="1"/>
  <c r="Y43" i="11"/>
  <c r="Z43" i="11" s="1"/>
  <c r="AE43" i="11" s="1"/>
  <c r="Y104" i="11"/>
  <c r="Z104" i="11" s="1"/>
  <c r="AE104" i="11" s="1"/>
  <c r="Y27" i="11"/>
  <c r="Z27" i="11" s="1"/>
  <c r="AD27" i="11" s="1"/>
  <c r="Q171" i="11"/>
  <c r="Q170" i="11"/>
  <c r="Q159" i="11"/>
  <c r="Q151" i="11"/>
  <c r="Q143" i="11"/>
  <c r="Q167" i="11"/>
  <c r="Q154" i="11"/>
  <c r="Q60" i="11"/>
  <c r="Q59" i="11"/>
  <c r="Q96" i="11"/>
  <c r="Q44" i="11"/>
  <c r="Q61" i="11"/>
  <c r="Q24" i="11"/>
  <c r="Y24" i="11" s="1"/>
  <c r="Z24" i="11" s="1"/>
  <c r="AD24" i="11" s="1"/>
  <c r="Q56" i="11"/>
  <c r="Y56" i="11" s="1"/>
  <c r="Z56" i="11" s="1"/>
  <c r="AD114" i="11"/>
  <c r="AD23" i="11"/>
  <c r="Q176" i="11"/>
  <c r="Q168" i="11"/>
  <c r="Q140" i="11"/>
  <c r="Q158" i="11"/>
  <c r="Y158" i="11" s="1"/>
  <c r="Z158" i="11" s="1"/>
  <c r="Y100" i="11"/>
  <c r="Z100" i="11" s="1"/>
  <c r="AD100" i="11" s="1"/>
  <c r="Q166" i="11"/>
  <c r="AE62" i="11"/>
  <c r="AD62" i="11"/>
  <c r="AD20" i="11"/>
  <c r="AE20" i="11"/>
  <c r="AE116" i="11"/>
  <c r="AD116" i="11"/>
  <c r="AD70" i="11"/>
  <c r="AE70" i="11"/>
  <c r="AE13" i="11"/>
  <c r="AD13" i="11"/>
  <c r="AE57" i="11"/>
  <c r="AD57" i="11"/>
  <c r="AE66" i="11"/>
  <c r="AD66" i="11"/>
  <c r="AD113" i="11"/>
  <c r="AE113" i="11"/>
  <c r="AE46" i="11"/>
  <c r="AD46" i="11"/>
  <c r="AE21" i="11"/>
  <c r="AD21" i="11"/>
  <c r="AD94" i="11"/>
  <c r="AE94" i="11"/>
  <c r="AE50" i="11"/>
  <c r="AD50" i="11"/>
  <c r="Y49" i="11"/>
  <c r="Z49" i="11" s="1"/>
  <c r="AE29" i="11"/>
  <c r="AD29" i="11"/>
  <c r="AE74" i="11"/>
  <c r="AD102" i="11"/>
  <c r="AE102" i="11"/>
  <c r="AD17" i="11"/>
  <c r="AE17" i="11"/>
  <c r="AE31" i="11"/>
  <c r="AD31" i="11"/>
  <c r="AE37" i="11"/>
  <c r="AD37" i="11"/>
  <c r="AE54" i="11"/>
  <c r="AD54" i="11"/>
  <c r="AE125" i="11"/>
  <c r="AD125" i="11"/>
  <c r="Y65" i="11"/>
  <c r="Z65" i="11" s="1"/>
  <c r="AE58" i="11"/>
  <c r="AD58" i="11"/>
  <c r="AD2" i="11"/>
  <c r="AE2" i="11"/>
  <c r="Y92" i="11"/>
  <c r="Z92" i="11" s="1"/>
  <c r="Y89" i="11"/>
  <c r="Z89" i="11" s="1"/>
  <c r="U158" i="11"/>
  <c r="Y60" i="11"/>
  <c r="Z60" i="11" s="1"/>
  <c r="U144" i="11"/>
  <c r="Y144" i="11" s="1"/>
  <c r="Z144" i="11" s="1"/>
  <c r="Q179" i="11"/>
  <c r="Y179" i="11" s="1"/>
  <c r="Z179" i="11" s="1"/>
  <c r="Y136" i="11"/>
  <c r="Z136" i="11" s="1"/>
  <c r="U181" i="11"/>
  <c r="U163" i="11"/>
  <c r="U155" i="11"/>
  <c r="U147" i="11"/>
  <c r="U133" i="11"/>
  <c r="Q175" i="11"/>
  <c r="Y175" i="11" s="1"/>
  <c r="Z175" i="11" s="1"/>
  <c r="Y120" i="11"/>
  <c r="Z120" i="11" s="1"/>
  <c r="U162" i="11"/>
  <c r="U148" i="11"/>
  <c r="U131" i="11"/>
  <c r="Q150" i="11"/>
  <c r="Y150" i="11" s="1"/>
  <c r="Z150" i="11" s="1"/>
  <c r="Q152" i="11"/>
  <c r="Y152" i="11" s="1"/>
  <c r="Z152" i="11" s="1"/>
  <c r="AD32" i="11"/>
  <c r="AE32" i="11"/>
  <c r="U112" i="11"/>
  <c r="Y79" i="11"/>
  <c r="Z79" i="11" s="1"/>
  <c r="Y63" i="11"/>
  <c r="Z63" i="11" s="1"/>
  <c r="Y107" i="11"/>
  <c r="Z107" i="11" s="1"/>
  <c r="U169" i="11"/>
  <c r="Q8" i="11"/>
  <c r="Y8" i="11" s="1"/>
  <c r="Z8" i="11" s="1"/>
  <c r="U59" i="11"/>
  <c r="Y59" i="11" s="1"/>
  <c r="Z59" i="11" s="1"/>
  <c r="Q22" i="11"/>
  <c r="U19" i="11"/>
  <c r="Q28" i="11"/>
  <c r="Y28" i="11" s="1"/>
  <c r="Z28" i="11" s="1"/>
  <c r="Q51" i="11"/>
  <c r="Y51" i="11" s="1"/>
  <c r="Z51" i="11" s="1"/>
  <c r="AE122" i="11"/>
  <c r="AD122" i="11"/>
  <c r="Y99" i="11"/>
  <c r="Z99" i="11" s="1"/>
  <c r="Q121" i="11"/>
  <c r="Y121" i="11" s="1"/>
  <c r="Z121" i="11" s="1"/>
  <c r="U48" i="11"/>
  <c r="U166" i="11"/>
  <c r="Y135" i="11"/>
  <c r="Z135" i="11" s="1"/>
  <c r="Q173" i="11"/>
  <c r="Y173" i="11" s="1"/>
  <c r="Z173" i="11" s="1"/>
  <c r="Q178" i="11"/>
  <c r="Y178" i="11" s="1"/>
  <c r="Z178" i="11" s="1"/>
  <c r="Q161" i="11"/>
  <c r="Y161" i="11" s="1"/>
  <c r="Z161" i="11" s="1"/>
  <c r="Q153" i="11"/>
  <c r="Y153" i="11" s="1"/>
  <c r="Z153" i="11" s="1"/>
  <c r="Q145" i="11"/>
  <c r="Y145" i="11" s="1"/>
  <c r="Z145" i="11" s="1"/>
  <c r="Q119" i="11"/>
  <c r="Y119" i="11" s="1"/>
  <c r="Z119" i="11" s="1"/>
  <c r="U177" i="11"/>
  <c r="U156" i="11"/>
  <c r="U164" i="11"/>
  <c r="Q90" i="11"/>
  <c r="Y90" i="11" s="1"/>
  <c r="Z90" i="11" s="1"/>
  <c r="Q129" i="11"/>
  <c r="Q112" i="11"/>
  <c r="AD98" i="11"/>
  <c r="AE98" i="11"/>
  <c r="Q160" i="11"/>
  <c r="Y160" i="11" s="1"/>
  <c r="Z160" i="11" s="1"/>
  <c r="Y47" i="11"/>
  <c r="Z47" i="11" s="1"/>
  <c r="Q82" i="11"/>
  <c r="Y82" i="11" s="1"/>
  <c r="Z82" i="11" s="1"/>
  <c r="U68" i="11"/>
  <c r="Y68" i="11" s="1"/>
  <c r="Z68" i="11" s="1"/>
  <c r="Q12" i="11"/>
  <c r="Y12" i="11" s="1"/>
  <c r="Z12" i="11" s="1"/>
  <c r="Q7" i="11"/>
  <c r="Y7" i="11" s="1"/>
  <c r="Z7" i="11" s="1"/>
  <c r="Q64" i="11"/>
  <c r="Q80" i="11"/>
  <c r="Y80" i="11" s="1"/>
  <c r="Z80" i="11" s="1"/>
  <c r="U35" i="11"/>
  <c r="Q172" i="11"/>
  <c r="Y172" i="11" s="1"/>
  <c r="Z172" i="11" s="1"/>
  <c r="Q4" i="11"/>
  <c r="Y4" i="11" s="1"/>
  <c r="Z4" i="11" s="1"/>
  <c r="Q19" i="11"/>
  <c r="U168" i="11"/>
  <c r="Y168" i="11" s="1"/>
  <c r="Z168" i="11" s="1"/>
  <c r="U140" i="11"/>
  <c r="U81" i="11"/>
  <c r="Y81" i="11" s="1"/>
  <c r="Z81" i="11" s="1"/>
  <c r="AE24" i="11"/>
  <c r="AE14" i="11"/>
  <c r="AD14" i="11"/>
  <c r="Y134" i="11"/>
  <c r="Z134" i="11" s="1"/>
  <c r="Y131" i="11"/>
  <c r="Z131" i="11" s="1"/>
  <c r="Y11" i="11"/>
  <c r="Z11" i="11" s="1"/>
  <c r="Y5" i="11"/>
  <c r="Z5" i="11" s="1"/>
  <c r="Y105" i="11"/>
  <c r="Z105" i="11" s="1"/>
  <c r="Q77" i="11"/>
  <c r="Y77" i="11" s="1"/>
  <c r="Z77" i="11" s="1"/>
  <c r="Y61" i="11"/>
  <c r="Z61" i="11" s="1"/>
  <c r="Y95" i="11"/>
  <c r="Z95" i="11" s="1"/>
  <c r="AE130" i="11"/>
  <c r="AD130" i="11"/>
  <c r="U86" i="11"/>
  <c r="Y86" i="11" s="1"/>
  <c r="Z86" i="11" s="1"/>
  <c r="Q72" i="11"/>
  <c r="Y72" i="11" s="1"/>
  <c r="Z72" i="11" s="1"/>
  <c r="U22" i="11"/>
  <c r="U9" i="11"/>
  <c r="Y9" i="11" s="1"/>
  <c r="Z9" i="11" s="1"/>
  <c r="Q75" i="11"/>
  <c r="Y138" i="11"/>
  <c r="Z138" i="11" s="1"/>
  <c r="AE73" i="11"/>
  <c r="AD73" i="11"/>
  <c r="U176" i="11"/>
  <c r="Y176" i="11" s="1"/>
  <c r="Z176" i="11" s="1"/>
  <c r="Y133" i="11"/>
  <c r="Z133" i="11" s="1"/>
  <c r="Q181" i="11"/>
  <c r="Q163" i="11"/>
  <c r="Y163" i="11" s="1"/>
  <c r="Z163" i="11" s="1"/>
  <c r="Q147" i="11"/>
  <c r="Q83" i="11"/>
  <c r="Y83" i="11" s="1"/>
  <c r="Z83" i="11" s="1"/>
  <c r="Q169" i="11"/>
  <c r="U45" i="11"/>
  <c r="U85" i="11"/>
  <c r="Y85" i="11" s="1"/>
  <c r="Z85" i="11" s="1"/>
  <c r="Q15" i="11"/>
  <c r="Y15" i="11" s="1"/>
  <c r="Z15" i="11" s="1"/>
  <c r="AE53" i="11"/>
  <c r="AD53" i="11"/>
  <c r="Y38" i="11"/>
  <c r="Z38" i="11" s="1"/>
  <c r="AD30" i="11"/>
  <c r="AE30" i="11"/>
  <c r="Q155" i="11"/>
  <c r="U138" i="11"/>
  <c r="Q162" i="11"/>
  <c r="Q148" i="11"/>
  <c r="Y3" i="11"/>
  <c r="Z3" i="11" s="1"/>
  <c r="U129" i="11"/>
  <c r="U52" i="11"/>
  <c r="Y52" i="11" s="1"/>
  <c r="Z52" i="11" s="1"/>
  <c r="Y26" i="11"/>
  <c r="Z26" i="11" s="1"/>
  <c r="U171" i="11"/>
  <c r="Y171" i="11" s="1"/>
  <c r="Z171" i="11" s="1"/>
  <c r="AE132" i="11"/>
  <c r="AD132" i="11"/>
  <c r="U170" i="11"/>
  <c r="Y170" i="11" s="1"/>
  <c r="Z170" i="11" s="1"/>
  <c r="U159" i="11"/>
  <c r="Y159" i="11" s="1"/>
  <c r="Z159" i="11" s="1"/>
  <c r="U151" i="11"/>
  <c r="Y151" i="11" s="1"/>
  <c r="Z151" i="11" s="1"/>
  <c r="U143" i="11"/>
  <c r="Y143" i="11" s="1"/>
  <c r="Z143" i="11" s="1"/>
  <c r="U137" i="11"/>
  <c r="Y137" i="11" s="1"/>
  <c r="Z137" i="11" s="1"/>
  <c r="AE118" i="11"/>
  <c r="AD118" i="11"/>
  <c r="U167" i="11"/>
  <c r="U154" i="11"/>
  <c r="Y123" i="11"/>
  <c r="Z123" i="11" s="1"/>
  <c r="Q177" i="11"/>
  <c r="Y177" i="11" s="1"/>
  <c r="Z177" i="11" s="1"/>
  <c r="Q156" i="11"/>
  <c r="Y156" i="11" s="1"/>
  <c r="Z156" i="11" s="1"/>
  <c r="AE117" i="11"/>
  <c r="AD117" i="11"/>
  <c r="U180" i="11"/>
  <c r="Y128" i="11"/>
  <c r="Z128" i="11" s="1"/>
  <c r="Q164" i="11"/>
  <c r="Y115" i="11"/>
  <c r="Z115" i="11" s="1"/>
  <c r="U91" i="11"/>
  <c r="Y91" i="11" s="1"/>
  <c r="Z91" i="11" s="1"/>
  <c r="U88" i="11"/>
  <c r="Y34" i="11"/>
  <c r="Z34" i="11" s="1"/>
  <c r="Q84" i="11"/>
  <c r="Y84" i="11" s="1"/>
  <c r="Z84" i="11" s="1"/>
  <c r="Q103" i="11"/>
  <c r="Y103" i="11" s="1"/>
  <c r="Z103" i="11" s="1"/>
  <c r="Q88" i="11"/>
  <c r="Y71" i="11"/>
  <c r="Z71" i="11" s="1"/>
  <c r="Y55" i="11"/>
  <c r="Z55" i="11" s="1"/>
  <c r="U76" i="11"/>
  <c r="Y76" i="11" s="1"/>
  <c r="Z76" i="11" s="1"/>
  <c r="Y40" i="11"/>
  <c r="Z40" i="11" s="1"/>
  <c r="Q111" i="11"/>
  <c r="Y111" i="11" s="1"/>
  <c r="Z111" i="11" s="1"/>
  <c r="U64" i="11"/>
  <c r="Q67" i="11"/>
  <c r="Q48" i="11"/>
  <c r="U75" i="11"/>
  <c r="Y139" i="11"/>
  <c r="Z139" i="11" s="1"/>
  <c r="Y124" i="11"/>
  <c r="Z124" i="11" s="1"/>
  <c r="Y165" i="11"/>
  <c r="Z165" i="11" s="1"/>
  <c r="Y149" i="11"/>
  <c r="Z149" i="11" s="1"/>
  <c r="AE109" i="11"/>
  <c r="AD109" i="11"/>
  <c r="Y174" i="11"/>
  <c r="Z174" i="11" s="1"/>
  <c r="Y127" i="11"/>
  <c r="Z127" i="11" s="1"/>
  <c r="AD97" i="11"/>
  <c r="AE97" i="11"/>
  <c r="Y39" i="11"/>
  <c r="Z39" i="11" s="1"/>
  <c r="Q45" i="11"/>
  <c r="Y78" i="11"/>
  <c r="Z78" i="11" s="1"/>
  <c r="U67" i="11"/>
  <c r="AD42" i="11"/>
  <c r="AD93" i="11"/>
  <c r="AE93" i="11"/>
  <c r="U96" i="11"/>
  <c r="Y96" i="11" s="1"/>
  <c r="Z96" i="11" s="1"/>
  <c r="Q36" i="11"/>
  <c r="Y36" i="11" s="1"/>
  <c r="Z36" i="11" s="1"/>
  <c r="U44" i="11"/>
  <c r="Y44" i="11" s="1"/>
  <c r="Z44" i="11" s="1"/>
  <c r="AD142" i="11" l="1"/>
  <c r="AE142" i="11"/>
  <c r="AE6" i="11"/>
  <c r="AD6" i="11"/>
  <c r="AE101" i="11"/>
  <c r="AD101" i="11"/>
  <c r="AE33" i="11"/>
  <c r="AD33" i="11"/>
  <c r="AD43" i="11"/>
  <c r="Y148" i="11"/>
  <c r="Z148" i="11" s="1"/>
  <c r="Y181" i="11"/>
  <c r="Z181" i="11" s="1"/>
  <c r="AD126" i="11"/>
  <c r="AE100" i="11"/>
  <c r="Y35" i="11"/>
  <c r="Z35" i="11" s="1"/>
  <c r="AE35" i="11" s="1"/>
  <c r="Y140" i="11"/>
  <c r="Z140" i="11" s="1"/>
  <c r="AE140" i="11" s="1"/>
  <c r="AE41" i="11"/>
  <c r="AD69" i="11"/>
  <c r="AD108" i="11"/>
  <c r="AE18" i="11"/>
  <c r="Y154" i="11"/>
  <c r="Z154" i="11" s="1"/>
  <c r="AE87" i="11"/>
  <c r="Y180" i="11"/>
  <c r="Z180" i="11" s="1"/>
  <c r="AE180" i="11" s="1"/>
  <c r="Y169" i="11"/>
  <c r="Z169" i="11" s="1"/>
  <c r="AE169" i="11" s="1"/>
  <c r="AD146" i="11"/>
  <c r="Y155" i="11"/>
  <c r="Z155" i="11" s="1"/>
  <c r="AE155" i="11" s="1"/>
  <c r="AD104" i="11"/>
  <c r="D38" i="10"/>
  <c r="D32" i="10"/>
  <c r="M55" i="10"/>
  <c r="M53" i="10"/>
  <c r="C80" i="10"/>
  <c r="E80" i="10" s="1"/>
  <c r="Y48" i="11"/>
  <c r="Z48" i="11" s="1"/>
  <c r="AE48" i="11" s="1"/>
  <c r="Y166" i="11"/>
  <c r="Z166" i="11" s="1"/>
  <c r="AD166" i="11" s="1"/>
  <c r="Y167" i="11"/>
  <c r="Z167" i="11" s="1"/>
  <c r="AE27" i="11"/>
  <c r="Y147" i="11"/>
  <c r="Z147" i="11" s="1"/>
  <c r="AE159" i="11"/>
  <c r="AD159" i="11"/>
  <c r="AE170" i="11"/>
  <c r="AD170" i="11"/>
  <c r="AE96" i="11"/>
  <c r="AD96" i="11"/>
  <c r="AD180" i="11"/>
  <c r="AE76" i="11"/>
  <c r="AD76" i="11"/>
  <c r="AE171" i="11"/>
  <c r="AD171" i="11"/>
  <c r="AE91" i="11"/>
  <c r="AD91" i="11"/>
  <c r="AE9" i="11"/>
  <c r="AD9" i="11"/>
  <c r="AE151" i="11"/>
  <c r="AD151" i="11"/>
  <c r="AD81" i="11"/>
  <c r="AE81" i="11"/>
  <c r="AE44" i="11"/>
  <c r="AD44" i="11"/>
  <c r="AE143" i="11"/>
  <c r="AD143" i="11"/>
  <c r="AE52" i="11"/>
  <c r="AD52" i="11"/>
  <c r="AD85" i="11"/>
  <c r="AE85" i="11"/>
  <c r="AE176" i="11"/>
  <c r="AD176" i="11"/>
  <c r="AE68" i="11"/>
  <c r="AD68" i="11"/>
  <c r="AE177" i="11"/>
  <c r="AD177" i="11"/>
  <c r="AD77" i="11"/>
  <c r="AE77" i="11"/>
  <c r="AD121" i="11"/>
  <c r="AE121" i="11"/>
  <c r="AD89" i="11"/>
  <c r="AE89" i="11"/>
  <c r="AE115" i="11"/>
  <c r="AD115" i="11"/>
  <c r="AD169" i="11"/>
  <c r="AD105" i="11"/>
  <c r="AE105" i="11"/>
  <c r="AE99" i="11"/>
  <c r="AD99" i="11"/>
  <c r="AE120" i="11"/>
  <c r="AD120" i="11"/>
  <c r="AE49" i="11"/>
  <c r="AD49" i="11"/>
  <c r="AE157" i="11"/>
  <c r="AD157" i="11"/>
  <c r="AD71" i="11"/>
  <c r="AE71" i="11"/>
  <c r="Y164" i="11"/>
  <c r="Z164" i="11" s="1"/>
  <c r="AE148" i="11"/>
  <c r="AD148" i="11"/>
  <c r="AD5" i="11"/>
  <c r="AE5" i="11"/>
  <c r="AD80" i="11"/>
  <c r="AE80" i="11"/>
  <c r="AE56" i="11"/>
  <c r="AD56" i="11"/>
  <c r="AE175" i="11"/>
  <c r="AD175" i="11"/>
  <c r="AE40" i="11"/>
  <c r="AD40" i="11"/>
  <c r="AE165" i="11"/>
  <c r="AD165" i="11"/>
  <c r="Y88" i="11"/>
  <c r="Z88" i="11" s="1"/>
  <c r="AE128" i="11"/>
  <c r="AD128" i="11"/>
  <c r="AD38" i="11"/>
  <c r="AE38" i="11"/>
  <c r="AD83" i="11"/>
  <c r="AE83" i="11"/>
  <c r="AE138" i="11"/>
  <c r="AD138" i="11"/>
  <c r="AE11" i="11"/>
  <c r="AD11" i="11"/>
  <c r="AE168" i="11"/>
  <c r="AD168" i="11"/>
  <c r="Y64" i="11"/>
  <c r="Z64" i="11" s="1"/>
  <c r="AD119" i="11"/>
  <c r="AE119" i="11"/>
  <c r="AE59" i="11"/>
  <c r="AD59" i="11"/>
  <c r="AE92" i="11"/>
  <c r="AD92" i="11"/>
  <c r="AE156" i="11"/>
  <c r="AD156" i="11"/>
  <c r="AD47" i="11"/>
  <c r="AE47" i="11"/>
  <c r="AE123" i="11"/>
  <c r="AD123" i="11"/>
  <c r="AE179" i="11"/>
  <c r="AD179" i="11"/>
  <c r="AD127" i="11"/>
  <c r="AE127" i="11"/>
  <c r="AE124" i="11"/>
  <c r="AD124" i="11"/>
  <c r="Y67" i="11"/>
  <c r="Z67" i="11" s="1"/>
  <c r="AD103" i="11"/>
  <c r="AE103" i="11"/>
  <c r="AE147" i="11"/>
  <c r="AD147" i="11"/>
  <c r="AE158" i="11"/>
  <c r="AD158" i="11"/>
  <c r="AD7" i="11"/>
  <c r="AE7" i="11"/>
  <c r="Y112" i="11"/>
  <c r="Z112" i="11" s="1"/>
  <c r="AE145" i="11"/>
  <c r="AD145" i="11"/>
  <c r="AE8" i="11"/>
  <c r="AD8" i="11"/>
  <c r="AE152" i="11"/>
  <c r="AD152" i="11"/>
  <c r="AE141" i="11"/>
  <c r="AD141" i="11"/>
  <c r="AE173" i="11"/>
  <c r="AD173" i="11"/>
  <c r="AE136" i="11"/>
  <c r="AD136" i="11"/>
  <c r="AE149" i="11"/>
  <c r="AD149" i="11"/>
  <c r="AE3" i="11"/>
  <c r="AD3" i="11"/>
  <c r="AE160" i="11"/>
  <c r="AD160" i="11"/>
  <c r="AE167" i="11"/>
  <c r="AD167" i="11"/>
  <c r="AE174" i="11"/>
  <c r="AD174" i="11"/>
  <c r="AD84" i="11"/>
  <c r="AE84" i="11"/>
  <c r="Y162" i="11"/>
  <c r="Z162" i="11" s="1"/>
  <c r="Y75" i="11"/>
  <c r="Z75" i="11" s="1"/>
  <c r="AE144" i="11"/>
  <c r="AD144" i="11"/>
  <c r="AE131" i="11"/>
  <c r="AD131" i="11"/>
  <c r="AE134" i="11"/>
  <c r="AD134" i="11"/>
  <c r="AE12" i="11"/>
  <c r="AD12" i="11"/>
  <c r="Y129" i="11"/>
  <c r="Z129" i="11" s="1"/>
  <c r="AE153" i="11"/>
  <c r="AD153" i="11"/>
  <c r="AD86" i="11"/>
  <c r="AE86" i="11"/>
  <c r="AE150" i="11"/>
  <c r="AD150" i="11"/>
  <c r="AE39" i="11"/>
  <c r="AD39" i="11"/>
  <c r="AE137" i="11"/>
  <c r="AD137" i="11"/>
  <c r="AE172" i="11"/>
  <c r="AD172" i="11"/>
  <c r="AD79" i="11"/>
  <c r="AE79" i="11"/>
  <c r="AD55" i="11"/>
  <c r="AE55" i="11"/>
  <c r="AE72" i="11"/>
  <c r="AD72" i="11"/>
  <c r="AE135" i="11"/>
  <c r="AD135" i="11"/>
  <c r="Y22" i="11"/>
  <c r="Z22" i="11" s="1"/>
  <c r="AE78" i="11"/>
  <c r="AD78" i="11"/>
  <c r="AE139" i="11"/>
  <c r="AD139" i="11"/>
  <c r="AE163" i="11"/>
  <c r="AD163" i="11"/>
  <c r="AD36" i="11"/>
  <c r="AE36" i="11"/>
  <c r="Y45" i="11"/>
  <c r="Z45" i="11" s="1"/>
  <c r="AD111" i="11"/>
  <c r="AE111" i="11"/>
  <c r="AE34" i="11"/>
  <c r="AD34" i="11"/>
  <c r="AD26" i="11"/>
  <c r="AE26" i="11"/>
  <c r="AD15" i="11"/>
  <c r="AE15" i="11"/>
  <c r="AE181" i="11"/>
  <c r="AD181" i="11"/>
  <c r="AE16" i="11"/>
  <c r="AD16" i="11"/>
  <c r="AD95" i="11"/>
  <c r="AE95" i="11"/>
  <c r="Y19" i="11"/>
  <c r="Z19" i="11" s="1"/>
  <c r="AE161" i="11"/>
  <c r="AD161" i="11"/>
  <c r="AE51" i="11"/>
  <c r="AD51" i="11"/>
  <c r="AE107" i="11"/>
  <c r="AD107" i="11"/>
  <c r="AD60" i="11"/>
  <c r="AE60" i="11"/>
  <c r="AE133" i="11"/>
  <c r="AD133" i="11"/>
  <c r="AD61" i="11"/>
  <c r="AE61" i="11"/>
  <c r="AE154" i="11"/>
  <c r="AD154" i="11"/>
  <c r="AE4" i="11"/>
  <c r="AD4" i="11"/>
  <c r="AD82" i="11"/>
  <c r="AE82" i="11"/>
  <c r="AE90" i="11"/>
  <c r="AD90" i="11"/>
  <c r="AE178" i="11"/>
  <c r="AD178" i="11"/>
  <c r="AD28" i="11"/>
  <c r="AE28" i="11"/>
  <c r="AD63" i="11"/>
  <c r="AE63" i="11"/>
  <c r="AE65" i="11"/>
  <c r="AD65" i="11"/>
  <c r="AD140" i="11" l="1"/>
  <c r="AD35" i="11"/>
  <c r="AD48" i="11"/>
  <c r="AD155" i="11"/>
  <c r="AE166" i="11"/>
  <c r="E37" i="10"/>
  <c r="D39" i="10"/>
  <c r="E32" i="10"/>
  <c r="E30" i="10"/>
  <c r="D33" i="10"/>
  <c r="E33" i="10" s="1"/>
  <c r="E31" i="10"/>
  <c r="E38" i="10"/>
  <c r="AE164" i="11"/>
  <c r="AD164" i="11"/>
  <c r="AE67" i="11"/>
  <c r="AD67" i="11"/>
  <c r="AD129" i="11"/>
  <c r="AE129" i="11"/>
  <c r="AE75" i="11"/>
  <c r="AD75" i="11"/>
  <c r="AE64" i="11"/>
  <c r="AD64" i="11"/>
  <c r="AE162" i="11"/>
  <c r="AD162" i="11"/>
  <c r="AD88" i="11"/>
  <c r="AE88" i="11"/>
  <c r="AE45" i="11"/>
  <c r="AD45" i="11"/>
  <c r="AE19" i="11"/>
  <c r="AD19" i="11"/>
  <c r="AD22" i="11"/>
  <c r="AE22" i="11"/>
  <c r="AE112" i="11"/>
  <c r="AD112" i="11"/>
  <c r="C81" i="10" l="1"/>
  <c r="E81" i="10" s="1"/>
  <c r="E39" i="10"/>
  <c r="D40" i="10"/>
  <c r="D43" i="10" l="1"/>
  <c r="E40" i="10"/>
  <c r="E44" i="10" l="1"/>
  <c r="E43" i="10"/>
  <c r="W9" i="7" l="1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3" i="7"/>
  <c r="W4" i="7"/>
  <c r="W5" i="7"/>
  <c r="W6" i="7"/>
  <c r="W7" i="7"/>
  <c r="W8" i="7"/>
  <c r="W2" i="7"/>
  <c r="Q91" i="7"/>
  <c r="P42" i="7"/>
  <c r="N80" i="7"/>
  <c r="Q80" i="7"/>
  <c r="R23" i="7"/>
  <c r="T23" i="7"/>
  <c r="N52" i="7"/>
  <c r="O67" i="7"/>
  <c r="P67" i="7"/>
  <c r="O83" i="7"/>
  <c r="P83" i="7"/>
  <c r="V98" i="7"/>
  <c r="N99" i="7"/>
  <c r="T104" i="7"/>
  <c r="V104" i="7"/>
  <c r="T108" i="7"/>
  <c r="R112" i="7"/>
  <c r="S112" i="7"/>
  <c r="P116" i="7"/>
  <c r="N120" i="7"/>
  <c r="N124" i="7"/>
  <c r="N128" i="7"/>
  <c r="N132" i="7"/>
  <c r="N136" i="7"/>
  <c r="N140" i="7"/>
  <c r="N144" i="7"/>
  <c r="N148" i="7"/>
  <c r="N152" i="7"/>
  <c r="N156" i="7"/>
  <c r="N159" i="7"/>
  <c r="N162" i="7"/>
  <c r="N164" i="7"/>
  <c r="T166" i="7"/>
  <c r="V166" i="7"/>
  <c r="S168" i="7"/>
  <c r="P169" i="7"/>
  <c r="O170" i="7"/>
  <c r="P170" i="7"/>
  <c r="N171" i="7"/>
  <c r="Q171" i="7" s="1"/>
  <c r="O171" i="7"/>
  <c r="N172" i="7"/>
  <c r="T174" i="7"/>
  <c r="S176" i="7"/>
  <c r="P177" i="7"/>
  <c r="O178" i="7"/>
  <c r="P178" i="7"/>
  <c r="N179" i="7"/>
  <c r="Q179" i="7" s="1"/>
  <c r="O179" i="7"/>
  <c r="N180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O38" i="7" s="1"/>
  <c r="K39" i="7"/>
  <c r="K40" i="7"/>
  <c r="K41" i="7"/>
  <c r="K42" i="7"/>
  <c r="K43" i="7"/>
  <c r="K44" i="7"/>
  <c r="S44" i="7" s="1"/>
  <c r="K45" i="7"/>
  <c r="K46" i="7"/>
  <c r="K47" i="7"/>
  <c r="K48" i="7"/>
  <c r="R48" i="7" s="1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R63" i="7" s="1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O79" i="7" s="1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N95" i="7" s="1"/>
  <c r="K96" i="7"/>
  <c r="K97" i="7"/>
  <c r="K98" i="7"/>
  <c r="K99" i="7"/>
  <c r="K100" i="7"/>
  <c r="K101" i="7"/>
  <c r="K102" i="7"/>
  <c r="O102" i="7" s="1"/>
  <c r="K103" i="7"/>
  <c r="S103" i="7" s="1"/>
  <c r="K104" i="7"/>
  <c r="K105" i="7"/>
  <c r="K106" i="7"/>
  <c r="K107" i="7"/>
  <c r="K108" i="7"/>
  <c r="K109" i="7"/>
  <c r="K110" i="7"/>
  <c r="R110" i="7" s="1"/>
  <c r="K111" i="7"/>
  <c r="R111" i="7" s="1"/>
  <c r="K112" i="7"/>
  <c r="K113" i="7"/>
  <c r="K114" i="7"/>
  <c r="K115" i="7"/>
  <c r="K116" i="7"/>
  <c r="O116" i="7" s="1"/>
  <c r="K117" i="7"/>
  <c r="K118" i="7"/>
  <c r="N118" i="7" s="1"/>
  <c r="K119" i="7"/>
  <c r="N119" i="7" s="1"/>
  <c r="K120" i="7"/>
  <c r="K121" i="7"/>
  <c r="K122" i="7"/>
  <c r="K123" i="7"/>
  <c r="K124" i="7"/>
  <c r="K125" i="7"/>
  <c r="N125" i="7" s="1"/>
  <c r="K126" i="7"/>
  <c r="N126" i="7" s="1"/>
  <c r="K127" i="7"/>
  <c r="N127" i="7" s="1"/>
  <c r="K128" i="7"/>
  <c r="K129" i="7"/>
  <c r="K130" i="7"/>
  <c r="K131" i="7"/>
  <c r="K132" i="7"/>
  <c r="K133" i="7"/>
  <c r="K134" i="7"/>
  <c r="N134" i="7" s="1"/>
  <c r="K135" i="7"/>
  <c r="N135" i="7" s="1"/>
  <c r="K136" i="7"/>
  <c r="K137" i="7"/>
  <c r="K138" i="7"/>
  <c r="K139" i="7"/>
  <c r="K140" i="7"/>
  <c r="K141" i="7"/>
  <c r="K142" i="7"/>
  <c r="N142" i="7" s="1"/>
  <c r="K143" i="7"/>
  <c r="N143" i="7" s="1"/>
  <c r="K144" i="7"/>
  <c r="K145" i="7"/>
  <c r="K146" i="7"/>
  <c r="K147" i="7"/>
  <c r="K148" i="7"/>
  <c r="K149" i="7"/>
  <c r="K150" i="7"/>
  <c r="N150" i="7" s="1"/>
  <c r="K151" i="7"/>
  <c r="N151" i="7" s="1"/>
  <c r="K152" i="7"/>
  <c r="K153" i="7"/>
  <c r="K154" i="7"/>
  <c r="K155" i="7"/>
  <c r="K156" i="7"/>
  <c r="K157" i="7"/>
  <c r="K158" i="7"/>
  <c r="N158" i="7" s="1"/>
  <c r="K159" i="7"/>
  <c r="K160" i="7"/>
  <c r="K161" i="7"/>
  <c r="N161" i="7" s="1"/>
  <c r="K162" i="7"/>
  <c r="K163" i="7"/>
  <c r="K164" i="7"/>
  <c r="K165" i="7"/>
  <c r="O165" i="7" s="1"/>
  <c r="K166" i="7"/>
  <c r="K167" i="7"/>
  <c r="N167" i="7" s="1"/>
  <c r="K168" i="7"/>
  <c r="V168" i="7" s="1"/>
  <c r="K169" i="7"/>
  <c r="R169" i="7" s="1"/>
  <c r="K170" i="7"/>
  <c r="R170" i="7" s="1"/>
  <c r="K171" i="7"/>
  <c r="R171" i="7" s="1"/>
  <c r="K172" i="7"/>
  <c r="O172" i="7" s="1"/>
  <c r="K173" i="7"/>
  <c r="N173" i="7" s="1"/>
  <c r="K174" i="7"/>
  <c r="V174" i="7" s="1"/>
  <c r="K175" i="7"/>
  <c r="V175" i="7" s="1"/>
  <c r="K176" i="7"/>
  <c r="V176" i="7" s="1"/>
  <c r="K177" i="7"/>
  <c r="R177" i="7" s="1"/>
  <c r="K178" i="7"/>
  <c r="R178" i="7" s="1"/>
  <c r="K179" i="7"/>
  <c r="R179" i="7" s="1"/>
  <c r="K180" i="7"/>
  <c r="O180" i="7" s="1"/>
  <c r="K181" i="7"/>
  <c r="N181" i="7" s="1"/>
  <c r="K6" i="7"/>
  <c r="K7" i="7"/>
  <c r="K8" i="7"/>
  <c r="K9" i="7"/>
  <c r="P9" i="7" s="1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L181" i="7"/>
  <c r="P181" i="7" s="1"/>
  <c r="L180" i="7"/>
  <c r="P180" i="7" s="1"/>
  <c r="L179" i="7"/>
  <c r="P179" i="7" s="1"/>
  <c r="L178" i="7"/>
  <c r="T178" i="7" s="1"/>
  <c r="L177" i="7"/>
  <c r="T177" i="7" s="1"/>
  <c r="L176" i="7"/>
  <c r="T176" i="7" s="1"/>
  <c r="L175" i="7"/>
  <c r="T175" i="7" s="1"/>
  <c r="L174" i="7"/>
  <c r="P174" i="7" s="1"/>
  <c r="L173" i="7"/>
  <c r="P173" i="7" s="1"/>
  <c r="L172" i="7"/>
  <c r="P172" i="7" s="1"/>
  <c r="L171" i="7"/>
  <c r="P171" i="7" s="1"/>
  <c r="L170" i="7"/>
  <c r="T170" i="7" s="1"/>
  <c r="L169" i="7"/>
  <c r="T169" i="7" s="1"/>
  <c r="L168" i="7"/>
  <c r="T168" i="7" s="1"/>
  <c r="L167" i="7"/>
  <c r="S167" i="7" s="1"/>
  <c r="L166" i="7"/>
  <c r="P166" i="7" s="1"/>
  <c r="L165" i="7"/>
  <c r="P165" i="7" s="1"/>
  <c r="L164" i="7"/>
  <c r="P164" i="7" s="1"/>
  <c r="L163" i="7"/>
  <c r="P163" i="7" s="1"/>
  <c r="L162" i="7"/>
  <c r="P162" i="7" s="1"/>
  <c r="L161" i="7"/>
  <c r="P161" i="7" s="1"/>
  <c r="L160" i="7"/>
  <c r="P160" i="7" s="1"/>
  <c r="L159" i="7"/>
  <c r="P159" i="7" s="1"/>
  <c r="L158" i="7"/>
  <c r="P158" i="7" s="1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91" i="7"/>
  <c r="T91" i="7" s="1"/>
  <c r="L90" i="7"/>
  <c r="L89" i="7"/>
  <c r="L88" i="7"/>
  <c r="L87" i="7"/>
  <c r="T87" i="7" s="1"/>
  <c r="L86" i="7"/>
  <c r="L85" i="7"/>
  <c r="L84" i="7"/>
  <c r="L83" i="7"/>
  <c r="T83" i="7" s="1"/>
  <c r="L82" i="7"/>
  <c r="L81" i="7"/>
  <c r="L80" i="7"/>
  <c r="L79" i="7"/>
  <c r="T79" i="7" s="1"/>
  <c r="L78" i="7"/>
  <c r="L77" i="7"/>
  <c r="L76" i="7"/>
  <c r="L75" i="7"/>
  <c r="T75" i="7" s="1"/>
  <c r="L74" i="7"/>
  <c r="L73" i="7"/>
  <c r="L72" i="7"/>
  <c r="L71" i="7"/>
  <c r="T71" i="7" s="1"/>
  <c r="L70" i="7"/>
  <c r="L69" i="7"/>
  <c r="L68" i="7"/>
  <c r="L67" i="7"/>
  <c r="T67" i="7" s="1"/>
  <c r="L66" i="7"/>
  <c r="L65" i="7"/>
  <c r="L64" i="7"/>
  <c r="L63" i="7"/>
  <c r="T63" i="7" s="1"/>
  <c r="L62" i="7"/>
  <c r="L61" i="7"/>
  <c r="L60" i="7"/>
  <c r="L59" i="7"/>
  <c r="P59" i="7" s="1"/>
  <c r="L58" i="7"/>
  <c r="L57" i="7"/>
  <c r="L56" i="7"/>
  <c r="L55" i="7"/>
  <c r="L54" i="7"/>
  <c r="L53" i="7"/>
  <c r="L52" i="7"/>
  <c r="L51" i="7"/>
  <c r="L50" i="7"/>
  <c r="L49" i="7"/>
  <c r="L48" i="7"/>
  <c r="T48" i="7" s="1"/>
  <c r="L47" i="7"/>
  <c r="L46" i="7"/>
  <c r="L45" i="7"/>
  <c r="L44" i="7"/>
  <c r="T44" i="7" s="1"/>
  <c r="L43" i="7"/>
  <c r="L42" i="7"/>
  <c r="K5" i="7"/>
  <c r="P5" i="7" s="1"/>
  <c r="K4" i="7"/>
  <c r="K3" i="7"/>
  <c r="S3" i="7" s="1"/>
  <c r="K2" i="7"/>
  <c r="Q95" i="7" l="1"/>
  <c r="Y95" i="7" s="1"/>
  <c r="Z95" i="7" s="1"/>
  <c r="P143" i="7"/>
  <c r="T143" i="7"/>
  <c r="O13" i="7"/>
  <c r="P13" i="7"/>
  <c r="R13" i="7"/>
  <c r="S13" i="7"/>
  <c r="V13" i="7"/>
  <c r="T13" i="7"/>
  <c r="N13" i="7"/>
  <c r="O133" i="7"/>
  <c r="R133" i="7"/>
  <c r="S133" i="7"/>
  <c r="V133" i="7"/>
  <c r="R77" i="7"/>
  <c r="S77" i="7"/>
  <c r="V77" i="7"/>
  <c r="N77" i="7"/>
  <c r="O77" i="7"/>
  <c r="O29" i="7"/>
  <c r="P29" i="7"/>
  <c r="R29" i="7"/>
  <c r="S29" i="7"/>
  <c r="V29" i="7"/>
  <c r="N29" i="7"/>
  <c r="Q29" i="7" s="1"/>
  <c r="T29" i="7"/>
  <c r="Y29" i="7"/>
  <c r="Z29" i="7" s="1"/>
  <c r="T159" i="7"/>
  <c r="T64" i="7"/>
  <c r="P64" i="7"/>
  <c r="P152" i="7"/>
  <c r="T152" i="7"/>
  <c r="P20" i="7"/>
  <c r="R20" i="7"/>
  <c r="S20" i="7"/>
  <c r="T20" i="7"/>
  <c r="N20" i="7"/>
  <c r="V20" i="7"/>
  <c r="O20" i="7"/>
  <c r="O148" i="7"/>
  <c r="Q148" i="7" s="1"/>
  <c r="Y148" i="7" s="1"/>
  <c r="Z148" i="7" s="1"/>
  <c r="R148" i="7"/>
  <c r="S148" i="7"/>
  <c r="V148" i="7"/>
  <c r="R92" i="7"/>
  <c r="S92" i="7"/>
  <c r="T92" i="7"/>
  <c r="V92" i="7"/>
  <c r="N92" i="7"/>
  <c r="Q92" i="7" s="1"/>
  <c r="Y92" i="7" s="1"/>
  <c r="Z92" i="7" s="1"/>
  <c r="O92" i="7"/>
  <c r="P92" i="7"/>
  <c r="R36" i="7"/>
  <c r="S36" i="7"/>
  <c r="T36" i="7"/>
  <c r="V36" i="7"/>
  <c r="O36" i="7"/>
  <c r="N36" i="7"/>
  <c r="Q36" i="7" s="1"/>
  <c r="Y36" i="7" s="1"/>
  <c r="Z36" i="7" s="1"/>
  <c r="P36" i="7"/>
  <c r="T49" i="7"/>
  <c r="P49" i="7"/>
  <c r="T57" i="7"/>
  <c r="P57" i="7"/>
  <c r="T65" i="7"/>
  <c r="P65" i="7"/>
  <c r="T73" i="7"/>
  <c r="P73" i="7"/>
  <c r="T81" i="7"/>
  <c r="P81" i="7"/>
  <c r="T89" i="7"/>
  <c r="P89" i="7"/>
  <c r="P137" i="7"/>
  <c r="T137" i="7"/>
  <c r="P145" i="7"/>
  <c r="T145" i="7"/>
  <c r="P153" i="7"/>
  <c r="T153" i="7"/>
  <c r="R19" i="7"/>
  <c r="S19" i="7"/>
  <c r="T19" i="7"/>
  <c r="V19" i="7"/>
  <c r="O19" i="7"/>
  <c r="N19" i="7"/>
  <c r="P19" i="7"/>
  <c r="R11" i="7"/>
  <c r="S11" i="7"/>
  <c r="T11" i="7"/>
  <c r="V11" i="7"/>
  <c r="O11" i="7"/>
  <c r="N11" i="7"/>
  <c r="P11" i="7"/>
  <c r="O163" i="7"/>
  <c r="R163" i="7"/>
  <c r="S163" i="7"/>
  <c r="V163" i="7"/>
  <c r="O155" i="7"/>
  <c r="R155" i="7"/>
  <c r="S155" i="7"/>
  <c r="V155" i="7"/>
  <c r="O147" i="7"/>
  <c r="R147" i="7"/>
  <c r="S147" i="7"/>
  <c r="V147" i="7"/>
  <c r="O139" i="7"/>
  <c r="R139" i="7"/>
  <c r="S139" i="7"/>
  <c r="V139" i="7"/>
  <c r="O131" i="7"/>
  <c r="P131" i="7"/>
  <c r="R131" i="7"/>
  <c r="S131" i="7"/>
  <c r="T131" i="7"/>
  <c r="V131" i="7"/>
  <c r="O123" i="7"/>
  <c r="P123" i="7"/>
  <c r="R123" i="7"/>
  <c r="S123" i="7"/>
  <c r="T123" i="7"/>
  <c r="V123" i="7"/>
  <c r="Y123" i="7" s="1"/>
  <c r="Z123" i="7" s="1"/>
  <c r="R115" i="7"/>
  <c r="S115" i="7"/>
  <c r="T115" i="7"/>
  <c r="V115" i="7"/>
  <c r="N115" i="7"/>
  <c r="V107" i="7"/>
  <c r="N107" i="7"/>
  <c r="O107" i="7"/>
  <c r="P107" i="7"/>
  <c r="R107" i="7"/>
  <c r="P99" i="7"/>
  <c r="R99" i="7"/>
  <c r="S99" i="7"/>
  <c r="T99" i="7"/>
  <c r="O99" i="7"/>
  <c r="V99" i="7"/>
  <c r="R91" i="7"/>
  <c r="S91" i="7"/>
  <c r="V91" i="7"/>
  <c r="N91" i="7"/>
  <c r="Y91" i="7" s="1"/>
  <c r="Z91" i="7" s="1"/>
  <c r="R83" i="7"/>
  <c r="S83" i="7"/>
  <c r="V83" i="7"/>
  <c r="N83" i="7"/>
  <c r="Q83" i="7" s="1"/>
  <c r="Y83" i="7" s="1"/>
  <c r="Z83" i="7" s="1"/>
  <c r="R75" i="7"/>
  <c r="S75" i="7"/>
  <c r="V75" i="7"/>
  <c r="N75" i="7"/>
  <c r="R67" i="7"/>
  <c r="S67" i="7"/>
  <c r="V67" i="7"/>
  <c r="N67" i="7"/>
  <c r="Q67" i="7" s="1"/>
  <c r="Y67" i="7" s="1"/>
  <c r="Z67" i="7" s="1"/>
  <c r="V59" i="7"/>
  <c r="N59" i="7"/>
  <c r="O59" i="7"/>
  <c r="Q59" i="7" s="1"/>
  <c r="R59" i="7"/>
  <c r="R51" i="7"/>
  <c r="S51" i="7"/>
  <c r="V51" i="7"/>
  <c r="N51" i="7"/>
  <c r="Q51" i="7" s="1"/>
  <c r="Y51" i="7" s="1"/>
  <c r="Z51" i="7" s="1"/>
  <c r="O51" i="7"/>
  <c r="V43" i="7"/>
  <c r="N43" i="7"/>
  <c r="O43" i="7"/>
  <c r="R43" i="7"/>
  <c r="S43" i="7"/>
  <c r="R35" i="7"/>
  <c r="S35" i="7"/>
  <c r="T35" i="7"/>
  <c r="V35" i="7"/>
  <c r="N35" i="7"/>
  <c r="P35" i="7"/>
  <c r="O35" i="7"/>
  <c r="R27" i="7"/>
  <c r="S27" i="7"/>
  <c r="T27" i="7"/>
  <c r="V27" i="7"/>
  <c r="O27" i="7"/>
  <c r="N27" i="7"/>
  <c r="Q27" i="7" s="1"/>
  <c r="P27" i="7"/>
  <c r="S181" i="7"/>
  <c r="V179" i="7"/>
  <c r="N178" i="7"/>
  <c r="Q178" i="7" s="1"/>
  <c r="O177" i="7"/>
  <c r="P176" i="7"/>
  <c r="S174" i="7"/>
  <c r="S173" i="7"/>
  <c r="V171" i="7"/>
  <c r="N170" i="7"/>
  <c r="Q170" i="7" s="1"/>
  <c r="O169" i="7"/>
  <c r="P168" i="7"/>
  <c r="R167" i="7"/>
  <c r="S166" i="7"/>
  <c r="T163" i="7"/>
  <c r="T161" i="7"/>
  <c r="N155" i="7"/>
  <c r="Q155" i="7" s="1"/>
  <c r="N147" i="7"/>
  <c r="N139" i="7"/>
  <c r="N131" i="7"/>
  <c r="Q131" i="7" s="1"/>
  <c r="Y131" i="7" s="1"/>
  <c r="Z131" i="7" s="1"/>
  <c r="N123" i="7"/>
  <c r="Q123" i="7" s="1"/>
  <c r="P115" i="7"/>
  <c r="S111" i="7"/>
  <c r="T107" i="7"/>
  <c r="T103" i="7"/>
  <c r="O95" i="7"/>
  <c r="P79" i="7"/>
  <c r="R9" i="7"/>
  <c r="P151" i="7"/>
  <c r="T151" i="7"/>
  <c r="O157" i="7"/>
  <c r="R157" i="7"/>
  <c r="S157" i="7"/>
  <c r="V157" i="7"/>
  <c r="P117" i="7"/>
  <c r="R117" i="7"/>
  <c r="S117" i="7"/>
  <c r="T117" i="7"/>
  <c r="V117" i="7"/>
  <c r="R85" i="7"/>
  <c r="S85" i="7"/>
  <c r="V85" i="7"/>
  <c r="N85" i="7"/>
  <c r="O85" i="7"/>
  <c r="P37" i="7"/>
  <c r="R37" i="7"/>
  <c r="S37" i="7"/>
  <c r="T37" i="7"/>
  <c r="V37" i="7"/>
  <c r="N37" i="7"/>
  <c r="O37" i="7"/>
  <c r="V173" i="7"/>
  <c r="O140" i="7"/>
  <c r="R140" i="7"/>
  <c r="S140" i="7"/>
  <c r="V140" i="7"/>
  <c r="R76" i="7"/>
  <c r="S76" i="7"/>
  <c r="V76" i="7"/>
  <c r="N76" i="7"/>
  <c r="Q76" i="7" s="1"/>
  <c r="Y76" i="7" s="1"/>
  <c r="Z76" i="7" s="1"/>
  <c r="O76" i="7"/>
  <c r="T181" i="7"/>
  <c r="T42" i="7"/>
  <c r="T50" i="7"/>
  <c r="P50" i="7"/>
  <c r="T58" i="7"/>
  <c r="P58" i="7"/>
  <c r="T66" i="7"/>
  <c r="P66" i="7"/>
  <c r="T74" i="7"/>
  <c r="P74" i="7"/>
  <c r="T82" i="7"/>
  <c r="P82" i="7"/>
  <c r="T90" i="7"/>
  <c r="P90" i="7"/>
  <c r="P138" i="7"/>
  <c r="T138" i="7"/>
  <c r="P146" i="7"/>
  <c r="T146" i="7"/>
  <c r="P154" i="7"/>
  <c r="T154" i="7"/>
  <c r="S18" i="7"/>
  <c r="T18" i="7"/>
  <c r="V18" i="7"/>
  <c r="N18" i="7"/>
  <c r="P18" i="7"/>
  <c r="O18" i="7"/>
  <c r="R18" i="7"/>
  <c r="S10" i="7"/>
  <c r="T10" i="7"/>
  <c r="V10" i="7"/>
  <c r="N10" i="7"/>
  <c r="P10" i="7"/>
  <c r="O10" i="7"/>
  <c r="R10" i="7"/>
  <c r="O162" i="7"/>
  <c r="Q162" i="7" s="1"/>
  <c r="Y162" i="7" s="1"/>
  <c r="Z162" i="7" s="1"/>
  <c r="R162" i="7"/>
  <c r="S162" i="7"/>
  <c r="V162" i="7"/>
  <c r="O154" i="7"/>
  <c r="R154" i="7"/>
  <c r="S154" i="7"/>
  <c r="V154" i="7"/>
  <c r="O146" i="7"/>
  <c r="R146" i="7"/>
  <c r="S146" i="7"/>
  <c r="V146" i="7"/>
  <c r="O138" i="7"/>
  <c r="R138" i="7"/>
  <c r="S138" i="7"/>
  <c r="V138" i="7"/>
  <c r="O130" i="7"/>
  <c r="Q130" i="7" s="1"/>
  <c r="Y130" i="7" s="1"/>
  <c r="Z130" i="7" s="1"/>
  <c r="P130" i="7"/>
  <c r="R130" i="7"/>
  <c r="S130" i="7"/>
  <c r="T130" i="7"/>
  <c r="V130" i="7"/>
  <c r="O122" i="7"/>
  <c r="P122" i="7"/>
  <c r="R122" i="7"/>
  <c r="S122" i="7"/>
  <c r="T122" i="7"/>
  <c r="V122" i="7"/>
  <c r="S114" i="7"/>
  <c r="T114" i="7"/>
  <c r="V114" i="7"/>
  <c r="N114" i="7"/>
  <c r="Q114" i="7" s="1"/>
  <c r="O114" i="7"/>
  <c r="V106" i="7"/>
  <c r="N106" i="7"/>
  <c r="O106" i="7"/>
  <c r="P106" i="7"/>
  <c r="R106" i="7"/>
  <c r="P98" i="7"/>
  <c r="R98" i="7"/>
  <c r="S98" i="7"/>
  <c r="T98" i="7"/>
  <c r="N98" i="7"/>
  <c r="O98" i="7"/>
  <c r="R90" i="7"/>
  <c r="S90" i="7"/>
  <c r="V90" i="7"/>
  <c r="N90" i="7"/>
  <c r="O90" i="7"/>
  <c r="R82" i="7"/>
  <c r="S82" i="7"/>
  <c r="V82" i="7"/>
  <c r="N82" i="7"/>
  <c r="Q82" i="7" s="1"/>
  <c r="O82" i="7"/>
  <c r="R74" i="7"/>
  <c r="S74" i="7"/>
  <c r="V74" i="7"/>
  <c r="N74" i="7"/>
  <c r="O74" i="7"/>
  <c r="R66" i="7"/>
  <c r="S66" i="7"/>
  <c r="V66" i="7"/>
  <c r="N66" i="7"/>
  <c r="Q66" i="7" s="1"/>
  <c r="Y66" i="7" s="1"/>
  <c r="Z66" i="7" s="1"/>
  <c r="O66" i="7"/>
  <c r="V58" i="7"/>
  <c r="N58" i="7"/>
  <c r="O58" i="7"/>
  <c r="R58" i="7"/>
  <c r="S58" i="7"/>
  <c r="R50" i="7"/>
  <c r="S50" i="7"/>
  <c r="V50" i="7"/>
  <c r="N50" i="7"/>
  <c r="O50" i="7"/>
  <c r="N42" i="7"/>
  <c r="O42" i="7"/>
  <c r="R42" i="7"/>
  <c r="S42" i="7"/>
  <c r="V42" i="7"/>
  <c r="S34" i="7"/>
  <c r="T34" i="7"/>
  <c r="V34" i="7"/>
  <c r="N34" i="7"/>
  <c r="P34" i="7"/>
  <c r="O34" i="7"/>
  <c r="Q34" i="7" s="1"/>
  <c r="Y34" i="7" s="1"/>
  <c r="Z34" i="7" s="1"/>
  <c r="R34" i="7"/>
  <c r="S26" i="7"/>
  <c r="T26" i="7"/>
  <c r="V26" i="7"/>
  <c r="N26" i="7"/>
  <c r="P26" i="7"/>
  <c r="O26" i="7"/>
  <c r="R26" i="7"/>
  <c r="R181" i="7"/>
  <c r="T180" i="7"/>
  <c r="T179" i="7"/>
  <c r="V178" i="7"/>
  <c r="N177" i="7"/>
  <c r="Q177" i="7" s="1"/>
  <c r="O176" i="7"/>
  <c r="P175" i="7"/>
  <c r="R174" i="7"/>
  <c r="R173" i="7"/>
  <c r="T172" i="7"/>
  <c r="T171" i="7"/>
  <c r="V170" i="7"/>
  <c r="N169" i="7"/>
  <c r="Q169" i="7" s="1"/>
  <c r="Y169" i="7" s="1"/>
  <c r="Z169" i="7" s="1"/>
  <c r="O168" i="7"/>
  <c r="R166" i="7"/>
  <c r="T158" i="7"/>
  <c r="O115" i="7"/>
  <c r="S107" i="7"/>
  <c r="P63" i="7"/>
  <c r="P48" i="7"/>
  <c r="T47" i="7"/>
  <c r="P47" i="7"/>
  <c r="P135" i="7"/>
  <c r="T135" i="7"/>
  <c r="R165" i="7"/>
  <c r="V165" i="7"/>
  <c r="V109" i="7"/>
  <c r="N109" i="7"/>
  <c r="Q109" i="7" s="1"/>
  <c r="O109" i="7"/>
  <c r="P109" i="7"/>
  <c r="R109" i="7"/>
  <c r="V61" i="7"/>
  <c r="N61" i="7"/>
  <c r="O61" i="7"/>
  <c r="R61" i="7"/>
  <c r="S61" i="7"/>
  <c r="Q180" i="7"/>
  <c r="T167" i="7"/>
  <c r="P56" i="7"/>
  <c r="T56" i="7"/>
  <c r="T72" i="7"/>
  <c r="P72" i="7"/>
  <c r="P144" i="7"/>
  <c r="T144" i="7"/>
  <c r="O156" i="7"/>
  <c r="R156" i="7"/>
  <c r="S156" i="7"/>
  <c r="V156" i="7"/>
  <c r="O124" i="7"/>
  <c r="P124" i="7"/>
  <c r="R124" i="7"/>
  <c r="S124" i="7"/>
  <c r="T124" i="7"/>
  <c r="V124" i="7"/>
  <c r="P100" i="7"/>
  <c r="R100" i="7"/>
  <c r="T100" i="7"/>
  <c r="N100" i="7"/>
  <c r="O100" i="7"/>
  <c r="S100" i="7"/>
  <c r="V100" i="7"/>
  <c r="N60" i="7"/>
  <c r="O60" i="7"/>
  <c r="Q60" i="7" s="1"/>
  <c r="Y60" i="7" s="1"/>
  <c r="Z60" i="7" s="1"/>
  <c r="R60" i="7"/>
  <c r="S60" i="7"/>
  <c r="V60" i="7"/>
  <c r="P28" i="7"/>
  <c r="R28" i="7"/>
  <c r="S28" i="7"/>
  <c r="T28" i="7"/>
  <c r="N28" i="7"/>
  <c r="Q28" i="7" s="1"/>
  <c r="Y28" i="7" s="1"/>
  <c r="Z28" i="7" s="1"/>
  <c r="O28" i="7"/>
  <c r="V28" i="7"/>
  <c r="R175" i="7"/>
  <c r="V172" i="7"/>
  <c r="R168" i="7"/>
  <c r="P43" i="7"/>
  <c r="T43" i="7"/>
  <c r="P139" i="7"/>
  <c r="T139" i="7"/>
  <c r="P147" i="7"/>
  <c r="T147" i="7"/>
  <c r="P155" i="7"/>
  <c r="T155" i="7"/>
  <c r="S17" i="7"/>
  <c r="T17" i="7"/>
  <c r="V17" i="7"/>
  <c r="N17" i="7"/>
  <c r="O17" i="7"/>
  <c r="P17" i="7"/>
  <c r="R17" i="7"/>
  <c r="S9" i="7"/>
  <c r="T9" i="7"/>
  <c r="V9" i="7"/>
  <c r="N9" i="7"/>
  <c r="O9" i="7"/>
  <c r="O161" i="7"/>
  <c r="Q161" i="7" s="1"/>
  <c r="Y161" i="7" s="1"/>
  <c r="Z161" i="7" s="1"/>
  <c r="R161" i="7"/>
  <c r="S161" i="7"/>
  <c r="V161" i="7"/>
  <c r="O153" i="7"/>
  <c r="R153" i="7"/>
  <c r="S153" i="7"/>
  <c r="V153" i="7"/>
  <c r="O145" i="7"/>
  <c r="Q145" i="7" s="1"/>
  <c r="Y145" i="7" s="1"/>
  <c r="Z145" i="7" s="1"/>
  <c r="R145" i="7"/>
  <c r="S145" i="7"/>
  <c r="V145" i="7"/>
  <c r="O137" i="7"/>
  <c r="R137" i="7"/>
  <c r="S137" i="7"/>
  <c r="V137" i="7"/>
  <c r="O129" i="7"/>
  <c r="P129" i="7"/>
  <c r="R129" i="7"/>
  <c r="S129" i="7"/>
  <c r="T129" i="7"/>
  <c r="V129" i="7"/>
  <c r="O121" i="7"/>
  <c r="P121" i="7"/>
  <c r="R121" i="7"/>
  <c r="S121" i="7"/>
  <c r="T121" i="7"/>
  <c r="V121" i="7"/>
  <c r="S113" i="7"/>
  <c r="T113" i="7"/>
  <c r="V113" i="7"/>
  <c r="N113" i="7"/>
  <c r="Q113" i="7" s="1"/>
  <c r="Y113" i="7" s="1"/>
  <c r="Z113" i="7" s="1"/>
  <c r="O113" i="7"/>
  <c r="V105" i="7"/>
  <c r="N105" i="7"/>
  <c r="Q105" i="7" s="1"/>
  <c r="O105" i="7"/>
  <c r="P105" i="7"/>
  <c r="R105" i="7"/>
  <c r="P97" i="7"/>
  <c r="R97" i="7"/>
  <c r="S97" i="7"/>
  <c r="T97" i="7"/>
  <c r="V97" i="7"/>
  <c r="N97" i="7"/>
  <c r="O97" i="7"/>
  <c r="R89" i="7"/>
  <c r="S89" i="7"/>
  <c r="V89" i="7"/>
  <c r="N89" i="7"/>
  <c r="Q89" i="7" s="1"/>
  <c r="O89" i="7"/>
  <c r="R81" i="7"/>
  <c r="S81" i="7"/>
  <c r="V81" i="7"/>
  <c r="N81" i="7"/>
  <c r="O81" i="7"/>
  <c r="R73" i="7"/>
  <c r="S73" i="7"/>
  <c r="V73" i="7"/>
  <c r="N73" i="7"/>
  <c r="Q73" i="7" s="1"/>
  <c r="Y73" i="7" s="1"/>
  <c r="Z73" i="7" s="1"/>
  <c r="O73" i="7"/>
  <c r="S65" i="7"/>
  <c r="V65" i="7"/>
  <c r="N65" i="7"/>
  <c r="O65" i="7"/>
  <c r="R65" i="7"/>
  <c r="V57" i="7"/>
  <c r="N57" i="7"/>
  <c r="O57" i="7"/>
  <c r="R57" i="7"/>
  <c r="S57" i="7"/>
  <c r="R49" i="7"/>
  <c r="S49" i="7"/>
  <c r="V49" i="7"/>
  <c r="N49" i="7"/>
  <c r="O49" i="7"/>
  <c r="N41" i="7"/>
  <c r="O41" i="7"/>
  <c r="P41" i="7"/>
  <c r="R41" i="7"/>
  <c r="S41" i="7"/>
  <c r="V41" i="7"/>
  <c r="T41" i="7"/>
  <c r="S33" i="7"/>
  <c r="T33" i="7"/>
  <c r="V33" i="7"/>
  <c r="N33" i="7"/>
  <c r="O33" i="7"/>
  <c r="P33" i="7"/>
  <c r="R33" i="7"/>
  <c r="S25" i="7"/>
  <c r="T25" i="7"/>
  <c r="V25" i="7"/>
  <c r="N25" i="7"/>
  <c r="O25" i="7"/>
  <c r="P25" i="7"/>
  <c r="R25" i="7"/>
  <c r="S180" i="7"/>
  <c r="S179" i="7"/>
  <c r="Y179" i="7" s="1"/>
  <c r="Z179" i="7" s="1"/>
  <c r="V177" i="7"/>
  <c r="N176" i="7"/>
  <c r="O175" i="7"/>
  <c r="S172" i="7"/>
  <c r="S171" i="7"/>
  <c r="Y171" i="7" s="1"/>
  <c r="Z171" i="7" s="1"/>
  <c r="V169" i="7"/>
  <c r="N168" i="7"/>
  <c r="P167" i="7"/>
  <c r="N165" i="7"/>
  <c r="Q165" i="7" s="1"/>
  <c r="Y165" i="7" s="1"/>
  <c r="Z165" i="7" s="1"/>
  <c r="N163" i="7"/>
  <c r="N154" i="7"/>
  <c r="Q154" i="7" s="1"/>
  <c r="Y154" i="7" s="1"/>
  <c r="Z154" i="7" s="1"/>
  <c r="N146" i="7"/>
  <c r="Q146" i="7" s="1"/>
  <c r="Y146" i="7" s="1"/>
  <c r="Z146" i="7" s="1"/>
  <c r="N138" i="7"/>
  <c r="N130" i="7"/>
  <c r="N122" i="7"/>
  <c r="O118" i="7"/>
  <c r="Q118" i="7" s="1"/>
  <c r="Y118" i="7" s="1"/>
  <c r="Z118" i="7" s="1"/>
  <c r="R114" i="7"/>
  <c r="S110" i="7"/>
  <c r="T106" i="7"/>
  <c r="R102" i="7"/>
  <c r="P91" i="7"/>
  <c r="P75" i="7"/>
  <c r="T59" i="7"/>
  <c r="O21" i="7"/>
  <c r="P21" i="7"/>
  <c r="R21" i="7"/>
  <c r="S21" i="7"/>
  <c r="V21" i="7"/>
  <c r="N21" i="7"/>
  <c r="T21" i="7"/>
  <c r="O149" i="7"/>
  <c r="R149" i="7"/>
  <c r="S149" i="7"/>
  <c r="V149" i="7"/>
  <c r="R101" i="7"/>
  <c r="P101" i="7"/>
  <c r="S101" i="7"/>
  <c r="T101" i="7"/>
  <c r="V101" i="7"/>
  <c r="V45" i="7"/>
  <c r="N45" i="7"/>
  <c r="Q45" i="7" s="1"/>
  <c r="Y45" i="7" s="1"/>
  <c r="Z45" i="7" s="1"/>
  <c r="O45" i="7"/>
  <c r="R45" i="7"/>
  <c r="S45" i="7"/>
  <c r="T80" i="7"/>
  <c r="P80" i="7"/>
  <c r="V108" i="7"/>
  <c r="N108" i="7"/>
  <c r="Q108" i="7" s="1"/>
  <c r="Y108" i="7" s="1"/>
  <c r="Z108" i="7" s="1"/>
  <c r="O108" i="7"/>
  <c r="P108" i="7"/>
  <c r="R108" i="7"/>
  <c r="O52" i="7"/>
  <c r="Q52" i="7" s="1"/>
  <c r="Y52" i="7" s="1"/>
  <c r="Z52" i="7" s="1"/>
  <c r="R52" i="7"/>
  <c r="S52" i="7"/>
  <c r="V52" i="7"/>
  <c r="T173" i="7"/>
  <c r="P44" i="7"/>
  <c r="P52" i="7"/>
  <c r="T52" i="7"/>
  <c r="P60" i="7"/>
  <c r="T60" i="7"/>
  <c r="T68" i="7"/>
  <c r="P68" i="7"/>
  <c r="T76" i="7"/>
  <c r="P76" i="7"/>
  <c r="T84" i="7"/>
  <c r="P84" i="7"/>
  <c r="P132" i="7"/>
  <c r="T132" i="7"/>
  <c r="P140" i="7"/>
  <c r="T140" i="7"/>
  <c r="P148" i="7"/>
  <c r="T148" i="7"/>
  <c r="P156" i="7"/>
  <c r="T156" i="7"/>
  <c r="V16" i="7"/>
  <c r="N16" i="7"/>
  <c r="O16" i="7"/>
  <c r="P16" i="7"/>
  <c r="S16" i="7"/>
  <c r="R16" i="7"/>
  <c r="T16" i="7"/>
  <c r="V8" i="7"/>
  <c r="N8" i="7"/>
  <c r="O8" i="7"/>
  <c r="P8" i="7"/>
  <c r="S8" i="7"/>
  <c r="R8" i="7"/>
  <c r="T8" i="7"/>
  <c r="O160" i="7"/>
  <c r="R160" i="7"/>
  <c r="S160" i="7"/>
  <c r="V160" i="7"/>
  <c r="O152" i="7"/>
  <c r="R152" i="7"/>
  <c r="S152" i="7"/>
  <c r="V152" i="7"/>
  <c r="O144" i="7"/>
  <c r="Q144" i="7" s="1"/>
  <c r="Y144" i="7" s="1"/>
  <c r="Z144" i="7" s="1"/>
  <c r="R144" i="7"/>
  <c r="S144" i="7"/>
  <c r="V144" i="7"/>
  <c r="O136" i="7"/>
  <c r="R136" i="7"/>
  <c r="S136" i="7"/>
  <c r="V136" i="7"/>
  <c r="O128" i="7"/>
  <c r="Q128" i="7" s="1"/>
  <c r="Y128" i="7" s="1"/>
  <c r="Z128" i="7" s="1"/>
  <c r="P128" i="7"/>
  <c r="R128" i="7"/>
  <c r="S128" i="7"/>
  <c r="T128" i="7"/>
  <c r="V128" i="7"/>
  <c r="O120" i="7"/>
  <c r="P120" i="7"/>
  <c r="R120" i="7"/>
  <c r="S120" i="7"/>
  <c r="T120" i="7"/>
  <c r="V120" i="7"/>
  <c r="T112" i="7"/>
  <c r="V112" i="7"/>
  <c r="N112" i="7"/>
  <c r="O112" i="7"/>
  <c r="P112" i="7"/>
  <c r="N104" i="7"/>
  <c r="Q104" i="7" s="1"/>
  <c r="Y104" i="7" s="1"/>
  <c r="Z104" i="7" s="1"/>
  <c r="O104" i="7"/>
  <c r="P104" i="7"/>
  <c r="R104" i="7"/>
  <c r="S104" i="7"/>
  <c r="P96" i="7"/>
  <c r="R96" i="7"/>
  <c r="S96" i="7"/>
  <c r="Y96" i="7" s="1"/>
  <c r="Z96" i="7" s="1"/>
  <c r="T96" i="7"/>
  <c r="V96" i="7"/>
  <c r="N96" i="7"/>
  <c r="Q96" i="7" s="1"/>
  <c r="O96" i="7"/>
  <c r="R88" i="7"/>
  <c r="S88" i="7"/>
  <c r="V88" i="7"/>
  <c r="N88" i="7"/>
  <c r="O88" i="7"/>
  <c r="R80" i="7"/>
  <c r="S80" i="7"/>
  <c r="V80" i="7"/>
  <c r="O80" i="7"/>
  <c r="R72" i="7"/>
  <c r="S72" i="7"/>
  <c r="V72" i="7"/>
  <c r="N72" i="7"/>
  <c r="Q72" i="7" s="1"/>
  <c r="Y72" i="7" s="1"/>
  <c r="Z72" i="7" s="1"/>
  <c r="O72" i="7"/>
  <c r="S64" i="7"/>
  <c r="V64" i="7"/>
  <c r="N64" i="7"/>
  <c r="O64" i="7"/>
  <c r="R64" i="7"/>
  <c r="V56" i="7"/>
  <c r="N56" i="7"/>
  <c r="O56" i="7"/>
  <c r="Q56" i="7" s="1"/>
  <c r="Y56" i="7" s="1"/>
  <c r="Z56" i="7" s="1"/>
  <c r="R56" i="7"/>
  <c r="S56" i="7"/>
  <c r="S48" i="7"/>
  <c r="V48" i="7"/>
  <c r="N48" i="7"/>
  <c r="O48" i="7"/>
  <c r="N40" i="7"/>
  <c r="O40" i="7"/>
  <c r="P40" i="7"/>
  <c r="R40" i="7"/>
  <c r="S40" i="7"/>
  <c r="V40" i="7"/>
  <c r="T40" i="7"/>
  <c r="V32" i="7"/>
  <c r="N32" i="7"/>
  <c r="O32" i="7"/>
  <c r="P32" i="7"/>
  <c r="S32" i="7"/>
  <c r="R32" i="7"/>
  <c r="T32" i="7"/>
  <c r="V24" i="7"/>
  <c r="N24" i="7"/>
  <c r="O24" i="7"/>
  <c r="P24" i="7"/>
  <c r="S24" i="7"/>
  <c r="R24" i="7"/>
  <c r="T24" i="7"/>
  <c r="R180" i="7"/>
  <c r="N175" i="7"/>
  <c r="Q175" i="7" s="1"/>
  <c r="O174" i="7"/>
  <c r="R172" i="7"/>
  <c r="O167" i="7"/>
  <c r="Q167" i="7" s="1"/>
  <c r="Y167" i="7" s="1"/>
  <c r="Z167" i="7" s="1"/>
  <c r="O166" i="7"/>
  <c r="T160" i="7"/>
  <c r="P114" i="7"/>
  <c r="S106" i="7"/>
  <c r="O91" i="7"/>
  <c r="O75" i="7"/>
  <c r="S59" i="7"/>
  <c r="O141" i="7"/>
  <c r="Q141" i="7" s="1"/>
  <c r="Y141" i="7" s="1"/>
  <c r="Z141" i="7" s="1"/>
  <c r="R141" i="7"/>
  <c r="S141" i="7"/>
  <c r="V141" i="7"/>
  <c r="R69" i="7"/>
  <c r="S69" i="7"/>
  <c r="V69" i="7"/>
  <c r="N69" i="7"/>
  <c r="Q69" i="7" s="1"/>
  <c r="Y69" i="7" s="1"/>
  <c r="Z69" i="7" s="1"/>
  <c r="O69" i="7"/>
  <c r="Q172" i="7"/>
  <c r="T165" i="7"/>
  <c r="V4" i="7"/>
  <c r="N4" i="7"/>
  <c r="Q4" i="7" s="1"/>
  <c r="T88" i="7"/>
  <c r="P88" i="7"/>
  <c r="O164" i="7"/>
  <c r="Q164" i="7" s="1"/>
  <c r="Y164" i="7" s="1"/>
  <c r="Z164" i="7" s="1"/>
  <c r="R164" i="7"/>
  <c r="S164" i="7"/>
  <c r="V164" i="7"/>
  <c r="R116" i="7"/>
  <c r="S116" i="7"/>
  <c r="T116" i="7"/>
  <c r="V116" i="7"/>
  <c r="N116" i="7"/>
  <c r="Q116" i="7" s="1"/>
  <c r="Y116" i="7" s="1"/>
  <c r="Z116" i="7" s="1"/>
  <c r="R68" i="7"/>
  <c r="S68" i="7"/>
  <c r="V68" i="7"/>
  <c r="N68" i="7"/>
  <c r="O68" i="7"/>
  <c r="P51" i="7"/>
  <c r="T51" i="7"/>
  <c r="P45" i="7"/>
  <c r="T45" i="7"/>
  <c r="P53" i="7"/>
  <c r="T53" i="7"/>
  <c r="P61" i="7"/>
  <c r="T61" i="7"/>
  <c r="T69" i="7"/>
  <c r="P69" i="7"/>
  <c r="T77" i="7"/>
  <c r="P77" i="7"/>
  <c r="T85" i="7"/>
  <c r="P85" i="7"/>
  <c r="P133" i="7"/>
  <c r="T133" i="7"/>
  <c r="P141" i="7"/>
  <c r="T141" i="7"/>
  <c r="P149" i="7"/>
  <c r="T149" i="7"/>
  <c r="P157" i="7"/>
  <c r="T157" i="7"/>
  <c r="V15" i="7"/>
  <c r="N15" i="7"/>
  <c r="Q15" i="7" s="1"/>
  <c r="Y15" i="7" s="1"/>
  <c r="Z15" i="7" s="1"/>
  <c r="O15" i="7"/>
  <c r="P15" i="7"/>
  <c r="S15" i="7"/>
  <c r="R15" i="7"/>
  <c r="T15" i="7"/>
  <c r="V7" i="7"/>
  <c r="N7" i="7"/>
  <c r="Q7" i="7" s="1"/>
  <c r="Y7" i="7" s="1"/>
  <c r="Z7" i="7" s="1"/>
  <c r="O7" i="7"/>
  <c r="P7" i="7"/>
  <c r="S7" i="7"/>
  <c r="R7" i="7"/>
  <c r="T7" i="7"/>
  <c r="O159" i="7"/>
  <c r="Q159" i="7" s="1"/>
  <c r="Y159" i="7" s="1"/>
  <c r="Z159" i="7" s="1"/>
  <c r="R159" i="7"/>
  <c r="S159" i="7"/>
  <c r="V159" i="7"/>
  <c r="O151" i="7"/>
  <c r="Q151" i="7" s="1"/>
  <c r="Y151" i="7" s="1"/>
  <c r="Z151" i="7" s="1"/>
  <c r="R151" i="7"/>
  <c r="S151" i="7"/>
  <c r="V151" i="7"/>
  <c r="O143" i="7"/>
  <c r="Q143" i="7" s="1"/>
  <c r="Y143" i="7" s="1"/>
  <c r="Z143" i="7" s="1"/>
  <c r="R143" i="7"/>
  <c r="S143" i="7"/>
  <c r="V143" i="7"/>
  <c r="O135" i="7"/>
  <c r="Q135" i="7" s="1"/>
  <c r="Y135" i="7" s="1"/>
  <c r="Z135" i="7" s="1"/>
  <c r="R135" i="7"/>
  <c r="S135" i="7"/>
  <c r="V135" i="7"/>
  <c r="O127" i="7"/>
  <c r="Q127" i="7" s="1"/>
  <c r="Y127" i="7" s="1"/>
  <c r="Z127" i="7" s="1"/>
  <c r="P127" i="7"/>
  <c r="R127" i="7"/>
  <c r="S127" i="7"/>
  <c r="T127" i="7"/>
  <c r="V127" i="7"/>
  <c r="O119" i="7"/>
  <c r="Q119" i="7" s="1"/>
  <c r="Y119" i="7" s="1"/>
  <c r="Z119" i="7" s="1"/>
  <c r="P119" i="7"/>
  <c r="R119" i="7"/>
  <c r="S119" i="7"/>
  <c r="T119" i="7"/>
  <c r="V119" i="7"/>
  <c r="T111" i="7"/>
  <c r="V111" i="7"/>
  <c r="N111" i="7"/>
  <c r="O111" i="7"/>
  <c r="P111" i="7"/>
  <c r="P103" i="7"/>
  <c r="V103" i="7"/>
  <c r="N103" i="7"/>
  <c r="O103" i="7"/>
  <c r="Q103" i="7" s="1"/>
  <c r="Y103" i="7" s="1"/>
  <c r="Z103" i="7" s="1"/>
  <c r="R103" i="7"/>
  <c r="P95" i="7"/>
  <c r="R95" i="7"/>
  <c r="S95" i="7"/>
  <c r="T95" i="7"/>
  <c r="V95" i="7"/>
  <c r="R87" i="7"/>
  <c r="S87" i="7"/>
  <c r="V87" i="7"/>
  <c r="N87" i="7"/>
  <c r="R79" i="7"/>
  <c r="S79" i="7"/>
  <c r="V79" i="7"/>
  <c r="N79" i="7"/>
  <c r="Q79" i="7" s="1"/>
  <c r="R71" i="7"/>
  <c r="S71" i="7"/>
  <c r="V71" i="7"/>
  <c r="N71" i="7"/>
  <c r="S63" i="7"/>
  <c r="V63" i="7"/>
  <c r="N63" i="7"/>
  <c r="O63" i="7"/>
  <c r="N55" i="7"/>
  <c r="O55" i="7"/>
  <c r="R55" i="7"/>
  <c r="S55" i="7"/>
  <c r="S47" i="7"/>
  <c r="V47" i="7"/>
  <c r="N47" i="7"/>
  <c r="Q47" i="7" s="1"/>
  <c r="Y47" i="7" s="1"/>
  <c r="Z47" i="7" s="1"/>
  <c r="O47" i="7"/>
  <c r="R47" i="7"/>
  <c r="O39" i="7"/>
  <c r="P39" i="7"/>
  <c r="R39" i="7"/>
  <c r="S39" i="7"/>
  <c r="V39" i="7"/>
  <c r="N39" i="7"/>
  <c r="Q39" i="7" s="1"/>
  <c r="Y39" i="7" s="1"/>
  <c r="Z39" i="7" s="1"/>
  <c r="T39" i="7"/>
  <c r="V31" i="7"/>
  <c r="N31" i="7"/>
  <c r="O31" i="7"/>
  <c r="P31" i="7"/>
  <c r="S31" i="7"/>
  <c r="U31" i="7" s="1"/>
  <c r="R31" i="7"/>
  <c r="T31" i="7"/>
  <c r="V23" i="7"/>
  <c r="N23" i="7"/>
  <c r="O23" i="7"/>
  <c r="P23" i="7"/>
  <c r="S23" i="7"/>
  <c r="O181" i="7"/>
  <c r="Q181" i="7" s="1"/>
  <c r="Y181" i="7" s="1"/>
  <c r="Z181" i="7" s="1"/>
  <c r="S178" i="7"/>
  <c r="S177" i="7"/>
  <c r="N174" i="7"/>
  <c r="Q174" i="7" s="1"/>
  <c r="Y174" i="7" s="1"/>
  <c r="Z174" i="7" s="1"/>
  <c r="O173" i="7"/>
  <c r="Q173" i="7" s="1"/>
  <c r="Y173" i="7" s="1"/>
  <c r="Z173" i="7" s="1"/>
  <c r="S170" i="7"/>
  <c r="S169" i="7"/>
  <c r="V167" i="7"/>
  <c r="N166" i="7"/>
  <c r="T164" i="7"/>
  <c r="T162" i="7"/>
  <c r="N160" i="7"/>
  <c r="Q160" i="7" s="1"/>
  <c r="Y160" i="7" s="1"/>
  <c r="Z160" i="7" s="1"/>
  <c r="N157" i="7"/>
  <c r="N153" i="7"/>
  <c r="Q153" i="7" s="1"/>
  <c r="Y153" i="7" s="1"/>
  <c r="Z153" i="7" s="1"/>
  <c r="N149" i="7"/>
  <c r="Q149" i="7" s="1"/>
  <c r="N145" i="7"/>
  <c r="N141" i="7"/>
  <c r="N137" i="7"/>
  <c r="Q137" i="7" s="1"/>
  <c r="N133" i="7"/>
  <c r="N129" i="7"/>
  <c r="Q129" i="7" s="1"/>
  <c r="Y129" i="7" s="1"/>
  <c r="Z129" i="7" s="1"/>
  <c r="N121" i="7"/>
  <c r="Q121" i="7" s="1"/>
  <c r="Y121" i="7" s="1"/>
  <c r="Z121" i="7" s="1"/>
  <c r="O117" i="7"/>
  <c r="R113" i="7"/>
  <c r="T109" i="7"/>
  <c r="T105" i="7"/>
  <c r="O101" i="7"/>
  <c r="P87" i="7"/>
  <c r="P71" i="7"/>
  <c r="P55" i="7"/>
  <c r="T55" i="7"/>
  <c r="O125" i="7"/>
  <c r="Q125" i="7" s="1"/>
  <c r="Y125" i="7" s="1"/>
  <c r="Z125" i="7" s="1"/>
  <c r="P125" i="7"/>
  <c r="R125" i="7"/>
  <c r="S125" i="7"/>
  <c r="T125" i="7"/>
  <c r="V125" i="7"/>
  <c r="R93" i="7"/>
  <c r="S93" i="7"/>
  <c r="T93" i="7"/>
  <c r="V93" i="7"/>
  <c r="N93" i="7"/>
  <c r="O93" i="7"/>
  <c r="P93" i="7"/>
  <c r="N53" i="7"/>
  <c r="O53" i="7"/>
  <c r="R53" i="7"/>
  <c r="S53" i="7"/>
  <c r="V53" i="7"/>
  <c r="V181" i="7"/>
  <c r="S175" i="7"/>
  <c r="P136" i="7"/>
  <c r="T136" i="7"/>
  <c r="P12" i="7"/>
  <c r="R12" i="7"/>
  <c r="S12" i="7"/>
  <c r="T12" i="7"/>
  <c r="N12" i="7"/>
  <c r="O12" i="7"/>
  <c r="V12" i="7"/>
  <c r="O132" i="7"/>
  <c r="R132" i="7"/>
  <c r="S132" i="7"/>
  <c r="V132" i="7"/>
  <c r="R84" i="7"/>
  <c r="S84" i="7"/>
  <c r="V84" i="7"/>
  <c r="N84" i="7"/>
  <c r="O84" i="7"/>
  <c r="V44" i="7"/>
  <c r="N44" i="7"/>
  <c r="Q44" i="7" s="1"/>
  <c r="Y44" i="7" s="1"/>
  <c r="Z44" i="7" s="1"/>
  <c r="O44" i="7"/>
  <c r="R44" i="7"/>
  <c r="V180" i="7"/>
  <c r="R176" i="7"/>
  <c r="S165" i="7"/>
  <c r="S108" i="7"/>
  <c r="P2" i="7"/>
  <c r="R2" i="7"/>
  <c r="T46" i="7"/>
  <c r="P46" i="7"/>
  <c r="P54" i="7"/>
  <c r="T54" i="7"/>
  <c r="T62" i="7"/>
  <c r="P62" i="7"/>
  <c r="T70" i="7"/>
  <c r="P70" i="7"/>
  <c r="T78" i="7"/>
  <c r="P78" i="7"/>
  <c r="T86" i="7"/>
  <c r="P86" i="7"/>
  <c r="P134" i="7"/>
  <c r="T134" i="7"/>
  <c r="P142" i="7"/>
  <c r="T142" i="7"/>
  <c r="P150" i="7"/>
  <c r="T150" i="7"/>
  <c r="N22" i="7"/>
  <c r="Q22" i="7" s="1"/>
  <c r="O22" i="7"/>
  <c r="P22" i="7"/>
  <c r="R22" i="7"/>
  <c r="S22" i="7"/>
  <c r="T22" i="7"/>
  <c r="V22" i="7"/>
  <c r="N14" i="7"/>
  <c r="Q14" i="7" s="1"/>
  <c r="O14" i="7"/>
  <c r="P14" i="7"/>
  <c r="R14" i="7"/>
  <c r="S14" i="7"/>
  <c r="T14" i="7"/>
  <c r="V14" i="7"/>
  <c r="N6" i="7"/>
  <c r="Q6" i="7" s="1"/>
  <c r="O6" i="7"/>
  <c r="P6" i="7"/>
  <c r="R6" i="7"/>
  <c r="S6" i="7"/>
  <c r="Y6" i="7" s="1"/>
  <c r="Z6" i="7" s="1"/>
  <c r="T6" i="7"/>
  <c r="V6" i="7"/>
  <c r="O158" i="7"/>
  <c r="R158" i="7"/>
  <c r="S158" i="7"/>
  <c r="V158" i="7"/>
  <c r="O150" i="7"/>
  <c r="Q150" i="7" s="1"/>
  <c r="Y150" i="7" s="1"/>
  <c r="Z150" i="7" s="1"/>
  <c r="R150" i="7"/>
  <c r="S150" i="7"/>
  <c r="V150" i="7"/>
  <c r="O142" i="7"/>
  <c r="R142" i="7"/>
  <c r="S142" i="7"/>
  <c r="V142" i="7"/>
  <c r="O134" i="7"/>
  <c r="R134" i="7"/>
  <c r="S134" i="7"/>
  <c r="V134" i="7"/>
  <c r="O126" i="7"/>
  <c r="P126" i="7"/>
  <c r="R126" i="7"/>
  <c r="S126" i="7"/>
  <c r="T126" i="7"/>
  <c r="V126" i="7"/>
  <c r="P118" i="7"/>
  <c r="R118" i="7"/>
  <c r="S118" i="7"/>
  <c r="T118" i="7"/>
  <c r="V118" i="7"/>
  <c r="T110" i="7"/>
  <c r="V110" i="7"/>
  <c r="N110" i="7"/>
  <c r="Q110" i="7" s="1"/>
  <c r="Y110" i="7" s="1"/>
  <c r="Z110" i="7" s="1"/>
  <c r="O110" i="7"/>
  <c r="P110" i="7"/>
  <c r="P102" i="7"/>
  <c r="V102" i="7"/>
  <c r="S102" i="7"/>
  <c r="T102" i="7"/>
  <c r="N102" i="7"/>
  <c r="Q102" i="7" s="1"/>
  <c r="Y102" i="7" s="1"/>
  <c r="Z102" i="7" s="1"/>
  <c r="R94" i="7"/>
  <c r="S94" i="7"/>
  <c r="T94" i="7"/>
  <c r="V94" i="7"/>
  <c r="N94" i="7"/>
  <c r="O94" i="7"/>
  <c r="P94" i="7"/>
  <c r="R86" i="7"/>
  <c r="S86" i="7"/>
  <c r="V86" i="7"/>
  <c r="N86" i="7"/>
  <c r="Q86" i="7" s="1"/>
  <c r="Y86" i="7" s="1"/>
  <c r="Z86" i="7" s="1"/>
  <c r="O86" i="7"/>
  <c r="R78" i="7"/>
  <c r="S78" i="7"/>
  <c r="V78" i="7"/>
  <c r="N78" i="7"/>
  <c r="Q78" i="7" s="1"/>
  <c r="O78" i="7"/>
  <c r="R70" i="7"/>
  <c r="S70" i="7"/>
  <c r="V70" i="7"/>
  <c r="N70" i="7"/>
  <c r="O70" i="7"/>
  <c r="V62" i="7"/>
  <c r="N62" i="7"/>
  <c r="O62" i="7"/>
  <c r="R62" i="7"/>
  <c r="S62" i="7"/>
  <c r="N54" i="7"/>
  <c r="O54" i="7"/>
  <c r="R54" i="7"/>
  <c r="S54" i="7"/>
  <c r="V54" i="7"/>
  <c r="V46" i="7"/>
  <c r="N46" i="7"/>
  <c r="O46" i="7"/>
  <c r="R46" i="7"/>
  <c r="S46" i="7"/>
  <c r="P38" i="7"/>
  <c r="R38" i="7"/>
  <c r="S38" i="7"/>
  <c r="T38" i="7"/>
  <c r="N38" i="7"/>
  <c r="V38" i="7"/>
  <c r="N30" i="7"/>
  <c r="O30" i="7"/>
  <c r="P30" i="7"/>
  <c r="R30" i="7"/>
  <c r="S30" i="7"/>
  <c r="T30" i="7"/>
  <c r="V30" i="7"/>
  <c r="N117" i="7"/>
  <c r="P113" i="7"/>
  <c r="S109" i="7"/>
  <c r="S105" i="7"/>
  <c r="N101" i="7"/>
  <c r="Q101" i="7" s="1"/>
  <c r="O87" i="7"/>
  <c r="O71" i="7"/>
  <c r="V55" i="7"/>
  <c r="Y177" i="7"/>
  <c r="Z177" i="7" s="1"/>
  <c r="Q152" i="7"/>
  <c r="Y152" i="7" s="1"/>
  <c r="Z152" i="7" s="1"/>
  <c r="Q142" i="7"/>
  <c r="Q140" i="7"/>
  <c r="Y140" i="7" s="1"/>
  <c r="Z140" i="7" s="1"/>
  <c r="Q139" i="7"/>
  <c r="Y139" i="7" s="1"/>
  <c r="Z139" i="7" s="1"/>
  <c r="Q138" i="7"/>
  <c r="Y137" i="7"/>
  <c r="Z137" i="7" s="1"/>
  <c r="Q136" i="7"/>
  <c r="Q134" i="7"/>
  <c r="Q132" i="7"/>
  <c r="Y132" i="7" s="1"/>
  <c r="Z132" i="7" s="1"/>
  <c r="Q126" i="7"/>
  <c r="Q124" i="7"/>
  <c r="Y124" i="7" s="1"/>
  <c r="Z124" i="7" s="1"/>
  <c r="Q122" i="7"/>
  <c r="Y122" i="7" s="1"/>
  <c r="Z122" i="7" s="1"/>
  <c r="Q120" i="7"/>
  <c r="Q166" i="7"/>
  <c r="Y166" i="7" s="1"/>
  <c r="Z166" i="7" s="1"/>
  <c r="Q158" i="7"/>
  <c r="Y158" i="7" s="1"/>
  <c r="Z158" i="7" s="1"/>
  <c r="Q156" i="7"/>
  <c r="Q112" i="7"/>
  <c r="Y112" i="7" s="1"/>
  <c r="Z112" i="7" s="1"/>
  <c r="Q100" i="7"/>
  <c r="Q107" i="7"/>
  <c r="Q99" i="7"/>
  <c r="Q106" i="7"/>
  <c r="Y106" i="7" s="1"/>
  <c r="Z106" i="7" s="1"/>
  <c r="Q98" i="7"/>
  <c r="Y98" i="7" s="1"/>
  <c r="Z98" i="7" s="1"/>
  <c r="Q97" i="7"/>
  <c r="Q58" i="7"/>
  <c r="Y58" i="7" s="1"/>
  <c r="Z58" i="7" s="1"/>
  <c r="Q54" i="7"/>
  <c r="Y54" i="7" s="1"/>
  <c r="Z54" i="7" s="1"/>
  <c r="Q40" i="7"/>
  <c r="Y40" i="7" s="1"/>
  <c r="Z40" i="7" s="1"/>
  <c r="Y27" i="7"/>
  <c r="Z27" i="7" s="1"/>
  <c r="Q50" i="7"/>
  <c r="Y50" i="7" s="1"/>
  <c r="Z50" i="7" s="1"/>
  <c r="Q38" i="7"/>
  <c r="Y22" i="7"/>
  <c r="Z22" i="7" s="1"/>
  <c r="T3" i="7"/>
  <c r="O4" i="7"/>
  <c r="N2" i="7"/>
  <c r="O2" i="7"/>
  <c r="S2" i="7"/>
  <c r="T2" i="7"/>
  <c r="V2" i="7"/>
  <c r="R5" i="7"/>
  <c r="P4" i="7"/>
  <c r="S5" i="7"/>
  <c r="N3" i="7"/>
  <c r="Q3" i="7" s="1"/>
  <c r="V3" i="7"/>
  <c r="T5" i="7"/>
  <c r="R4" i="7"/>
  <c r="O3" i="7"/>
  <c r="P3" i="7"/>
  <c r="S4" i="7"/>
  <c r="N5" i="7"/>
  <c r="V5" i="7"/>
  <c r="T4" i="7"/>
  <c r="O5" i="7"/>
  <c r="R3" i="7"/>
  <c r="AD119" i="7" l="1"/>
  <c r="AE119" i="7"/>
  <c r="AD161" i="7"/>
  <c r="AE161" i="7"/>
  <c r="AD52" i="7"/>
  <c r="AE52" i="7"/>
  <c r="AD118" i="7"/>
  <c r="AE118" i="7"/>
  <c r="AD135" i="7"/>
  <c r="AE135" i="7"/>
  <c r="AD151" i="7"/>
  <c r="AE151" i="7"/>
  <c r="AD44" i="7"/>
  <c r="AE44" i="7"/>
  <c r="AD129" i="7"/>
  <c r="AE129" i="7"/>
  <c r="AD128" i="7"/>
  <c r="AE128" i="7"/>
  <c r="AD179" i="7"/>
  <c r="AE179" i="7"/>
  <c r="AD125" i="7"/>
  <c r="AE125" i="7"/>
  <c r="AD181" i="7"/>
  <c r="AE181" i="7"/>
  <c r="AD130" i="7"/>
  <c r="AE130" i="7"/>
  <c r="AD162" i="7"/>
  <c r="AE162" i="7"/>
  <c r="AD123" i="7"/>
  <c r="AE123" i="7"/>
  <c r="AD36" i="7"/>
  <c r="AE36" i="7"/>
  <c r="AD150" i="7"/>
  <c r="AE150" i="7"/>
  <c r="AD29" i="7"/>
  <c r="AE29" i="7"/>
  <c r="AD39" i="7"/>
  <c r="AE39" i="7"/>
  <c r="AE7" i="7"/>
  <c r="AD7" i="7"/>
  <c r="AD15" i="7"/>
  <c r="AE15" i="7"/>
  <c r="AD116" i="7"/>
  <c r="AE116" i="7"/>
  <c r="AD164" i="7"/>
  <c r="AE164" i="7"/>
  <c r="AD141" i="7"/>
  <c r="AE141" i="7"/>
  <c r="AD56" i="7"/>
  <c r="AE56" i="7"/>
  <c r="AD108" i="7"/>
  <c r="AE108" i="7"/>
  <c r="AD171" i="7"/>
  <c r="AE171" i="7"/>
  <c r="AD28" i="7"/>
  <c r="AE28" i="7"/>
  <c r="AD60" i="7"/>
  <c r="AE60" i="7"/>
  <c r="AD169" i="7"/>
  <c r="AE169" i="7"/>
  <c r="AD34" i="7"/>
  <c r="AE34" i="7"/>
  <c r="AD67" i="7"/>
  <c r="AE67" i="7"/>
  <c r="AD148" i="7"/>
  <c r="AE148" i="7"/>
  <c r="AD103" i="7"/>
  <c r="AE103" i="7"/>
  <c r="AD145" i="7"/>
  <c r="AE145" i="7"/>
  <c r="AD110" i="7"/>
  <c r="AE110" i="7"/>
  <c r="AD153" i="7"/>
  <c r="AE153" i="7"/>
  <c r="AD47" i="7"/>
  <c r="AE47" i="7"/>
  <c r="AD127" i="7"/>
  <c r="AE127" i="7"/>
  <c r="AD143" i="7"/>
  <c r="AE143" i="7"/>
  <c r="AD159" i="7"/>
  <c r="AE159" i="7"/>
  <c r="AD160" i="7"/>
  <c r="AE160" i="7"/>
  <c r="AD144" i="7"/>
  <c r="AE144" i="7"/>
  <c r="AD102" i="7"/>
  <c r="AE102" i="7"/>
  <c r="AD6" i="7"/>
  <c r="AE6" i="7"/>
  <c r="AD121" i="7"/>
  <c r="AE121" i="7"/>
  <c r="AD173" i="7"/>
  <c r="AE173" i="7"/>
  <c r="AD167" i="7"/>
  <c r="AE167" i="7"/>
  <c r="AD66" i="7"/>
  <c r="AE66" i="7"/>
  <c r="AD131" i="7"/>
  <c r="AE131" i="7"/>
  <c r="AD95" i="7"/>
  <c r="AE95" i="7"/>
  <c r="AD50" i="7"/>
  <c r="AE50" i="7"/>
  <c r="AD158" i="7"/>
  <c r="AE158" i="7"/>
  <c r="AD132" i="7"/>
  <c r="AE132" i="7"/>
  <c r="AD104" i="7"/>
  <c r="AE104" i="7"/>
  <c r="AD45" i="7"/>
  <c r="AE45" i="7"/>
  <c r="AD22" i="7"/>
  <c r="AE22" i="7"/>
  <c r="Q63" i="7"/>
  <c r="Y63" i="7" s="1"/>
  <c r="Z63" i="7" s="1"/>
  <c r="Y80" i="7"/>
  <c r="Z80" i="7" s="1"/>
  <c r="Q81" i="7"/>
  <c r="Y81" i="7" s="1"/>
  <c r="Z81" i="7" s="1"/>
  <c r="Y114" i="7"/>
  <c r="Z114" i="7" s="1"/>
  <c r="Y147" i="7"/>
  <c r="Z147" i="7" s="1"/>
  <c r="Y163" i="7"/>
  <c r="Z163" i="7" s="1"/>
  <c r="Q77" i="7"/>
  <c r="Y77" i="7" s="1"/>
  <c r="Z77" i="7" s="1"/>
  <c r="AD27" i="7"/>
  <c r="AE27" i="7"/>
  <c r="Y99" i="7"/>
  <c r="Z99" i="7" s="1"/>
  <c r="Y126" i="7"/>
  <c r="Z126" i="7" s="1"/>
  <c r="Y134" i="7"/>
  <c r="Z134" i="7" s="1"/>
  <c r="Y142" i="7"/>
  <c r="Z142" i="7" s="1"/>
  <c r="Y101" i="7"/>
  <c r="Z101" i="7" s="1"/>
  <c r="Q94" i="7"/>
  <c r="Y94" i="7" s="1"/>
  <c r="Z94" i="7" s="1"/>
  <c r="Q12" i="7"/>
  <c r="Y12" i="7" s="1"/>
  <c r="Z12" i="7" s="1"/>
  <c r="Q157" i="7"/>
  <c r="Y79" i="7"/>
  <c r="Z79" i="7" s="1"/>
  <c r="Q111" i="7"/>
  <c r="Y111" i="7" s="1"/>
  <c r="Z111" i="7" s="1"/>
  <c r="Q68" i="7"/>
  <c r="Y68" i="7" s="1"/>
  <c r="Z68" i="7" s="1"/>
  <c r="Q8" i="7"/>
  <c r="Y8" i="7" s="1"/>
  <c r="Z8" i="7" s="1"/>
  <c r="Q16" i="7"/>
  <c r="Y16" i="7" s="1"/>
  <c r="Z16" i="7" s="1"/>
  <c r="Y149" i="7"/>
  <c r="Z149" i="7" s="1"/>
  <c r="Q163" i="7"/>
  <c r="Q61" i="7"/>
  <c r="Y61" i="7" s="1"/>
  <c r="Z61" i="7" s="1"/>
  <c r="Q37" i="7"/>
  <c r="Y37" i="7" s="1"/>
  <c r="Z37" i="7" s="1"/>
  <c r="Q85" i="7"/>
  <c r="Y85" i="7" s="1"/>
  <c r="Z85" i="7" s="1"/>
  <c r="Q115" i="7"/>
  <c r="Y115" i="7" s="1"/>
  <c r="Z115" i="7" s="1"/>
  <c r="Q13" i="7"/>
  <c r="Y13" i="7" s="1"/>
  <c r="Z13" i="7" s="1"/>
  <c r="AD54" i="7"/>
  <c r="AE54" i="7"/>
  <c r="AD166" i="7"/>
  <c r="AE166" i="7"/>
  <c r="AD96" i="7"/>
  <c r="AE96" i="7"/>
  <c r="AD177" i="7"/>
  <c r="AE177" i="7"/>
  <c r="AD72" i="7"/>
  <c r="AE72" i="7"/>
  <c r="Y100" i="7"/>
  <c r="Z100" i="7" s="1"/>
  <c r="Y120" i="7"/>
  <c r="Z120" i="7" s="1"/>
  <c r="Y136" i="7"/>
  <c r="Z136" i="7" s="1"/>
  <c r="Q30" i="7"/>
  <c r="Y30" i="7" s="1"/>
  <c r="Z30" i="7" s="1"/>
  <c r="Q62" i="7"/>
  <c r="Y62" i="7" s="1"/>
  <c r="Z62" i="7" s="1"/>
  <c r="Q93" i="7"/>
  <c r="Y93" i="7" s="1"/>
  <c r="Z93" i="7" s="1"/>
  <c r="Q133" i="7"/>
  <c r="Y133" i="7" s="1"/>
  <c r="Z133" i="7" s="1"/>
  <c r="Q23" i="7"/>
  <c r="Y23" i="7" s="1"/>
  <c r="Z23" i="7" s="1"/>
  <c r="Q31" i="7"/>
  <c r="Y31" i="7" s="1"/>
  <c r="Z31" i="7" s="1"/>
  <c r="Q25" i="7"/>
  <c r="Y25" i="7" s="1"/>
  <c r="Z25" i="7" s="1"/>
  <c r="Q33" i="7"/>
  <c r="Y33" i="7" s="1"/>
  <c r="Z33" i="7" s="1"/>
  <c r="Q26" i="7"/>
  <c r="Y26" i="7" s="1"/>
  <c r="Z26" i="7" s="1"/>
  <c r="Q35" i="7"/>
  <c r="Y35" i="7" s="1"/>
  <c r="Z35" i="7" s="1"/>
  <c r="AD40" i="7"/>
  <c r="AE40" i="7"/>
  <c r="AD98" i="7"/>
  <c r="AE98" i="7"/>
  <c r="AD124" i="7"/>
  <c r="AE124" i="7"/>
  <c r="AD76" i="7"/>
  <c r="AE76" i="7"/>
  <c r="AD106" i="7"/>
  <c r="AE106" i="7"/>
  <c r="Q57" i="7"/>
  <c r="Y57" i="7" s="1"/>
  <c r="Z57" i="7" s="1"/>
  <c r="Y38" i="7"/>
  <c r="Z38" i="7" s="1"/>
  <c r="Y156" i="7"/>
  <c r="Z156" i="7" s="1"/>
  <c r="AD165" i="7"/>
  <c r="AE165" i="7"/>
  <c r="AD137" i="7"/>
  <c r="AE137" i="7"/>
  <c r="AD152" i="7"/>
  <c r="AE152" i="7"/>
  <c r="Y78" i="7"/>
  <c r="Z78" i="7" s="1"/>
  <c r="Q71" i="7"/>
  <c r="Y71" i="7" s="1"/>
  <c r="Z71" i="7" s="1"/>
  <c r="Q168" i="7"/>
  <c r="Y168" i="7" s="1"/>
  <c r="Z168" i="7" s="1"/>
  <c r="Y180" i="7"/>
  <c r="Z180" i="7" s="1"/>
  <c r="Q42" i="7"/>
  <c r="Y42" i="7" s="1"/>
  <c r="Z42" i="7" s="1"/>
  <c r="Q90" i="7"/>
  <c r="Y90" i="7" s="1"/>
  <c r="Z90" i="7" s="1"/>
  <c r="Q10" i="7"/>
  <c r="Y10" i="7" s="1"/>
  <c r="Z10" i="7" s="1"/>
  <c r="Q18" i="7"/>
  <c r="Y18" i="7" s="1"/>
  <c r="Z18" i="7" s="1"/>
  <c r="Q147" i="7"/>
  <c r="Y178" i="7"/>
  <c r="Z178" i="7" s="1"/>
  <c r="Q43" i="7"/>
  <c r="Y43" i="7" s="1"/>
  <c r="Z43" i="7" s="1"/>
  <c r="Y59" i="7"/>
  <c r="Z59" i="7" s="1"/>
  <c r="Y155" i="7"/>
  <c r="Z155" i="7" s="1"/>
  <c r="Q20" i="7"/>
  <c r="Y20" i="7" s="1"/>
  <c r="Z20" i="7" s="1"/>
  <c r="AD69" i="7"/>
  <c r="AE69" i="7"/>
  <c r="AD146" i="7"/>
  <c r="AE146" i="7"/>
  <c r="AD91" i="7"/>
  <c r="AE91" i="7"/>
  <c r="AD112" i="7"/>
  <c r="AE112" i="7"/>
  <c r="Q53" i="7"/>
  <c r="Y53" i="7" s="1"/>
  <c r="Z53" i="7" s="1"/>
  <c r="Y107" i="7"/>
  <c r="Z107" i="7" s="1"/>
  <c r="Q48" i="7"/>
  <c r="Y48" i="7" s="1"/>
  <c r="Z48" i="7" s="1"/>
  <c r="Q176" i="7"/>
  <c r="Y176" i="7" s="1"/>
  <c r="Z176" i="7" s="1"/>
  <c r="AD113" i="7"/>
  <c r="AE113" i="7"/>
  <c r="AD122" i="7"/>
  <c r="AE122" i="7"/>
  <c r="Y138" i="7"/>
  <c r="Z138" i="7" s="1"/>
  <c r="Q117" i="7"/>
  <c r="Y117" i="7" s="1"/>
  <c r="Z117" i="7" s="1"/>
  <c r="Y14" i="7"/>
  <c r="Z14" i="7" s="1"/>
  <c r="Q84" i="7"/>
  <c r="Y84" i="7" s="1"/>
  <c r="Z84" i="7" s="1"/>
  <c r="Y172" i="7"/>
  <c r="Z172" i="7" s="1"/>
  <c r="Y175" i="7"/>
  <c r="Z175" i="7" s="1"/>
  <c r="Q64" i="7"/>
  <c r="Y64" i="7" s="1"/>
  <c r="Z64" i="7" s="1"/>
  <c r="Q41" i="7"/>
  <c r="Y41" i="7" s="1"/>
  <c r="Z41" i="7" s="1"/>
  <c r="Q9" i="7"/>
  <c r="Y9" i="7" s="1"/>
  <c r="Z9" i="7" s="1"/>
  <c r="Q17" i="7"/>
  <c r="Y17" i="7" s="1"/>
  <c r="Z17" i="7" s="1"/>
  <c r="Y157" i="7"/>
  <c r="Z157" i="7" s="1"/>
  <c r="Y170" i="7"/>
  <c r="Z170" i="7" s="1"/>
  <c r="Q75" i="7"/>
  <c r="Y75" i="7" s="1"/>
  <c r="Z75" i="7" s="1"/>
  <c r="Q11" i="7"/>
  <c r="Y11" i="7" s="1"/>
  <c r="Z11" i="7" s="1"/>
  <c r="Q19" i="7"/>
  <c r="Y19" i="7" s="1"/>
  <c r="Z19" i="7" s="1"/>
  <c r="AD140" i="7"/>
  <c r="AE140" i="7"/>
  <c r="AD51" i="7"/>
  <c r="AE51" i="7"/>
  <c r="AD92" i="7"/>
  <c r="AE92" i="7"/>
  <c r="AD154" i="7"/>
  <c r="AE154" i="7"/>
  <c r="Q49" i="7"/>
  <c r="Y49" i="7" s="1"/>
  <c r="Z49" i="7" s="1"/>
  <c r="Q74" i="7"/>
  <c r="Y74" i="7" s="1"/>
  <c r="Z74" i="7" s="1"/>
  <c r="Y105" i="7"/>
  <c r="Z105" i="7" s="1"/>
  <c r="AD86" i="7"/>
  <c r="AE86" i="7"/>
  <c r="AD174" i="7"/>
  <c r="AE174" i="7"/>
  <c r="AD73" i="7"/>
  <c r="AE73" i="7"/>
  <c r="AD83" i="7"/>
  <c r="AE83" i="7"/>
  <c r="Y97" i="7"/>
  <c r="Z97" i="7" s="1"/>
  <c r="AD139" i="7"/>
  <c r="AE139" i="7"/>
  <c r="Q46" i="7"/>
  <c r="Y46" i="7" s="1"/>
  <c r="Z46" i="7" s="1"/>
  <c r="Q70" i="7"/>
  <c r="Y70" i="7" s="1"/>
  <c r="Z70" i="7" s="1"/>
  <c r="Q55" i="7"/>
  <c r="Y55" i="7" s="1"/>
  <c r="Z55" i="7" s="1"/>
  <c r="Q87" i="7"/>
  <c r="Y87" i="7" s="1"/>
  <c r="Z87" i="7" s="1"/>
  <c r="Q24" i="7"/>
  <c r="Y24" i="7" s="1"/>
  <c r="Z24" i="7" s="1"/>
  <c r="Q32" i="7"/>
  <c r="Y32" i="7" s="1"/>
  <c r="Z32" i="7" s="1"/>
  <c r="Q88" i="7"/>
  <c r="Y88" i="7" s="1"/>
  <c r="Z88" i="7" s="1"/>
  <c r="Q21" i="7"/>
  <c r="Y21" i="7" s="1"/>
  <c r="Z21" i="7" s="1"/>
  <c r="Q65" i="7"/>
  <c r="Y65" i="7" s="1"/>
  <c r="Z65" i="7" s="1"/>
  <c r="Y89" i="7"/>
  <c r="Z89" i="7" s="1"/>
  <c r="Y109" i="7"/>
  <c r="Z109" i="7" s="1"/>
  <c r="Y82" i="7"/>
  <c r="Z82" i="7" s="1"/>
  <c r="AD58" i="7"/>
  <c r="AE58" i="7"/>
  <c r="Q2" i="7"/>
  <c r="Q5" i="7"/>
  <c r="Y5" i="7" s="1"/>
  <c r="Z5" i="7" s="1"/>
  <c r="Y3" i="7"/>
  <c r="Z3" i="7" s="1"/>
  <c r="Y4" i="7"/>
  <c r="Z4" i="7" s="1"/>
  <c r="AD87" i="7" l="1"/>
  <c r="AE87" i="7"/>
  <c r="AD138" i="7"/>
  <c r="AE138" i="7"/>
  <c r="AD163" i="7"/>
  <c r="AE163" i="7"/>
  <c r="AD109" i="7"/>
  <c r="AE109" i="7"/>
  <c r="AD8" i="7"/>
  <c r="AE8" i="7"/>
  <c r="AD142" i="7"/>
  <c r="AE142" i="7"/>
  <c r="AD147" i="7"/>
  <c r="AE147" i="7"/>
  <c r="AD4" i="7"/>
  <c r="AE4" i="7"/>
  <c r="AD89" i="7"/>
  <c r="AE89" i="7"/>
  <c r="AD70" i="7"/>
  <c r="AE70" i="7"/>
  <c r="AD19" i="7"/>
  <c r="AE19" i="7"/>
  <c r="AD64" i="7"/>
  <c r="AE64" i="7"/>
  <c r="AD155" i="7"/>
  <c r="AE155" i="7"/>
  <c r="AD42" i="7"/>
  <c r="AE42" i="7"/>
  <c r="AD35" i="7"/>
  <c r="AE35" i="7"/>
  <c r="AD62" i="7"/>
  <c r="AE62" i="7"/>
  <c r="AD115" i="7"/>
  <c r="AE115" i="7"/>
  <c r="AD68" i="7"/>
  <c r="AE68" i="7"/>
  <c r="AD134" i="7"/>
  <c r="AE134" i="7"/>
  <c r="AD114" i="7"/>
  <c r="AE114" i="7"/>
  <c r="AD82" i="7"/>
  <c r="AE82" i="7"/>
  <c r="AD9" i="7"/>
  <c r="AE9" i="7"/>
  <c r="AD101" i="7"/>
  <c r="AE101" i="7"/>
  <c r="AD49" i="7"/>
  <c r="AE49" i="7"/>
  <c r="AD90" i="7"/>
  <c r="AE90" i="7"/>
  <c r="AD46" i="7"/>
  <c r="AE46" i="7"/>
  <c r="AD59" i="7"/>
  <c r="AE59" i="7"/>
  <c r="AD30" i="7"/>
  <c r="AE30" i="7"/>
  <c r="AD111" i="7"/>
  <c r="AE111" i="7"/>
  <c r="AD5" i="7"/>
  <c r="AE5" i="7"/>
  <c r="AD21" i="7"/>
  <c r="AE21" i="7"/>
  <c r="AD75" i="7"/>
  <c r="AE75" i="7"/>
  <c r="AD172" i="7"/>
  <c r="AE172" i="7"/>
  <c r="AD43" i="7"/>
  <c r="AE43" i="7"/>
  <c r="AD168" i="7"/>
  <c r="AE168" i="7"/>
  <c r="AD33" i="7"/>
  <c r="AE33" i="7"/>
  <c r="AD136" i="7"/>
  <c r="AE136" i="7"/>
  <c r="AD37" i="7"/>
  <c r="AE37" i="7"/>
  <c r="AD79" i="7"/>
  <c r="AE79" i="7"/>
  <c r="AD99" i="7"/>
  <c r="AE99" i="7"/>
  <c r="AD80" i="7"/>
  <c r="AE80" i="7"/>
  <c r="AD133" i="7"/>
  <c r="AE133" i="7"/>
  <c r="AD41" i="7"/>
  <c r="AE41" i="7"/>
  <c r="AD13" i="7"/>
  <c r="AE13" i="7"/>
  <c r="AD65" i="7"/>
  <c r="AE65" i="7"/>
  <c r="AD26" i="7"/>
  <c r="AE26" i="7"/>
  <c r="AD126" i="7"/>
  <c r="AE126" i="7"/>
  <c r="AD88" i="7"/>
  <c r="AE88" i="7"/>
  <c r="AD170" i="7"/>
  <c r="AE170" i="7"/>
  <c r="AD84" i="7"/>
  <c r="AE84" i="7"/>
  <c r="AD176" i="7"/>
  <c r="AE176" i="7"/>
  <c r="AD178" i="7"/>
  <c r="AE178" i="7"/>
  <c r="AD71" i="7"/>
  <c r="AE71" i="7"/>
  <c r="AD156" i="7"/>
  <c r="AE156" i="7"/>
  <c r="AD25" i="7"/>
  <c r="AE25" i="7"/>
  <c r="AD120" i="7"/>
  <c r="AE120" i="7"/>
  <c r="AD61" i="7"/>
  <c r="AE61" i="7"/>
  <c r="AD63" i="7"/>
  <c r="AE63" i="7"/>
  <c r="AD74" i="7"/>
  <c r="AE74" i="7"/>
  <c r="AD10" i="7"/>
  <c r="AE10" i="7"/>
  <c r="AD93" i="7"/>
  <c r="AE93" i="7"/>
  <c r="AD175" i="7"/>
  <c r="AE175" i="7"/>
  <c r="AD180" i="7"/>
  <c r="AE180" i="7"/>
  <c r="AD32" i="7"/>
  <c r="AE32" i="7"/>
  <c r="AD157" i="7"/>
  <c r="AE157" i="7"/>
  <c r="AD14" i="7"/>
  <c r="AE14" i="7"/>
  <c r="AD48" i="7"/>
  <c r="AE48" i="7"/>
  <c r="AD78" i="7"/>
  <c r="AE78" i="7"/>
  <c r="AD38" i="7"/>
  <c r="AE38" i="7"/>
  <c r="AD31" i="7"/>
  <c r="AE31" i="7"/>
  <c r="AD100" i="7"/>
  <c r="AE100" i="7"/>
  <c r="AD12" i="7"/>
  <c r="AE12" i="7"/>
  <c r="AD53" i="7"/>
  <c r="AE53" i="7"/>
  <c r="AD16" i="7"/>
  <c r="AE16" i="7"/>
  <c r="AD55" i="7"/>
  <c r="AE55" i="7"/>
  <c r="AD20" i="7"/>
  <c r="AE20" i="7"/>
  <c r="AE3" i="7"/>
  <c r="AD3" i="7"/>
  <c r="AD11" i="7"/>
  <c r="AE11" i="7"/>
  <c r="AD85" i="7"/>
  <c r="AE85" i="7"/>
  <c r="AD81" i="7"/>
  <c r="AE81" i="7"/>
  <c r="Y2" i="7"/>
  <c r="Z2" i="7" s="1"/>
  <c r="AD97" i="7"/>
  <c r="AE97" i="7"/>
  <c r="AD24" i="7"/>
  <c r="AE24" i="7"/>
  <c r="AD105" i="7"/>
  <c r="AE105" i="7"/>
  <c r="AD17" i="7"/>
  <c r="AE17" i="7"/>
  <c r="AD117" i="7"/>
  <c r="AE117" i="7"/>
  <c r="AD107" i="7"/>
  <c r="AE107" i="7"/>
  <c r="AD18" i="7"/>
  <c r="AE18" i="7"/>
  <c r="AD57" i="7"/>
  <c r="AE57" i="7"/>
  <c r="AD23" i="7"/>
  <c r="AE23" i="7"/>
  <c r="AD149" i="7"/>
  <c r="AE149" i="7"/>
  <c r="AD94" i="7"/>
  <c r="AE94" i="7"/>
  <c r="AD77" i="7"/>
  <c r="AE77" i="7"/>
  <c r="AE2" i="7" l="1"/>
  <c r="AD2" i="7"/>
  <c r="J10" i="6" l="1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9" i="6"/>
  <c r="AK9" i="6"/>
  <c r="P9" i="6"/>
  <c r="P19" i="6"/>
  <c r="Q19" i="6"/>
  <c r="P20" i="6"/>
  <c r="Q20" i="6"/>
  <c r="P21" i="6"/>
  <c r="Q21" i="6"/>
  <c r="P22" i="6"/>
  <c r="Q22" i="6"/>
  <c r="P23" i="6"/>
  <c r="Q23" i="6"/>
  <c r="P24" i="6"/>
  <c r="Q24" i="6"/>
  <c r="P25" i="6"/>
  <c r="Q25" i="6"/>
  <c r="P26" i="6"/>
  <c r="Q26" i="6"/>
  <c r="P27" i="6"/>
  <c r="Q27" i="6"/>
  <c r="P28" i="6"/>
  <c r="Q28" i="6"/>
  <c r="P29" i="6"/>
  <c r="Q29" i="6"/>
  <c r="P30" i="6"/>
  <c r="Q30" i="6"/>
  <c r="P31" i="6"/>
  <c r="Q31" i="6"/>
  <c r="P32" i="6"/>
  <c r="Q32" i="6"/>
  <c r="P33" i="6"/>
  <c r="Q33" i="6"/>
  <c r="P34" i="6"/>
  <c r="Q34" i="6"/>
  <c r="P35" i="6"/>
  <c r="Q35" i="6"/>
  <c r="P36" i="6"/>
  <c r="Q36" i="6"/>
  <c r="P37" i="6"/>
  <c r="Q37" i="6"/>
  <c r="P38" i="6"/>
  <c r="Q38" i="6"/>
  <c r="P39" i="6"/>
  <c r="Q39" i="6"/>
  <c r="P40" i="6"/>
  <c r="Q40" i="6"/>
  <c r="P41" i="6"/>
  <c r="Q41" i="6"/>
  <c r="P42" i="6"/>
  <c r="Q42" i="6"/>
  <c r="P43" i="6"/>
  <c r="Q43" i="6"/>
  <c r="P44" i="6"/>
  <c r="Q44" i="6"/>
  <c r="P45" i="6"/>
  <c r="Q45" i="6"/>
  <c r="P46" i="6"/>
  <c r="Q46" i="6"/>
  <c r="P47" i="6"/>
  <c r="Q47" i="6"/>
  <c r="P48" i="6"/>
  <c r="Q48" i="6"/>
  <c r="P49" i="6"/>
  <c r="Q49" i="6"/>
  <c r="P50" i="6"/>
  <c r="Q50" i="6"/>
  <c r="P51" i="6"/>
  <c r="Q51" i="6"/>
  <c r="P52" i="6"/>
  <c r="Q52" i="6"/>
  <c r="P53" i="6"/>
  <c r="Q53" i="6"/>
  <c r="P54" i="6"/>
  <c r="Q54" i="6"/>
  <c r="P55" i="6"/>
  <c r="Q55" i="6"/>
  <c r="P56" i="6"/>
  <c r="Q56" i="6"/>
  <c r="P57" i="6"/>
  <c r="Q57" i="6"/>
  <c r="P58" i="6"/>
  <c r="Q58" i="6"/>
  <c r="P59" i="6"/>
  <c r="Q59" i="6"/>
  <c r="P60" i="6"/>
  <c r="Q60" i="6"/>
  <c r="P61" i="6"/>
  <c r="Q61" i="6"/>
  <c r="P62" i="6"/>
  <c r="Q62" i="6"/>
  <c r="P63" i="6"/>
  <c r="Q63" i="6"/>
  <c r="P64" i="6"/>
  <c r="Q64" i="6"/>
  <c r="P65" i="6"/>
  <c r="Q65" i="6"/>
  <c r="P66" i="6"/>
  <c r="Q66" i="6"/>
  <c r="P67" i="6"/>
  <c r="Q67" i="6"/>
  <c r="P68" i="6"/>
  <c r="Q68" i="6"/>
  <c r="P69" i="6"/>
  <c r="Q69" i="6"/>
  <c r="P70" i="6"/>
  <c r="Q70" i="6"/>
  <c r="P71" i="6"/>
  <c r="Q71" i="6"/>
  <c r="P72" i="6"/>
  <c r="Q72" i="6"/>
  <c r="P73" i="6"/>
  <c r="Q73" i="6"/>
  <c r="P74" i="6"/>
  <c r="Q74" i="6"/>
  <c r="P75" i="6"/>
  <c r="Q75" i="6"/>
  <c r="P76" i="6"/>
  <c r="Q76" i="6"/>
  <c r="P77" i="6"/>
  <c r="Q77" i="6"/>
  <c r="P78" i="6"/>
  <c r="Q78" i="6"/>
  <c r="P79" i="6"/>
  <c r="Q79" i="6"/>
  <c r="P80" i="6"/>
  <c r="Q80" i="6"/>
  <c r="P81" i="6"/>
  <c r="Q81" i="6"/>
  <c r="P82" i="6"/>
  <c r="Q82" i="6"/>
  <c r="P83" i="6"/>
  <c r="Q83" i="6"/>
  <c r="P84" i="6"/>
  <c r="Q84" i="6"/>
  <c r="P85" i="6"/>
  <c r="Q85" i="6"/>
  <c r="P86" i="6"/>
  <c r="Q86" i="6"/>
  <c r="P87" i="6"/>
  <c r="Q87" i="6"/>
  <c r="P88" i="6"/>
  <c r="Q88" i="6"/>
  <c r="P89" i="6"/>
  <c r="Q89" i="6"/>
  <c r="P90" i="6"/>
  <c r="Q90" i="6"/>
  <c r="P91" i="6"/>
  <c r="Q91" i="6"/>
  <c r="P92" i="6"/>
  <c r="Q92" i="6"/>
  <c r="P93" i="6"/>
  <c r="Q93" i="6"/>
  <c r="P94" i="6"/>
  <c r="Q94" i="6"/>
  <c r="P95" i="6"/>
  <c r="Q95" i="6"/>
  <c r="P96" i="6"/>
  <c r="Q96" i="6"/>
  <c r="P97" i="6"/>
  <c r="Q97" i="6"/>
  <c r="P98" i="6"/>
  <c r="Q98" i="6"/>
  <c r="P99" i="6"/>
  <c r="Q99" i="6"/>
  <c r="P100" i="6"/>
  <c r="Q100" i="6"/>
  <c r="P101" i="6"/>
  <c r="Q101" i="6"/>
  <c r="P102" i="6"/>
  <c r="Q102" i="6"/>
  <c r="P103" i="6"/>
  <c r="Q103" i="6"/>
  <c r="P104" i="6"/>
  <c r="Q104" i="6"/>
  <c r="P105" i="6"/>
  <c r="Q105" i="6"/>
  <c r="P106" i="6"/>
  <c r="Q106" i="6"/>
  <c r="P107" i="6"/>
  <c r="Q107" i="6"/>
  <c r="P108" i="6"/>
  <c r="Q108" i="6"/>
  <c r="P109" i="6"/>
  <c r="Q109" i="6"/>
  <c r="P110" i="6"/>
  <c r="Q110" i="6"/>
  <c r="P111" i="6"/>
  <c r="Q111" i="6"/>
  <c r="P112" i="6"/>
  <c r="Q112" i="6"/>
  <c r="P113" i="6"/>
  <c r="Q113" i="6"/>
  <c r="P114" i="6"/>
  <c r="Q114" i="6"/>
  <c r="P115" i="6"/>
  <c r="Q115" i="6"/>
  <c r="P116" i="6"/>
  <c r="Q116" i="6"/>
  <c r="P117" i="6"/>
  <c r="Q117" i="6"/>
  <c r="P118" i="6"/>
  <c r="Q118" i="6"/>
  <c r="P119" i="6"/>
  <c r="Q119" i="6"/>
  <c r="P120" i="6"/>
  <c r="Q120" i="6"/>
  <c r="P121" i="6"/>
  <c r="Q121" i="6"/>
  <c r="P122" i="6"/>
  <c r="Q122" i="6"/>
  <c r="P123" i="6"/>
  <c r="Q123" i="6"/>
  <c r="P124" i="6"/>
  <c r="Q124" i="6"/>
  <c r="P125" i="6"/>
  <c r="Q125" i="6"/>
  <c r="P126" i="6"/>
  <c r="Q126" i="6"/>
  <c r="P127" i="6"/>
  <c r="Q127" i="6"/>
  <c r="P128" i="6"/>
  <c r="Q128" i="6"/>
  <c r="P129" i="6"/>
  <c r="Q129" i="6"/>
  <c r="P130" i="6"/>
  <c r="Q130" i="6"/>
  <c r="P131" i="6"/>
  <c r="Q131" i="6"/>
  <c r="P132" i="6"/>
  <c r="Q132" i="6"/>
  <c r="P133" i="6"/>
  <c r="Q133" i="6"/>
  <c r="P134" i="6"/>
  <c r="Q134" i="6"/>
  <c r="P135" i="6"/>
  <c r="Q135" i="6"/>
  <c r="P136" i="6"/>
  <c r="Q136" i="6"/>
  <c r="P137" i="6"/>
  <c r="Q137" i="6"/>
  <c r="P138" i="6"/>
  <c r="Q138" i="6"/>
  <c r="P139" i="6"/>
  <c r="Q139" i="6"/>
  <c r="P140" i="6"/>
  <c r="Q140" i="6"/>
  <c r="P141" i="6"/>
  <c r="Q141" i="6"/>
  <c r="P142" i="6"/>
  <c r="Q142" i="6"/>
  <c r="P143" i="6"/>
  <c r="Q143" i="6"/>
  <c r="P144" i="6"/>
  <c r="Q144" i="6"/>
  <c r="P145" i="6"/>
  <c r="Q145" i="6"/>
  <c r="P146" i="6"/>
  <c r="Q146" i="6"/>
  <c r="P147" i="6"/>
  <c r="Q147" i="6"/>
  <c r="P148" i="6"/>
  <c r="Q148" i="6"/>
  <c r="P149" i="6"/>
  <c r="Q149" i="6"/>
  <c r="P150" i="6"/>
  <c r="Q150" i="6"/>
  <c r="P151" i="6"/>
  <c r="Q151" i="6"/>
  <c r="P152" i="6"/>
  <c r="Q152" i="6"/>
  <c r="P153" i="6"/>
  <c r="Q153" i="6"/>
  <c r="P154" i="6"/>
  <c r="Q154" i="6"/>
  <c r="P155" i="6"/>
  <c r="Q155" i="6"/>
  <c r="P156" i="6"/>
  <c r="Q156" i="6"/>
  <c r="P157" i="6"/>
  <c r="Q157" i="6"/>
  <c r="P158" i="6"/>
  <c r="Q158" i="6"/>
  <c r="P159" i="6"/>
  <c r="Q159" i="6"/>
  <c r="P160" i="6"/>
  <c r="Q160" i="6"/>
  <c r="P161" i="6"/>
  <c r="Q161" i="6"/>
  <c r="P162" i="6"/>
  <c r="Q162" i="6"/>
  <c r="P163" i="6"/>
  <c r="Q163" i="6"/>
  <c r="P164" i="6"/>
  <c r="Q164" i="6"/>
  <c r="P165" i="6"/>
  <c r="Q165" i="6"/>
  <c r="P166" i="6"/>
  <c r="Q166" i="6"/>
  <c r="P167" i="6"/>
  <c r="Q167" i="6"/>
  <c r="P168" i="6"/>
  <c r="Q168" i="6"/>
  <c r="P169" i="6"/>
  <c r="Q169" i="6"/>
  <c r="P170" i="6"/>
  <c r="Q170" i="6"/>
  <c r="P171" i="6"/>
  <c r="Q171" i="6"/>
  <c r="P172" i="6"/>
  <c r="Q172" i="6"/>
  <c r="P173" i="6"/>
  <c r="Q173" i="6"/>
  <c r="P174" i="6"/>
  <c r="Q174" i="6"/>
  <c r="P175" i="6"/>
  <c r="Q175" i="6"/>
  <c r="P176" i="6"/>
  <c r="Q176" i="6"/>
  <c r="P177" i="6"/>
  <c r="Q177" i="6"/>
  <c r="P178" i="6"/>
  <c r="Q178" i="6"/>
  <c r="P179" i="6"/>
  <c r="Q179" i="6"/>
  <c r="P180" i="6"/>
  <c r="Q180" i="6"/>
  <c r="P181" i="6"/>
  <c r="Q181" i="6"/>
  <c r="P182" i="6"/>
  <c r="Q182" i="6"/>
  <c r="P183" i="6"/>
  <c r="Q183" i="6"/>
  <c r="P184" i="6"/>
  <c r="Q184" i="6"/>
  <c r="P185" i="6"/>
  <c r="Q185" i="6"/>
  <c r="P186" i="6"/>
  <c r="Q186" i="6"/>
  <c r="P187" i="6"/>
  <c r="Q187" i="6"/>
  <c r="P188" i="6"/>
  <c r="Q188" i="6"/>
  <c r="P10" i="6"/>
  <c r="Q10" i="6"/>
  <c r="P11" i="6"/>
  <c r="Q11" i="6"/>
  <c r="P12" i="6"/>
  <c r="Q12" i="6"/>
  <c r="P13" i="6"/>
  <c r="Q13" i="6"/>
  <c r="P14" i="6"/>
  <c r="Q14" i="6"/>
  <c r="P15" i="6"/>
  <c r="Q15" i="6"/>
  <c r="P16" i="6"/>
  <c r="Q16" i="6"/>
  <c r="P17" i="6"/>
  <c r="Q17" i="6"/>
  <c r="P18" i="6"/>
  <c r="Q18" i="6"/>
  <c r="Q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L9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1" i="6"/>
  <c r="AF92" i="6"/>
  <c r="AF93" i="6"/>
  <c r="AF94" i="6"/>
  <c r="AF95" i="6"/>
  <c r="AF96" i="6"/>
  <c r="AF97" i="6"/>
  <c r="AF98" i="6"/>
  <c r="AF99" i="6"/>
  <c r="AF100" i="6"/>
  <c r="AF101" i="6"/>
  <c r="AF102" i="6"/>
  <c r="AF103" i="6"/>
  <c r="AF104" i="6"/>
  <c r="AF105" i="6"/>
  <c r="AF106" i="6"/>
  <c r="AF107" i="6"/>
  <c r="AF108" i="6"/>
  <c r="AF109" i="6"/>
  <c r="AF110" i="6"/>
  <c r="AF111" i="6"/>
  <c r="AF112" i="6"/>
  <c r="AF113" i="6"/>
  <c r="AF114" i="6"/>
  <c r="AF115" i="6"/>
  <c r="AF116" i="6"/>
  <c r="AF117" i="6"/>
  <c r="AF118" i="6"/>
  <c r="AF119" i="6"/>
  <c r="AF120" i="6"/>
  <c r="AF121" i="6"/>
  <c r="AF122" i="6"/>
  <c r="AF123" i="6"/>
  <c r="AF124" i="6"/>
  <c r="AF125" i="6"/>
  <c r="AF126" i="6"/>
  <c r="AF127" i="6"/>
  <c r="AF128" i="6"/>
  <c r="AF129" i="6"/>
  <c r="AF130" i="6"/>
  <c r="AF131" i="6"/>
  <c r="AF132" i="6"/>
  <c r="AF133" i="6"/>
  <c r="AF134" i="6"/>
  <c r="AF135" i="6"/>
  <c r="AF136" i="6"/>
  <c r="AF137" i="6"/>
  <c r="AF138" i="6"/>
  <c r="AF139" i="6"/>
  <c r="AF140" i="6"/>
  <c r="AF141" i="6"/>
  <c r="AF142" i="6"/>
  <c r="AF143" i="6"/>
  <c r="AF144" i="6"/>
  <c r="AF145" i="6"/>
  <c r="AF146" i="6"/>
  <c r="AF147" i="6"/>
  <c r="AF148" i="6"/>
  <c r="AF149" i="6"/>
  <c r="AF150" i="6"/>
  <c r="AF151" i="6"/>
  <c r="AF152" i="6"/>
  <c r="AF153" i="6"/>
  <c r="AF154" i="6"/>
  <c r="AF155" i="6"/>
  <c r="AF156" i="6"/>
  <c r="AF157" i="6"/>
  <c r="AF158" i="6"/>
  <c r="AF159" i="6"/>
  <c r="AF160" i="6"/>
  <c r="AF161" i="6"/>
  <c r="AF162" i="6"/>
  <c r="AF163" i="6"/>
  <c r="AF164" i="6"/>
  <c r="AF165" i="6"/>
  <c r="AF166" i="6"/>
  <c r="AF167" i="6"/>
  <c r="AF168" i="6"/>
  <c r="AF169" i="6"/>
  <c r="AF170" i="6"/>
  <c r="AF171" i="6"/>
  <c r="AF172" i="6"/>
  <c r="AF173" i="6"/>
  <c r="AF174" i="6"/>
  <c r="AF175" i="6"/>
  <c r="AF176" i="6"/>
  <c r="AF177" i="6"/>
  <c r="AF178" i="6"/>
  <c r="AF179" i="6"/>
  <c r="AF180" i="6"/>
  <c r="AF181" i="6"/>
  <c r="AF182" i="6"/>
  <c r="AF183" i="6"/>
  <c r="AF184" i="6"/>
  <c r="AF185" i="6"/>
  <c r="AF186" i="6"/>
  <c r="AF187" i="6"/>
  <c r="AF188" i="6"/>
  <c r="AF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90" i="6"/>
  <c r="W91" i="6"/>
  <c r="W92" i="6"/>
  <c r="W93" i="6"/>
  <c r="W94" i="6"/>
  <c r="W95" i="6"/>
  <c r="W96" i="6"/>
  <c r="W97" i="6"/>
  <c r="W98" i="6"/>
  <c r="W80" i="6"/>
  <c r="W81" i="6"/>
  <c r="W82" i="6"/>
  <c r="W83" i="6"/>
  <c r="W84" i="6"/>
  <c r="W85" i="6"/>
  <c r="W86" i="6"/>
  <c r="W87" i="6"/>
  <c r="W88" i="6"/>
  <c r="W70" i="6"/>
  <c r="W71" i="6"/>
  <c r="W72" i="6"/>
  <c r="W73" i="6"/>
  <c r="W74" i="6"/>
  <c r="W75" i="6"/>
  <c r="W76" i="6"/>
  <c r="W77" i="6"/>
  <c r="W78" i="6"/>
  <c r="W60" i="6"/>
  <c r="W61" i="6"/>
  <c r="W62" i="6"/>
  <c r="W63" i="6"/>
  <c r="W64" i="6"/>
  <c r="W65" i="6"/>
  <c r="W66" i="6"/>
  <c r="W67" i="6"/>
  <c r="W68" i="6"/>
  <c r="W50" i="6"/>
  <c r="W51" i="6"/>
  <c r="W52" i="6"/>
  <c r="W53" i="6"/>
  <c r="W54" i="6"/>
  <c r="W55" i="6"/>
  <c r="W56" i="6"/>
  <c r="W57" i="6"/>
  <c r="W58" i="6"/>
  <c r="AC175" i="6"/>
  <c r="AC176" i="6"/>
  <c r="AC177" i="6"/>
  <c r="AC178" i="6"/>
  <c r="AC179" i="6"/>
  <c r="AC180" i="6"/>
  <c r="AC181" i="6"/>
  <c r="AC182" i="6"/>
  <c r="AC183" i="6"/>
  <c r="AC184" i="6"/>
  <c r="AC185" i="6"/>
  <c r="AC186" i="6"/>
  <c r="AC187" i="6"/>
  <c r="AC188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9" i="6"/>
  <c r="AC9" i="6"/>
  <c r="AC174" i="6"/>
  <c r="AC173" i="6"/>
  <c r="AC172" i="6"/>
  <c r="AC171" i="6"/>
  <c r="AC170" i="6"/>
  <c r="AC169" i="6"/>
  <c r="AC168" i="6"/>
  <c r="AC167" i="6"/>
  <c r="AC166" i="6"/>
  <c r="AC165" i="6"/>
  <c r="AC164" i="6"/>
  <c r="AC163" i="6"/>
  <c r="AC162" i="6"/>
  <c r="AC161" i="6"/>
  <c r="AC160" i="6"/>
  <c r="AC159" i="6"/>
  <c r="AC158" i="6"/>
  <c r="AC157" i="6"/>
  <c r="AC156" i="6"/>
  <c r="AC155" i="6"/>
  <c r="AC154" i="6"/>
  <c r="AC153" i="6"/>
  <c r="AC152" i="6"/>
  <c r="AC151" i="6"/>
  <c r="AC150" i="6"/>
  <c r="AC149" i="6"/>
  <c r="AC148" i="6"/>
  <c r="AC147" i="6"/>
  <c r="AC146" i="6"/>
  <c r="AC145" i="6"/>
  <c r="AC144" i="6"/>
  <c r="AC143" i="6"/>
  <c r="AC142" i="6"/>
  <c r="AC141" i="6"/>
  <c r="AC140" i="6"/>
  <c r="AC139" i="6"/>
  <c r="AC138" i="6"/>
  <c r="AC137" i="6"/>
  <c r="AC136" i="6"/>
  <c r="AC135" i="6"/>
  <c r="AC134" i="6"/>
  <c r="AC133" i="6"/>
  <c r="AC132" i="6"/>
  <c r="AC131" i="6"/>
  <c r="AC130" i="6"/>
  <c r="AC129" i="6"/>
  <c r="AC128" i="6"/>
  <c r="AC127" i="6"/>
  <c r="AC126" i="6"/>
  <c r="AC125" i="6"/>
  <c r="AC124" i="6"/>
  <c r="AC123" i="6"/>
  <c r="AC122" i="6"/>
  <c r="AC121" i="6"/>
  <c r="AC120" i="6"/>
  <c r="AC119" i="6"/>
  <c r="AC118" i="6"/>
  <c r="AC117" i="6"/>
  <c r="AC116" i="6"/>
  <c r="AC115" i="6"/>
  <c r="AC114" i="6"/>
  <c r="AC113" i="6"/>
  <c r="AC112" i="6"/>
  <c r="AC111" i="6"/>
  <c r="AC110" i="6"/>
  <c r="AC109" i="6"/>
  <c r="AC108" i="6"/>
  <c r="AC107" i="6"/>
  <c r="AC106" i="6"/>
  <c r="AC105" i="6"/>
  <c r="AC104" i="6"/>
  <c r="AC103" i="6"/>
  <c r="AC102" i="6"/>
  <c r="AC101" i="6"/>
  <c r="AC100" i="6"/>
  <c r="AC99" i="6"/>
  <c r="AC98" i="6"/>
  <c r="AC97" i="6"/>
  <c r="AC96" i="6"/>
  <c r="AC95" i="6"/>
  <c r="AC94" i="6"/>
  <c r="AC93" i="6"/>
  <c r="AC92" i="6"/>
  <c r="AC91" i="6"/>
  <c r="AC90" i="6"/>
  <c r="AC89" i="6"/>
  <c r="AC88" i="6"/>
  <c r="AC87" i="6"/>
  <c r="AC86" i="6"/>
  <c r="AC85" i="6"/>
  <c r="AC84" i="6"/>
  <c r="AC83" i="6"/>
  <c r="AC82" i="6"/>
  <c r="AC81" i="6"/>
  <c r="AC80" i="6"/>
  <c r="AC79" i="6"/>
  <c r="AC78" i="6"/>
  <c r="AC77" i="6"/>
  <c r="AC76" i="6"/>
  <c r="AC75" i="6"/>
  <c r="AC74" i="6"/>
  <c r="AC73" i="6"/>
  <c r="AC72" i="6"/>
  <c r="AC71" i="6"/>
  <c r="AC70" i="6"/>
  <c r="AC69" i="6"/>
  <c r="AC68" i="6"/>
  <c r="AC67" i="6"/>
  <c r="AC66" i="6"/>
  <c r="AC65" i="6"/>
  <c r="AC64" i="6"/>
  <c r="AC63" i="6"/>
  <c r="AC62" i="6"/>
  <c r="AC61" i="6"/>
  <c r="AC60" i="6"/>
  <c r="AC59" i="6"/>
  <c r="AC58" i="6"/>
  <c r="AC57" i="6"/>
  <c r="AC56" i="6"/>
  <c r="AC55" i="6"/>
  <c r="AC54" i="6"/>
  <c r="AC53" i="6"/>
  <c r="AC52" i="6"/>
  <c r="AC51" i="6"/>
  <c r="AC50" i="6"/>
  <c r="AC49" i="6"/>
  <c r="AC48" i="6"/>
  <c r="AC47" i="6"/>
  <c r="AC46" i="6"/>
  <c r="AC45" i="6"/>
  <c r="AC44" i="6"/>
  <c r="AC43" i="6"/>
  <c r="AC42" i="6"/>
  <c r="AC41" i="6"/>
  <c r="AC40" i="6"/>
  <c r="AC39" i="6"/>
  <c r="AC38" i="6"/>
  <c r="AC37" i="6"/>
  <c r="AC36" i="6"/>
  <c r="AC35" i="6"/>
  <c r="AC34" i="6"/>
  <c r="AC33" i="6"/>
  <c r="AC32" i="6"/>
  <c r="AC31" i="6"/>
  <c r="AC30" i="6"/>
  <c r="AC29" i="6"/>
  <c r="AC28" i="6"/>
  <c r="AC27" i="6"/>
  <c r="AC26" i="6"/>
  <c r="AC25" i="6"/>
  <c r="AC24" i="6"/>
  <c r="AC23" i="6"/>
  <c r="AC22" i="6"/>
  <c r="AC21" i="6"/>
  <c r="AC20" i="6"/>
  <c r="AC19" i="6"/>
  <c r="AC18" i="6"/>
  <c r="AC17" i="6"/>
  <c r="AC16" i="6"/>
  <c r="AC15" i="6"/>
  <c r="AC14" i="6"/>
  <c r="AC13" i="6"/>
  <c r="AC12" i="6"/>
  <c r="AC11" i="6"/>
  <c r="AC10" i="6"/>
  <c r="W89" i="6"/>
  <c r="W79" i="6"/>
  <c r="W69" i="6"/>
  <c r="W59" i="6"/>
  <c r="W49" i="6"/>
  <c r="I35" i="5" l="1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34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7" i="5"/>
</calcChain>
</file>

<file path=xl/sharedStrings.xml><?xml version="1.0" encoding="utf-8"?>
<sst xmlns="http://schemas.openxmlformats.org/spreadsheetml/2006/main" count="2184" uniqueCount="252">
  <si>
    <t>batch_size</t>
  </si>
  <si>
    <t>head_dim</t>
  </si>
  <si>
    <t>q_heads</t>
  </si>
  <si>
    <t>kv_heads</t>
  </si>
  <si>
    <t>seq</t>
    <phoneticPr fontId="1" type="noConversion"/>
  </si>
  <si>
    <t>chunk</t>
    <phoneticPr fontId="1" type="noConversion"/>
  </si>
  <si>
    <t>pre</t>
    <phoneticPr fontId="1" type="noConversion"/>
  </si>
  <si>
    <t>q_heads</t>
    <phoneticPr fontId="1" type="noConversion"/>
  </si>
  <si>
    <t>kv_head</t>
    <phoneticPr fontId="1" type="noConversion"/>
  </si>
  <si>
    <t>batch</t>
    <phoneticPr fontId="1" type="noConversion"/>
  </si>
  <si>
    <t>pre(ms)</t>
    <phoneticPr fontId="1" type="noConversion"/>
  </si>
  <si>
    <t>new(ms)</t>
    <phoneticPr fontId="1" type="noConversion"/>
  </si>
  <si>
    <t>new/pre</t>
    <phoneticPr fontId="1" type="noConversion"/>
  </si>
  <si>
    <t>KV_decode</t>
    <phoneticPr fontId="1" type="noConversion"/>
  </si>
  <si>
    <t>Q decode</t>
    <phoneticPr fontId="1" type="noConversion"/>
  </si>
  <si>
    <t>pre:</t>
    <phoneticPr fontId="1" type="noConversion"/>
  </si>
  <si>
    <t>GQA之前实现，不同spc处理不同的q_head, 会load同一份kvcache</t>
    <phoneticPr fontId="1" type="noConversion"/>
  </si>
  <si>
    <t>将q_head折到H维度， 同一组q_head只需load一次kvcache</t>
    <phoneticPr fontId="1" type="noConversion"/>
  </si>
  <si>
    <t>chunk：</t>
    <phoneticPr fontId="1" type="noConversion"/>
  </si>
  <si>
    <t>参考prefill, 采用chunk的方式实现</t>
    <phoneticPr fontId="1" type="noConversion"/>
  </si>
  <si>
    <t>对于KV, 每个batch只有一个head, 每个warp处理一个head, 因此batch=16*16才能利用满硬件资源</t>
    <phoneticPr fontId="1" type="noConversion"/>
  </si>
  <si>
    <t>两种方法</t>
    <phoneticPr fontId="1" type="noConversion"/>
  </si>
  <si>
    <t>每个warp处理一个batch， 同kv一样， 只有batch足够大时才能打满硬件资源， 并且batch较小时， 每个warp处理的batch有 q-head行，耗时增加</t>
    <phoneticPr fontId="1" type="noConversion"/>
  </si>
  <si>
    <t>每个warp处理2行， batch较小时， 可利用更多的硬件资源，batch较大时， 因为q_head&lt;32, 同样存在资源浪费</t>
    <phoneticPr fontId="1" type="noConversion"/>
  </si>
  <si>
    <t>new(ms) h</t>
    <phoneticPr fontId="1" type="noConversion"/>
  </si>
  <si>
    <t>Line</t>
  </si>
  <si>
    <t>kernel</t>
  </si>
  <si>
    <t>running</t>
  </si>
  <si>
    <t>finished</t>
  </si>
  <si>
    <t>time:</t>
  </si>
  <si>
    <t>pip</t>
    <phoneticPr fontId="1" type="noConversion"/>
  </si>
  <si>
    <t>chunk/pip</t>
    <phoneticPr fontId="1" type="noConversion"/>
  </si>
  <si>
    <t>pip/pre</t>
    <phoneticPr fontId="1" type="noConversion"/>
  </si>
  <si>
    <t>chunk/pre</t>
    <phoneticPr fontId="1" type="noConversion"/>
  </si>
  <si>
    <t>NUMA</t>
    <phoneticPr fontId="1" type="noConversion"/>
  </si>
  <si>
    <t>numa/uma</t>
    <phoneticPr fontId="1" type="noConversion"/>
  </si>
  <si>
    <t>KV UMA</t>
    <phoneticPr fontId="1" type="noConversion"/>
  </si>
  <si>
    <t>pip:</t>
    <phoneticPr fontId="1" type="noConversion"/>
  </si>
  <si>
    <t>GQA</t>
    <phoneticPr fontId="4" type="noConversion"/>
  </si>
  <si>
    <t>batch</t>
    <phoneticPr fontId="4" type="noConversion"/>
  </si>
  <si>
    <t>q_head</t>
    <phoneticPr fontId="4" type="noConversion"/>
  </si>
  <si>
    <t>kv_head</t>
    <phoneticPr fontId="4" type="noConversion"/>
  </si>
  <si>
    <t>spc_num</t>
    <phoneticPr fontId="4" type="noConversion"/>
  </si>
  <si>
    <t>Q_datatype</t>
    <phoneticPr fontId="4" type="noConversion"/>
  </si>
  <si>
    <t>KV_datatype</t>
    <phoneticPr fontId="4" type="noConversion"/>
  </si>
  <si>
    <t>ldm GMB</t>
    <phoneticPr fontId="4" type="noConversion"/>
  </si>
  <si>
    <t>ldm HBM</t>
    <phoneticPr fontId="4" type="noConversion"/>
  </si>
  <si>
    <t>N*head_perspc</t>
    <phoneticPr fontId="4" type="noConversion"/>
  </si>
  <si>
    <t>seq_idx</t>
    <phoneticPr fontId="4" type="noConversion"/>
  </si>
  <si>
    <t>head_dim</t>
    <phoneticPr fontId="4" type="noConversion"/>
  </si>
  <si>
    <t>load_Q</t>
    <phoneticPr fontId="4" type="noConversion"/>
  </si>
  <si>
    <t>load_K</t>
    <phoneticPr fontId="4" type="noConversion"/>
  </si>
  <si>
    <t>mma</t>
    <phoneticPr fontId="4" type="noConversion"/>
  </si>
  <si>
    <t>Q*K</t>
    <phoneticPr fontId="4" type="noConversion"/>
  </si>
  <si>
    <t>load_S</t>
    <phoneticPr fontId="4" type="noConversion"/>
  </si>
  <si>
    <t>load_V</t>
    <phoneticPr fontId="4" type="noConversion"/>
  </si>
  <si>
    <t>S*V</t>
    <phoneticPr fontId="4" type="noConversion"/>
  </si>
  <si>
    <t>store HBM</t>
    <phoneticPr fontId="4" type="noConversion"/>
  </si>
  <si>
    <t>softmax</t>
    <phoneticPr fontId="4" type="noConversion"/>
  </si>
  <si>
    <t>dtg+长尾</t>
    <phoneticPr fontId="4" type="noConversion"/>
  </si>
  <si>
    <t>total</t>
    <phoneticPr fontId="4" type="noConversion"/>
  </si>
  <si>
    <t>q_head_dim</t>
    <phoneticPr fontId="4" type="noConversion"/>
  </si>
  <si>
    <t>v_head_dim</t>
    <phoneticPr fontId="4" type="noConversion"/>
  </si>
  <si>
    <t>MMA  shapes per spc (ie 1 chunk)</t>
    <phoneticPr fontId="1" type="noConversion"/>
  </si>
  <si>
    <t>Attention theory perf analysis</t>
    <phoneticPr fontId="1" type="noConversion"/>
  </si>
  <si>
    <t>M</t>
    <phoneticPr fontId="1" type="noConversion"/>
  </si>
  <si>
    <t>N</t>
    <phoneticPr fontId="1" type="noConversion"/>
  </si>
  <si>
    <t>K</t>
    <phoneticPr fontId="1" type="noConversion"/>
  </si>
  <si>
    <t>Qi @ Ki</t>
    <phoneticPr fontId="1" type="noConversion"/>
  </si>
  <si>
    <t xml:space="preserve">BW data: https://conf01.birentech.com/pages/viewpage.action?pageId=122656325 </t>
    <phoneticPr fontId="1" type="noConversion"/>
  </si>
  <si>
    <t>QKi @ Vi</t>
    <phoneticPr fontId="1" type="noConversion"/>
  </si>
  <si>
    <t>Bandwidth</t>
    <phoneticPr fontId="1" type="noConversion"/>
  </si>
  <si>
    <t>Tcore spec</t>
    <phoneticPr fontId="1" type="noConversion"/>
  </si>
  <si>
    <t>B / cycles, 1 SPC</t>
    <phoneticPr fontId="1" type="noConversion"/>
  </si>
  <si>
    <t>GB / S, 16 SPC</t>
    <phoneticPr fontId="1" type="noConversion"/>
  </si>
  <si>
    <t>GEMM BF16</t>
    <phoneticPr fontId="1" type="noConversion"/>
  </si>
  <si>
    <t>8 * (4*8*8) * 8</t>
    <phoneticPr fontId="1" type="noConversion"/>
  </si>
  <si>
    <t>8 GEMM, DP8</t>
    <phoneticPr fontId="1" type="noConversion"/>
  </si>
  <si>
    <t>UMA</t>
    <phoneticPr fontId="1" type="noConversion"/>
  </si>
  <si>
    <t>GEMM FP32</t>
    <phoneticPr fontId="1" type="noConversion"/>
  </si>
  <si>
    <t>8 * (4*8*8) * 4</t>
    <phoneticPr fontId="1" type="noConversion"/>
  </si>
  <si>
    <t>8 GEMM, DP4</t>
  </si>
  <si>
    <t>NUMA</t>
    <phoneticPr fontId="1" type="noConversion"/>
  </si>
  <si>
    <t>GMB</t>
    <phoneticPr fontId="1" type="noConversion"/>
  </si>
  <si>
    <t>-</t>
    <phoneticPr fontId="1" type="noConversion"/>
  </si>
  <si>
    <t>Tcore input MMA1: Q@ K</t>
    <phoneticPr fontId="1" type="noConversion"/>
  </si>
  <si>
    <t>bf16/float: 2, 4</t>
    <phoneticPr fontId="1" type="noConversion"/>
  </si>
  <si>
    <t>mma dem size (B)</t>
    <phoneticPr fontId="1" type="noConversion"/>
  </si>
  <si>
    <t>arch: NUMA, UMA</t>
    <phoneticPr fontId="1" type="noConversion"/>
  </si>
  <si>
    <t>Input shape</t>
    <phoneticPr fontId="1" type="noConversion"/>
  </si>
  <si>
    <t>mem_arch_A</t>
    <phoneticPr fontId="1" type="noConversion"/>
  </si>
  <si>
    <t xml:space="preserve">Q </t>
    <phoneticPr fontId="1" type="noConversion"/>
  </si>
  <si>
    <t>mem_arch_B</t>
    <phoneticPr fontId="1" type="noConversion"/>
  </si>
  <si>
    <t>chunk_q</t>
    <phoneticPr fontId="1" type="noConversion"/>
  </si>
  <si>
    <t>1. cwarp 512, no cwarp 1024</t>
    <phoneticPr fontId="1" type="noConversion"/>
  </si>
  <si>
    <t>chunk_k</t>
    <phoneticPr fontId="1" type="noConversion"/>
  </si>
  <si>
    <t>2. cwarp 512, no cwarp 1024</t>
    <phoneticPr fontId="1" type="noConversion"/>
  </si>
  <si>
    <t>head_dim_qk</t>
    <phoneticPr fontId="1" type="noConversion"/>
  </si>
  <si>
    <t>head_dim_v</t>
    <phoneticPr fontId="1" type="noConversion"/>
  </si>
  <si>
    <t>QK</t>
    <phoneticPr fontId="1" type="noConversion"/>
  </si>
  <si>
    <t>seq_q</t>
    <phoneticPr fontId="1" type="noConversion"/>
  </si>
  <si>
    <t>V</t>
    <phoneticPr fontId="1" type="noConversion"/>
  </si>
  <si>
    <t>seq_k</t>
    <phoneticPr fontId="1" type="noConversion"/>
  </si>
  <si>
    <t>Operator</t>
    <phoneticPr fontId="1" type="noConversion"/>
  </si>
  <si>
    <t>MMA SHAPES</t>
    <phoneticPr fontId="1" type="noConversion"/>
  </si>
  <si>
    <t>IS_GMB ?</t>
    <phoneticPr fontId="1" type="noConversion"/>
  </si>
  <si>
    <t>LOAD, STORE BW (B/ cycles)</t>
    <phoneticPr fontId="1" type="noConversion"/>
  </si>
  <si>
    <t>CYCLES</t>
    <phoneticPr fontId="1" type="noConversion"/>
  </si>
  <si>
    <t>EXPECTED CYCLE</t>
    <phoneticPr fontId="1" type="noConversion"/>
  </si>
  <si>
    <t>chunk_q in seq_q</t>
    <phoneticPr fontId="1" type="noConversion"/>
  </si>
  <si>
    <t>MMA: C = A * B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</si>
  <si>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</si>
  <si>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</si>
  <si>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</si>
  <si>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BW A</t>
    <phoneticPr fontId="1" type="noConversion"/>
  </si>
  <si>
    <t>BW B</t>
    <phoneticPr fontId="1" type="noConversion"/>
  </si>
  <si>
    <t>BW C</t>
    <phoneticPr fontId="1" type="noConversion"/>
  </si>
  <si>
    <t>LOAD A</t>
    <phoneticPr fontId="1" type="noConversion"/>
  </si>
  <si>
    <t>LOAD B</t>
    <phoneticPr fontId="1" type="noConversion"/>
  </si>
  <si>
    <t>LOAD ALL</t>
    <phoneticPr fontId="1" type="noConversion"/>
  </si>
  <si>
    <t>MMA</t>
    <phoneticPr fontId="1" type="noConversion"/>
  </si>
  <si>
    <t>STORE C</t>
    <phoneticPr fontId="1" type="noConversion"/>
  </si>
  <si>
    <t>MAX(CYCLES[:])</t>
    <phoneticPr fontId="1" type="noConversion"/>
  </si>
  <si>
    <t>chunk_k in seq_k</t>
    <phoneticPr fontId="1" type="noConversion"/>
  </si>
  <si>
    <t>MMA1: Qi @ Ki</t>
    <phoneticPr fontId="1" type="noConversion"/>
  </si>
  <si>
    <t>NO</t>
    <phoneticPr fontId="1" type="noConversion"/>
  </si>
  <si>
    <t>YES</t>
    <phoneticPr fontId="1" type="noConversion"/>
  </si>
  <si>
    <t>total_chunk 1 batch</t>
    <phoneticPr fontId="1" type="noConversion"/>
  </si>
  <si>
    <t>causal mask</t>
    <phoneticPr fontId="1" type="noConversion"/>
  </si>
  <si>
    <t>MMA2: QKi @ Vi</t>
    <phoneticPr fontId="1" type="noConversion"/>
  </si>
  <si>
    <t>total chunk per spc</t>
    <phoneticPr fontId="1" type="noConversion"/>
  </si>
  <si>
    <t>split batch per spc</t>
    <phoneticPr fontId="1" type="noConversion"/>
  </si>
  <si>
    <t xml:space="preserve">Softmax - max computation </t>
    <phoneticPr fontId="1" type="noConversion"/>
  </si>
  <si>
    <t>softmax type</t>
    <phoneticPr fontId="1" type="noConversion"/>
  </si>
  <si>
    <t>1. fp32, 2. bf16</t>
    <phoneticPr fontId="1" type="noConversion"/>
  </si>
  <si>
    <t>Per thread, per chunk</t>
    <phoneticPr fontId="1" type="noConversion"/>
  </si>
  <si>
    <t>shape data: (chunk_q, chunk_k)</t>
    <phoneticPr fontId="1" type="noConversion"/>
  </si>
  <si>
    <t>Coroutine vector 1</t>
    <phoneticPr fontId="1" type="noConversion"/>
  </si>
  <si>
    <t>count</t>
    <phoneticPr fontId="1" type="noConversion"/>
  </si>
  <si>
    <t>cycle</t>
    <phoneticPr fontId="1" type="noConversion"/>
  </si>
  <si>
    <t>cycle all</t>
    <phoneticPr fontId="1" type="noConversion"/>
  </si>
  <si>
    <t>Eq.</t>
    <phoneticPr fontId="1" type="noConversion"/>
  </si>
  <si>
    <t>qk_new = exp(qk * scale - max)</t>
    <phoneticPr fontId="1" type="noConversion"/>
  </si>
  <si>
    <t>Summary 1 SPC 1 Chunk</t>
    <phoneticPr fontId="1" type="noConversion"/>
  </si>
  <si>
    <t>max</t>
    <phoneticPr fontId="1" type="noConversion"/>
  </si>
  <si>
    <t>(chunk_k / 32 + 5 ) * chunk_q / 16</t>
    <phoneticPr fontId="1" type="noConversion"/>
  </si>
  <si>
    <t>5 = warp reduce</t>
    <phoneticPr fontId="1" type="noConversion"/>
  </si>
  <si>
    <t>Type</t>
    <phoneticPr fontId="1" type="noConversion"/>
  </si>
  <si>
    <t>Ops.</t>
    <phoneticPr fontId="1" type="noConversion"/>
  </si>
  <si>
    <t>Cycle</t>
    <phoneticPr fontId="1" type="noConversion"/>
  </si>
  <si>
    <t>Ratio: cur / total</t>
    <phoneticPr fontId="1" type="noConversion"/>
  </si>
  <si>
    <t>shuffle</t>
    <phoneticPr fontId="1" type="noConversion"/>
  </si>
  <si>
    <t>5 * chunk_q / 16</t>
    <phoneticPr fontId="1" type="noConversion"/>
  </si>
  <si>
    <t>TCORE</t>
    <phoneticPr fontId="1" type="noConversion"/>
  </si>
  <si>
    <t>mul</t>
    <phoneticPr fontId="1" type="noConversion"/>
  </si>
  <si>
    <t>chunk_k / 32 * chunk_q / 16</t>
    <phoneticPr fontId="1" type="noConversion"/>
  </si>
  <si>
    <t>exp</t>
    <phoneticPr fontId="1" type="noConversion"/>
  </si>
  <si>
    <t>No exp during max</t>
    <phoneticPr fontId="1" type="noConversion"/>
  </si>
  <si>
    <t>VCORE</t>
    <phoneticPr fontId="1" type="noConversion"/>
  </si>
  <si>
    <t>Softmax</t>
    <phoneticPr fontId="1" type="noConversion"/>
  </si>
  <si>
    <t>mask</t>
    <phoneticPr fontId="1" type="noConversion"/>
  </si>
  <si>
    <t>mask cost: 3 add + 1 compare</t>
    <phoneticPr fontId="1" type="noConversion"/>
  </si>
  <si>
    <t>total</t>
    <phoneticPr fontId="1" type="noConversion"/>
  </si>
  <si>
    <t>Summary 1 SPC whole input</t>
    <phoneticPr fontId="1" type="noConversion"/>
  </si>
  <si>
    <t>notes: 16 EU, each EU 32 threads</t>
    <phoneticPr fontId="1" type="noConversion"/>
  </si>
  <si>
    <t>Load store softmax</t>
    <phoneticPr fontId="1" type="noConversion"/>
  </si>
  <si>
    <t>add apply Mask cost</t>
    <phoneticPr fontId="1" type="noConversion"/>
  </si>
  <si>
    <t>load qk (GMB)</t>
    <phoneticPr fontId="1" type="noConversion"/>
  </si>
  <si>
    <t>store qk (GMB)</t>
    <phoneticPr fontId="1" type="noConversion"/>
  </si>
  <si>
    <t>Load &amp; store 2 times (apply mask first, then store, then load to compute sum)</t>
    <phoneticPr fontId="1" type="noConversion"/>
  </si>
  <si>
    <t>Summary</t>
    <phoneticPr fontId="1" type="noConversion"/>
  </si>
  <si>
    <t>Time (ms)</t>
    <phoneticPr fontId="1" type="noConversion"/>
  </si>
  <si>
    <t>BR score</t>
    <phoneticPr fontId="1" type="noConversion"/>
  </si>
  <si>
    <t>Softmax - sum computation</t>
    <phoneticPr fontId="1" type="noConversion"/>
  </si>
  <si>
    <t>theory</t>
    <phoneticPr fontId="1" type="noConversion"/>
  </si>
  <si>
    <t>shape data: (chunk_q, head_dim)</t>
    <phoneticPr fontId="1" type="noConversion"/>
  </si>
  <si>
    <t>sudnn - graph</t>
    <phoneticPr fontId="1" type="noConversion"/>
  </si>
  <si>
    <t>Coroutine vector 2</t>
    <phoneticPr fontId="1" type="noConversion"/>
  </si>
  <si>
    <t>s* = s* x exp(m* - mi) + sum(qk)</t>
    <phoneticPr fontId="1" type="noConversion"/>
  </si>
  <si>
    <t>v* = v* x exp(m* - mi) + qkv</t>
    <phoneticPr fontId="1" type="noConversion"/>
  </si>
  <si>
    <t>head_dim / 32 * chunk_q / 16</t>
    <phoneticPr fontId="1" type="noConversion"/>
  </si>
  <si>
    <t>H100 GR score fwd</t>
    <phoneticPr fontId="1" type="noConversion"/>
  </si>
  <si>
    <t>add (in exp)</t>
    <phoneticPr fontId="1" type="noConversion"/>
  </si>
  <si>
    <t>GR score</t>
    <phoneticPr fontId="1" type="noConversion"/>
  </si>
  <si>
    <t>add (in sum reduce)</t>
    <phoneticPr fontId="1" type="noConversion"/>
  </si>
  <si>
    <t>add</t>
    <phoneticPr fontId="1" type="noConversion"/>
  </si>
  <si>
    <t>nv H100 - sdpa math (default)</t>
    <phoneticPr fontId="1" type="noConversion"/>
  </si>
  <si>
    <t>shuffle (in sum reduce)</t>
    <phoneticPr fontId="1" type="noConversion"/>
  </si>
  <si>
    <t>Sum shuffle + reduce is always done in fp32</t>
    <phoneticPr fontId="1" type="noConversion"/>
  </si>
  <si>
    <t>nv H100 - sdpa mem eff.</t>
    <phoneticPr fontId="1" type="noConversion"/>
  </si>
  <si>
    <t>NAN</t>
    <phoneticPr fontId="1" type="noConversion"/>
  </si>
  <si>
    <t>nv H100 - sdpa cudnn</t>
    <phoneticPr fontId="1" type="noConversion"/>
  </si>
  <si>
    <t>nv H100 - sdpa flash att.</t>
    <phoneticPr fontId="1" type="noConversion"/>
  </si>
  <si>
    <t>Softmax - summary</t>
    <phoneticPr fontId="1" type="noConversion"/>
  </si>
  <si>
    <t>softmax - max</t>
    <phoneticPr fontId="1" type="noConversion"/>
  </si>
  <si>
    <t>sudnn - eager</t>
    <phoneticPr fontId="1" type="noConversion"/>
  </si>
  <si>
    <t>softmax - sum</t>
    <phoneticPr fontId="1" type="noConversion"/>
  </si>
  <si>
    <t>load store</t>
    <phoneticPr fontId="1" type="noConversion"/>
  </si>
  <si>
    <t>A100 GR score fwd</t>
    <phoneticPr fontId="1" type="noConversion"/>
  </si>
  <si>
    <t>total sum</t>
    <phoneticPr fontId="1" type="noConversion"/>
  </si>
  <si>
    <t>total max</t>
    <phoneticPr fontId="1" type="noConversion"/>
  </si>
  <si>
    <t>nv A100 - sdpa math (default)</t>
    <phoneticPr fontId="1" type="noConversion"/>
  </si>
  <si>
    <t>nv A100 - sdpa mem eff.</t>
    <phoneticPr fontId="1" type="noConversion"/>
  </si>
  <si>
    <t>nv A100 - sdpa cudnn</t>
    <phoneticPr fontId="1" type="noConversion"/>
  </si>
  <si>
    <t>Tensor shapes per spc</t>
    <phoneticPr fontId="1" type="noConversion"/>
  </si>
  <si>
    <t>nv A100 - sdpa flash att.</t>
    <phoneticPr fontId="1" type="noConversion"/>
  </si>
  <si>
    <t xml:space="preserve">H </t>
    <phoneticPr fontId="1" type="noConversion"/>
  </si>
  <si>
    <t>W</t>
    <phoneticPr fontId="1" type="noConversion"/>
  </si>
  <si>
    <t>Shape</t>
    <phoneticPr fontId="1" type="noConversion"/>
  </si>
  <si>
    <t>Q</t>
    <phoneticPr fontId="1" type="noConversion"/>
  </si>
  <si>
    <t>[b, seq_q, head_dim_qk]</t>
    <phoneticPr fontId="1" type="noConversion"/>
  </si>
  <si>
    <t>[b, seq_k, head_dim_qk]</t>
    <phoneticPr fontId="1" type="noConversion"/>
  </si>
  <si>
    <t>[b, seq_k, head_dim_v]</t>
    <phoneticPr fontId="1" type="noConversion"/>
  </si>
  <si>
    <t xml:space="preserve">Notes about backend: </t>
    <phoneticPr fontId="1" type="noConversion"/>
  </si>
  <si>
    <t>Qi</t>
    <phoneticPr fontId="1" type="noConversion"/>
  </si>
  <si>
    <t>[1, chunk_q, head_dim_qk]</t>
    <phoneticPr fontId="1" type="noConversion"/>
  </si>
  <si>
    <t>https://pytorch.org/docs/stable/generated/torch.nn.attention.SDPBackend.html#torch.nn.attention.SDPBackend</t>
  </si>
  <si>
    <t>Ki</t>
    <phoneticPr fontId="1" type="noConversion"/>
  </si>
  <si>
    <t>[1, chunk_k, head_dim_qk]</t>
    <phoneticPr fontId="1" type="noConversion"/>
  </si>
  <si>
    <t>Vi</t>
    <phoneticPr fontId="1" type="noConversion"/>
  </si>
  <si>
    <t>[1, chunk_k, head_dim_v]</t>
    <phoneticPr fontId="1" type="noConversion"/>
  </si>
  <si>
    <t>QKi</t>
    <phoneticPr fontId="1" type="noConversion"/>
  </si>
  <si>
    <t>[1, chunk_q, chunk_k]</t>
    <phoneticPr fontId="1" type="noConversion"/>
  </si>
  <si>
    <t>Notes :cell D25</t>
    <phoneticPr fontId="1" type="noConversion"/>
  </si>
  <si>
    <t>Q*</t>
    <phoneticPr fontId="1" type="noConversion"/>
  </si>
  <si>
    <t>[1, chunk_q, head_dim_v]</t>
    <phoneticPr fontId="1" type="noConversion"/>
  </si>
  <si>
    <t>1. softmax use max（max, sum, load), use L56</t>
    <phoneticPr fontId="1" type="noConversion"/>
  </si>
  <si>
    <t>2. softmax sum(max + sum + load), use L55</t>
    <phoneticPr fontId="1" type="noConversion"/>
  </si>
  <si>
    <t>3. if use softmax sum, BR score &gt; 1</t>
    <phoneticPr fontId="1" type="noConversion"/>
  </si>
  <si>
    <t>Notes br score</t>
    <phoneticPr fontId="1" type="noConversion"/>
  </si>
  <si>
    <t>1. spda flash att. DS shape not supported</t>
    <phoneticPr fontId="1" type="noConversion"/>
  </si>
  <si>
    <t>2. tested on ngc 24.05-py3 (05/25/2024_</t>
    <phoneticPr fontId="1" type="noConversion"/>
  </si>
  <si>
    <t>Utilization rates</t>
    <phoneticPr fontId="1" type="noConversion"/>
  </si>
  <si>
    <t>Theory (ms)</t>
    <phoneticPr fontId="1" type="noConversion"/>
  </si>
  <si>
    <t>Real (ms)</t>
    <phoneticPr fontId="1" type="noConversion"/>
  </si>
  <si>
    <t>Rate theory / real</t>
    <phoneticPr fontId="1" type="noConversion"/>
  </si>
  <si>
    <t>TCORE rate</t>
    <phoneticPr fontId="1" type="noConversion"/>
  </si>
  <si>
    <t>VCORE rate</t>
    <phoneticPr fontId="1" type="noConversion"/>
  </si>
  <si>
    <t>to do: add gmb</t>
    <phoneticPr fontId="1" type="noConversion"/>
  </si>
  <si>
    <t>to do add gr score bwd</t>
    <phoneticPr fontId="1" type="noConversion"/>
  </si>
  <si>
    <t>head_dim=576</t>
    <phoneticPr fontId="1" type="noConversion"/>
  </si>
  <si>
    <t>head_dim=128</t>
    <phoneticPr fontId="1" type="noConversion"/>
  </si>
  <si>
    <t>GMBNUMA</t>
    <phoneticPr fontId="1" type="noConversion"/>
  </si>
  <si>
    <t>GMB NUMA</t>
    <phoneticPr fontId="1" type="noConversion"/>
  </si>
  <si>
    <t>preload</t>
    <phoneticPr fontId="1" type="noConversion"/>
  </si>
  <si>
    <t>ld K</t>
    <phoneticPr fontId="1" type="noConversion"/>
  </si>
  <si>
    <t>ldV</t>
    <phoneticPr fontId="1" type="noConversion"/>
  </si>
  <si>
    <t>ldmma QK</t>
    <phoneticPr fontId="1" type="noConversion"/>
  </si>
  <si>
    <t>softmax</t>
    <phoneticPr fontId="1" type="noConversion"/>
  </si>
  <si>
    <t>ldS ldB SV</t>
    <phoneticPr fontId="1" type="noConversion"/>
  </si>
  <si>
    <t>ldKV</t>
    <phoneticPr fontId="1" type="noConversion"/>
  </si>
  <si>
    <t>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</si>
</sst>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_ "/>
    <numFmt numFmtId="177" formatCode="0_);[Red]\(0\)"/>
    <numFmt numFmtId="178" formatCode="0.00_ "/>
    <numFmt numFmtId="179" formatCode="0.00_);[Red]\(0.00\)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8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46" fontId="0" fillId="0" borderId="0" xfId="0" applyNumberFormat="1">
      <alignment vertical="center"/>
    </xf>
    <xf numFmtId="0" fontId="0" fillId="0" borderId="0" xfId="0" applyFill="1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ill="1">
      <alignment vertical="center"/>
    </xf>
    <xf numFmtId="20" fontId="2" fillId="0" borderId="0" xfId="0" applyNumberFormat="1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/>
    <xf numFmtId="176" fontId="0" fillId="0" borderId="1" xfId="0" applyNumberFormat="1" applyBorder="1" applyAlignment="1"/>
    <xf numFmtId="176" fontId="0" fillId="2" borderId="1" xfId="0" applyNumberFormat="1" applyFill="1" applyBorder="1" applyAlignment="1"/>
    <xf numFmtId="0" fontId="0" fillId="0" borderId="0" xfId="0" applyAlignment="1">
      <alignment vertical="center" wrapText="1"/>
    </xf>
    <xf numFmtId="10" fontId="0" fillId="0" borderId="0" xfId="0" applyNumberFormat="1" applyAlignment="1"/>
    <xf numFmtId="0" fontId="0" fillId="0" borderId="0" xfId="0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3" borderId="1" xfId="0" applyFill="1" applyBorder="1" applyAlignment="1" applyProtection="1">
      <protection locked="0"/>
    </xf>
    <xf numFmtId="0" fontId="0" fillId="0" borderId="1" xfId="0" applyFill="1" applyBorder="1" applyAlignment="1" applyProtection="1">
      <protection locked="0"/>
    </xf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0" xfId="0" applyFill="1" applyAlignment="1"/>
    <xf numFmtId="10" fontId="0" fillId="2" borderId="0" xfId="0" applyNumberFormat="1" applyFill="1" applyAlignment="1"/>
    <xf numFmtId="0" fontId="5" fillId="0" borderId="0" xfId="1">
      <alignment vertical="center"/>
    </xf>
    <xf numFmtId="0" fontId="0" fillId="0" borderId="0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76" fontId="0" fillId="0" borderId="1" xfId="0" applyNumberFormat="1" applyBorder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8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Fill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178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179" fontId="0" fillId="0" borderId="1" xfId="0" applyNumberFormat="1" applyBorder="1">
      <alignment vertical="center"/>
    </xf>
    <xf numFmtId="0" fontId="2" fillId="0" borderId="0" xfId="0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2" borderId="0" xfId="0" applyNumberFormat="1" applyFill="1">
      <alignment vertical="center"/>
    </xf>
    <xf numFmtId="0" fontId="7" fillId="4" borderId="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188"/>
  <sheetViews>
    <sheetView tabSelected="1" workbookViewId="0">
      <pane ySplit="8" topLeftCell="A60" activePane="bottomLeft" state="frozen"/>
      <selection pane="bottomLeft" activeCell="V32" sqref="V32"/>
    </sheetView>
  </sheetViews>
  <sheetFormatPr defaultRowHeight="13.8" x14ac:dyDescent="0.25"/>
  <cols>
    <col min="2" max="2" width="6.6640625" customWidth="1"/>
    <col min="3" max="3" width="8.44140625" customWidth="1"/>
    <col min="5" max="5" width="5.77734375" customWidth="1"/>
    <col min="6" max="6" width="4.77734375" customWidth="1"/>
    <col min="7" max="7" width="8.6640625" hidden="1" customWidth="1"/>
    <col min="8" max="9" width="10.5546875" hidden="1" customWidth="1"/>
    <col min="10" max="10" width="10" hidden="1" customWidth="1"/>
    <col min="11" max="11" width="4.44140625" hidden="1" customWidth="1"/>
    <col min="12" max="12" width="0" hidden="1" customWidth="1"/>
    <col min="13" max="13" width="4.6640625" hidden="1" customWidth="1"/>
    <col min="14" max="14" width="10.21875" hidden="1" customWidth="1"/>
    <col min="16" max="17" width="11.109375" hidden="1" customWidth="1"/>
    <col min="18" max="19" width="11.109375" customWidth="1"/>
    <col min="20" max="20" width="8.88671875" style="9"/>
    <col min="21" max="21" width="7" customWidth="1"/>
    <col min="22" max="22" width="9.77734375" bestFit="1" customWidth="1"/>
    <col min="23" max="23" width="6.5546875" bestFit="1" customWidth="1"/>
    <col min="24" max="24" width="0" hidden="1" customWidth="1"/>
    <col min="25" max="25" width="9.109375" hidden="1" customWidth="1"/>
    <col min="26" max="28" width="0" hidden="1" customWidth="1"/>
    <col min="29" max="29" width="12.77734375" hidden="1" customWidth="1"/>
    <col min="30" max="30" width="6.21875" hidden="1" customWidth="1"/>
    <col min="31" max="35" width="0" hidden="1" customWidth="1"/>
    <col min="37" max="39" width="0" hidden="1" customWidth="1"/>
    <col min="41" max="41" width="10" bestFit="1" customWidth="1"/>
  </cols>
  <sheetData>
    <row r="2" spans="2:43" x14ac:dyDescent="0.25">
      <c r="B2" t="s">
        <v>15</v>
      </c>
      <c r="C2" t="s">
        <v>16</v>
      </c>
    </row>
    <row r="3" spans="2:43" x14ac:dyDescent="0.25">
      <c r="B3" t="s">
        <v>37</v>
      </c>
      <c r="C3" t="s">
        <v>17</v>
      </c>
    </row>
    <row r="4" spans="2:43" ht="14.4" thickBot="1" x14ac:dyDescent="0.3">
      <c r="B4" t="s">
        <v>18</v>
      </c>
      <c r="C4" t="s">
        <v>19</v>
      </c>
    </row>
    <row r="5" spans="2:43" ht="14.4" thickBot="1" x14ac:dyDescent="0.3">
      <c r="B5" s="48" t="s">
        <v>240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50"/>
      <c r="R5" s="62"/>
      <c r="S5" s="62"/>
      <c r="U5" s="51" t="s">
        <v>241</v>
      </c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3"/>
    </row>
    <row r="7" spans="2:43" x14ac:dyDescent="0.25">
      <c r="G7" s="47" t="s">
        <v>36</v>
      </c>
      <c r="H7" s="47"/>
      <c r="I7" s="47"/>
      <c r="J7" s="4">
        <v>1</v>
      </c>
      <c r="N7" s="47" t="s">
        <v>34</v>
      </c>
      <c r="O7" s="47"/>
      <c r="P7" s="4">
        <v>1</v>
      </c>
      <c r="Q7" s="4">
        <v>1</v>
      </c>
      <c r="R7" s="4"/>
      <c r="S7" s="4"/>
      <c r="Z7" s="47" t="s">
        <v>36</v>
      </c>
      <c r="AA7" s="47"/>
      <c r="AB7" s="47"/>
      <c r="AC7" s="4">
        <v>1</v>
      </c>
      <c r="AE7" s="4">
        <v>1</v>
      </c>
      <c r="AF7" s="4">
        <v>1</v>
      </c>
      <c r="AI7" s="47" t="s">
        <v>34</v>
      </c>
      <c r="AJ7" s="47"/>
      <c r="AK7" s="4">
        <v>1</v>
      </c>
      <c r="AL7" s="4">
        <v>1</v>
      </c>
    </row>
    <row r="8" spans="2:43" x14ac:dyDescent="0.25">
      <c r="B8" t="s">
        <v>0</v>
      </c>
      <c r="C8" t="s">
        <v>1</v>
      </c>
      <c r="D8" t="s">
        <v>4</v>
      </c>
      <c r="E8" t="s">
        <v>2</v>
      </c>
      <c r="F8" t="s">
        <v>3</v>
      </c>
      <c r="G8" t="s">
        <v>6</v>
      </c>
      <c r="H8" t="s">
        <v>30</v>
      </c>
      <c r="I8" t="s">
        <v>5</v>
      </c>
      <c r="J8" t="s">
        <v>31</v>
      </c>
      <c r="L8" t="s">
        <v>32</v>
      </c>
      <c r="N8" t="s">
        <v>30</v>
      </c>
      <c r="O8" t="s">
        <v>5</v>
      </c>
      <c r="P8" t="s">
        <v>35</v>
      </c>
      <c r="Q8" t="s">
        <v>35</v>
      </c>
      <c r="R8" t="s">
        <v>242</v>
      </c>
      <c r="U8" t="s">
        <v>0</v>
      </c>
      <c r="V8" t="s">
        <v>1</v>
      </c>
      <c r="W8" t="s">
        <v>4</v>
      </c>
      <c r="X8" t="s">
        <v>2</v>
      </c>
      <c r="Y8" t="s">
        <v>3</v>
      </c>
      <c r="Z8" t="s">
        <v>6</v>
      </c>
      <c r="AA8" t="s">
        <v>30</v>
      </c>
      <c r="AB8" t="s">
        <v>5</v>
      </c>
      <c r="AC8" t="s">
        <v>31</v>
      </c>
      <c r="AE8" t="s">
        <v>32</v>
      </c>
      <c r="AF8" t="s">
        <v>33</v>
      </c>
      <c r="AI8" t="s">
        <v>30</v>
      </c>
      <c r="AJ8" t="s">
        <v>5</v>
      </c>
      <c r="AK8" t="s">
        <v>35</v>
      </c>
      <c r="AL8" t="s">
        <v>35</v>
      </c>
      <c r="AN8" t="s">
        <v>243</v>
      </c>
    </row>
    <row r="9" spans="2:43" x14ac:dyDescent="0.25">
      <c r="B9">
        <v>1</v>
      </c>
      <c r="C9" s="7">
        <v>576</v>
      </c>
      <c r="D9">
        <v>64</v>
      </c>
      <c r="E9">
        <v>8</v>
      </c>
      <c r="F9">
        <v>1</v>
      </c>
      <c r="G9">
        <v>7.0086999999999997E-2</v>
      </c>
      <c r="H9">
        <v>6.8062999999999999E-2</v>
      </c>
      <c r="I9">
        <v>7.3222999999999996E-2</v>
      </c>
      <c r="J9" s="4">
        <f>I9/H9</f>
        <v>1.075812115246169</v>
      </c>
      <c r="L9" s="5">
        <v>0.97150684149699662</v>
      </c>
      <c r="M9" s="5"/>
      <c r="N9">
        <v>6.6588999999999995E-2</v>
      </c>
      <c r="O9">
        <v>7.1869000000000002E-2</v>
      </c>
      <c r="P9" s="4">
        <f>N9/H9</f>
        <v>0.97834359343549349</v>
      </c>
      <c r="Q9" s="4">
        <f>O9/I9</f>
        <v>0.98150854239788055</v>
      </c>
      <c r="R9">
        <v>7.3068999999999995E-2</v>
      </c>
      <c r="S9" s="4">
        <f>R9/O9</f>
        <v>1.0166970460142759</v>
      </c>
      <c r="U9">
        <v>1</v>
      </c>
      <c r="V9" s="7">
        <v>128</v>
      </c>
      <c r="W9">
        <v>64</v>
      </c>
      <c r="X9">
        <v>8</v>
      </c>
      <c r="Y9">
        <v>1</v>
      </c>
      <c r="Z9">
        <v>6.0402999999999998E-2</v>
      </c>
      <c r="AA9">
        <v>5.8790000000000002E-2</v>
      </c>
      <c r="AB9">
        <v>6.0149000000000001E-2</v>
      </c>
      <c r="AC9" s="4">
        <f>AB9/AA9</f>
        <v>1.0231161762204457</v>
      </c>
      <c r="AE9" s="5">
        <f>AA9/Z9</f>
        <v>0.97329602834296314</v>
      </c>
      <c r="AF9" s="5">
        <f>AB9/Z9</f>
        <v>0.9957949108487989</v>
      </c>
      <c r="AI9">
        <v>5.8569000000000003E-2</v>
      </c>
      <c r="AJ9">
        <v>5.8853999999999997E-2</v>
      </c>
      <c r="AK9" s="4">
        <f>AI9/AA9</f>
        <v>0.99624085728865452</v>
      </c>
      <c r="AL9" s="4">
        <f>AJ9/AB9</f>
        <v>0.97847013250428094</v>
      </c>
      <c r="AN9">
        <v>5.9648E-2</v>
      </c>
      <c r="AO9" s="4">
        <f>AN9/AJ9</f>
        <v>1.0134910116559623</v>
      </c>
      <c r="AQ9" s="4"/>
    </row>
    <row r="10" spans="2:43" x14ac:dyDescent="0.25">
      <c r="B10">
        <v>2</v>
      </c>
      <c r="C10" s="7">
        <v>576</v>
      </c>
      <c r="D10">
        <v>64</v>
      </c>
      <c r="E10">
        <v>8</v>
      </c>
      <c r="F10">
        <v>1</v>
      </c>
      <c r="G10">
        <v>7.6850000000000002E-2</v>
      </c>
      <c r="H10">
        <v>6.9972999999999994E-2</v>
      </c>
      <c r="I10">
        <v>7.4273000000000006E-2</v>
      </c>
      <c r="J10" s="4">
        <f t="shared" ref="J10:J73" si="0">I10/H10</f>
        <v>1.061452274448716</v>
      </c>
      <c r="L10" s="5">
        <v>0.90039037085230977</v>
      </c>
      <c r="M10" s="5"/>
      <c r="N10">
        <v>6.7652000000000004E-2</v>
      </c>
      <c r="O10">
        <v>7.3513999999999996E-2</v>
      </c>
      <c r="P10" s="4">
        <f t="shared" ref="P10:P41" si="1">N10/H10</f>
        <v>0.96683006302430952</v>
      </c>
      <c r="Q10" s="4">
        <f t="shared" ref="Q10:Q18" si="2">O10/I10</f>
        <v>0.98978094327682997</v>
      </c>
      <c r="R10">
        <v>7.3497999999999994E-2</v>
      </c>
      <c r="S10" s="4">
        <f t="shared" ref="S10:S73" si="3">R10/O10</f>
        <v>0.99978235438147833</v>
      </c>
      <c r="U10">
        <v>2</v>
      </c>
      <c r="V10" s="7">
        <v>128</v>
      </c>
      <c r="W10">
        <v>64</v>
      </c>
      <c r="X10">
        <v>8</v>
      </c>
      <c r="Y10">
        <v>1</v>
      </c>
      <c r="Z10">
        <v>6.1884000000000002E-2</v>
      </c>
      <c r="AA10">
        <v>5.8796000000000001E-2</v>
      </c>
      <c r="AB10">
        <v>6.0560000000000003E-2</v>
      </c>
      <c r="AC10" s="4">
        <f t="shared" ref="AC10:AC73" si="4">AB10/AA10</f>
        <v>1.0300020409551671</v>
      </c>
      <c r="AE10" s="5">
        <f t="shared" ref="AE10:AE73" si="5">AA10/Z10</f>
        <v>0.95010018744748237</v>
      </c>
      <c r="AF10" s="5">
        <f t="shared" ref="AF10:AF73" si="6">AB10/Z10</f>
        <v>0.97860513218279366</v>
      </c>
      <c r="AI10">
        <v>5.8744999999999999E-2</v>
      </c>
      <c r="AJ10">
        <v>6.0051E-2</v>
      </c>
      <c r="AK10" s="4">
        <f t="shared" ref="AK10:AK73" si="7">AI10/AA10</f>
        <v>0.99913259405401722</v>
      </c>
      <c r="AL10" s="4">
        <f t="shared" ref="AL10:AL73" si="8">AJ10/AB10</f>
        <v>0.99159511228533681</v>
      </c>
      <c r="AN10">
        <v>6.0275000000000002E-2</v>
      </c>
      <c r="AO10" s="4">
        <f t="shared" ref="AO10:AO73" si="9">AN10/AJ10</f>
        <v>1.0037301626950426</v>
      </c>
      <c r="AQ10" s="4"/>
    </row>
    <row r="11" spans="2:43" x14ac:dyDescent="0.25">
      <c r="B11">
        <v>4</v>
      </c>
      <c r="C11" s="7">
        <v>576</v>
      </c>
      <c r="D11">
        <v>64</v>
      </c>
      <c r="E11">
        <v>8</v>
      </c>
      <c r="F11">
        <v>1</v>
      </c>
      <c r="G11">
        <v>8.4272E-2</v>
      </c>
      <c r="H11">
        <v>6.9059999999999996E-2</v>
      </c>
      <c r="I11">
        <v>7.4246000000000006E-2</v>
      </c>
      <c r="J11" s="4">
        <f t="shared" si="0"/>
        <v>1.075094121054156</v>
      </c>
      <c r="L11" s="5">
        <v>0.8222066641351814</v>
      </c>
      <c r="M11" s="5"/>
      <c r="N11">
        <v>6.8803000000000003E-2</v>
      </c>
      <c r="O11">
        <v>7.4055999999999997E-2</v>
      </c>
      <c r="P11" s="4">
        <f t="shared" si="1"/>
        <v>0.9962785983203013</v>
      </c>
      <c r="Q11" s="4">
        <f t="shared" si="2"/>
        <v>0.99744093957923641</v>
      </c>
      <c r="R11">
        <v>7.4898999999999993E-2</v>
      </c>
      <c r="S11" s="4">
        <f t="shared" si="3"/>
        <v>1.0113832775197147</v>
      </c>
      <c r="U11">
        <v>4</v>
      </c>
      <c r="V11" s="7">
        <v>128</v>
      </c>
      <c r="W11">
        <v>64</v>
      </c>
      <c r="X11">
        <v>8</v>
      </c>
      <c r="Y11">
        <v>1</v>
      </c>
      <c r="Z11">
        <v>6.5572000000000005E-2</v>
      </c>
      <c r="AA11">
        <v>5.8592999999999999E-2</v>
      </c>
      <c r="AB11">
        <v>6.0295000000000001E-2</v>
      </c>
      <c r="AC11" s="4">
        <f t="shared" si="4"/>
        <v>1.0290478384789992</v>
      </c>
      <c r="AE11" s="5">
        <f t="shared" si="5"/>
        <v>0.8935673763191605</v>
      </c>
      <c r="AF11" s="5">
        <f t="shared" si="6"/>
        <v>0.91952357713658261</v>
      </c>
      <c r="AI11">
        <v>5.8616000000000001E-2</v>
      </c>
      <c r="AJ11">
        <v>6.0639999999999999E-2</v>
      </c>
      <c r="AK11" s="4">
        <f t="shared" si="7"/>
        <v>1.0003925383578243</v>
      </c>
      <c r="AL11" s="4">
        <f t="shared" si="8"/>
        <v>1.005721867484866</v>
      </c>
      <c r="AN11">
        <v>6.0467E-2</v>
      </c>
      <c r="AO11" s="4">
        <f t="shared" si="9"/>
        <v>0.99714709762532983</v>
      </c>
      <c r="AQ11" s="4"/>
    </row>
    <row r="12" spans="2:43" x14ac:dyDescent="0.25">
      <c r="B12">
        <v>8</v>
      </c>
      <c r="C12" s="7">
        <v>576</v>
      </c>
      <c r="D12">
        <v>64</v>
      </c>
      <c r="E12">
        <v>8</v>
      </c>
      <c r="F12">
        <v>1</v>
      </c>
      <c r="G12">
        <v>0.108012</v>
      </c>
      <c r="H12">
        <v>7.1821999999999997E-2</v>
      </c>
      <c r="I12">
        <v>7.6605000000000006E-2</v>
      </c>
      <c r="J12" s="4">
        <f t="shared" si="0"/>
        <v>1.0665951936732478</v>
      </c>
      <c r="L12" s="4">
        <v>0.68810872865977857</v>
      </c>
      <c r="M12" s="4"/>
      <c r="N12">
        <v>6.9082000000000005E-2</v>
      </c>
      <c r="O12">
        <v>7.4301000000000006E-2</v>
      </c>
      <c r="P12" s="4">
        <f t="shared" si="1"/>
        <v>0.96185012948678683</v>
      </c>
      <c r="Q12" s="4">
        <f t="shared" si="2"/>
        <v>0.96992363422753081</v>
      </c>
      <c r="R12">
        <v>7.4822E-2</v>
      </c>
      <c r="S12" s="4">
        <f t="shared" si="3"/>
        <v>1.0070120186807714</v>
      </c>
      <c r="U12">
        <v>8</v>
      </c>
      <c r="V12" s="7">
        <v>128</v>
      </c>
      <c r="W12">
        <v>64</v>
      </c>
      <c r="X12">
        <v>8</v>
      </c>
      <c r="Y12">
        <v>1</v>
      </c>
      <c r="Z12">
        <v>7.4316999999999994E-2</v>
      </c>
      <c r="AA12">
        <v>5.9480999999999999E-2</v>
      </c>
      <c r="AB12">
        <v>6.0997000000000003E-2</v>
      </c>
      <c r="AC12" s="4">
        <f t="shared" si="4"/>
        <v>1.0254871303441435</v>
      </c>
      <c r="AE12" s="5">
        <f t="shared" si="5"/>
        <v>0.80036869087826479</v>
      </c>
      <c r="AF12" s="5">
        <f t="shared" si="6"/>
        <v>0.82076779202605066</v>
      </c>
      <c r="AI12">
        <v>5.9164000000000001E-2</v>
      </c>
      <c r="AJ12">
        <v>6.0761999999999997E-2</v>
      </c>
      <c r="AK12" s="4">
        <f t="shared" si="7"/>
        <v>0.9946705670718381</v>
      </c>
      <c r="AL12" s="4">
        <f t="shared" si="8"/>
        <v>0.99614735150909051</v>
      </c>
      <c r="AN12">
        <v>6.0825999999999998E-2</v>
      </c>
      <c r="AO12" s="4">
        <f t="shared" si="9"/>
        <v>1.0010532898851257</v>
      </c>
      <c r="AQ12" s="4"/>
    </row>
    <row r="13" spans="2:43" x14ac:dyDescent="0.25">
      <c r="B13">
        <v>16</v>
      </c>
      <c r="C13" s="7">
        <v>576</v>
      </c>
      <c r="D13">
        <v>64</v>
      </c>
      <c r="E13">
        <v>8</v>
      </c>
      <c r="F13">
        <v>1</v>
      </c>
      <c r="G13">
        <v>0.16931099999999999</v>
      </c>
      <c r="H13">
        <v>7.5857999999999995E-2</v>
      </c>
      <c r="I13">
        <v>8.0499000000000001E-2</v>
      </c>
      <c r="J13" s="4">
        <f t="shared" si="0"/>
        <v>1.061180099659891</v>
      </c>
      <c r="L13" s="4">
        <v>0.46476602229034147</v>
      </c>
      <c r="M13" s="4"/>
      <c r="N13">
        <v>6.9686999999999999E-2</v>
      </c>
      <c r="O13">
        <v>7.4647000000000005E-2</v>
      </c>
      <c r="P13" s="4">
        <f t="shared" si="1"/>
        <v>0.91865063671596936</v>
      </c>
      <c r="Q13" s="4">
        <f t="shared" si="2"/>
        <v>0.92730344476328908</v>
      </c>
      <c r="R13">
        <v>7.5570999999999999E-2</v>
      </c>
      <c r="S13" s="4">
        <f t="shared" si="3"/>
        <v>1.0123782603453588</v>
      </c>
      <c r="U13">
        <v>16</v>
      </c>
      <c r="V13" s="7">
        <v>128</v>
      </c>
      <c r="W13">
        <v>64</v>
      </c>
      <c r="X13">
        <v>8</v>
      </c>
      <c r="Y13">
        <v>1</v>
      </c>
      <c r="Z13">
        <v>9.2508000000000007E-2</v>
      </c>
      <c r="AA13">
        <v>5.9803000000000002E-2</v>
      </c>
      <c r="AB13">
        <v>6.1635000000000002E-2</v>
      </c>
      <c r="AC13" s="4">
        <f t="shared" si="4"/>
        <v>1.0306339146865542</v>
      </c>
      <c r="AE13" s="5">
        <f t="shared" si="5"/>
        <v>0.64646300860466122</v>
      </c>
      <c r="AF13" s="5">
        <f t="shared" si="6"/>
        <v>0.66626670125826948</v>
      </c>
      <c r="AI13">
        <v>5.9358000000000001E-2</v>
      </c>
      <c r="AJ13">
        <v>5.9916999999999998E-2</v>
      </c>
      <c r="AK13" s="4">
        <f t="shared" si="7"/>
        <v>0.99255890172733807</v>
      </c>
      <c r="AL13" s="4">
        <f t="shared" si="8"/>
        <v>0.97212622698142281</v>
      </c>
      <c r="AN13">
        <v>6.1305999999999999E-2</v>
      </c>
      <c r="AO13" s="4">
        <f t="shared" si="9"/>
        <v>1.0231820685281305</v>
      </c>
      <c r="AQ13" s="4"/>
    </row>
    <row r="14" spans="2:43" x14ac:dyDescent="0.25">
      <c r="B14">
        <v>32</v>
      </c>
      <c r="C14" s="7">
        <v>576</v>
      </c>
      <c r="D14">
        <v>64</v>
      </c>
      <c r="E14">
        <v>8</v>
      </c>
      <c r="F14">
        <v>1</v>
      </c>
      <c r="G14">
        <v>0.270818</v>
      </c>
      <c r="H14">
        <v>9.1287999999999994E-2</v>
      </c>
      <c r="I14">
        <v>0.102877</v>
      </c>
      <c r="J14" s="4">
        <f t="shared" si="0"/>
        <v>1.1269498729296292</v>
      </c>
      <c r="L14" s="4">
        <v>0.34965548818763892</v>
      </c>
      <c r="M14" s="4"/>
      <c r="N14">
        <v>7.6752000000000001E-2</v>
      </c>
      <c r="O14">
        <v>9.2016000000000001E-2</v>
      </c>
      <c r="P14" s="4">
        <f t="shared" si="1"/>
        <v>0.84076768030847437</v>
      </c>
      <c r="Q14" s="4">
        <f t="shared" si="2"/>
        <v>0.89442732583570672</v>
      </c>
      <c r="R14">
        <v>8.9305999999999996E-2</v>
      </c>
      <c r="S14" s="4">
        <f t="shared" si="3"/>
        <v>0.97054860024343592</v>
      </c>
      <c r="U14">
        <v>32</v>
      </c>
      <c r="V14">
        <v>128</v>
      </c>
      <c r="W14">
        <v>64</v>
      </c>
      <c r="X14">
        <v>8</v>
      </c>
      <c r="Y14">
        <v>1</v>
      </c>
      <c r="Z14">
        <v>0.123111</v>
      </c>
      <c r="AA14">
        <v>6.4438999999999996E-2</v>
      </c>
      <c r="AB14">
        <v>7.0463999999999999E-2</v>
      </c>
      <c r="AC14" s="4">
        <f t="shared" si="4"/>
        <v>1.0934992783873121</v>
      </c>
      <c r="AE14" s="5">
        <f t="shared" si="5"/>
        <v>0.5234219525468885</v>
      </c>
      <c r="AF14" s="5">
        <f t="shared" si="6"/>
        <v>0.57236152740210056</v>
      </c>
      <c r="AI14">
        <v>6.3930000000000001E-2</v>
      </c>
      <c r="AJ14">
        <v>6.7186999999999997E-2</v>
      </c>
      <c r="AK14" s="4">
        <f t="shared" si="7"/>
        <v>0.99210105681342053</v>
      </c>
      <c r="AL14" s="4">
        <f t="shared" si="8"/>
        <v>0.95349398274296093</v>
      </c>
      <c r="AN14">
        <v>6.8736000000000005E-2</v>
      </c>
      <c r="AO14" s="4">
        <f t="shared" si="9"/>
        <v>1.0230550552934348</v>
      </c>
      <c r="AQ14" s="4"/>
    </row>
    <row r="15" spans="2:43" x14ac:dyDescent="0.25">
      <c r="B15">
        <v>64</v>
      </c>
      <c r="C15">
        <v>576</v>
      </c>
      <c r="D15">
        <v>64</v>
      </c>
      <c r="E15">
        <v>8</v>
      </c>
      <c r="F15">
        <v>1</v>
      </c>
      <c r="G15">
        <v>0.47735</v>
      </c>
      <c r="H15">
        <v>0.121056</v>
      </c>
      <c r="I15">
        <v>0.14681900000000001</v>
      </c>
      <c r="J15" s="4">
        <f t="shared" si="0"/>
        <v>1.2128188606925721</v>
      </c>
      <c r="L15" s="4">
        <v>0.28427149890017811</v>
      </c>
      <c r="M15" s="4"/>
      <c r="N15">
        <v>0.102212</v>
      </c>
      <c r="O15">
        <v>0.13134899999999999</v>
      </c>
      <c r="P15" s="4">
        <f t="shared" si="1"/>
        <v>0.84433650541897964</v>
      </c>
      <c r="Q15" s="4">
        <f t="shared" si="2"/>
        <v>0.8946321661365354</v>
      </c>
      <c r="R15">
        <v>0.118394</v>
      </c>
      <c r="S15" s="4">
        <f t="shared" si="3"/>
        <v>0.9013696335716298</v>
      </c>
      <c r="U15">
        <v>64</v>
      </c>
      <c r="V15">
        <v>128</v>
      </c>
      <c r="W15">
        <v>64</v>
      </c>
      <c r="X15">
        <v>8</v>
      </c>
      <c r="Y15">
        <v>1</v>
      </c>
      <c r="Z15">
        <v>0.19674900000000001</v>
      </c>
      <c r="AA15">
        <v>7.2598999999999997E-2</v>
      </c>
      <c r="AB15">
        <v>8.4833000000000006E-2</v>
      </c>
      <c r="AC15" s="4">
        <f t="shared" si="4"/>
        <v>1.1685147178335791</v>
      </c>
      <c r="AE15" s="5">
        <f t="shared" si="5"/>
        <v>0.36899298090460431</v>
      </c>
      <c r="AF15" s="5">
        <f t="shared" si="6"/>
        <v>0.43117372896431494</v>
      </c>
      <c r="AI15">
        <v>7.1332999999999994E-2</v>
      </c>
      <c r="AJ15">
        <v>8.1477999999999995E-2</v>
      </c>
      <c r="AK15" s="4">
        <f t="shared" si="7"/>
        <v>0.98256174327470069</v>
      </c>
      <c r="AL15" s="4">
        <f t="shared" si="8"/>
        <v>0.96045171100868754</v>
      </c>
      <c r="AN15">
        <v>8.2624000000000003E-2</v>
      </c>
      <c r="AO15" s="4">
        <f t="shared" si="9"/>
        <v>1.0140651464198926</v>
      </c>
      <c r="AQ15" s="4"/>
    </row>
    <row r="16" spans="2:43" x14ac:dyDescent="0.25">
      <c r="B16">
        <v>128</v>
      </c>
      <c r="C16">
        <v>576</v>
      </c>
      <c r="D16">
        <v>64</v>
      </c>
      <c r="E16">
        <v>8</v>
      </c>
      <c r="F16">
        <v>1</v>
      </c>
      <c r="G16">
        <v>0.90238600000000002</v>
      </c>
      <c r="H16">
        <v>0.18308099999999999</v>
      </c>
      <c r="I16">
        <v>0.23160800000000001</v>
      </c>
      <c r="J16" s="4">
        <f t="shared" si="0"/>
        <v>1.265057542836231</v>
      </c>
      <c r="L16" s="4">
        <v>0.23941528348179159</v>
      </c>
      <c r="M16" s="4"/>
      <c r="N16">
        <v>0.165211</v>
      </c>
      <c r="O16">
        <v>0.21342800000000001</v>
      </c>
      <c r="P16" s="4">
        <f t="shared" si="1"/>
        <v>0.90239292990534248</v>
      </c>
      <c r="Q16" s="4">
        <f t="shared" si="2"/>
        <v>0.9215053020621049</v>
      </c>
      <c r="R16">
        <v>0.188531</v>
      </c>
      <c r="S16" s="4">
        <f t="shared" si="3"/>
        <v>0.88334707723447714</v>
      </c>
      <c r="U16">
        <v>128</v>
      </c>
      <c r="V16">
        <v>128</v>
      </c>
      <c r="W16">
        <v>64</v>
      </c>
      <c r="X16">
        <v>8</v>
      </c>
      <c r="Y16">
        <v>1</v>
      </c>
      <c r="Z16">
        <v>0.32904099999999997</v>
      </c>
      <c r="AA16">
        <v>9.0978000000000003E-2</v>
      </c>
      <c r="AB16">
        <v>0.116843</v>
      </c>
      <c r="AC16" s="4">
        <f t="shared" si="4"/>
        <v>1.2842995009782585</v>
      </c>
      <c r="AE16" s="5">
        <f t="shared" si="5"/>
        <v>0.27649441862868157</v>
      </c>
      <c r="AF16" s="5">
        <f t="shared" si="6"/>
        <v>0.3551016438680894</v>
      </c>
      <c r="AI16">
        <v>8.7970999999999994E-2</v>
      </c>
      <c r="AJ16">
        <v>0.11104600000000001</v>
      </c>
      <c r="AK16" s="4">
        <f t="shared" si="7"/>
        <v>0.96694805337554124</v>
      </c>
      <c r="AL16" s="4">
        <f t="shared" si="8"/>
        <v>0.95038641595987783</v>
      </c>
      <c r="AN16">
        <v>0.113875</v>
      </c>
      <c r="AO16" s="4">
        <f t="shared" si="9"/>
        <v>1.025475928894332</v>
      </c>
      <c r="AQ16" s="4"/>
    </row>
    <row r="17" spans="2:43" x14ac:dyDescent="0.25">
      <c r="B17">
        <v>256</v>
      </c>
      <c r="C17">
        <v>576</v>
      </c>
      <c r="D17">
        <v>64</v>
      </c>
      <c r="E17">
        <v>8</v>
      </c>
      <c r="F17">
        <v>1</v>
      </c>
      <c r="G17">
        <v>1.7592099999999999</v>
      </c>
      <c r="H17">
        <v>0.32793899999999998</v>
      </c>
      <c r="I17">
        <v>0.412796</v>
      </c>
      <c r="J17" s="4">
        <f t="shared" si="0"/>
        <v>1.2587584886213594</v>
      </c>
      <c r="L17" s="4">
        <v>0.21061442351964801</v>
      </c>
      <c r="M17" s="4"/>
      <c r="N17">
        <v>0.285686</v>
      </c>
      <c r="O17">
        <v>0.37457400000000002</v>
      </c>
      <c r="P17" s="4">
        <f t="shared" si="1"/>
        <v>0.87115591619173083</v>
      </c>
      <c r="Q17" s="4">
        <f t="shared" si="2"/>
        <v>0.9074070485179121</v>
      </c>
      <c r="R17">
        <v>0.33111000000000002</v>
      </c>
      <c r="S17" s="4">
        <f t="shared" si="3"/>
        <v>0.88396418331224269</v>
      </c>
      <c r="U17">
        <v>256</v>
      </c>
      <c r="V17">
        <v>128</v>
      </c>
      <c r="W17">
        <v>64</v>
      </c>
      <c r="X17">
        <v>8</v>
      </c>
      <c r="Y17">
        <v>1</v>
      </c>
      <c r="Z17">
        <v>0.60314100000000004</v>
      </c>
      <c r="AA17">
        <v>0.12657399999999999</v>
      </c>
      <c r="AB17">
        <v>0.17730099999999999</v>
      </c>
      <c r="AC17" s="4">
        <f t="shared" si="4"/>
        <v>1.4007695103259754</v>
      </c>
      <c r="AE17" s="5">
        <f t="shared" si="5"/>
        <v>0.20985805972401145</v>
      </c>
      <c r="AF17" s="5">
        <f t="shared" si="6"/>
        <v>0.29396277155756279</v>
      </c>
      <c r="AI17">
        <v>0.12220200000000001</v>
      </c>
      <c r="AJ17">
        <v>0.169965</v>
      </c>
      <c r="AK17" s="4">
        <f t="shared" si="7"/>
        <v>0.9654589410147425</v>
      </c>
      <c r="AL17" s="4">
        <f t="shared" si="8"/>
        <v>0.95862403483341896</v>
      </c>
      <c r="AN17">
        <v>0.17166100000000001</v>
      </c>
      <c r="AO17" s="4">
        <f t="shared" si="9"/>
        <v>1.0099785249904392</v>
      </c>
      <c r="AQ17" s="4"/>
    </row>
    <row r="18" spans="2:43" x14ac:dyDescent="0.25">
      <c r="B18">
        <v>512</v>
      </c>
      <c r="C18">
        <v>576</v>
      </c>
      <c r="D18">
        <v>64</v>
      </c>
      <c r="E18">
        <v>8</v>
      </c>
      <c r="F18">
        <v>1</v>
      </c>
      <c r="H18">
        <v>0.66871100000000006</v>
      </c>
      <c r="I18">
        <v>0.81277500000000003</v>
      </c>
      <c r="J18" s="4">
        <f t="shared" si="0"/>
        <v>1.2154353674457277</v>
      </c>
      <c r="L18" s="4"/>
      <c r="M18" s="4"/>
      <c r="N18">
        <v>0.59883200000000003</v>
      </c>
      <c r="O18">
        <v>0.73839200000000005</v>
      </c>
      <c r="P18" s="4">
        <f t="shared" si="1"/>
        <v>0.89550194329089838</v>
      </c>
      <c r="Q18" s="4">
        <f t="shared" si="2"/>
        <v>0.90848266740487837</v>
      </c>
      <c r="R18">
        <v>0.60961900000000002</v>
      </c>
      <c r="S18" s="4">
        <f t="shared" si="3"/>
        <v>0.82560347349375396</v>
      </c>
      <c r="U18">
        <v>512</v>
      </c>
      <c r="V18">
        <v>128</v>
      </c>
      <c r="W18">
        <v>64</v>
      </c>
      <c r="X18">
        <v>8</v>
      </c>
      <c r="Y18">
        <v>1</v>
      </c>
      <c r="Z18">
        <v>1.1570800000000001</v>
      </c>
      <c r="AA18">
        <v>0.19614999999999999</v>
      </c>
      <c r="AB18">
        <v>0.30003999999999997</v>
      </c>
      <c r="AC18" s="4">
        <f t="shared" si="4"/>
        <v>1.5296456793270456</v>
      </c>
      <c r="AE18" s="5">
        <f t="shared" si="5"/>
        <v>0.16952155425726828</v>
      </c>
      <c r="AF18" s="5">
        <f t="shared" si="6"/>
        <v>0.25930791302243572</v>
      </c>
      <c r="AI18">
        <v>0.189469</v>
      </c>
      <c r="AJ18">
        <v>0.28722599999999998</v>
      </c>
      <c r="AK18" s="4">
        <f t="shared" si="7"/>
        <v>0.96593933214376759</v>
      </c>
      <c r="AL18" s="4">
        <f t="shared" si="8"/>
        <v>0.95729236101853088</v>
      </c>
      <c r="AN18">
        <v>0.29297299999999998</v>
      </c>
      <c r="AO18" s="4">
        <f t="shared" si="9"/>
        <v>1.020008634315835</v>
      </c>
      <c r="AQ18" s="4"/>
    </row>
    <row r="19" spans="2:43" x14ac:dyDescent="0.25">
      <c r="B19">
        <v>1</v>
      </c>
      <c r="C19">
        <v>576</v>
      </c>
      <c r="D19">
        <v>128</v>
      </c>
      <c r="E19">
        <v>8</v>
      </c>
      <c r="F19">
        <v>1</v>
      </c>
      <c r="G19">
        <v>7.3205999999999993E-2</v>
      </c>
      <c r="H19">
        <v>6.9802000000000003E-2</v>
      </c>
      <c r="I19">
        <v>7.3275000000000007E-2</v>
      </c>
      <c r="J19" s="4">
        <f t="shared" si="0"/>
        <v>1.0497550213460933</v>
      </c>
      <c r="L19" s="5">
        <v>0.9530776165888043</v>
      </c>
      <c r="M19" s="5"/>
      <c r="N19">
        <v>6.9193000000000005E-2</v>
      </c>
      <c r="O19">
        <v>7.1586999999999998E-2</v>
      </c>
      <c r="P19" s="4">
        <f t="shared" si="1"/>
        <v>0.99127532162402221</v>
      </c>
      <c r="Q19" s="4">
        <f t="shared" ref="Q19:Q82" si="10">O19/I19</f>
        <v>0.97696349368816093</v>
      </c>
      <c r="R19">
        <v>7.3362999999999998E-2</v>
      </c>
      <c r="S19" s="4">
        <f t="shared" si="3"/>
        <v>1.0248089736963415</v>
      </c>
      <c r="U19" s="8">
        <v>1</v>
      </c>
      <c r="V19" s="8">
        <v>128</v>
      </c>
      <c r="W19" s="8">
        <v>128</v>
      </c>
      <c r="X19" s="8">
        <v>8</v>
      </c>
      <c r="Y19" s="8">
        <v>1</v>
      </c>
      <c r="Z19" s="8">
        <v>6.0353999999999998E-2</v>
      </c>
      <c r="AA19" s="8">
        <v>6.1110999999999999E-2</v>
      </c>
      <c r="AB19">
        <v>6.1251E-2</v>
      </c>
      <c r="AC19" s="4">
        <f t="shared" si="4"/>
        <v>1.0022909132562059</v>
      </c>
      <c r="AE19" s="5">
        <f t="shared" si="5"/>
        <v>1.0125426649435001</v>
      </c>
      <c r="AF19" s="5">
        <f t="shared" si="6"/>
        <v>1.0148623123570932</v>
      </c>
      <c r="AI19">
        <v>6.0567000000000003E-2</v>
      </c>
      <c r="AJ19">
        <v>5.9756999999999998E-2</v>
      </c>
      <c r="AK19" s="4">
        <f t="shared" si="7"/>
        <v>0.99109816563302844</v>
      </c>
      <c r="AL19" s="4">
        <f t="shared" si="8"/>
        <v>0.97560856149287356</v>
      </c>
      <c r="AN19">
        <v>6.0621000000000001E-2</v>
      </c>
      <c r="AO19" s="4">
        <f t="shared" si="9"/>
        <v>1.0144585571564839</v>
      </c>
      <c r="AQ19" s="4"/>
    </row>
    <row r="20" spans="2:43" x14ac:dyDescent="0.25">
      <c r="B20">
        <v>2</v>
      </c>
      <c r="C20">
        <v>576</v>
      </c>
      <c r="D20">
        <v>128</v>
      </c>
      <c r="E20">
        <v>8</v>
      </c>
      <c r="F20">
        <v>1</v>
      </c>
      <c r="G20">
        <v>7.6076000000000005E-2</v>
      </c>
      <c r="H20">
        <v>7.2552000000000005E-2</v>
      </c>
      <c r="I20">
        <v>7.5854000000000005E-2</v>
      </c>
      <c r="J20" s="4">
        <f t="shared" si="0"/>
        <v>1.045512184364318</v>
      </c>
      <c r="L20" s="5">
        <v>0.9535464535464534</v>
      </c>
      <c r="M20" s="5"/>
      <c r="N20">
        <v>7.0328000000000002E-2</v>
      </c>
      <c r="O20">
        <v>7.2758000000000003E-2</v>
      </c>
      <c r="P20" s="4">
        <f t="shared" si="1"/>
        <v>0.96934612415922372</v>
      </c>
      <c r="Q20" s="4">
        <f t="shared" si="10"/>
        <v>0.9591847496506446</v>
      </c>
      <c r="R20">
        <v>7.3861999999999997E-2</v>
      </c>
      <c r="S20" s="4">
        <f t="shared" si="3"/>
        <v>1.0151735891585805</v>
      </c>
      <c r="U20">
        <v>2</v>
      </c>
      <c r="V20">
        <v>128</v>
      </c>
      <c r="W20">
        <v>128</v>
      </c>
      <c r="X20">
        <v>8</v>
      </c>
      <c r="Y20">
        <v>1</v>
      </c>
      <c r="Z20">
        <v>6.1399000000000002E-2</v>
      </c>
      <c r="AA20">
        <v>6.1074000000000003E-2</v>
      </c>
      <c r="AB20">
        <v>6.2001000000000001E-2</v>
      </c>
      <c r="AC20" s="4">
        <f t="shared" si="4"/>
        <v>1.0151783082817565</v>
      </c>
      <c r="AE20" s="5">
        <f t="shared" si="5"/>
        <v>0.99470675418166421</v>
      </c>
      <c r="AF20" s="5">
        <f t="shared" si="6"/>
        <v>1.0098047199465789</v>
      </c>
      <c r="AI20">
        <v>6.0511000000000002E-2</v>
      </c>
      <c r="AJ20">
        <v>5.9974E-2</v>
      </c>
      <c r="AK20" s="4">
        <f t="shared" si="7"/>
        <v>0.99078167468972067</v>
      </c>
      <c r="AL20" s="4">
        <f t="shared" si="8"/>
        <v>0.96730697891969486</v>
      </c>
      <c r="AN20">
        <v>6.1074999999999997E-2</v>
      </c>
      <c r="AO20" s="4">
        <f t="shared" si="9"/>
        <v>1.0183579551138826</v>
      </c>
      <c r="AQ20" s="4"/>
    </row>
    <row r="21" spans="2:43" x14ac:dyDescent="0.25">
      <c r="B21">
        <v>4</v>
      </c>
      <c r="C21">
        <v>576</v>
      </c>
      <c r="D21">
        <v>128</v>
      </c>
      <c r="E21">
        <v>8</v>
      </c>
      <c r="F21">
        <v>1</v>
      </c>
      <c r="G21">
        <v>8.9448E-2</v>
      </c>
      <c r="H21">
        <v>7.1859999999999993E-2</v>
      </c>
      <c r="I21">
        <v>7.5797000000000003E-2</v>
      </c>
      <c r="J21" s="4">
        <f t="shared" si="0"/>
        <v>1.0547870860005568</v>
      </c>
      <c r="L21" s="5">
        <v>0.80566362579375728</v>
      </c>
      <c r="M21" s="5"/>
      <c r="N21">
        <v>7.1328000000000003E-2</v>
      </c>
      <c r="O21">
        <v>7.4726000000000001E-2</v>
      </c>
      <c r="P21" s="4">
        <f t="shared" si="1"/>
        <v>0.99259671583634856</v>
      </c>
      <c r="Q21" s="4">
        <f t="shared" si="10"/>
        <v>0.9858701531722891</v>
      </c>
      <c r="R21">
        <v>7.5322E-2</v>
      </c>
      <c r="S21" s="4">
        <f t="shared" si="3"/>
        <v>1.0079758049407168</v>
      </c>
      <c r="U21">
        <v>4</v>
      </c>
      <c r="V21">
        <v>128</v>
      </c>
      <c r="W21">
        <v>128</v>
      </c>
      <c r="X21">
        <v>8</v>
      </c>
      <c r="Y21">
        <v>1</v>
      </c>
      <c r="Z21">
        <v>6.5603999999999996E-2</v>
      </c>
      <c r="AA21">
        <v>6.0717E-2</v>
      </c>
      <c r="AB21">
        <v>6.1580999999999997E-2</v>
      </c>
      <c r="AC21" s="4">
        <f t="shared" si="4"/>
        <v>1.0142299520727309</v>
      </c>
      <c r="AE21" s="5">
        <f t="shared" si="5"/>
        <v>0.9255075910005488</v>
      </c>
      <c r="AF21" s="5">
        <f t="shared" si="6"/>
        <v>0.93867751966343516</v>
      </c>
      <c r="AI21">
        <v>6.0745E-2</v>
      </c>
      <c r="AJ21">
        <v>6.1068999999999998E-2</v>
      </c>
      <c r="AK21" s="4">
        <f t="shared" si="7"/>
        <v>1.0004611558542089</v>
      </c>
      <c r="AL21" s="4">
        <f t="shared" si="8"/>
        <v>0.99168574722722924</v>
      </c>
      <c r="AN21">
        <v>6.1497999999999997E-2</v>
      </c>
      <c r="AO21" s="4">
        <f t="shared" si="9"/>
        <v>1.0070248407539013</v>
      </c>
      <c r="AQ21" s="4"/>
    </row>
    <row r="22" spans="2:43" x14ac:dyDescent="0.25">
      <c r="B22">
        <v>8</v>
      </c>
      <c r="C22">
        <v>576</v>
      </c>
      <c r="D22">
        <v>128</v>
      </c>
      <c r="E22">
        <v>8</v>
      </c>
      <c r="F22">
        <v>1</v>
      </c>
      <c r="G22">
        <v>0.12615599999999999</v>
      </c>
      <c r="H22">
        <v>7.5586E-2</v>
      </c>
      <c r="I22">
        <v>7.9380000000000006E-2</v>
      </c>
      <c r="J22" s="4">
        <f t="shared" si="0"/>
        <v>1.0501944804593444</v>
      </c>
      <c r="L22" s="4">
        <v>0.70252703002631667</v>
      </c>
      <c r="M22" s="4"/>
      <c r="N22">
        <v>7.2151999999999994E-2</v>
      </c>
      <c r="O22">
        <v>7.4861999999999998E-2</v>
      </c>
      <c r="P22" s="4">
        <f t="shared" si="1"/>
        <v>0.95456830630010836</v>
      </c>
      <c r="Q22" s="4">
        <f t="shared" si="10"/>
        <v>0.94308390022675725</v>
      </c>
      <c r="R22">
        <v>7.5021000000000004E-2</v>
      </c>
      <c r="S22" s="4">
        <f t="shared" si="3"/>
        <v>1.0021239079907029</v>
      </c>
      <c r="U22">
        <v>8</v>
      </c>
      <c r="V22">
        <v>128</v>
      </c>
      <c r="W22">
        <v>128</v>
      </c>
      <c r="X22">
        <v>8</v>
      </c>
      <c r="Y22">
        <v>1</v>
      </c>
      <c r="Z22">
        <v>7.4305999999999997E-2</v>
      </c>
      <c r="AA22">
        <v>6.1892000000000003E-2</v>
      </c>
      <c r="AB22">
        <v>6.2633999999999995E-2</v>
      </c>
      <c r="AC22" s="4">
        <f t="shared" si="4"/>
        <v>1.0119886253473791</v>
      </c>
      <c r="AE22" s="5">
        <f t="shared" si="5"/>
        <v>0.83293408338492192</v>
      </c>
      <c r="AF22" s="5">
        <f t="shared" si="6"/>
        <v>0.84291981804968641</v>
      </c>
      <c r="AI22">
        <v>6.1219000000000003E-2</v>
      </c>
      <c r="AJ22">
        <v>6.0928000000000003E-2</v>
      </c>
      <c r="AK22" s="4">
        <f t="shared" si="7"/>
        <v>0.98912621986686489</v>
      </c>
      <c r="AL22" s="4">
        <f t="shared" si="8"/>
        <v>0.97276239741993176</v>
      </c>
      <c r="AN22">
        <v>6.1626E-2</v>
      </c>
      <c r="AO22" s="4">
        <f t="shared" si="9"/>
        <v>1.0114561449579831</v>
      </c>
      <c r="AQ22" s="4"/>
    </row>
    <row r="23" spans="2:43" x14ac:dyDescent="0.25">
      <c r="B23">
        <v>16</v>
      </c>
      <c r="C23">
        <v>576</v>
      </c>
      <c r="D23">
        <v>128</v>
      </c>
      <c r="E23">
        <v>8</v>
      </c>
      <c r="F23">
        <v>1</v>
      </c>
      <c r="G23">
        <v>0.179978</v>
      </c>
      <c r="H23">
        <v>7.9014000000000001E-2</v>
      </c>
      <c r="I23">
        <v>8.1763000000000002E-2</v>
      </c>
      <c r="J23" s="4">
        <f t="shared" si="0"/>
        <v>1.0347913028070974</v>
      </c>
      <c r="L23" s="4">
        <v>0.47155207858738291</v>
      </c>
      <c r="M23" s="4"/>
      <c r="N23">
        <v>7.2914999999999994E-2</v>
      </c>
      <c r="O23">
        <v>7.5125999999999998E-2</v>
      </c>
      <c r="P23" s="4">
        <f t="shared" si="1"/>
        <v>0.92281114739160142</v>
      </c>
      <c r="Q23" s="4">
        <f t="shared" si="10"/>
        <v>0.91882636400327777</v>
      </c>
      <c r="R23">
        <v>7.5583999999999998E-2</v>
      </c>
      <c r="S23" s="4">
        <f t="shared" si="3"/>
        <v>1.0060964246732156</v>
      </c>
      <c r="U23">
        <v>16</v>
      </c>
      <c r="V23">
        <v>128</v>
      </c>
      <c r="W23">
        <v>128</v>
      </c>
      <c r="X23">
        <v>8</v>
      </c>
      <c r="Y23">
        <v>1</v>
      </c>
      <c r="Z23">
        <v>9.2587000000000003E-2</v>
      </c>
      <c r="AA23">
        <v>6.2019999999999999E-2</v>
      </c>
      <c r="AB23">
        <v>6.2658000000000005E-2</v>
      </c>
      <c r="AC23" s="4">
        <f t="shared" si="4"/>
        <v>1.0102870041921961</v>
      </c>
      <c r="AE23" s="5">
        <f t="shared" si="5"/>
        <v>0.66985645933014348</v>
      </c>
      <c r="AF23" s="5">
        <f t="shared" si="6"/>
        <v>0.67674727553544234</v>
      </c>
      <c r="AI23">
        <v>6.1421000000000003E-2</v>
      </c>
      <c r="AJ23">
        <v>6.1068999999999998E-2</v>
      </c>
      <c r="AK23" s="4">
        <f t="shared" si="7"/>
        <v>0.99034182521767178</v>
      </c>
      <c r="AL23" s="4">
        <f t="shared" si="8"/>
        <v>0.97464010980241933</v>
      </c>
      <c r="AN23">
        <v>6.2029000000000001E-2</v>
      </c>
      <c r="AO23" s="4">
        <f t="shared" si="9"/>
        <v>1.0157199233653735</v>
      </c>
      <c r="AQ23" s="4"/>
    </row>
    <row r="24" spans="2:43" x14ac:dyDescent="0.25">
      <c r="B24">
        <v>32</v>
      </c>
      <c r="C24">
        <v>576</v>
      </c>
      <c r="D24">
        <v>128</v>
      </c>
      <c r="E24">
        <v>8</v>
      </c>
      <c r="F24">
        <v>1</v>
      </c>
      <c r="G24">
        <v>0.32668000000000003</v>
      </c>
      <c r="H24">
        <v>9.0159000000000003E-2</v>
      </c>
      <c r="I24">
        <v>0.10749300000000001</v>
      </c>
      <c r="J24" s="4">
        <f t="shared" si="0"/>
        <v>1.1922603400658836</v>
      </c>
      <c r="L24" s="4">
        <v>0.28924635729153914</v>
      </c>
      <c r="M24" s="4"/>
      <c r="N24">
        <v>8.0609E-2</v>
      </c>
      <c r="O24">
        <v>9.2633999999999994E-2</v>
      </c>
      <c r="P24" s="4">
        <f t="shared" si="1"/>
        <v>0.89407602125134478</v>
      </c>
      <c r="Q24" s="4">
        <f t="shared" si="10"/>
        <v>0.86176774301582415</v>
      </c>
      <c r="R24">
        <v>9.1442999999999997E-2</v>
      </c>
      <c r="S24" s="4">
        <f t="shared" si="3"/>
        <v>0.98714294967290628</v>
      </c>
      <c r="U24">
        <v>32</v>
      </c>
      <c r="V24">
        <v>128</v>
      </c>
      <c r="W24">
        <v>128</v>
      </c>
      <c r="X24">
        <v>8</v>
      </c>
      <c r="Y24">
        <v>1</v>
      </c>
      <c r="Z24">
        <v>0.123296</v>
      </c>
      <c r="AA24">
        <v>6.8636000000000003E-2</v>
      </c>
      <c r="AB24">
        <v>7.2549000000000002E-2</v>
      </c>
      <c r="AC24" s="4">
        <f t="shared" si="4"/>
        <v>1.0570108980709831</v>
      </c>
      <c r="AE24" s="5">
        <f t="shared" si="5"/>
        <v>0.55667661562418891</v>
      </c>
      <c r="AF24" s="5">
        <f t="shared" si="6"/>
        <v>0.58841324941603945</v>
      </c>
      <c r="AI24">
        <v>6.7696999999999993E-2</v>
      </c>
      <c r="AJ24">
        <v>6.9433999999999996E-2</v>
      </c>
      <c r="AK24" s="4">
        <f t="shared" si="7"/>
        <v>0.98631913281659755</v>
      </c>
      <c r="AL24" s="4">
        <f t="shared" si="8"/>
        <v>0.95706350190905443</v>
      </c>
      <c r="AN24">
        <v>7.0355000000000001E-2</v>
      </c>
      <c r="AO24" s="4">
        <f t="shared" si="9"/>
        <v>1.0132643949650029</v>
      </c>
      <c r="AQ24" s="4"/>
    </row>
    <row r="25" spans="2:43" x14ac:dyDescent="0.25">
      <c r="B25">
        <v>64</v>
      </c>
      <c r="C25">
        <v>576</v>
      </c>
      <c r="D25">
        <v>128</v>
      </c>
      <c r="E25">
        <v>8</v>
      </c>
      <c r="F25">
        <v>1</v>
      </c>
      <c r="G25">
        <v>0.55127300000000001</v>
      </c>
      <c r="H25">
        <v>0.123667</v>
      </c>
      <c r="I25">
        <v>0.153947</v>
      </c>
      <c r="J25" s="4">
        <f t="shared" si="0"/>
        <v>1.244851092045574</v>
      </c>
      <c r="L25" s="4">
        <v>0.24652395455609108</v>
      </c>
      <c r="M25" s="4"/>
      <c r="N25">
        <v>0.106478</v>
      </c>
      <c r="O25">
        <v>0.12978300000000001</v>
      </c>
      <c r="P25" s="4">
        <f t="shared" si="1"/>
        <v>0.86100576548311192</v>
      </c>
      <c r="Q25" s="4">
        <f t="shared" si="10"/>
        <v>0.84303688931905141</v>
      </c>
      <c r="R25">
        <v>0.122323</v>
      </c>
      <c r="S25" s="4">
        <f t="shared" si="3"/>
        <v>0.94251943628980672</v>
      </c>
      <c r="U25">
        <v>64</v>
      </c>
      <c r="V25">
        <v>128</v>
      </c>
      <c r="W25">
        <v>128</v>
      </c>
      <c r="X25">
        <v>8</v>
      </c>
      <c r="Y25">
        <v>1</v>
      </c>
      <c r="Z25">
        <v>0.196959</v>
      </c>
      <c r="AA25">
        <v>8.2680000000000003E-2</v>
      </c>
      <c r="AB25">
        <v>9.0193999999999996E-2</v>
      </c>
      <c r="AC25" s="4">
        <f t="shared" si="4"/>
        <v>1.090880503144654</v>
      </c>
      <c r="AE25" s="5">
        <f t="shared" si="5"/>
        <v>0.41978279743499919</v>
      </c>
      <c r="AF25" s="5">
        <f t="shared" si="6"/>
        <v>0.45793286927736226</v>
      </c>
      <c r="AI25">
        <v>7.8780000000000003E-2</v>
      </c>
      <c r="AJ25">
        <v>8.5581000000000004E-2</v>
      </c>
      <c r="AK25" s="4">
        <f t="shared" si="7"/>
        <v>0.95283018867924529</v>
      </c>
      <c r="AL25" s="4">
        <f t="shared" si="8"/>
        <v>0.94885469099940134</v>
      </c>
      <c r="AN25">
        <v>8.5882E-2</v>
      </c>
      <c r="AO25" s="4">
        <f t="shared" si="9"/>
        <v>1.0035171358128556</v>
      </c>
      <c r="AQ25" s="4"/>
    </row>
    <row r="26" spans="2:43" x14ac:dyDescent="0.25">
      <c r="B26">
        <v>128</v>
      </c>
      <c r="C26">
        <v>576</v>
      </c>
      <c r="D26">
        <v>128</v>
      </c>
      <c r="E26">
        <v>8</v>
      </c>
      <c r="F26">
        <v>1</v>
      </c>
      <c r="G26">
        <v>1.071428</v>
      </c>
      <c r="H26">
        <v>0.19303899999999999</v>
      </c>
      <c r="I26">
        <v>0.24130599999999999</v>
      </c>
      <c r="J26" s="4">
        <f t="shared" si="0"/>
        <v>1.2500375571775653</v>
      </c>
      <c r="L26" s="4">
        <v>0.20881757803604159</v>
      </c>
      <c r="M26" s="4"/>
      <c r="N26">
        <v>0.172653</v>
      </c>
      <c r="O26">
        <v>0.21135999999999999</v>
      </c>
      <c r="P26" s="4">
        <f t="shared" si="1"/>
        <v>0.89439439698713741</v>
      </c>
      <c r="Q26" s="4">
        <f t="shared" si="10"/>
        <v>0.87590030915103645</v>
      </c>
      <c r="R26">
        <v>0.19705600000000001</v>
      </c>
      <c r="S26" s="4">
        <f t="shared" si="3"/>
        <v>0.93232399697199098</v>
      </c>
      <c r="U26">
        <v>128</v>
      </c>
      <c r="V26">
        <v>128</v>
      </c>
      <c r="W26">
        <v>128</v>
      </c>
      <c r="X26">
        <v>8</v>
      </c>
      <c r="Y26">
        <v>1</v>
      </c>
      <c r="Z26">
        <v>0.32935799999999998</v>
      </c>
      <c r="AA26">
        <v>0.10267900000000001</v>
      </c>
      <c r="AB26">
        <v>0.12578300000000001</v>
      </c>
      <c r="AC26" s="4">
        <f t="shared" si="4"/>
        <v>1.2250119303849862</v>
      </c>
      <c r="AE26" s="5">
        <f t="shared" si="5"/>
        <v>0.31175499001086965</v>
      </c>
      <c r="AF26" s="5">
        <f t="shared" si="6"/>
        <v>0.38190358212036751</v>
      </c>
      <c r="AI26">
        <v>0.101607</v>
      </c>
      <c r="AJ26">
        <v>0.119155</v>
      </c>
      <c r="AK26" s="4">
        <f t="shared" si="7"/>
        <v>0.98955969575083513</v>
      </c>
      <c r="AL26" s="4">
        <f t="shared" si="8"/>
        <v>0.94730607474777984</v>
      </c>
      <c r="AN26">
        <v>0.119898</v>
      </c>
      <c r="AO26" s="4">
        <f t="shared" si="9"/>
        <v>1.0062355755108892</v>
      </c>
      <c r="AQ26" s="4"/>
    </row>
    <row r="27" spans="2:43" x14ac:dyDescent="0.25">
      <c r="B27">
        <v>256</v>
      </c>
      <c r="C27">
        <v>576</v>
      </c>
      <c r="D27">
        <v>128</v>
      </c>
      <c r="E27">
        <v>8</v>
      </c>
      <c r="F27">
        <v>1</v>
      </c>
      <c r="H27">
        <v>0.33383400000000002</v>
      </c>
      <c r="I27">
        <v>0.42534</v>
      </c>
      <c r="J27" s="4">
        <f t="shared" si="0"/>
        <v>1.2741062923488919</v>
      </c>
      <c r="L27" s="4"/>
      <c r="M27" s="4"/>
      <c r="N27">
        <v>0.29799799999999999</v>
      </c>
      <c r="O27">
        <v>0.381021</v>
      </c>
      <c r="P27" s="4">
        <f t="shared" si="1"/>
        <v>0.89265323484126835</v>
      </c>
      <c r="Q27" s="4">
        <f t="shared" si="10"/>
        <v>0.89580335731414873</v>
      </c>
      <c r="R27">
        <v>0.34514600000000001</v>
      </c>
      <c r="S27" s="4">
        <f t="shared" si="3"/>
        <v>0.90584508465412672</v>
      </c>
      <c r="U27">
        <v>256</v>
      </c>
      <c r="V27">
        <v>128</v>
      </c>
      <c r="W27">
        <v>128</v>
      </c>
      <c r="X27">
        <v>8</v>
      </c>
      <c r="Y27">
        <v>1</v>
      </c>
      <c r="Z27">
        <v>0.60354300000000005</v>
      </c>
      <c r="AA27">
        <v>0.14857000000000001</v>
      </c>
      <c r="AB27">
        <v>0.193415</v>
      </c>
      <c r="AC27" s="4">
        <f t="shared" si="4"/>
        <v>1.3018442485023893</v>
      </c>
      <c r="AE27" s="5">
        <f t="shared" si="5"/>
        <v>0.24616307371637147</v>
      </c>
      <c r="AF27" s="5">
        <f t="shared" si="6"/>
        <v>0.3204659817113279</v>
      </c>
      <c r="AI27">
        <v>0.14691499999999999</v>
      </c>
      <c r="AJ27">
        <v>0.1832</v>
      </c>
      <c r="AK27" s="4">
        <f t="shared" si="7"/>
        <v>0.98886046981220965</v>
      </c>
      <c r="AL27" s="4">
        <f t="shared" si="8"/>
        <v>0.94718610242225265</v>
      </c>
      <c r="AN27">
        <v>0.18419199999999999</v>
      </c>
      <c r="AO27" s="4">
        <f t="shared" si="9"/>
        <v>1.005414847161572</v>
      </c>
      <c r="AQ27" s="4"/>
    </row>
    <row r="28" spans="2:43" x14ac:dyDescent="0.25">
      <c r="B28">
        <v>512</v>
      </c>
      <c r="C28">
        <v>576</v>
      </c>
      <c r="D28">
        <v>128</v>
      </c>
      <c r="E28">
        <v>8</v>
      </c>
      <c r="F28">
        <v>1</v>
      </c>
      <c r="H28">
        <v>0.66549400000000003</v>
      </c>
      <c r="I28">
        <v>0.82354300000000003</v>
      </c>
      <c r="J28" s="4">
        <f t="shared" si="0"/>
        <v>1.2374912471036552</v>
      </c>
      <c r="L28" s="4"/>
      <c r="M28" s="4"/>
      <c r="N28">
        <v>0.66043700000000005</v>
      </c>
      <c r="O28">
        <v>0.78550699999999996</v>
      </c>
      <c r="P28" s="4">
        <f t="shared" si="1"/>
        <v>0.99240113359399185</v>
      </c>
      <c r="Q28" s="4">
        <f t="shared" si="10"/>
        <v>0.95381419063728301</v>
      </c>
      <c r="R28">
        <v>0.63994899999999999</v>
      </c>
      <c r="S28" s="4">
        <f t="shared" si="3"/>
        <v>0.81469547693400568</v>
      </c>
      <c r="U28">
        <v>512</v>
      </c>
      <c r="V28">
        <v>128</v>
      </c>
      <c r="W28">
        <v>128</v>
      </c>
      <c r="X28">
        <v>8</v>
      </c>
      <c r="Y28">
        <v>1</v>
      </c>
      <c r="Z28">
        <v>1.15743</v>
      </c>
      <c r="AA28">
        <v>0.243006</v>
      </c>
      <c r="AB28">
        <v>0.33340399999999998</v>
      </c>
      <c r="AC28" s="4">
        <f t="shared" si="4"/>
        <v>1.3719990452910626</v>
      </c>
      <c r="AE28" s="5">
        <f t="shared" si="5"/>
        <v>0.20995308571576685</v>
      </c>
      <c r="AF28" s="5">
        <f t="shared" si="6"/>
        <v>0.28805543315794474</v>
      </c>
      <c r="AI28">
        <v>0.23877599999999999</v>
      </c>
      <c r="AJ28">
        <v>0.311751</v>
      </c>
      <c r="AK28" s="4">
        <f t="shared" si="7"/>
        <v>0.98259302239450874</v>
      </c>
      <c r="AL28" s="4">
        <f t="shared" si="8"/>
        <v>0.93505476838910162</v>
      </c>
      <c r="AN28">
        <v>0.317382</v>
      </c>
      <c r="AO28" s="4">
        <f t="shared" si="9"/>
        <v>1.01806249218126</v>
      </c>
      <c r="AQ28" s="4"/>
    </row>
    <row r="29" spans="2:43" x14ac:dyDescent="0.25">
      <c r="B29">
        <v>1</v>
      </c>
      <c r="C29">
        <v>576</v>
      </c>
      <c r="D29">
        <v>256</v>
      </c>
      <c r="E29">
        <v>8</v>
      </c>
      <c r="F29">
        <v>1</v>
      </c>
      <c r="G29">
        <v>8.1254999999999994E-2</v>
      </c>
      <c r="H29">
        <v>7.5996999999999995E-2</v>
      </c>
      <c r="I29">
        <v>7.7726000000000003E-2</v>
      </c>
      <c r="J29" s="4">
        <f t="shared" si="0"/>
        <v>1.0227508980617657</v>
      </c>
      <c r="L29" s="5">
        <v>0.93521629438188425</v>
      </c>
      <c r="M29" s="5"/>
      <c r="N29">
        <v>7.4311000000000002E-2</v>
      </c>
      <c r="O29">
        <v>7.4494000000000005E-2</v>
      </c>
      <c r="P29" s="4">
        <f t="shared" si="1"/>
        <v>0.97781491374659535</v>
      </c>
      <c r="Q29" s="4">
        <f t="shared" si="10"/>
        <v>0.95841803257597202</v>
      </c>
      <c r="R29">
        <v>7.8880000000000006E-2</v>
      </c>
      <c r="S29" s="4">
        <f t="shared" si="3"/>
        <v>1.0588772250114102</v>
      </c>
      <c r="U29" s="8">
        <v>1</v>
      </c>
      <c r="V29" s="8">
        <v>128</v>
      </c>
      <c r="W29" s="8">
        <v>256</v>
      </c>
      <c r="X29" s="8">
        <v>8</v>
      </c>
      <c r="Y29" s="8">
        <v>1</v>
      </c>
      <c r="Z29" s="8">
        <v>6.1987E-2</v>
      </c>
      <c r="AA29" s="8">
        <v>6.5279000000000004E-2</v>
      </c>
      <c r="AB29">
        <v>6.3228999999999994E-2</v>
      </c>
      <c r="AC29" s="4">
        <f t="shared" si="4"/>
        <v>0.96859633266440959</v>
      </c>
      <c r="AE29" s="5">
        <f t="shared" si="5"/>
        <v>1.0531079097230065</v>
      </c>
      <c r="AF29" s="5">
        <f t="shared" si="6"/>
        <v>1.0200364592575861</v>
      </c>
      <c r="AI29">
        <v>6.5044000000000005E-2</v>
      </c>
      <c r="AJ29">
        <v>6.1779000000000001E-2</v>
      </c>
      <c r="AK29" s="4">
        <f t="shared" si="7"/>
        <v>0.99640006740299336</v>
      </c>
      <c r="AL29" s="4">
        <f t="shared" si="8"/>
        <v>0.97706748485663231</v>
      </c>
      <c r="AN29">
        <v>6.3462000000000005E-2</v>
      </c>
      <c r="AO29" s="4">
        <f t="shared" si="9"/>
        <v>1.0272422667896859</v>
      </c>
      <c r="AQ29" s="4"/>
    </row>
    <row r="30" spans="2:43" x14ac:dyDescent="0.25">
      <c r="B30">
        <v>2</v>
      </c>
      <c r="C30">
        <v>576</v>
      </c>
      <c r="D30">
        <v>256</v>
      </c>
      <c r="E30">
        <v>8</v>
      </c>
      <c r="F30">
        <v>1</v>
      </c>
      <c r="G30">
        <v>8.7212999999999999E-2</v>
      </c>
      <c r="H30">
        <v>8.0895999999999996E-2</v>
      </c>
      <c r="I30">
        <v>8.2115999999999995E-2</v>
      </c>
      <c r="J30" s="4">
        <f t="shared" si="0"/>
        <v>1.0150810917721518</v>
      </c>
      <c r="L30" s="5">
        <v>0.92690309930858927</v>
      </c>
      <c r="M30" s="5"/>
      <c r="N30">
        <v>7.6033000000000003E-2</v>
      </c>
      <c r="O30">
        <v>7.6183000000000001E-2</v>
      </c>
      <c r="P30" s="4">
        <f t="shared" si="1"/>
        <v>0.939885779272152</v>
      </c>
      <c r="Q30" s="4">
        <f t="shared" si="10"/>
        <v>0.92774855083053254</v>
      </c>
      <c r="R30">
        <v>7.9808000000000004E-2</v>
      </c>
      <c r="S30" s="4">
        <f t="shared" si="3"/>
        <v>1.0475827940616673</v>
      </c>
      <c r="U30" s="8">
        <v>2</v>
      </c>
      <c r="V30" s="8">
        <v>128</v>
      </c>
      <c r="W30" s="8">
        <v>256</v>
      </c>
      <c r="X30" s="8">
        <v>8</v>
      </c>
      <c r="Y30" s="8">
        <v>1</v>
      </c>
      <c r="Z30" s="8">
        <v>6.3321000000000002E-2</v>
      </c>
      <c r="AA30" s="8">
        <v>6.5935999999999995E-2</v>
      </c>
      <c r="AB30">
        <v>6.4759999999999998E-2</v>
      </c>
      <c r="AC30" s="4">
        <f t="shared" si="4"/>
        <v>0.98216452317398695</v>
      </c>
      <c r="AE30" s="5">
        <f t="shared" si="5"/>
        <v>1.0412975158320303</v>
      </c>
      <c r="AF30" s="5">
        <f t="shared" si="6"/>
        <v>1.0227254781194233</v>
      </c>
      <c r="AI30">
        <v>6.5009999999999998E-2</v>
      </c>
      <c r="AJ30">
        <v>6.1977999999999998E-2</v>
      </c>
      <c r="AK30" s="4">
        <f t="shared" si="7"/>
        <v>0.98595607862169377</v>
      </c>
      <c r="AL30" s="4">
        <f t="shared" si="8"/>
        <v>0.95704138357010504</v>
      </c>
      <c r="AN30">
        <v>6.3884999999999997E-2</v>
      </c>
      <c r="AO30" s="4">
        <f t="shared" si="9"/>
        <v>1.0307689825421924</v>
      </c>
      <c r="AQ30" s="4"/>
    </row>
    <row r="31" spans="2:43" x14ac:dyDescent="0.25">
      <c r="B31">
        <v>4</v>
      </c>
      <c r="C31">
        <v>576</v>
      </c>
      <c r="D31">
        <v>256</v>
      </c>
      <c r="E31">
        <v>8</v>
      </c>
      <c r="F31">
        <v>1</v>
      </c>
      <c r="G31">
        <v>0.106501</v>
      </c>
      <c r="H31">
        <v>8.0767000000000005E-2</v>
      </c>
      <c r="I31">
        <v>8.2560999999999996E-2</v>
      </c>
      <c r="J31" s="4">
        <f t="shared" si="0"/>
        <v>1.0222120420468754</v>
      </c>
      <c r="L31" s="5">
        <v>0.76049051182617999</v>
      </c>
      <c r="M31" s="5"/>
      <c r="N31">
        <v>7.9105999999999996E-2</v>
      </c>
      <c r="O31">
        <v>8.0185999999999993E-2</v>
      </c>
      <c r="P31" s="4">
        <f t="shared" si="1"/>
        <v>0.97943467010041219</v>
      </c>
      <c r="Q31" s="4">
        <f t="shared" si="10"/>
        <v>0.9712333910684221</v>
      </c>
      <c r="R31">
        <v>8.2546999999999995E-2</v>
      </c>
      <c r="S31" s="4">
        <f t="shared" si="3"/>
        <v>1.0294440426009528</v>
      </c>
      <c r="U31">
        <v>4</v>
      </c>
      <c r="V31">
        <v>128</v>
      </c>
      <c r="W31">
        <v>256</v>
      </c>
      <c r="X31">
        <v>8</v>
      </c>
      <c r="Y31">
        <v>1</v>
      </c>
      <c r="Z31">
        <v>6.9058999999999995E-2</v>
      </c>
      <c r="AA31">
        <v>6.5768999999999994E-2</v>
      </c>
      <c r="AB31">
        <v>6.4320000000000002E-2</v>
      </c>
      <c r="AC31" s="4">
        <f t="shared" si="4"/>
        <v>0.97796834374857466</v>
      </c>
      <c r="AE31" s="5">
        <f t="shared" si="5"/>
        <v>0.95235957659392689</v>
      </c>
      <c r="AF31" s="5">
        <f t="shared" si="6"/>
        <v>0.93137751777465649</v>
      </c>
      <c r="AI31">
        <v>6.5937999999999997E-2</v>
      </c>
      <c r="AJ31">
        <v>6.3289999999999999E-2</v>
      </c>
      <c r="AK31" s="4">
        <f t="shared" si="7"/>
        <v>1.0025695996594139</v>
      </c>
      <c r="AL31" s="4">
        <f t="shared" si="8"/>
        <v>0.98398631840796014</v>
      </c>
      <c r="AN31">
        <v>6.4461000000000004E-2</v>
      </c>
      <c r="AO31" s="4">
        <f t="shared" si="9"/>
        <v>1.0185021330383948</v>
      </c>
      <c r="AQ31" s="4"/>
    </row>
    <row r="32" spans="2:43" x14ac:dyDescent="0.25">
      <c r="B32">
        <v>8</v>
      </c>
      <c r="C32">
        <v>576</v>
      </c>
      <c r="D32">
        <v>256</v>
      </c>
      <c r="E32">
        <v>8</v>
      </c>
      <c r="F32">
        <v>1</v>
      </c>
      <c r="G32">
        <v>0.16566600000000001</v>
      </c>
      <c r="H32">
        <v>8.7615999999999999E-2</v>
      </c>
      <c r="I32">
        <v>8.9078000000000004E-2</v>
      </c>
      <c r="J32" s="4">
        <f t="shared" si="0"/>
        <v>1.0166864499634771</v>
      </c>
      <c r="L32" s="4">
        <v>0.58210495816884578</v>
      </c>
      <c r="M32" s="4"/>
      <c r="N32">
        <v>7.9844999999999999E-2</v>
      </c>
      <c r="O32">
        <v>8.0278000000000002E-2</v>
      </c>
      <c r="P32" s="4">
        <f t="shared" si="1"/>
        <v>0.91130615412710003</v>
      </c>
      <c r="Q32" s="4">
        <f t="shared" si="10"/>
        <v>0.9012101753519387</v>
      </c>
      <c r="R32">
        <v>8.2374000000000003E-2</v>
      </c>
      <c r="S32" s="4">
        <f t="shared" si="3"/>
        <v>1.026109270285757</v>
      </c>
      <c r="U32">
        <v>8</v>
      </c>
      <c r="V32">
        <v>128</v>
      </c>
      <c r="W32">
        <v>256</v>
      </c>
      <c r="X32">
        <v>8</v>
      </c>
      <c r="Y32">
        <v>1</v>
      </c>
      <c r="Z32">
        <v>8.2516999999999993E-2</v>
      </c>
      <c r="AA32">
        <v>6.7302000000000001E-2</v>
      </c>
      <c r="AB32">
        <v>6.5947000000000006E-2</v>
      </c>
      <c r="AC32" s="4">
        <f t="shared" si="4"/>
        <v>0.97986686874089934</v>
      </c>
      <c r="AE32" s="5">
        <f t="shared" si="5"/>
        <v>0.81561375231770428</v>
      </c>
      <c r="AF32" s="5">
        <f t="shared" si="6"/>
        <v>0.79919289358556433</v>
      </c>
      <c r="AI32">
        <v>6.6311999999999996E-2</v>
      </c>
      <c r="AJ32">
        <v>6.3397999999999996E-2</v>
      </c>
      <c r="AK32" s="4">
        <f t="shared" si="7"/>
        <v>0.98529018454132111</v>
      </c>
      <c r="AL32" s="4">
        <f t="shared" si="8"/>
        <v>0.96134774894991415</v>
      </c>
      <c r="AN32">
        <v>6.4749000000000001E-2</v>
      </c>
      <c r="AO32" s="4">
        <f t="shared" si="9"/>
        <v>1.0213098204990694</v>
      </c>
      <c r="AQ32" s="4"/>
    </row>
    <row r="33" spans="2:43" x14ac:dyDescent="0.25">
      <c r="B33">
        <v>16</v>
      </c>
      <c r="C33">
        <v>576</v>
      </c>
      <c r="D33">
        <v>256</v>
      </c>
      <c r="E33">
        <v>8</v>
      </c>
      <c r="F33">
        <v>1</v>
      </c>
      <c r="G33">
        <v>0.254133</v>
      </c>
      <c r="H33">
        <v>9.4172000000000006E-2</v>
      </c>
      <c r="I33">
        <v>9.4187000000000007E-2</v>
      </c>
      <c r="J33" s="4">
        <f t="shared" si="0"/>
        <v>1.0001592830140593</v>
      </c>
      <c r="L33" s="4">
        <v>0.38124131852219112</v>
      </c>
      <c r="M33" s="4"/>
      <c r="N33">
        <v>8.0807000000000004E-2</v>
      </c>
      <c r="O33">
        <v>8.0502000000000004E-2</v>
      </c>
      <c r="P33" s="4">
        <f t="shared" si="1"/>
        <v>0.85807883447309174</v>
      </c>
      <c r="Q33" s="4">
        <f t="shared" si="10"/>
        <v>0.85470394003418726</v>
      </c>
      <c r="R33">
        <v>8.3340999999999998E-2</v>
      </c>
      <c r="S33" s="4">
        <f t="shared" si="3"/>
        <v>1.0352662045663461</v>
      </c>
      <c r="U33">
        <v>16</v>
      </c>
      <c r="V33">
        <v>128</v>
      </c>
      <c r="W33">
        <v>256</v>
      </c>
      <c r="X33">
        <v>8</v>
      </c>
      <c r="Y33">
        <v>1</v>
      </c>
      <c r="Z33">
        <v>0.11160399999999999</v>
      </c>
      <c r="AA33">
        <v>6.8060999999999997E-2</v>
      </c>
      <c r="AB33">
        <v>6.6416000000000003E-2</v>
      </c>
      <c r="AC33" s="4">
        <f t="shared" si="4"/>
        <v>0.97583050498817248</v>
      </c>
      <c r="AE33" s="5">
        <f t="shared" si="5"/>
        <v>0.60984373319952689</v>
      </c>
      <c r="AF33" s="5">
        <f t="shared" si="6"/>
        <v>0.59510411813196662</v>
      </c>
      <c r="AI33">
        <v>6.6808000000000006E-2</v>
      </c>
      <c r="AJ33">
        <v>6.3795000000000004E-2</v>
      </c>
      <c r="AK33" s="4">
        <f t="shared" si="7"/>
        <v>0.9815900442250336</v>
      </c>
      <c r="AL33" s="4">
        <f t="shared" si="8"/>
        <v>0.96053661768248622</v>
      </c>
      <c r="AN33">
        <v>6.5087999999999993E-2</v>
      </c>
      <c r="AO33" s="4">
        <f t="shared" si="9"/>
        <v>1.0202680460851161</v>
      </c>
      <c r="AQ33" s="4"/>
    </row>
    <row r="34" spans="2:43" x14ac:dyDescent="0.25">
      <c r="B34">
        <v>32</v>
      </c>
      <c r="C34">
        <v>576</v>
      </c>
      <c r="D34">
        <v>256</v>
      </c>
      <c r="E34">
        <v>8</v>
      </c>
      <c r="F34">
        <v>1</v>
      </c>
      <c r="G34">
        <v>0.47364000000000001</v>
      </c>
      <c r="H34">
        <v>0.11241</v>
      </c>
      <c r="I34">
        <v>0.12801599999999999</v>
      </c>
      <c r="J34" s="4">
        <f t="shared" si="0"/>
        <v>1.1388310648518816</v>
      </c>
      <c r="L34" s="4">
        <v>0.24008529684992821</v>
      </c>
      <c r="M34" s="4"/>
      <c r="N34">
        <v>9.4490000000000005E-2</v>
      </c>
      <c r="O34">
        <v>0.104307</v>
      </c>
      <c r="P34" s="4">
        <f t="shared" si="1"/>
        <v>0.84058357797348993</v>
      </c>
      <c r="Q34" s="4">
        <f t="shared" si="10"/>
        <v>0.81479658792650922</v>
      </c>
      <c r="R34">
        <v>0.104685</v>
      </c>
      <c r="S34" s="4">
        <f t="shared" si="3"/>
        <v>1.0036239178578619</v>
      </c>
      <c r="U34">
        <v>32</v>
      </c>
      <c r="V34">
        <v>128</v>
      </c>
      <c r="W34">
        <v>256</v>
      </c>
      <c r="X34">
        <v>8</v>
      </c>
      <c r="Y34">
        <v>1</v>
      </c>
      <c r="Z34">
        <v>0.158161</v>
      </c>
      <c r="AA34">
        <v>7.6894000000000004E-2</v>
      </c>
      <c r="AB34">
        <v>7.9856999999999997E-2</v>
      </c>
      <c r="AC34" s="4">
        <f t="shared" si="4"/>
        <v>1.0385335656878298</v>
      </c>
      <c r="AE34" s="5">
        <f t="shared" si="5"/>
        <v>0.48617547941654393</v>
      </c>
      <c r="AF34" s="5">
        <f t="shared" si="6"/>
        <v>0.50490955418845351</v>
      </c>
      <c r="AI34">
        <v>7.5842999999999994E-2</v>
      </c>
      <c r="AJ34">
        <v>7.5417999999999999E-2</v>
      </c>
      <c r="AK34" s="4">
        <f t="shared" si="7"/>
        <v>0.98633183343303754</v>
      </c>
      <c r="AL34" s="4">
        <f t="shared" si="8"/>
        <v>0.94441313848504205</v>
      </c>
      <c r="AN34">
        <v>7.5674000000000005E-2</v>
      </c>
      <c r="AO34" s="4">
        <f t="shared" si="9"/>
        <v>1.0033944151263625</v>
      </c>
      <c r="AQ34" s="4"/>
    </row>
    <row r="35" spans="2:43" x14ac:dyDescent="0.25">
      <c r="B35">
        <v>64</v>
      </c>
      <c r="C35">
        <v>576</v>
      </c>
      <c r="D35">
        <v>256</v>
      </c>
      <c r="E35">
        <v>8</v>
      </c>
      <c r="F35">
        <v>1</v>
      </c>
      <c r="G35">
        <v>0.92425599999999997</v>
      </c>
      <c r="H35">
        <v>0.16583800000000001</v>
      </c>
      <c r="I35">
        <v>0.19070300000000001</v>
      </c>
      <c r="J35" s="4">
        <f t="shared" si="0"/>
        <v>1.1499354792025953</v>
      </c>
      <c r="L35" s="4">
        <v>0.18485354706921028</v>
      </c>
      <c r="M35" s="4"/>
      <c r="N35">
        <v>0.14261499999999999</v>
      </c>
      <c r="O35">
        <v>0.15919</v>
      </c>
      <c r="P35" s="4">
        <f t="shared" si="1"/>
        <v>0.8599657497075458</v>
      </c>
      <c r="Q35" s="4">
        <f t="shared" si="10"/>
        <v>0.83475351724933533</v>
      </c>
      <c r="R35">
        <v>0.156781</v>
      </c>
      <c r="S35" s="4">
        <f t="shared" si="3"/>
        <v>0.98486713989572217</v>
      </c>
      <c r="U35">
        <v>64</v>
      </c>
      <c r="V35">
        <v>128</v>
      </c>
      <c r="W35">
        <v>256</v>
      </c>
      <c r="X35">
        <v>8</v>
      </c>
      <c r="Y35">
        <v>1</v>
      </c>
      <c r="Z35">
        <v>0.27051999999999998</v>
      </c>
      <c r="AA35">
        <v>9.7001000000000004E-2</v>
      </c>
      <c r="AB35">
        <v>0.104116</v>
      </c>
      <c r="AC35" s="4">
        <f t="shared" si="4"/>
        <v>1.0733497592808321</v>
      </c>
      <c r="AE35" s="5">
        <f t="shared" si="5"/>
        <v>0.3585723791216916</v>
      </c>
      <c r="AF35" s="5">
        <f t="shared" si="6"/>
        <v>0.38487357681502293</v>
      </c>
      <c r="AI35">
        <v>9.5802999999999999E-2</v>
      </c>
      <c r="AJ35">
        <v>9.6076999999999996E-2</v>
      </c>
      <c r="AK35" s="4">
        <f t="shared" si="7"/>
        <v>0.98764961185967148</v>
      </c>
      <c r="AL35" s="4">
        <f t="shared" si="8"/>
        <v>0.92278804410465243</v>
      </c>
      <c r="AN35">
        <v>9.6313999999999997E-2</v>
      </c>
      <c r="AO35" s="4">
        <f t="shared" si="9"/>
        <v>1.0024667714437379</v>
      </c>
      <c r="AQ35" s="4"/>
    </row>
    <row r="36" spans="2:43" x14ac:dyDescent="0.25">
      <c r="B36">
        <v>128</v>
      </c>
      <c r="C36">
        <v>576</v>
      </c>
      <c r="D36">
        <v>256</v>
      </c>
      <c r="E36">
        <v>8</v>
      </c>
      <c r="F36">
        <v>1</v>
      </c>
      <c r="G36">
        <v>1.7806280000000001</v>
      </c>
      <c r="H36">
        <v>0.28129900000000002</v>
      </c>
      <c r="I36">
        <v>0.31914300000000001</v>
      </c>
      <c r="J36" s="4">
        <f t="shared" si="0"/>
        <v>1.1345330058052108</v>
      </c>
      <c r="L36" s="4">
        <v>0.1715383561305337</v>
      </c>
      <c r="M36" s="4"/>
      <c r="N36">
        <v>0.210286</v>
      </c>
      <c r="O36">
        <v>0.24973100000000001</v>
      </c>
      <c r="P36" s="4">
        <f t="shared" si="1"/>
        <v>0.74755331515575951</v>
      </c>
      <c r="Q36" s="4">
        <f t="shared" si="10"/>
        <v>0.78250502126006216</v>
      </c>
      <c r="R36">
        <v>0.25605800000000001</v>
      </c>
      <c r="S36" s="4">
        <f t="shared" si="3"/>
        <v>1.0253352607405568</v>
      </c>
      <c r="U36">
        <v>128</v>
      </c>
      <c r="V36">
        <v>128</v>
      </c>
      <c r="W36">
        <v>256</v>
      </c>
      <c r="X36">
        <v>8</v>
      </c>
      <c r="Y36">
        <v>1</v>
      </c>
      <c r="Z36">
        <v>0.46443200000000001</v>
      </c>
      <c r="AA36">
        <v>0.135659</v>
      </c>
      <c r="AB36">
        <v>0.151919</v>
      </c>
      <c r="AC36" s="4">
        <f t="shared" si="4"/>
        <v>1.1198593532312637</v>
      </c>
      <c r="AE36" s="5">
        <f t="shared" si="5"/>
        <v>0.29209658249216247</v>
      </c>
      <c r="AF36" s="5">
        <f t="shared" si="6"/>
        <v>0.32710708995073551</v>
      </c>
      <c r="AI36">
        <v>0.13374900000000001</v>
      </c>
      <c r="AJ36">
        <v>0.13722200000000001</v>
      </c>
      <c r="AK36" s="4">
        <f t="shared" si="7"/>
        <v>0.98592058027849239</v>
      </c>
      <c r="AL36" s="4">
        <f t="shared" si="8"/>
        <v>0.9032576570409232</v>
      </c>
      <c r="AN36">
        <v>0.13735</v>
      </c>
      <c r="AO36" s="4">
        <f t="shared" si="9"/>
        <v>1.0009327950328664</v>
      </c>
      <c r="AQ36" s="4"/>
    </row>
    <row r="37" spans="2:43" x14ac:dyDescent="0.25">
      <c r="B37">
        <v>256</v>
      </c>
      <c r="C37">
        <v>576</v>
      </c>
      <c r="D37">
        <v>256</v>
      </c>
      <c r="E37">
        <v>8</v>
      </c>
      <c r="F37">
        <v>1</v>
      </c>
      <c r="H37">
        <v>0.50956699999999999</v>
      </c>
      <c r="I37">
        <v>0.57167800000000002</v>
      </c>
      <c r="J37" s="4">
        <f t="shared" si="0"/>
        <v>1.121889761307149</v>
      </c>
      <c r="L37" s="4"/>
      <c r="M37" s="4"/>
      <c r="N37">
        <v>0.41196199999999999</v>
      </c>
      <c r="O37">
        <v>0.49751000000000001</v>
      </c>
      <c r="P37" s="4">
        <f t="shared" si="1"/>
        <v>0.80845502161639193</v>
      </c>
      <c r="Q37" s="4">
        <f t="shared" si="10"/>
        <v>0.87026263036184703</v>
      </c>
      <c r="R37">
        <v>0.44011499999999998</v>
      </c>
      <c r="S37" s="4">
        <f t="shared" si="3"/>
        <v>0.88463548471387499</v>
      </c>
      <c r="U37">
        <v>256</v>
      </c>
      <c r="V37">
        <v>128</v>
      </c>
      <c r="W37">
        <v>256</v>
      </c>
      <c r="X37">
        <v>8</v>
      </c>
      <c r="Y37">
        <v>1</v>
      </c>
      <c r="Z37">
        <v>0.90264900000000003</v>
      </c>
      <c r="AA37">
        <v>0.214535</v>
      </c>
      <c r="AB37">
        <v>0.24712700000000001</v>
      </c>
      <c r="AC37" s="4">
        <f t="shared" si="4"/>
        <v>1.1519192672524297</v>
      </c>
      <c r="AE37" s="5">
        <f t="shared" si="5"/>
        <v>0.23767267232335049</v>
      </c>
      <c r="AF37" s="5">
        <f t="shared" si="6"/>
        <v>0.27377973054864074</v>
      </c>
      <c r="AI37">
        <v>0.209809</v>
      </c>
      <c r="AJ37">
        <v>0.21873300000000001</v>
      </c>
      <c r="AK37" s="4">
        <f t="shared" si="7"/>
        <v>0.97797096044934384</v>
      </c>
      <c r="AL37" s="4">
        <f t="shared" si="8"/>
        <v>0.8851036106940966</v>
      </c>
      <c r="AN37">
        <v>0.21895700000000001</v>
      </c>
      <c r="AO37" s="4">
        <f t="shared" si="9"/>
        <v>1.0010240795856136</v>
      </c>
      <c r="AQ37" s="4"/>
    </row>
    <row r="38" spans="2:43" x14ac:dyDescent="0.25">
      <c r="B38">
        <v>512</v>
      </c>
      <c r="C38">
        <v>576</v>
      </c>
      <c r="D38">
        <v>256</v>
      </c>
      <c r="E38">
        <v>8</v>
      </c>
      <c r="F38">
        <v>1</v>
      </c>
      <c r="H38">
        <v>0.98775599999999997</v>
      </c>
      <c r="I38">
        <v>1.104263</v>
      </c>
      <c r="J38" s="4">
        <f t="shared" si="0"/>
        <v>1.1179511944245339</v>
      </c>
      <c r="L38" s="4"/>
      <c r="M38" s="4"/>
      <c r="N38">
        <v>0.86927500000000002</v>
      </c>
      <c r="O38">
        <v>1.032619</v>
      </c>
      <c r="P38" s="4">
        <f t="shared" si="1"/>
        <v>0.8800503363178761</v>
      </c>
      <c r="Q38" s="4">
        <f t="shared" si="10"/>
        <v>0.93512052835239423</v>
      </c>
      <c r="R38">
        <v>0.84537600000000002</v>
      </c>
      <c r="S38" s="4">
        <f t="shared" si="3"/>
        <v>0.81867174630720529</v>
      </c>
      <c r="U38">
        <v>512</v>
      </c>
      <c r="V38">
        <v>128</v>
      </c>
      <c r="W38">
        <v>256</v>
      </c>
      <c r="X38">
        <v>8</v>
      </c>
      <c r="Y38">
        <v>1</v>
      </c>
      <c r="Z38">
        <v>1.822592</v>
      </c>
      <c r="AA38">
        <v>0.37137799999999999</v>
      </c>
      <c r="AB38">
        <v>0.44086399999999998</v>
      </c>
      <c r="AC38" s="4">
        <f t="shared" si="4"/>
        <v>1.1871031671235237</v>
      </c>
      <c r="AE38" s="5">
        <f t="shared" si="5"/>
        <v>0.20376365088840509</v>
      </c>
      <c r="AF38" s="5">
        <f t="shared" si="6"/>
        <v>0.24188847531427768</v>
      </c>
      <c r="AI38">
        <v>0.36178900000000003</v>
      </c>
      <c r="AJ38">
        <v>0.37873899999999999</v>
      </c>
      <c r="AK38" s="4">
        <f t="shared" si="7"/>
        <v>0.97417994603880698</v>
      </c>
      <c r="AL38" s="4">
        <f t="shared" si="8"/>
        <v>0.85908352689264722</v>
      </c>
      <c r="AN38">
        <v>0.37965399999999999</v>
      </c>
      <c r="AO38" s="4">
        <f t="shared" si="9"/>
        <v>1.0024159117492522</v>
      </c>
      <c r="AQ38" s="4"/>
    </row>
    <row r="39" spans="2:43" x14ac:dyDescent="0.25">
      <c r="B39">
        <v>1</v>
      </c>
      <c r="C39">
        <v>576</v>
      </c>
      <c r="D39">
        <v>512</v>
      </c>
      <c r="E39">
        <v>8</v>
      </c>
      <c r="F39">
        <v>1</v>
      </c>
      <c r="G39">
        <v>0.100799</v>
      </c>
      <c r="H39">
        <v>8.9270000000000002E-2</v>
      </c>
      <c r="I39">
        <v>8.6041999999999993E-2</v>
      </c>
      <c r="J39" s="4">
        <f t="shared" si="0"/>
        <v>0.96384003584630884</v>
      </c>
      <c r="L39" s="5">
        <v>0.88655641425014131</v>
      </c>
      <c r="M39" s="5"/>
      <c r="N39">
        <v>8.6870000000000003E-2</v>
      </c>
      <c r="O39">
        <v>8.2640000000000005E-2</v>
      </c>
      <c r="P39" s="4">
        <f t="shared" si="1"/>
        <v>0.9731152682872185</v>
      </c>
      <c r="Q39" s="4">
        <f t="shared" si="10"/>
        <v>0.96046117012621757</v>
      </c>
      <c r="R39">
        <v>9.3260999999999997E-2</v>
      </c>
      <c r="S39" s="4">
        <f t="shared" si="3"/>
        <v>1.1285212971926426</v>
      </c>
      <c r="U39" s="8">
        <v>1</v>
      </c>
      <c r="V39" s="8">
        <v>128</v>
      </c>
      <c r="W39" s="8">
        <v>512</v>
      </c>
      <c r="X39" s="8">
        <v>8</v>
      </c>
      <c r="Y39" s="8">
        <v>1</v>
      </c>
      <c r="Z39" s="8">
        <v>6.6258999999999998E-2</v>
      </c>
      <c r="AA39" s="8">
        <v>7.3385000000000006E-2</v>
      </c>
      <c r="AB39">
        <v>6.7854999999999999E-2</v>
      </c>
      <c r="AC39" s="4">
        <f t="shared" si="4"/>
        <v>0.92464400081760567</v>
      </c>
      <c r="AE39" s="5">
        <f t="shared" si="5"/>
        <v>1.1075476539036206</v>
      </c>
      <c r="AF39" s="5">
        <f t="shared" si="6"/>
        <v>1.0240872938015968</v>
      </c>
      <c r="AI39">
        <v>7.2916999999999996E-2</v>
      </c>
      <c r="AJ39">
        <v>6.6258999999999998E-2</v>
      </c>
      <c r="AK39" s="4">
        <f t="shared" si="7"/>
        <v>0.99362267493356937</v>
      </c>
      <c r="AL39" s="4">
        <f t="shared" si="8"/>
        <v>0.9764792572397023</v>
      </c>
      <c r="AN39">
        <v>6.8832000000000004E-2</v>
      </c>
      <c r="AO39" s="4">
        <f t="shared" si="9"/>
        <v>1.0388324604959327</v>
      </c>
      <c r="AQ39" s="4"/>
    </row>
    <row r="40" spans="2:43" x14ac:dyDescent="0.25">
      <c r="B40">
        <v>2</v>
      </c>
      <c r="C40">
        <v>576</v>
      </c>
      <c r="D40">
        <v>512</v>
      </c>
      <c r="E40">
        <v>8</v>
      </c>
      <c r="F40">
        <v>1</v>
      </c>
      <c r="G40">
        <v>0.105113</v>
      </c>
      <c r="H40">
        <v>9.8359000000000002E-2</v>
      </c>
      <c r="I40">
        <v>9.622E-2</v>
      </c>
      <c r="J40" s="4">
        <f t="shared" si="0"/>
        <v>0.97825313392775448</v>
      </c>
      <c r="L40" s="5">
        <v>0.93666815712614049</v>
      </c>
      <c r="M40" s="5"/>
      <c r="N40">
        <v>8.9896000000000004E-2</v>
      </c>
      <c r="O40">
        <v>8.5476999999999997E-2</v>
      </c>
      <c r="P40" s="4">
        <f t="shared" si="1"/>
        <v>0.91395805162720245</v>
      </c>
      <c r="Q40" s="4">
        <f t="shared" si="10"/>
        <v>0.88834961546456037</v>
      </c>
      <c r="R40">
        <v>9.4752000000000003E-2</v>
      </c>
      <c r="S40" s="4">
        <f t="shared" si="3"/>
        <v>1.1085087216444189</v>
      </c>
      <c r="U40" s="8">
        <v>2</v>
      </c>
      <c r="V40" s="8">
        <v>128</v>
      </c>
      <c r="W40" s="8">
        <v>512</v>
      </c>
      <c r="X40" s="8">
        <v>8</v>
      </c>
      <c r="Y40" s="8">
        <v>1</v>
      </c>
      <c r="Z40" s="8">
        <v>6.6840999999999998E-2</v>
      </c>
      <c r="AA40" s="8">
        <v>7.5555999999999998E-2</v>
      </c>
      <c r="AB40">
        <v>7.0281999999999997E-2</v>
      </c>
      <c r="AC40" s="4">
        <f t="shared" si="4"/>
        <v>0.93019746942665038</v>
      </c>
      <c r="AE40" s="5">
        <f t="shared" si="5"/>
        <v>1.130384045720441</v>
      </c>
      <c r="AF40" s="5">
        <f t="shared" si="6"/>
        <v>1.0514803788094134</v>
      </c>
      <c r="AI40">
        <v>7.3316999999999993E-2</v>
      </c>
      <c r="AJ40">
        <v>6.6725999999999994E-2</v>
      </c>
      <c r="AK40" s="4">
        <f t="shared" si="7"/>
        <v>0.97036635078617173</v>
      </c>
      <c r="AL40" s="4">
        <f t="shared" si="8"/>
        <v>0.94940383028371411</v>
      </c>
      <c r="AN40">
        <v>6.9612999999999994E-2</v>
      </c>
      <c r="AO40" s="4">
        <f t="shared" si="9"/>
        <v>1.0432664928213891</v>
      </c>
      <c r="AQ40" s="4"/>
    </row>
    <row r="41" spans="2:43" x14ac:dyDescent="0.25">
      <c r="B41">
        <v>4</v>
      </c>
      <c r="C41">
        <v>576</v>
      </c>
      <c r="D41">
        <v>512</v>
      </c>
      <c r="E41">
        <v>8</v>
      </c>
      <c r="F41">
        <v>1</v>
      </c>
      <c r="G41">
        <v>0.14982300000000001</v>
      </c>
      <c r="H41">
        <v>9.9526000000000003E-2</v>
      </c>
      <c r="I41">
        <v>9.7497E-2</v>
      </c>
      <c r="J41" s="4">
        <f t="shared" si="0"/>
        <v>0.97961336736129245</v>
      </c>
      <c r="L41" s="5">
        <v>0.6645641857391722</v>
      </c>
      <c r="M41" s="5"/>
      <c r="N41">
        <v>0.10116</v>
      </c>
      <c r="O41">
        <v>9.6542000000000003E-2</v>
      </c>
      <c r="P41" s="4">
        <f t="shared" si="1"/>
        <v>1.0164178204690231</v>
      </c>
      <c r="Q41" s="4">
        <f t="shared" si="10"/>
        <v>0.99020482681518407</v>
      </c>
      <c r="R41">
        <v>9.9328E-2</v>
      </c>
      <c r="S41" s="4">
        <f t="shared" si="3"/>
        <v>1.0288579064034307</v>
      </c>
      <c r="U41">
        <v>4</v>
      </c>
      <c r="V41">
        <v>128</v>
      </c>
      <c r="W41">
        <v>512</v>
      </c>
      <c r="X41">
        <v>8</v>
      </c>
      <c r="Y41">
        <v>1</v>
      </c>
      <c r="Z41">
        <v>7.7585000000000001E-2</v>
      </c>
      <c r="AA41">
        <v>7.5967000000000007E-2</v>
      </c>
      <c r="AB41">
        <v>7.0193000000000005E-2</v>
      </c>
      <c r="AC41" s="4">
        <f t="shared" si="4"/>
        <v>0.92399331288585829</v>
      </c>
      <c r="AE41" s="5">
        <f t="shared" si="5"/>
        <v>0.97914545337371917</v>
      </c>
      <c r="AF41" s="5">
        <f t="shared" si="6"/>
        <v>0.90472385125990851</v>
      </c>
      <c r="AI41">
        <v>7.5898999999999994E-2</v>
      </c>
      <c r="AJ41">
        <v>6.9440000000000002E-2</v>
      </c>
      <c r="AK41" s="4">
        <f t="shared" si="7"/>
        <v>0.99910487448497354</v>
      </c>
      <c r="AL41" s="4">
        <f t="shared" si="8"/>
        <v>0.98927243457324798</v>
      </c>
      <c r="AN41">
        <v>7.0514999999999994E-2</v>
      </c>
      <c r="AO41" s="4">
        <f t="shared" si="9"/>
        <v>1.0154809907834101</v>
      </c>
      <c r="AQ41" s="4"/>
    </row>
    <row r="42" spans="2:43" x14ac:dyDescent="0.25">
      <c r="B42">
        <v>8</v>
      </c>
      <c r="C42">
        <v>576</v>
      </c>
      <c r="D42">
        <v>512</v>
      </c>
      <c r="E42">
        <v>8</v>
      </c>
      <c r="F42">
        <v>1</v>
      </c>
      <c r="G42">
        <v>0.23983199999999999</v>
      </c>
      <c r="H42">
        <v>0.113815</v>
      </c>
      <c r="I42">
        <v>0.110871</v>
      </c>
      <c r="J42" s="4">
        <f t="shared" si="0"/>
        <v>0.97413346219742558</v>
      </c>
      <c r="L42" s="4">
        <v>0.48551486040228164</v>
      </c>
      <c r="M42" s="4"/>
      <c r="N42">
        <v>0.101158</v>
      </c>
      <c r="O42">
        <v>9.6701999999999996E-2</v>
      </c>
      <c r="P42" s="4">
        <f t="shared" ref="P42:P73" si="11">N42/H42</f>
        <v>0.88879321706277725</v>
      </c>
      <c r="Q42" s="4">
        <f t="shared" si="10"/>
        <v>0.87220283031631352</v>
      </c>
      <c r="R42">
        <v>9.9602999999999997E-2</v>
      </c>
      <c r="S42" s="4">
        <f t="shared" si="3"/>
        <v>1.0299993795371347</v>
      </c>
      <c r="U42">
        <v>8</v>
      </c>
      <c r="V42">
        <v>128</v>
      </c>
      <c r="W42">
        <v>512</v>
      </c>
      <c r="X42">
        <v>8</v>
      </c>
      <c r="Y42">
        <v>1</v>
      </c>
      <c r="Z42">
        <v>0.103612</v>
      </c>
      <c r="AA42">
        <v>7.8756999999999994E-2</v>
      </c>
      <c r="AB42">
        <v>7.3665999999999995E-2</v>
      </c>
      <c r="AC42" s="4">
        <f t="shared" si="4"/>
        <v>0.93535812689665687</v>
      </c>
      <c r="AE42" s="5">
        <f t="shared" si="5"/>
        <v>0.76011465853376059</v>
      </c>
      <c r="AF42" s="5">
        <f t="shared" si="6"/>
        <v>0.71097942323283014</v>
      </c>
      <c r="AI42">
        <v>7.6139999999999999E-2</v>
      </c>
      <c r="AJ42">
        <v>6.9453000000000001E-2</v>
      </c>
      <c r="AK42" s="4">
        <f t="shared" si="7"/>
        <v>0.96677120763868618</v>
      </c>
      <c r="AL42" s="4">
        <f t="shared" si="8"/>
        <v>0.94280943718947685</v>
      </c>
      <c r="AN42">
        <v>7.0834999999999995E-2</v>
      </c>
      <c r="AO42" s="4">
        <f t="shared" si="9"/>
        <v>1.0198983485234618</v>
      </c>
      <c r="AQ42" s="4"/>
    </row>
    <row r="43" spans="2:43" x14ac:dyDescent="0.25">
      <c r="B43">
        <v>16</v>
      </c>
      <c r="C43">
        <v>576</v>
      </c>
      <c r="D43">
        <v>512</v>
      </c>
      <c r="E43">
        <v>8</v>
      </c>
      <c r="F43">
        <v>1</v>
      </c>
      <c r="G43">
        <v>0.42191800000000002</v>
      </c>
      <c r="H43">
        <v>0.124376</v>
      </c>
      <c r="I43">
        <v>0.12001000000000001</v>
      </c>
      <c r="J43" s="4">
        <f t="shared" si="0"/>
        <v>0.96489676464912844</v>
      </c>
      <c r="L43" s="4">
        <v>0.30516830284557667</v>
      </c>
      <c r="M43" s="4"/>
      <c r="N43">
        <v>0.101897</v>
      </c>
      <c r="O43">
        <v>9.5136999999999999E-2</v>
      </c>
      <c r="P43" s="4">
        <f t="shared" si="11"/>
        <v>0.8192657747475397</v>
      </c>
      <c r="Q43" s="4">
        <f t="shared" si="10"/>
        <v>0.79274227147737686</v>
      </c>
      <c r="R43">
        <v>0.100947</v>
      </c>
      <c r="S43" s="4">
        <f t="shared" si="3"/>
        <v>1.0610698256198954</v>
      </c>
      <c r="U43">
        <v>16</v>
      </c>
      <c r="V43">
        <v>128</v>
      </c>
      <c r="W43">
        <v>512</v>
      </c>
      <c r="X43">
        <v>8</v>
      </c>
      <c r="Y43">
        <v>1</v>
      </c>
      <c r="Z43">
        <v>0.14591499999999999</v>
      </c>
      <c r="AA43">
        <v>7.9536999999999997E-2</v>
      </c>
      <c r="AB43">
        <v>7.4436000000000002E-2</v>
      </c>
      <c r="AC43" s="4">
        <f t="shared" si="4"/>
        <v>0.93586632636383071</v>
      </c>
      <c r="AE43" s="5">
        <f t="shared" si="5"/>
        <v>0.54509132028920948</v>
      </c>
      <c r="AF43" s="5">
        <f t="shared" si="6"/>
        <v>0.51013261145187272</v>
      </c>
      <c r="AI43">
        <v>7.6300000000000007E-2</v>
      </c>
      <c r="AJ43">
        <v>6.9760000000000003E-2</v>
      </c>
      <c r="AK43" s="4">
        <f t="shared" si="7"/>
        <v>0.95930196009404445</v>
      </c>
      <c r="AL43" s="4">
        <f t="shared" si="8"/>
        <v>0.93718093395668767</v>
      </c>
      <c r="AN43">
        <v>7.1341000000000002E-2</v>
      </c>
      <c r="AO43" s="4">
        <f t="shared" si="9"/>
        <v>1.0226634174311926</v>
      </c>
      <c r="AQ43" s="4"/>
    </row>
    <row r="44" spans="2:43" x14ac:dyDescent="0.25">
      <c r="B44">
        <v>32</v>
      </c>
      <c r="C44">
        <v>576</v>
      </c>
      <c r="D44">
        <v>512</v>
      </c>
      <c r="E44">
        <v>8</v>
      </c>
      <c r="F44">
        <v>1</v>
      </c>
      <c r="G44">
        <v>0.770984</v>
      </c>
      <c r="H44">
        <v>0.15919700000000001</v>
      </c>
      <c r="I44">
        <v>0.174875</v>
      </c>
      <c r="J44" s="4">
        <f t="shared" si="0"/>
        <v>1.0984817553094592</v>
      </c>
      <c r="L44" s="4">
        <v>0.21573988565262056</v>
      </c>
      <c r="M44" s="4"/>
      <c r="N44">
        <v>0.14108499999999999</v>
      </c>
      <c r="O44">
        <v>0.14346999999999999</v>
      </c>
      <c r="P44" s="4">
        <f t="shared" si="11"/>
        <v>0.88622901185323832</v>
      </c>
      <c r="Q44" s="4">
        <f t="shared" si="10"/>
        <v>0.82041458184417437</v>
      </c>
      <c r="R44">
        <v>0.14499200000000001</v>
      </c>
      <c r="S44" s="4">
        <f t="shared" si="3"/>
        <v>1.0106084895797032</v>
      </c>
      <c r="U44">
        <v>32</v>
      </c>
      <c r="V44">
        <v>128</v>
      </c>
      <c r="W44">
        <v>512</v>
      </c>
      <c r="X44">
        <v>8</v>
      </c>
      <c r="Y44">
        <v>1</v>
      </c>
      <c r="Z44">
        <v>0.22480800000000001</v>
      </c>
      <c r="AA44">
        <v>9.6170000000000005E-2</v>
      </c>
      <c r="AB44">
        <v>9.7199999999999995E-2</v>
      </c>
      <c r="AC44" s="4">
        <f t="shared" si="4"/>
        <v>1.0107102006862847</v>
      </c>
      <c r="AE44" s="5">
        <f t="shared" si="5"/>
        <v>0.42778726735703354</v>
      </c>
      <c r="AF44" s="5">
        <f t="shared" si="6"/>
        <v>0.4323689548414647</v>
      </c>
      <c r="AI44">
        <v>9.5001000000000002E-2</v>
      </c>
      <c r="AJ44">
        <v>8.8511999999999993E-2</v>
      </c>
      <c r="AK44" s="4">
        <f t="shared" si="7"/>
        <v>0.98784444213372147</v>
      </c>
      <c r="AL44" s="4">
        <f t="shared" si="8"/>
        <v>0.91061728395061725</v>
      </c>
      <c r="AN44">
        <v>8.8345999999999994E-2</v>
      </c>
      <c r="AO44" s="4">
        <f t="shared" si="9"/>
        <v>0.99812454808387563</v>
      </c>
      <c r="AQ44" s="4"/>
    </row>
    <row r="45" spans="2:43" x14ac:dyDescent="0.25">
      <c r="B45">
        <v>64</v>
      </c>
      <c r="C45">
        <v>576</v>
      </c>
      <c r="D45">
        <v>512</v>
      </c>
      <c r="E45">
        <v>8</v>
      </c>
      <c r="F45">
        <v>1</v>
      </c>
      <c r="G45">
        <v>1.4782770000000001</v>
      </c>
      <c r="H45">
        <v>0.25500699999999998</v>
      </c>
      <c r="I45">
        <v>0.27660099999999999</v>
      </c>
      <c r="J45" s="4">
        <f t="shared" si="0"/>
        <v>1.0846800283913776</v>
      </c>
      <c r="L45" s="4">
        <v>0.19112994384678919</v>
      </c>
      <c r="M45" s="4"/>
      <c r="N45">
        <v>0.20156299999999999</v>
      </c>
      <c r="O45">
        <v>0.21299000000000001</v>
      </c>
      <c r="P45" s="4">
        <f t="shared" si="11"/>
        <v>0.79042143941146714</v>
      </c>
      <c r="Q45" s="4">
        <f t="shared" si="10"/>
        <v>0.77002613873413339</v>
      </c>
      <c r="R45">
        <v>0.226054</v>
      </c>
      <c r="S45" s="4">
        <f t="shared" si="3"/>
        <v>1.0613362129677448</v>
      </c>
      <c r="U45">
        <v>64</v>
      </c>
      <c r="V45">
        <v>128</v>
      </c>
      <c r="W45">
        <v>512</v>
      </c>
      <c r="X45">
        <v>8</v>
      </c>
      <c r="Y45">
        <v>1</v>
      </c>
      <c r="Z45">
        <v>0.433085</v>
      </c>
      <c r="AA45">
        <v>0.13566500000000001</v>
      </c>
      <c r="AB45">
        <v>0.13470699999999999</v>
      </c>
      <c r="AC45" s="4">
        <f t="shared" si="4"/>
        <v>0.99293848818781549</v>
      </c>
      <c r="AE45" s="5">
        <f t="shared" si="5"/>
        <v>0.31325259475622569</v>
      </c>
      <c r="AF45" s="5">
        <f t="shared" si="6"/>
        <v>0.31104055785815715</v>
      </c>
      <c r="AI45">
        <v>0.130217</v>
      </c>
      <c r="AJ45">
        <v>0.121696</v>
      </c>
      <c r="AK45" s="4">
        <f t="shared" si="7"/>
        <v>0.95984225850440419</v>
      </c>
      <c r="AL45" s="4">
        <f t="shared" si="8"/>
        <v>0.90341259177325606</v>
      </c>
      <c r="AN45">
        <v>0.12069100000000001</v>
      </c>
      <c r="AO45" s="4">
        <f t="shared" si="9"/>
        <v>0.99174171706547465</v>
      </c>
      <c r="AQ45" s="4"/>
    </row>
    <row r="46" spans="2:43" x14ac:dyDescent="0.25">
      <c r="B46">
        <v>128</v>
      </c>
      <c r="C46">
        <v>576</v>
      </c>
      <c r="D46">
        <v>512</v>
      </c>
      <c r="E46">
        <v>8</v>
      </c>
      <c r="F46">
        <v>1</v>
      </c>
      <c r="G46">
        <v>2.8951009999999999</v>
      </c>
      <c r="H46">
        <v>0.45979900000000001</v>
      </c>
      <c r="I46">
        <v>0.488259</v>
      </c>
      <c r="J46" s="4">
        <f t="shared" si="0"/>
        <v>1.0618966113453923</v>
      </c>
      <c r="L46" s="4">
        <v>0.17100923249309782</v>
      </c>
      <c r="M46" s="4"/>
      <c r="N46">
        <v>0.324679</v>
      </c>
      <c r="O46">
        <v>0.352993</v>
      </c>
      <c r="P46" s="4">
        <f t="shared" si="11"/>
        <v>0.70613246222806048</v>
      </c>
      <c r="Q46" s="4">
        <f t="shared" si="10"/>
        <v>0.72296260796011957</v>
      </c>
      <c r="R46">
        <v>0.39366400000000001</v>
      </c>
      <c r="S46" s="4">
        <f t="shared" si="3"/>
        <v>1.1152175822183443</v>
      </c>
      <c r="U46">
        <v>128</v>
      </c>
      <c r="V46">
        <v>128</v>
      </c>
      <c r="W46">
        <v>512</v>
      </c>
      <c r="X46">
        <v>8</v>
      </c>
      <c r="Y46">
        <v>1</v>
      </c>
      <c r="Z46">
        <v>0.75835399999999997</v>
      </c>
      <c r="AA46">
        <v>0.208178</v>
      </c>
      <c r="AB46">
        <v>0.212557</v>
      </c>
      <c r="AC46" s="4">
        <f t="shared" si="4"/>
        <v>1.0210348836092189</v>
      </c>
      <c r="AE46" s="5">
        <f t="shared" si="5"/>
        <v>0.27451295832816863</v>
      </c>
      <c r="AF46" s="5">
        <f t="shared" si="6"/>
        <v>0.28028730645582406</v>
      </c>
      <c r="AI46">
        <v>0.20120499999999999</v>
      </c>
      <c r="AJ46">
        <v>0.18859500000000001</v>
      </c>
      <c r="AK46" s="4">
        <f t="shared" si="7"/>
        <v>0.96650462584903296</v>
      </c>
      <c r="AL46" s="4">
        <f t="shared" si="8"/>
        <v>0.88726788579063509</v>
      </c>
      <c r="AN46">
        <v>0.18484500000000001</v>
      </c>
      <c r="AO46" s="4">
        <f t="shared" si="9"/>
        <v>0.98011612184840524</v>
      </c>
      <c r="AQ46" s="4"/>
    </row>
    <row r="47" spans="2:43" x14ac:dyDescent="0.25">
      <c r="B47">
        <v>256</v>
      </c>
      <c r="C47">
        <v>576</v>
      </c>
      <c r="D47">
        <v>512</v>
      </c>
      <c r="E47">
        <v>8</v>
      </c>
      <c r="F47">
        <v>1</v>
      </c>
      <c r="H47">
        <v>0.85981700000000005</v>
      </c>
      <c r="I47">
        <v>0.902756</v>
      </c>
      <c r="J47" s="4">
        <f t="shared" si="0"/>
        <v>1.0499396964702954</v>
      </c>
      <c r="L47" s="4"/>
      <c r="M47" s="4"/>
      <c r="N47">
        <v>0.70233100000000004</v>
      </c>
      <c r="O47">
        <v>0.73199899999999996</v>
      </c>
      <c r="P47" s="4">
        <f t="shared" si="11"/>
        <v>0.81683776896711746</v>
      </c>
      <c r="Q47" s="4">
        <f t="shared" si="10"/>
        <v>0.81084922171661</v>
      </c>
      <c r="R47">
        <v>0.70501100000000005</v>
      </c>
      <c r="S47" s="4">
        <f t="shared" si="3"/>
        <v>0.9631310971736301</v>
      </c>
      <c r="U47">
        <v>256</v>
      </c>
      <c r="V47">
        <v>128</v>
      </c>
      <c r="W47">
        <v>512</v>
      </c>
      <c r="X47">
        <v>8</v>
      </c>
      <c r="Y47">
        <v>1</v>
      </c>
      <c r="Z47">
        <v>1.4954289999999999</v>
      </c>
      <c r="AA47">
        <v>0.35464699999999999</v>
      </c>
      <c r="AB47">
        <v>0.36369099999999999</v>
      </c>
      <c r="AC47" s="4">
        <f t="shared" si="4"/>
        <v>1.0255014140821719</v>
      </c>
      <c r="AE47" s="5">
        <f t="shared" si="5"/>
        <v>0.2371540206857029</v>
      </c>
      <c r="AF47" s="5">
        <f t="shared" si="6"/>
        <v>0.24320178356846098</v>
      </c>
      <c r="AI47">
        <v>0.33974399999999999</v>
      </c>
      <c r="AJ47">
        <v>0.30509399999999998</v>
      </c>
      <c r="AK47" s="4">
        <f t="shared" si="7"/>
        <v>0.95797793298688561</v>
      </c>
      <c r="AL47" s="4">
        <f t="shared" si="8"/>
        <v>0.83888245791069893</v>
      </c>
      <c r="AN47">
        <v>0.30979200000000001</v>
      </c>
      <c r="AO47" s="4">
        <f t="shared" si="9"/>
        <v>1.0153985329111685</v>
      </c>
      <c r="AQ47" s="4"/>
    </row>
    <row r="48" spans="2:43" x14ac:dyDescent="0.25">
      <c r="B48">
        <v>512</v>
      </c>
      <c r="C48">
        <v>576</v>
      </c>
      <c r="D48">
        <v>512</v>
      </c>
      <c r="E48">
        <v>8</v>
      </c>
      <c r="F48">
        <v>1</v>
      </c>
      <c r="H48">
        <v>1.6747609999999999</v>
      </c>
      <c r="I48">
        <v>1.7288140000000001</v>
      </c>
      <c r="J48" s="4">
        <f t="shared" si="0"/>
        <v>1.0322750529777085</v>
      </c>
      <c r="L48" s="4"/>
      <c r="M48" s="4"/>
      <c r="N48">
        <v>1.3776250000000001</v>
      </c>
      <c r="O48">
        <v>1.4149560000000001</v>
      </c>
      <c r="P48" s="4">
        <f t="shared" si="11"/>
        <v>0.82258005769181397</v>
      </c>
      <c r="Q48" s="4">
        <f t="shared" si="10"/>
        <v>0.81845473255075452</v>
      </c>
      <c r="R48">
        <v>1.3288390000000001</v>
      </c>
      <c r="S48" s="4">
        <f t="shared" si="3"/>
        <v>0.93913803680114438</v>
      </c>
      <c r="U48">
        <v>512</v>
      </c>
      <c r="V48">
        <v>128</v>
      </c>
      <c r="W48">
        <v>512</v>
      </c>
      <c r="X48">
        <v>8</v>
      </c>
      <c r="Y48">
        <v>1</v>
      </c>
      <c r="Z48">
        <v>3.0800149999999999</v>
      </c>
      <c r="AA48">
        <v>0.63420500000000002</v>
      </c>
      <c r="AB48">
        <v>0.65984200000000004</v>
      </c>
      <c r="AC48" s="4">
        <f t="shared" si="4"/>
        <v>1.0404238377180881</v>
      </c>
      <c r="AE48" s="5">
        <f t="shared" si="5"/>
        <v>0.20590971147867787</v>
      </c>
      <c r="AF48" s="5">
        <f t="shared" si="6"/>
        <v>0.21423337224007027</v>
      </c>
      <c r="AI48">
        <v>0.61403700000000005</v>
      </c>
      <c r="AJ48">
        <v>0.53994200000000003</v>
      </c>
      <c r="AK48" s="4">
        <f t="shared" si="7"/>
        <v>0.96819955692559978</v>
      </c>
      <c r="AL48" s="4">
        <f t="shared" si="8"/>
        <v>0.81828983302063218</v>
      </c>
      <c r="AN48">
        <v>0.56068499999999999</v>
      </c>
      <c r="AO48" s="4">
        <f t="shared" si="9"/>
        <v>1.0384170892429185</v>
      </c>
      <c r="AQ48" s="4"/>
    </row>
    <row r="49" spans="2:43" x14ac:dyDescent="0.25">
      <c r="B49">
        <v>1</v>
      </c>
      <c r="C49">
        <v>576</v>
      </c>
      <c r="D49">
        <v>1024</v>
      </c>
      <c r="E49">
        <v>8</v>
      </c>
      <c r="F49">
        <v>1</v>
      </c>
      <c r="G49">
        <v>0.143207</v>
      </c>
      <c r="H49">
        <v>0.117628</v>
      </c>
      <c r="I49">
        <v>0.105506</v>
      </c>
      <c r="J49" s="4">
        <f t="shared" si="0"/>
        <v>0.89694630530145891</v>
      </c>
      <c r="L49" s="5">
        <v>0.82137046373431466</v>
      </c>
      <c r="M49" s="5"/>
      <c r="N49">
        <v>0.117534</v>
      </c>
      <c r="O49">
        <v>0.104295</v>
      </c>
      <c r="P49" s="4">
        <f t="shared" si="11"/>
        <v>0.99920087054102769</v>
      </c>
      <c r="Q49" s="4">
        <f t="shared" si="10"/>
        <v>0.98852197979261835</v>
      </c>
      <c r="R49">
        <v>0.122227</v>
      </c>
      <c r="S49" s="4">
        <f t="shared" si="3"/>
        <v>1.1719353756172397</v>
      </c>
      <c r="U49" s="8">
        <v>1</v>
      </c>
      <c r="V49" s="8">
        <v>128</v>
      </c>
      <c r="W49" s="8">
        <f>1024</f>
        <v>1024</v>
      </c>
      <c r="X49" s="8">
        <v>8</v>
      </c>
      <c r="Y49" s="8">
        <v>1</v>
      </c>
      <c r="Z49" s="8">
        <v>7.5610999999999998E-2</v>
      </c>
      <c r="AA49" s="8">
        <v>9.1335E-2</v>
      </c>
      <c r="AB49">
        <v>7.7041999999999999E-2</v>
      </c>
      <c r="AC49" s="4">
        <f t="shared" si="4"/>
        <v>0.84351015492418024</v>
      </c>
      <c r="AE49" s="5">
        <f t="shared" si="5"/>
        <v>1.2079591593815715</v>
      </c>
      <c r="AF49" s="5">
        <f t="shared" si="6"/>
        <v>1.0189258176720319</v>
      </c>
      <c r="AI49">
        <v>9.0740000000000001E-2</v>
      </c>
      <c r="AJ49">
        <v>7.5411000000000006E-2</v>
      </c>
      <c r="AK49" s="4">
        <f t="shared" si="7"/>
        <v>0.99348552033722015</v>
      </c>
      <c r="AL49" s="4">
        <f t="shared" si="8"/>
        <v>0.97882972923859723</v>
      </c>
      <c r="AN49">
        <v>8.0762E-2</v>
      </c>
      <c r="AO49" s="4">
        <f t="shared" si="9"/>
        <v>1.0709578178249857</v>
      </c>
      <c r="AQ49" s="4"/>
    </row>
    <row r="50" spans="2:43" x14ac:dyDescent="0.25">
      <c r="B50">
        <v>2</v>
      </c>
      <c r="C50">
        <v>576</v>
      </c>
      <c r="D50">
        <v>1024</v>
      </c>
      <c r="E50">
        <v>8</v>
      </c>
      <c r="F50">
        <v>1</v>
      </c>
      <c r="G50">
        <v>0.14538100000000001</v>
      </c>
      <c r="H50">
        <v>0.13514699999999999</v>
      </c>
      <c r="I50">
        <v>0.124782</v>
      </c>
      <c r="J50" s="4">
        <f t="shared" si="0"/>
        <v>0.92330573375657632</v>
      </c>
      <c r="L50" s="5">
        <v>0.92883526733204458</v>
      </c>
      <c r="M50" s="5"/>
      <c r="N50">
        <v>0.12428400000000001</v>
      </c>
      <c r="O50">
        <v>0.110886</v>
      </c>
      <c r="P50" s="4">
        <f t="shared" si="11"/>
        <v>0.91962085728873011</v>
      </c>
      <c r="Q50" s="4">
        <f t="shared" si="10"/>
        <v>0.88863778429581186</v>
      </c>
      <c r="R50">
        <v>0.12361</v>
      </c>
      <c r="S50" s="4">
        <f t="shared" si="3"/>
        <v>1.1147484804213337</v>
      </c>
      <c r="U50" s="8">
        <v>2</v>
      </c>
      <c r="V50" s="8">
        <v>128</v>
      </c>
      <c r="W50" s="8">
        <f>1024</f>
        <v>1024</v>
      </c>
      <c r="X50" s="8">
        <v>8</v>
      </c>
      <c r="Y50" s="8">
        <v>1</v>
      </c>
      <c r="Z50" s="8">
        <v>7.6846999999999999E-2</v>
      </c>
      <c r="AA50" s="8">
        <v>9.5576999999999995E-2</v>
      </c>
      <c r="AB50">
        <v>8.1587999999999994E-2</v>
      </c>
      <c r="AC50" s="4">
        <f t="shared" si="4"/>
        <v>0.85363633510154113</v>
      </c>
      <c r="AE50" s="5">
        <f t="shared" si="5"/>
        <v>1.2437310500084584</v>
      </c>
      <c r="AF50" s="5">
        <f t="shared" si="6"/>
        <v>1.061694015381212</v>
      </c>
      <c r="AI50">
        <v>9.1408000000000003E-2</v>
      </c>
      <c r="AJ50">
        <v>7.6448000000000002E-2</v>
      </c>
      <c r="AK50" s="4">
        <f t="shared" si="7"/>
        <v>0.95638071921068879</v>
      </c>
      <c r="AL50" s="4">
        <f t="shared" si="8"/>
        <v>0.93700053929499449</v>
      </c>
      <c r="AN50">
        <v>8.1446000000000005E-2</v>
      </c>
      <c r="AO50" s="4">
        <f t="shared" si="9"/>
        <v>1.0653777731268312</v>
      </c>
      <c r="AQ50" s="4"/>
    </row>
    <row r="51" spans="2:43" x14ac:dyDescent="0.25">
      <c r="B51">
        <v>4</v>
      </c>
      <c r="C51">
        <v>576</v>
      </c>
      <c r="D51">
        <v>1024</v>
      </c>
      <c r="E51">
        <v>8</v>
      </c>
      <c r="F51">
        <v>1</v>
      </c>
      <c r="G51">
        <v>0.22856699999999999</v>
      </c>
      <c r="H51">
        <v>0.13944899999999999</v>
      </c>
      <c r="I51">
        <v>0.128888</v>
      </c>
      <c r="J51" s="4">
        <f t="shared" si="0"/>
        <v>0.92426621919124563</v>
      </c>
      <c r="L51" s="5">
        <v>0.61053870418739364</v>
      </c>
      <c r="M51" s="5"/>
      <c r="N51">
        <v>0.153645</v>
      </c>
      <c r="O51">
        <v>0.136709</v>
      </c>
      <c r="P51" s="4">
        <f t="shared" si="11"/>
        <v>1.1018006583051869</v>
      </c>
      <c r="Q51" s="4">
        <f t="shared" si="10"/>
        <v>1.0606805909006269</v>
      </c>
      <c r="R51">
        <v>0.14041600000000001</v>
      </c>
      <c r="S51" s="4">
        <f t="shared" si="3"/>
        <v>1.0271159909003797</v>
      </c>
      <c r="U51" s="8">
        <v>4</v>
      </c>
      <c r="V51" s="8">
        <v>128</v>
      </c>
      <c r="W51" s="8">
        <f>1024</f>
        <v>1024</v>
      </c>
      <c r="X51" s="8">
        <v>8</v>
      </c>
      <c r="Y51" s="8">
        <v>1</v>
      </c>
      <c r="Z51" s="8">
        <v>9.5550999999999997E-2</v>
      </c>
      <c r="AA51" s="8">
        <v>9.5688999999999996E-2</v>
      </c>
      <c r="AB51">
        <v>8.1925999999999999E-2</v>
      </c>
      <c r="AC51" s="4">
        <f t="shared" si="4"/>
        <v>0.85616946566481</v>
      </c>
      <c r="AE51" s="5">
        <f t="shared" si="5"/>
        <v>1.0014442549005242</v>
      </c>
      <c r="AF51" s="5">
        <f t="shared" si="6"/>
        <v>0.8574059926112757</v>
      </c>
      <c r="AI51">
        <v>9.7275E-2</v>
      </c>
      <c r="AJ51">
        <v>8.3129999999999996E-2</v>
      </c>
      <c r="AK51" s="4">
        <f t="shared" si="7"/>
        <v>1.0165745278976686</v>
      </c>
      <c r="AL51" s="4">
        <f t="shared" si="8"/>
        <v>1.0146961892439519</v>
      </c>
      <c r="AN51">
        <v>8.3930000000000005E-2</v>
      </c>
      <c r="AO51" s="4">
        <f t="shared" si="9"/>
        <v>1.0096234812943583</v>
      </c>
      <c r="AQ51" s="4"/>
    </row>
    <row r="52" spans="2:43" x14ac:dyDescent="0.25">
      <c r="B52">
        <v>8</v>
      </c>
      <c r="C52">
        <v>576</v>
      </c>
      <c r="D52">
        <v>1024</v>
      </c>
      <c r="E52">
        <v>8</v>
      </c>
      <c r="F52">
        <v>1</v>
      </c>
      <c r="G52">
        <v>0.40549099999999999</v>
      </c>
      <c r="H52">
        <v>0.16772999999999999</v>
      </c>
      <c r="I52">
        <v>0.15551200000000001</v>
      </c>
      <c r="J52" s="4">
        <f t="shared" si="0"/>
        <v>0.92715673999880777</v>
      </c>
      <c r="L52" s="4">
        <v>0.4220784185099053</v>
      </c>
      <c r="M52" s="4"/>
      <c r="N52">
        <v>0.15667500000000001</v>
      </c>
      <c r="O52">
        <v>0.14305499999999999</v>
      </c>
      <c r="P52" s="4">
        <f t="shared" si="11"/>
        <v>0.93409050259345383</v>
      </c>
      <c r="Q52" s="4">
        <f t="shared" si="10"/>
        <v>0.91989685683419919</v>
      </c>
      <c r="R52">
        <v>0.13992299999999999</v>
      </c>
      <c r="S52" s="4">
        <f t="shared" si="3"/>
        <v>0.97810632274300102</v>
      </c>
      <c r="U52">
        <v>8</v>
      </c>
      <c r="V52">
        <v>128</v>
      </c>
      <c r="W52">
        <f>1024</f>
        <v>1024</v>
      </c>
      <c r="X52">
        <v>8</v>
      </c>
      <c r="Y52">
        <v>1</v>
      </c>
      <c r="Z52">
        <v>0.14337</v>
      </c>
      <c r="AA52">
        <v>0.101011</v>
      </c>
      <c r="AB52">
        <v>8.7368000000000001E-2</v>
      </c>
      <c r="AC52" s="4">
        <f t="shared" si="4"/>
        <v>0.86493550207403147</v>
      </c>
      <c r="AE52" s="5">
        <f t="shared" si="5"/>
        <v>0.70454767385087536</v>
      </c>
      <c r="AF52" s="5">
        <f t="shared" si="6"/>
        <v>0.60938829601729794</v>
      </c>
      <c r="AI52">
        <v>9.8317000000000002E-2</v>
      </c>
      <c r="AJ52">
        <v>8.2720000000000002E-2</v>
      </c>
      <c r="AK52" s="4">
        <f t="shared" si="7"/>
        <v>0.97332963736622746</v>
      </c>
      <c r="AL52" s="4">
        <f t="shared" si="8"/>
        <v>0.94679974361322228</v>
      </c>
      <c r="AN52">
        <v>8.4134E-2</v>
      </c>
      <c r="AO52" s="4">
        <f t="shared" si="9"/>
        <v>1.0170938104448743</v>
      </c>
      <c r="AQ52" s="4"/>
    </row>
    <row r="53" spans="2:43" x14ac:dyDescent="0.25">
      <c r="B53">
        <v>16</v>
      </c>
      <c r="C53">
        <v>576</v>
      </c>
      <c r="D53">
        <v>1024</v>
      </c>
      <c r="E53">
        <v>8</v>
      </c>
      <c r="F53">
        <v>1</v>
      </c>
      <c r="G53">
        <v>0.74856</v>
      </c>
      <c r="H53">
        <v>0.18482899999999999</v>
      </c>
      <c r="I53">
        <v>0.175374</v>
      </c>
      <c r="J53" s="4">
        <f t="shared" si="0"/>
        <v>0.94884460771848578</v>
      </c>
      <c r="L53" s="4">
        <v>0.25046088489900609</v>
      </c>
      <c r="M53" s="4"/>
      <c r="N53">
        <v>0.156137</v>
      </c>
      <c r="O53">
        <v>0.13755700000000001</v>
      </c>
      <c r="P53" s="4">
        <f t="shared" si="11"/>
        <v>0.8447646202706286</v>
      </c>
      <c r="Q53" s="4">
        <f t="shared" si="10"/>
        <v>0.78436370271533984</v>
      </c>
      <c r="R53">
        <v>0.140544</v>
      </c>
      <c r="S53" s="4">
        <f t="shared" si="3"/>
        <v>1.0217146346605406</v>
      </c>
      <c r="U53">
        <v>16</v>
      </c>
      <c r="V53">
        <v>128</v>
      </c>
      <c r="W53">
        <f>1024</f>
        <v>1024</v>
      </c>
      <c r="X53">
        <v>8</v>
      </c>
      <c r="Y53">
        <v>1</v>
      </c>
      <c r="Z53">
        <v>0.22483700000000001</v>
      </c>
      <c r="AA53">
        <v>0.10489900000000001</v>
      </c>
      <c r="AB53">
        <v>9.1359999999999997E-2</v>
      </c>
      <c r="AC53" s="4">
        <f t="shared" si="4"/>
        <v>0.87093299268820479</v>
      </c>
      <c r="AE53" s="5">
        <f t="shared" si="5"/>
        <v>0.46655577151447492</v>
      </c>
      <c r="AF53" s="5">
        <f t="shared" si="6"/>
        <v>0.40633881434105595</v>
      </c>
      <c r="AI53">
        <v>9.8088999999999996E-2</v>
      </c>
      <c r="AJ53">
        <v>8.3814E-2</v>
      </c>
      <c r="AK53" s="4">
        <f t="shared" si="7"/>
        <v>0.93508041068074998</v>
      </c>
      <c r="AL53" s="4">
        <f t="shared" si="8"/>
        <v>0.91740367775831877</v>
      </c>
      <c r="AN53">
        <v>8.4845000000000004E-2</v>
      </c>
      <c r="AO53" s="4">
        <f t="shared" si="9"/>
        <v>1.0123010475576872</v>
      </c>
      <c r="AQ53" s="4"/>
    </row>
    <row r="54" spans="2:43" x14ac:dyDescent="0.25">
      <c r="B54">
        <v>32</v>
      </c>
      <c r="C54">
        <v>576</v>
      </c>
      <c r="D54">
        <v>1024</v>
      </c>
      <c r="E54">
        <v>8</v>
      </c>
      <c r="F54">
        <v>1</v>
      </c>
      <c r="G54">
        <v>1.440847</v>
      </c>
      <c r="H54">
        <v>0.26082300000000003</v>
      </c>
      <c r="I54">
        <v>0.28098200000000001</v>
      </c>
      <c r="J54" s="4">
        <f t="shared" si="0"/>
        <v>1.0772899629250487</v>
      </c>
      <c r="L54" s="4">
        <v>0.18828855527339128</v>
      </c>
      <c r="M54" s="4"/>
      <c r="N54">
        <v>0.210975</v>
      </c>
      <c r="O54">
        <v>0.208511</v>
      </c>
      <c r="P54" s="4">
        <f t="shared" si="11"/>
        <v>0.80888188541654671</v>
      </c>
      <c r="Q54" s="4">
        <f t="shared" si="10"/>
        <v>0.74207956381547568</v>
      </c>
      <c r="R54">
        <v>0.21554599999999999</v>
      </c>
      <c r="S54" s="4">
        <f t="shared" si="3"/>
        <v>1.0337392271870549</v>
      </c>
      <c r="U54">
        <v>32</v>
      </c>
      <c r="V54">
        <v>128</v>
      </c>
      <c r="W54">
        <f>1024</f>
        <v>1024</v>
      </c>
      <c r="X54">
        <v>8</v>
      </c>
      <c r="Y54">
        <v>1</v>
      </c>
      <c r="Z54">
        <v>0.396422</v>
      </c>
      <c r="AA54">
        <v>0.135875</v>
      </c>
      <c r="AB54">
        <v>0.127475</v>
      </c>
      <c r="AC54" s="4">
        <f t="shared" si="4"/>
        <v>0.93817847286108558</v>
      </c>
      <c r="AE54" s="5">
        <f t="shared" si="5"/>
        <v>0.3427534294262175</v>
      </c>
      <c r="AF54" s="5">
        <f t="shared" si="6"/>
        <v>0.32156388898698862</v>
      </c>
      <c r="AI54">
        <v>0.13051399999999999</v>
      </c>
      <c r="AJ54">
        <v>0.111539</v>
      </c>
      <c r="AK54" s="4">
        <f t="shared" si="7"/>
        <v>0.96054461821527137</v>
      </c>
      <c r="AL54" s="4">
        <f t="shared" si="8"/>
        <v>0.8749872524024318</v>
      </c>
      <c r="AN54">
        <v>0.11376600000000001</v>
      </c>
      <c r="AO54" s="4">
        <f t="shared" si="9"/>
        <v>1.0199661105084321</v>
      </c>
      <c r="AQ54" s="4"/>
    </row>
    <row r="55" spans="2:43" x14ac:dyDescent="0.25">
      <c r="B55">
        <v>64</v>
      </c>
      <c r="C55">
        <v>576</v>
      </c>
      <c r="D55">
        <v>1024</v>
      </c>
      <c r="E55">
        <v>8</v>
      </c>
      <c r="F55">
        <v>1</v>
      </c>
      <c r="G55">
        <v>2.7965589999999998</v>
      </c>
      <c r="H55">
        <v>0.45156499999999999</v>
      </c>
      <c r="I55">
        <v>0.47519299999999998</v>
      </c>
      <c r="J55" s="4">
        <f t="shared" si="0"/>
        <v>1.0523246930120802</v>
      </c>
      <c r="L55" s="4">
        <v>0.17480911362856999</v>
      </c>
      <c r="M55" s="4"/>
      <c r="N55">
        <v>0.332154</v>
      </c>
      <c r="O55">
        <v>0.34027299999999999</v>
      </c>
      <c r="P55" s="4">
        <f t="shared" si="11"/>
        <v>0.73556187924219107</v>
      </c>
      <c r="Q55" s="4">
        <f t="shared" si="10"/>
        <v>0.71607325865490445</v>
      </c>
      <c r="R55">
        <v>0.37211499999999997</v>
      </c>
      <c r="S55" s="4">
        <f t="shared" si="3"/>
        <v>1.0935778037046724</v>
      </c>
      <c r="U55">
        <v>64</v>
      </c>
      <c r="V55">
        <v>128</v>
      </c>
      <c r="W55">
        <f>1024</f>
        <v>1024</v>
      </c>
      <c r="X55">
        <v>8</v>
      </c>
      <c r="Y55">
        <v>1</v>
      </c>
      <c r="Z55">
        <v>0.70907100000000001</v>
      </c>
      <c r="AA55">
        <v>0.20402799999999999</v>
      </c>
      <c r="AB55">
        <v>0.19656899999999999</v>
      </c>
      <c r="AC55" s="4">
        <f t="shared" si="4"/>
        <v>0.96344129237163534</v>
      </c>
      <c r="AE55" s="5">
        <f t="shared" si="5"/>
        <v>0.28773987372209553</v>
      </c>
      <c r="AF55" s="5">
        <f t="shared" si="6"/>
        <v>0.27722047580566683</v>
      </c>
      <c r="AI55">
        <v>0.194215</v>
      </c>
      <c r="AJ55">
        <v>0.166266</v>
      </c>
      <c r="AK55" s="4">
        <f t="shared" si="7"/>
        <v>0.95190366028192219</v>
      </c>
      <c r="AL55" s="4">
        <f t="shared" si="8"/>
        <v>0.84584039192344673</v>
      </c>
      <c r="AN55">
        <v>0.17202600000000001</v>
      </c>
      <c r="AO55" s="4">
        <f t="shared" si="9"/>
        <v>1.0346432824510123</v>
      </c>
      <c r="AQ55" s="4"/>
    </row>
    <row r="56" spans="2:43" x14ac:dyDescent="0.25">
      <c r="B56">
        <v>128</v>
      </c>
      <c r="C56">
        <v>576</v>
      </c>
      <c r="D56">
        <v>1024</v>
      </c>
      <c r="E56">
        <v>8</v>
      </c>
      <c r="F56">
        <v>1</v>
      </c>
      <c r="G56">
        <v>5.4246800000000004</v>
      </c>
      <c r="H56">
        <v>0.85325899999999999</v>
      </c>
      <c r="I56">
        <v>0.86334100000000003</v>
      </c>
      <c r="J56" s="4">
        <f t="shared" si="0"/>
        <v>1.0118158730233142</v>
      </c>
      <c r="L56" s="4">
        <v>0.16413742377430557</v>
      </c>
      <c r="M56" s="4"/>
      <c r="N56">
        <v>0.66184799999999999</v>
      </c>
      <c r="O56">
        <v>0.68449400000000005</v>
      </c>
      <c r="P56" s="4">
        <f t="shared" si="11"/>
        <v>0.7756706931892895</v>
      </c>
      <c r="Q56" s="4">
        <f t="shared" si="10"/>
        <v>0.79284315235810654</v>
      </c>
      <c r="R56">
        <v>0.66910099999999995</v>
      </c>
      <c r="S56" s="4">
        <f t="shared" si="3"/>
        <v>0.97751185547280162</v>
      </c>
      <c r="U56">
        <v>128</v>
      </c>
      <c r="V56">
        <v>128</v>
      </c>
      <c r="W56">
        <f>1024</f>
        <v>1024</v>
      </c>
      <c r="X56">
        <v>8</v>
      </c>
      <c r="Y56">
        <v>1</v>
      </c>
      <c r="Z56">
        <v>1.419009</v>
      </c>
      <c r="AA56">
        <v>0.34551900000000002</v>
      </c>
      <c r="AB56">
        <v>0.323019</v>
      </c>
      <c r="AC56" s="4">
        <f t="shared" si="4"/>
        <v>0.93488057096715371</v>
      </c>
      <c r="AE56" s="5">
        <f t="shared" si="5"/>
        <v>0.24349317023359263</v>
      </c>
      <c r="AF56" s="5">
        <f t="shared" si="6"/>
        <v>0.22763703401458343</v>
      </c>
      <c r="AI56">
        <v>0.32362200000000002</v>
      </c>
      <c r="AJ56">
        <v>0.26466600000000001</v>
      </c>
      <c r="AK56" s="4">
        <f t="shared" si="7"/>
        <v>0.93662577166523409</v>
      </c>
      <c r="AL56" s="4">
        <f t="shared" si="8"/>
        <v>0.81935118367650206</v>
      </c>
      <c r="AN56">
        <v>0.286381</v>
      </c>
      <c r="AO56" s="4">
        <f t="shared" si="9"/>
        <v>1.0820468061632396</v>
      </c>
      <c r="AQ56" s="4"/>
    </row>
    <row r="57" spans="2:43" x14ac:dyDescent="0.25">
      <c r="B57">
        <v>256</v>
      </c>
      <c r="C57">
        <v>576</v>
      </c>
      <c r="D57">
        <v>1024</v>
      </c>
      <c r="E57">
        <v>8</v>
      </c>
      <c r="F57">
        <v>1</v>
      </c>
      <c r="H57">
        <v>1.6530800000000001</v>
      </c>
      <c r="I57">
        <v>1.627472</v>
      </c>
      <c r="J57" s="4">
        <f t="shared" si="0"/>
        <v>0.98450891668884744</v>
      </c>
      <c r="L57" s="4"/>
      <c r="M57" s="4"/>
      <c r="N57">
        <v>1.242038</v>
      </c>
      <c r="O57">
        <v>1.289919</v>
      </c>
      <c r="P57" s="4">
        <f t="shared" si="11"/>
        <v>0.75134778716093586</v>
      </c>
      <c r="Q57" s="4">
        <f t="shared" si="10"/>
        <v>0.79259059449256275</v>
      </c>
      <c r="R57">
        <v>1.1936899999999999</v>
      </c>
      <c r="S57" s="4">
        <f t="shared" si="3"/>
        <v>0.92539919173219398</v>
      </c>
      <c r="U57">
        <v>256</v>
      </c>
      <c r="V57">
        <v>128</v>
      </c>
      <c r="W57">
        <f>1024</f>
        <v>1024</v>
      </c>
      <c r="X57">
        <v>8</v>
      </c>
      <c r="Y57">
        <v>1</v>
      </c>
      <c r="Z57">
        <v>2.8065660000000001</v>
      </c>
      <c r="AA57">
        <v>0.61458100000000004</v>
      </c>
      <c r="AB57">
        <v>0.566195</v>
      </c>
      <c r="AC57" s="4">
        <f t="shared" si="4"/>
        <v>0.92126993838078297</v>
      </c>
      <c r="AE57" s="5">
        <f t="shared" si="5"/>
        <v>0.21897970687309687</v>
      </c>
      <c r="AF57" s="5">
        <f t="shared" si="6"/>
        <v>0.20173942105761988</v>
      </c>
      <c r="AI57">
        <v>0.58084100000000005</v>
      </c>
      <c r="AJ57">
        <v>0.45092500000000002</v>
      </c>
      <c r="AK57" s="4">
        <f t="shared" si="7"/>
        <v>0.9451008085183239</v>
      </c>
      <c r="AL57" s="4">
        <f t="shared" si="8"/>
        <v>0.79641289661688996</v>
      </c>
      <c r="AN57">
        <v>0.511405</v>
      </c>
      <c r="AO57" s="4">
        <f t="shared" si="9"/>
        <v>1.1341243000498973</v>
      </c>
      <c r="AQ57" s="4"/>
    </row>
    <row r="58" spans="2:43" x14ac:dyDescent="0.25">
      <c r="B58">
        <v>512</v>
      </c>
      <c r="C58">
        <v>576</v>
      </c>
      <c r="D58">
        <v>1024</v>
      </c>
      <c r="E58">
        <v>8</v>
      </c>
      <c r="F58">
        <v>1</v>
      </c>
      <c r="H58">
        <v>3.284351</v>
      </c>
      <c r="I58">
        <v>3.1558760000000001</v>
      </c>
      <c r="J58" s="4">
        <f t="shared" si="0"/>
        <v>0.96088268275832889</v>
      </c>
      <c r="L58" s="4"/>
      <c r="M58" s="4"/>
      <c r="N58">
        <v>2.4346610000000002</v>
      </c>
      <c r="O58">
        <v>2.4917690000000001</v>
      </c>
      <c r="P58" s="4">
        <f t="shared" si="11"/>
        <v>0.74129135406051305</v>
      </c>
      <c r="Q58" s="4">
        <f t="shared" si="10"/>
        <v>0.7895649258716122</v>
      </c>
      <c r="R58">
        <v>2.3338369999999999</v>
      </c>
      <c r="S58" s="4">
        <f t="shared" si="3"/>
        <v>0.93661852282454749</v>
      </c>
      <c r="U58">
        <v>512</v>
      </c>
      <c r="V58">
        <v>128</v>
      </c>
      <c r="W58">
        <f>1024</f>
        <v>1024</v>
      </c>
      <c r="X58">
        <v>8</v>
      </c>
      <c r="Y58">
        <v>1</v>
      </c>
      <c r="Z58">
        <v>5.7231160000000001</v>
      </c>
      <c r="AA58">
        <v>1.1362239999999999</v>
      </c>
      <c r="AB58">
        <v>1.0374760000000001</v>
      </c>
      <c r="AC58" s="4">
        <f t="shared" si="4"/>
        <v>0.91309108063198818</v>
      </c>
      <c r="AE58" s="5">
        <f t="shared" si="5"/>
        <v>0.19853240787011828</v>
      </c>
      <c r="AF58" s="5">
        <f t="shared" si="6"/>
        <v>0.18127817084259695</v>
      </c>
      <c r="AI58">
        <v>1.097183</v>
      </c>
      <c r="AJ58">
        <v>0.80884500000000004</v>
      </c>
      <c r="AK58" s="4">
        <f t="shared" si="7"/>
        <v>0.96563969780606651</v>
      </c>
      <c r="AL58" s="4">
        <f t="shared" si="8"/>
        <v>0.77962767331485261</v>
      </c>
      <c r="AN58">
        <v>0.95843199999999995</v>
      </c>
      <c r="AO58" s="4">
        <f t="shared" si="9"/>
        <v>1.1849390179824317</v>
      </c>
      <c r="AQ58" s="4"/>
    </row>
    <row r="59" spans="2:43" x14ac:dyDescent="0.25">
      <c r="B59">
        <v>1</v>
      </c>
      <c r="C59">
        <v>576</v>
      </c>
      <c r="D59">
        <v>2048</v>
      </c>
      <c r="E59">
        <v>8</v>
      </c>
      <c r="F59">
        <v>1</v>
      </c>
      <c r="G59">
        <v>0.22698499999999999</v>
      </c>
      <c r="H59">
        <v>0.1709</v>
      </c>
      <c r="I59">
        <v>0.14333499999999999</v>
      </c>
      <c r="J59" s="4">
        <f t="shared" si="0"/>
        <v>0.8387068461088355</v>
      </c>
      <c r="L59" s="5">
        <v>0.7569310747406216</v>
      </c>
      <c r="M59" s="5"/>
      <c r="N59">
        <v>0.170233</v>
      </c>
      <c r="O59">
        <v>0.14049200000000001</v>
      </c>
      <c r="P59" s="4">
        <f t="shared" si="11"/>
        <v>0.99609713282621415</v>
      </c>
      <c r="Q59" s="4">
        <f t="shared" si="10"/>
        <v>0.98016534691457091</v>
      </c>
      <c r="R59">
        <v>0.155501</v>
      </c>
      <c r="S59" s="4">
        <f t="shared" si="3"/>
        <v>1.1068317057198986</v>
      </c>
      <c r="U59" s="8">
        <v>1</v>
      </c>
      <c r="V59" s="8">
        <v>128</v>
      </c>
      <c r="W59" s="8">
        <f>2048</f>
        <v>2048</v>
      </c>
      <c r="X59" s="8">
        <v>8</v>
      </c>
      <c r="Y59" s="8">
        <v>1</v>
      </c>
      <c r="Z59" s="8">
        <v>9.5191999999999999E-2</v>
      </c>
      <c r="AA59" s="8">
        <v>0.125837</v>
      </c>
      <c r="AB59">
        <v>9.6602999999999994E-2</v>
      </c>
      <c r="AC59" s="4">
        <f t="shared" si="4"/>
        <v>0.7676835906768279</v>
      </c>
      <c r="AE59" s="5">
        <f t="shared" si="5"/>
        <v>1.321928313303639</v>
      </c>
      <c r="AF59" s="5">
        <f t="shared" si="6"/>
        <v>1.0148226741743003</v>
      </c>
      <c r="AI59">
        <v>0.12587899999999999</v>
      </c>
      <c r="AJ59">
        <v>9.4707E-2</v>
      </c>
      <c r="AK59" s="4">
        <f t="shared" si="7"/>
        <v>1.0003337651088311</v>
      </c>
      <c r="AL59" s="4">
        <f t="shared" si="8"/>
        <v>0.98037328033290894</v>
      </c>
      <c r="AN59">
        <v>0.100838</v>
      </c>
      <c r="AO59" s="4">
        <f t="shared" si="9"/>
        <v>1.0647365031095906</v>
      </c>
      <c r="AQ59" s="4"/>
    </row>
    <row r="60" spans="2:43" x14ac:dyDescent="0.25">
      <c r="B60">
        <v>2</v>
      </c>
      <c r="C60">
        <v>576</v>
      </c>
      <c r="D60">
        <v>2048</v>
      </c>
      <c r="E60">
        <v>8</v>
      </c>
      <c r="F60">
        <v>1</v>
      </c>
      <c r="G60">
        <v>0.22805500000000001</v>
      </c>
      <c r="H60">
        <v>0.20899100000000001</v>
      </c>
      <c r="I60">
        <v>0.18237500000000001</v>
      </c>
      <c r="J60" s="4">
        <f t="shared" si="0"/>
        <v>0.87264523352680257</v>
      </c>
      <c r="L60" s="5">
        <v>0.91761636447348227</v>
      </c>
      <c r="M60" s="5"/>
      <c r="N60">
        <v>0.18362500000000001</v>
      </c>
      <c r="O60">
        <v>0.15376699999999999</v>
      </c>
      <c r="P60" s="4">
        <f t="shared" si="11"/>
        <v>0.87862635233096165</v>
      </c>
      <c r="Q60" s="4">
        <f t="shared" si="10"/>
        <v>0.84313639479095259</v>
      </c>
      <c r="R60">
        <v>0.15665299999999999</v>
      </c>
      <c r="S60" s="4">
        <f t="shared" si="3"/>
        <v>1.0187686564737557</v>
      </c>
      <c r="U60" s="8">
        <v>2</v>
      </c>
      <c r="V60" s="8">
        <v>128</v>
      </c>
      <c r="W60" s="8">
        <f>2048</f>
        <v>2048</v>
      </c>
      <c r="X60" s="8">
        <v>8</v>
      </c>
      <c r="Y60" s="8">
        <v>1</v>
      </c>
      <c r="Z60" s="8">
        <v>9.6858E-2</v>
      </c>
      <c r="AA60" s="8">
        <v>0.134188</v>
      </c>
      <c r="AB60">
        <v>0.104584</v>
      </c>
      <c r="AC60" s="4">
        <f t="shared" si="4"/>
        <v>0.77938414761379549</v>
      </c>
      <c r="AE60" s="5">
        <f t="shared" si="5"/>
        <v>1.3854095686468852</v>
      </c>
      <c r="AF60" s="5">
        <f t="shared" si="6"/>
        <v>1.0797662557558487</v>
      </c>
      <c r="AI60">
        <v>0.12769</v>
      </c>
      <c r="AJ60">
        <v>9.6773999999999999E-2</v>
      </c>
      <c r="AK60" s="4">
        <f t="shared" si="7"/>
        <v>0.95157540167526156</v>
      </c>
      <c r="AL60" s="4">
        <f t="shared" si="8"/>
        <v>0.92532318519085144</v>
      </c>
      <c r="AN60">
        <v>0.101702</v>
      </c>
      <c r="AO60" s="4">
        <f t="shared" si="9"/>
        <v>1.0509227685122038</v>
      </c>
      <c r="AQ60" s="4"/>
    </row>
    <row r="61" spans="2:43" x14ac:dyDescent="0.25">
      <c r="B61">
        <v>4</v>
      </c>
      <c r="C61">
        <v>576</v>
      </c>
      <c r="D61">
        <v>2048</v>
      </c>
      <c r="E61">
        <v>8</v>
      </c>
      <c r="F61">
        <v>1</v>
      </c>
      <c r="G61">
        <v>0.39781</v>
      </c>
      <c r="H61">
        <v>0.21837599999999999</v>
      </c>
      <c r="I61">
        <v>0.191524</v>
      </c>
      <c r="J61" s="4">
        <f t="shared" si="0"/>
        <v>0.87703776971828407</v>
      </c>
      <c r="L61" s="5">
        <v>0.54928986199441954</v>
      </c>
      <c r="M61" s="5"/>
      <c r="N61">
        <v>0.238372</v>
      </c>
      <c r="O61">
        <v>0.20457700000000001</v>
      </c>
      <c r="P61" s="4">
        <f t="shared" si="11"/>
        <v>1.0915668388467599</v>
      </c>
      <c r="Q61" s="4">
        <f t="shared" si="10"/>
        <v>1.0681533384849942</v>
      </c>
      <c r="R61">
        <v>0.18238699999999999</v>
      </c>
      <c r="S61" s="4">
        <f t="shared" si="3"/>
        <v>0.89153228368780457</v>
      </c>
      <c r="U61" s="8">
        <v>4</v>
      </c>
      <c r="V61" s="8">
        <v>128</v>
      </c>
      <c r="W61" s="8">
        <f>2048</f>
        <v>2048</v>
      </c>
      <c r="X61" s="8">
        <v>8</v>
      </c>
      <c r="Y61" s="8">
        <v>1</v>
      </c>
      <c r="Z61" s="8">
        <v>0.13390199999999999</v>
      </c>
      <c r="AA61" s="8">
        <v>0.13600100000000001</v>
      </c>
      <c r="AB61">
        <v>0.106113</v>
      </c>
      <c r="AC61" s="4">
        <f t="shared" si="4"/>
        <v>0.78023691002272033</v>
      </c>
      <c r="AE61" s="5">
        <f t="shared" si="5"/>
        <v>1.0156756433809802</v>
      </c>
      <c r="AF61" s="5">
        <f t="shared" si="6"/>
        <v>0.79246762557691452</v>
      </c>
      <c r="AI61">
        <v>0.14127700000000001</v>
      </c>
      <c r="AJ61">
        <v>0.111578</v>
      </c>
      <c r="AK61" s="4">
        <f t="shared" si="7"/>
        <v>1.0387938323982913</v>
      </c>
      <c r="AL61" s="4">
        <f t="shared" si="8"/>
        <v>1.0515017010168406</v>
      </c>
      <c r="AN61">
        <v>0.104032</v>
      </c>
      <c r="AO61" s="4">
        <f t="shared" si="9"/>
        <v>0.93237018050153253</v>
      </c>
      <c r="AQ61" s="4"/>
    </row>
    <row r="62" spans="2:43" x14ac:dyDescent="0.25">
      <c r="B62">
        <v>8</v>
      </c>
      <c r="C62">
        <v>576</v>
      </c>
      <c r="D62">
        <v>2048</v>
      </c>
      <c r="E62">
        <v>8</v>
      </c>
      <c r="F62">
        <v>1</v>
      </c>
      <c r="G62">
        <v>0.74311099999999997</v>
      </c>
      <c r="H62">
        <v>0.27498800000000001</v>
      </c>
      <c r="I62">
        <v>0.24663499999999999</v>
      </c>
      <c r="J62" s="4">
        <f t="shared" si="0"/>
        <v>0.89689368263342395</v>
      </c>
      <c r="L62" s="4">
        <v>0.37885322650317382</v>
      </c>
      <c r="M62" s="4"/>
      <c r="N62">
        <v>0.24685799999999999</v>
      </c>
      <c r="O62">
        <v>0.21205599999999999</v>
      </c>
      <c r="P62" s="4">
        <f t="shared" si="11"/>
        <v>0.89770462711100119</v>
      </c>
      <c r="Q62" s="4">
        <f t="shared" si="10"/>
        <v>0.85979686581385451</v>
      </c>
      <c r="R62">
        <v>0.184422</v>
      </c>
      <c r="S62" s="4">
        <f t="shared" si="3"/>
        <v>0.8696853661297016</v>
      </c>
      <c r="U62">
        <v>8</v>
      </c>
      <c r="V62">
        <v>128</v>
      </c>
      <c r="W62">
        <f>2048</f>
        <v>2048</v>
      </c>
      <c r="X62">
        <v>8</v>
      </c>
      <c r="Y62">
        <v>1</v>
      </c>
      <c r="Z62">
        <v>0.218556</v>
      </c>
      <c r="AA62">
        <v>0.14746999999999999</v>
      </c>
      <c r="AB62">
        <v>0.117908</v>
      </c>
      <c r="AC62" s="4">
        <f t="shared" si="4"/>
        <v>0.79953888926561334</v>
      </c>
      <c r="AE62" s="5">
        <f t="shared" si="5"/>
        <v>0.6747469756035066</v>
      </c>
      <c r="AF62" s="5">
        <f t="shared" si="6"/>
        <v>0.53948644740935958</v>
      </c>
      <c r="AI62">
        <v>0.14383299999999999</v>
      </c>
      <c r="AJ62">
        <v>0.111078</v>
      </c>
      <c r="AK62" s="4">
        <f t="shared" si="7"/>
        <v>0.97533735675052557</v>
      </c>
      <c r="AL62" s="4">
        <f t="shared" si="8"/>
        <v>0.9420734810190996</v>
      </c>
      <c r="AN62">
        <v>0.103904</v>
      </c>
      <c r="AO62" s="4">
        <f t="shared" si="9"/>
        <v>0.93541475359657178</v>
      </c>
      <c r="AQ62" s="4"/>
    </row>
    <row r="63" spans="2:43" x14ac:dyDescent="0.25">
      <c r="B63">
        <v>16</v>
      </c>
      <c r="C63">
        <v>576</v>
      </c>
      <c r="D63">
        <v>2048</v>
      </c>
      <c r="E63">
        <v>8</v>
      </c>
      <c r="F63">
        <v>1</v>
      </c>
      <c r="G63">
        <v>1.4152849999999999</v>
      </c>
      <c r="H63">
        <v>0.30992700000000001</v>
      </c>
      <c r="I63">
        <v>0.28092499999999998</v>
      </c>
      <c r="J63" s="4">
        <f t="shared" si="0"/>
        <v>0.90642312544566939</v>
      </c>
      <c r="L63" s="4">
        <v>0.23076765457134077</v>
      </c>
      <c r="M63" s="4"/>
      <c r="N63">
        <v>0.24620600000000001</v>
      </c>
      <c r="O63">
        <v>0.20979300000000001</v>
      </c>
      <c r="P63" s="4">
        <f t="shared" si="11"/>
        <v>0.794399971606217</v>
      </c>
      <c r="Q63" s="4">
        <f t="shared" si="10"/>
        <v>0.74679362819257822</v>
      </c>
      <c r="R63">
        <v>0.18581800000000001</v>
      </c>
      <c r="S63" s="4">
        <f t="shared" si="3"/>
        <v>0.88572068658153513</v>
      </c>
      <c r="U63">
        <v>16</v>
      </c>
      <c r="V63">
        <v>128</v>
      </c>
      <c r="W63">
        <f>2048</f>
        <v>2048</v>
      </c>
      <c r="X63">
        <v>8</v>
      </c>
      <c r="Y63">
        <v>1</v>
      </c>
      <c r="Z63">
        <v>0.38423299999999999</v>
      </c>
      <c r="AA63">
        <v>0.15895899999999999</v>
      </c>
      <c r="AB63">
        <v>0.12926499999999999</v>
      </c>
      <c r="AC63" s="4">
        <f t="shared" si="4"/>
        <v>0.81319711372114822</v>
      </c>
      <c r="AE63" s="5">
        <f t="shared" si="5"/>
        <v>0.41370470521792763</v>
      </c>
      <c r="AF63" s="5">
        <f t="shared" si="6"/>
        <v>0.33642347221607721</v>
      </c>
      <c r="AI63">
        <v>0.14434900000000001</v>
      </c>
      <c r="AJ63">
        <v>0.11328000000000001</v>
      </c>
      <c r="AK63" s="4">
        <f t="shared" si="7"/>
        <v>0.90808950735724314</v>
      </c>
      <c r="AL63" s="4">
        <f t="shared" si="8"/>
        <v>0.87633930298224583</v>
      </c>
      <c r="AN63">
        <v>0.104602</v>
      </c>
      <c r="AO63" s="4">
        <f t="shared" si="9"/>
        <v>0.92339336158192087</v>
      </c>
      <c r="AQ63" s="4"/>
    </row>
    <row r="64" spans="2:43" x14ac:dyDescent="0.25">
      <c r="B64">
        <v>32</v>
      </c>
      <c r="C64">
        <v>576</v>
      </c>
      <c r="D64">
        <v>2048</v>
      </c>
      <c r="E64">
        <v>8</v>
      </c>
      <c r="F64">
        <v>1</v>
      </c>
      <c r="G64">
        <v>2.7340749999999998</v>
      </c>
      <c r="H64">
        <v>0.459366</v>
      </c>
      <c r="I64">
        <v>0.490178</v>
      </c>
      <c r="J64" s="4">
        <f t="shared" si="0"/>
        <v>1.0670750556201374</v>
      </c>
      <c r="L64" s="4">
        <v>0.17739784022018415</v>
      </c>
      <c r="M64" s="4"/>
      <c r="N64">
        <v>0.36034699999999997</v>
      </c>
      <c r="O64">
        <v>0.33355099999999999</v>
      </c>
      <c r="P64" s="4">
        <f t="shared" si="11"/>
        <v>0.78444421224034855</v>
      </c>
      <c r="Q64" s="4">
        <f t="shared" si="10"/>
        <v>0.68046913570172463</v>
      </c>
      <c r="R64">
        <v>0.30341800000000002</v>
      </c>
      <c r="S64" s="4">
        <f t="shared" si="3"/>
        <v>0.90965999202520764</v>
      </c>
      <c r="U64">
        <v>32</v>
      </c>
      <c r="V64">
        <v>128</v>
      </c>
      <c r="W64">
        <f>2048</f>
        <v>2048</v>
      </c>
      <c r="X64">
        <v>8</v>
      </c>
      <c r="Y64">
        <v>1</v>
      </c>
      <c r="Z64">
        <v>0.73390500000000003</v>
      </c>
      <c r="AA64">
        <v>0.222498</v>
      </c>
      <c r="AB64">
        <v>0.19988500000000001</v>
      </c>
      <c r="AC64" s="4">
        <f t="shared" si="4"/>
        <v>0.89836762577641149</v>
      </c>
      <c r="AE64" s="5">
        <f t="shared" si="5"/>
        <v>0.30317002881844379</v>
      </c>
      <c r="AF64" s="5">
        <f t="shared" si="6"/>
        <v>0.2723581389961916</v>
      </c>
      <c r="AI64">
        <v>0.20585500000000001</v>
      </c>
      <c r="AJ64">
        <v>0.16711699999999999</v>
      </c>
      <c r="AK64" s="4">
        <f t="shared" si="7"/>
        <v>0.92519932763440571</v>
      </c>
      <c r="AL64" s="4">
        <f t="shared" si="8"/>
        <v>0.83606573779923443</v>
      </c>
      <c r="AN64">
        <v>0.15367</v>
      </c>
      <c r="AO64" s="4">
        <f t="shared" si="9"/>
        <v>0.91953541530783833</v>
      </c>
      <c r="AQ64" s="4"/>
    </row>
    <row r="65" spans="2:43" x14ac:dyDescent="0.25">
      <c r="B65">
        <v>64</v>
      </c>
      <c r="C65">
        <v>576</v>
      </c>
      <c r="D65">
        <v>2048</v>
      </c>
      <c r="E65">
        <v>8</v>
      </c>
      <c r="F65">
        <v>1</v>
      </c>
      <c r="G65">
        <v>5.3839680000000003</v>
      </c>
      <c r="H65">
        <v>0.90119899999999997</v>
      </c>
      <c r="I65">
        <v>0.89857200000000004</v>
      </c>
      <c r="J65" s="4">
        <f t="shared" si="0"/>
        <v>0.99708499454615473</v>
      </c>
      <c r="L65" s="4">
        <v>0.17398988998448728</v>
      </c>
      <c r="M65" s="4"/>
      <c r="N65">
        <v>0.69146200000000002</v>
      </c>
      <c r="O65">
        <v>0.73258800000000002</v>
      </c>
      <c r="P65" s="4">
        <f t="shared" si="11"/>
        <v>0.7672689383809792</v>
      </c>
      <c r="Q65" s="4">
        <f t="shared" si="10"/>
        <v>0.81528024465485238</v>
      </c>
      <c r="R65">
        <v>0.56010899999999997</v>
      </c>
      <c r="S65" s="4">
        <f t="shared" si="3"/>
        <v>0.76456207308883017</v>
      </c>
      <c r="U65">
        <v>64</v>
      </c>
      <c r="V65">
        <v>128</v>
      </c>
      <c r="W65">
        <f>2048</f>
        <v>2048</v>
      </c>
      <c r="X65">
        <v>8</v>
      </c>
      <c r="Y65">
        <v>1</v>
      </c>
      <c r="Z65">
        <v>1.3894340000000001</v>
      </c>
      <c r="AA65">
        <v>0.34425800000000001</v>
      </c>
      <c r="AB65">
        <v>0.33194800000000002</v>
      </c>
      <c r="AC65" s="4">
        <f t="shared" si="4"/>
        <v>0.96424193482794884</v>
      </c>
      <c r="AE65" s="5">
        <f t="shared" si="5"/>
        <v>0.24776851581291373</v>
      </c>
      <c r="AF65" s="5">
        <f t="shared" si="6"/>
        <v>0.23890879307689319</v>
      </c>
      <c r="AI65">
        <v>0.32875799999999999</v>
      </c>
      <c r="AJ65">
        <v>0.27265299999999998</v>
      </c>
      <c r="AK65" s="4">
        <f t="shared" si="7"/>
        <v>0.95497562874355857</v>
      </c>
      <c r="AL65" s="4">
        <f t="shared" si="8"/>
        <v>0.82137262462795368</v>
      </c>
      <c r="AN65">
        <v>0.25018899999999999</v>
      </c>
      <c r="AO65" s="4">
        <f t="shared" si="9"/>
        <v>0.91760956233747659</v>
      </c>
      <c r="AQ65" s="4"/>
    </row>
    <row r="66" spans="2:43" x14ac:dyDescent="0.25">
      <c r="B66">
        <v>128</v>
      </c>
      <c r="C66">
        <v>576</v>
      </c>
      <c r="D66">
        <v>2048</v>
      </c>
      <c r="E66">
        <v>8</v>
      </c>
      <c r="F66">
        <v>1</v>
      </c>
      <c r="G66">
        <v>10.693434</v>
      </c>
      <c r="H66">
        <v>1.784743</v>
      </c>
      <c r="I66">
        <v>1.667009</v>
      </c>
      <c r="J66" s="4">
        <f t="shared" si="0"/>
        <v>0.93403307927247792</v>
      </c>
      <c r="L66" s="4">
        <v>0.17588793272582035</v>
      </c>
      <c r="M66" s="4"/>
      <c r="N66">
        <v>1.2169289999999999</v>
      </c>
      <c r="O66">
        <v>1.2949139999999999</v>
      </c>
      <c r="P66" s="4">
        <f t="shared" si="11"/>
        <v>0.68185111245708763</v>
      </c>
      <c r="Q66" s="4">
        <f t="shared" si="10"/>
        <v>0.77678884757070898</v>
      </c>
      <c r="R66">
        <v>0.99169300000000005</v>
      </c>
      <c r="S66" s="4">
        <f t="shared" si="3"/>
        <v>0.76583695905674054</v>
      </c>
      <c r="U66">
        <v>128</v>
      </c>
      <c r="V66">
        <v>128</v>
      </c>
      <c r="W66">
        <f>2048</f>
        <v>2048</v>
      </c>
      <c r="X66">
        <v>8</v>
      </c>
      <c r="Y66">
        <v>1</v>
      </c>
      <c r="Z66">
        <v>2.712691</v>
      </c>
      <c r="AA66">
        <v>0.60201899999999997</v>
      </c>
      <c r="AB66">
        <v>0.57773300000000005</v>
      </c>
      <c r="AC66" s="4">
        <f t="shared" si="4"/>
        <v>0.95965908052735893</v>
      </c>
      <c r="AE66" s="5">
        <f t="shared" si="5"/>
        <v>0.22192686155555497</v>
      </c>
      <c r="AF66" s="5">
        <f t="shared" si="6"/>
        <v>0.21297412790472636</v>
      </c>
      <c r="AI66">
        <v>0.57599100000000003</v>
      </c>
      <c r="AJ66">
        <v>0.47444500000000001</v>
      </c>
      <c r="AK66" s="4">
        <f t="shared" si="7"/>
        <v>0.95676548414584928</v>
      </c>
      <c r="AL66" s="4">
        <f t="shared" si="8"/>
        <v>0.82121845212234712</v>
      </c>
      <c r="AN66">
        <v>0.44870399999999999</v>
      </c>
      <c r="AO66" s="4">
        <f t="shared" si="9"/>
        <v>0.94574502840160601</v>
      </c>
      <c r="AQ66" s="4"/>
    </row>
    <row r="67" spans="2:43" x14ac:dyDescent="0.25">
      <c r="B67">
        <v>256</v>
      </c>
      <c r="C67">
        <v>576</v>
      </c>
      <c r="D67">
        <v>2048</v>
      </c>
      <c r="E67">
        <v>8</v>
      </c>
      <c r="F67">
        <v>1</v>
      </c>
      <c r="H67">
        <v>3.5551759999999999</v>
      </c>
      <c r="I67">
        <v>3.1927660000000002</v>
      </c>
      <c r="J67" s="4">
        <f t="shared" si="0"/>
        <v>0.89806130554436692</v>
      </c>
      <c r="L67" s="4"/>
      <c r="M67" s="4"/>
      <c r="N67">
        <v>2.3123879999999999</v>
      </c>
      <c r="O67">
        <v>2.4433739999999999</v>
      </c>
      <c r="P67" s="4">
        <f t="shared" si="11"/>
        <v>0.65042855824859303</v>
      </c>
      <c r="Q67" s="4">
        <f t="shared" si="10"/>
        <v>0.76528439603779286</v>
      </c>
      <c r="R67">
        <v>1.819769</v>
      </c>
      <c r="S67" s="4">
        <f t="shared" si="3"/>
        <v>0.74477709920789859</v>
      </c>
      <c r="U67">
        <v>256</v>
      </c>
      <c r="V67">
        <v>128</v>
      </c>
      <c r="W67">
        <f>2048</f>
        <v>2048</v>
      </c>
      <c r="X67">
        <v>8</v>
      </c>
      <c r="Y67">
        <v>1</v>
      </c>
      <c r="Z67">
        <v>5.4171930000000001</v>
      </c>
      <c r="AA67">
        <v>1.111612</v>
      </c>
      <c r="AB67">
        <v>1.0398259999999999</v>
      </c>
      <c r="AC67" s="4">
        <f t="shared" si="4"/>
        <v>0.93542171189227885</v>
      </c>
      <c r="AE67" s="5">
        <f t="shared" si="5"/>
        <v>0.20520073772523889</v>
      </c>
      <c r="AF67" s="5">
        <f t="shared" si="6"/>
        <v>0.19194922536450149</v>
      </c>
      <c r="AI67">
        <v>1.0691619999999999</v>
      </c>
      <c r="AJ67">
        <v>0.82685399999999998</v>
      </c>
      <c r="AK67" s="4">
        <f t="shared" si="7"/>
        <v>0.96181221505345382</v>
      </c>
      <c r="AL67" s="4">
        <f t="shared" si="8"/>
        <v>0.79518496363814717</v>
      </c>
      <c r="AN67">
        <v>0.83983399999999997</v>
      </c>
      <c r="AO67" s="4">
        <f t="shared" si="9"/>
        <v>1.0156980555212891</v>
      </c>
      <c r="AQ67" s="4"/>
    </row>
    <row r="68" spans="2:43" x14ac:dyDescent="0.25">
      <c r="B68" s="2">
        <v>512</v>
      </c>
      <c r="C68">
        <v>576</v>
      </c>
      <c r="D68" s="2">
        <v>2048</v>
      </c>
      <c r="E68">
        <v>8</v>
      </c>
      <c r="F68">
        <v>1</v>
      </c>
      <c r="H68">
        <v>7.0989440000000004</v>
      </c>
      <c r="I68">
        <v>6.2124319999999997</v>
      </c>
      <c r="J68" s="4">
        <f t="shared" si="0"/>
        <v>0.87512058131462922</v>
      </c>
      <c r="L68" s="4"/>
      <c r="M68" s="4"/>
      <c r="N68">
        <v>4.4946000000000002</v>
      </c>
      <c r="O68">
        <v>4.7208079999999999</v>
      </c>
      <c r="P68" s="4">
        <f t="shared" si="11"/>
        <v>0.63313642141704451</v>
      </c>
      <c r="Q68" s="4">
        <f t="shared" si="10"/>
        <v>0.75989692925411501</v>
      </c>
      <c r="R68">
        <v>3.5218880000000001</v>
      </c>
      <c r="S68" s="4">
        <f t="shared" si="3"/>
        <v>0.74603500078800078</v>
      </c>
      <c r="U68">
        <v>512</v>
      </c>
      <c r="V68">
        <v>128</v>
      </c>
      <c r="W68">
        <f>2048</f>
        <v>2048</v>
      </c>
      <c r="X68">
        <v>8</v>
      </c>
      <c r="Y68">
        <v>1</v>
      </c>
      <c r="Z68">
        <v>11.01422</v>
      </c>
      <c r="AA68">
        <v>2.1102400000000001</v>
      </c>
      <c r="AB68">
        <v>1.959997</v>
      </c>
      <c r="AC68" s="4">
        <f t="shared" si="4"/>
        <v>0.92880288497990748</v>
      </c>
      <c r="AE68" s="5">
        <f t="shared" si="5"/>
        <v>0.19159232337832366</v>
      </c>
      <c r="AF68" s="5">
        <f t="shared" si="6"/>
        <v>0.1779515026937904</v>
      </c>
      <c r="AI68">
        <v>2.0576620000000001</v>
      </c>
      <c r="AJ68">
        <v>1.480653</v>
      </c>
      <c r="AK68" s="4">
        <f t="shared" si="7"/>
        <v>0.97508435059519294</v>
      </c>
      <c r="AL68" s="4">
        <f t="shared" si="8"/>
        <v>0.75543636036177608</v>
      </c>
      <c r="AN68">
        <v>1.6188739999999999</v>
      </c>
      <c r="AO68" s="4">
        <f t="shared" si="9"/>
        <v>1.093351379425159</v>
      </c>
      <c r="AQ68" s="4"/>
    </row>
    <row r="69" spans="2:43" x14ac:dyDescent="0.25">
      <c r="B69">
        <v>1</v>
      </c>
      <c r="C69">
        <v>576</v>
      </c>
      <c r="D69">
        <v>4096</v>
      </c>
      <c r="E69">
        <v>8</v>
      </c>
      <c r="F69">
        <v>1</v>
      </c>
      <c r="G69">
        <v>0.39460400000000001</v>
      </c>
      <c r="H69">
        <v>0.275947</v>
      </c>
      <c r="I69">
        <v>0.21886</v>
      </c>
      <c r="J69" s="4">
        <f t="shared" si="0"/>
        <v>0.79312331715872975</v>
      </c>
      <c r="L69" s="5">
        <v>0.70029193824695124</v>
      </c>
      <c r="M69" s="5"/>
      <c r="N69">
        <v>0.27673199999999998</v>
      </c>
      <c r="O69">
        <v>0.214674</v>
      </c>
      <c r="P69" s="4">
        <f t="shared" si="11"/>
        <v>1.0028447491728483</v>
      </c>
      <c r="Q69" s="4">
        <f t="shared" si="10"/>
        <v>0.98087361783788729</v>
      </c>
      <c r="R69">
        <v>0.222138</v>
      </c>
      <c r="S69" s="4">
        <f t="shared" si="3"/>
        <v>1.0347689985745829</v>
      </c>
      <c r="U69" s="8">
        <v>1</v>
      </c>
      <c r="V69" s="8">
        <v>128</v>
      </c>
      <c r="W69" s="8">
        <f>4096</f>
        <v>4096</v>
      </c>
      <c r="X69" s="8">
        <v>8</v>
      </c>
      <c r="Y69" s="8">
        <v>1</v>
      </c>
      <c r="Z69" s="8">
        <v>0.13572600000000001</v>
      </c>
      <c r="AA69" s="8">
        <v>0.19586700000000001</v>
      </c>
      <c r="AB69">
        <v>0.13563600000000001</v>
      </c>
      <c r="AC69" s="4">
        <f t="shared" si="4"/>
        <v>0.69249031230375713</v>
      </c>
      <c r="AE69" s="5">
        <f t="shared" si="5"/>
        <v>1.443105963485257</v>
      </c>
      <c r="AF69" s="5">
        <f t="shared" si="6"/>
        <v>0.99933689934131997</v>
      </c>
      <c r="AI69">
        <v>0.19498599999999999</v>
      </c>
      <c r="AJ69">
        <v>0.13113</v>
      </c>
      <c r="AK69" s="4">
        <f t="shared" si="7"/>
        <v>0.99550204986036428</v>
      </c>
      <c r="AL69" s="4">
        <f t="shared" si="8"/>
        <v>0.96677873131027159</v>
      </c>
      <c r="AN69">
        <v>0.14041000000000001</v>
      </c>
      <c r="AO69" s="4">
        <f t="shared" si="9"/>
        <v>1.0707694654159994</v>
      </c>
      <c r="AQ69" s="4"/>
    </row>
    <row r="70" spans="2:43" x14ac:dyDescent="0.25">
      <c r="B70">
        <v>2</v>
      </c>
      <c r="C70">
        <v>576</v>
      </c>
      <c r="D70">
        <v>4096</v>
      </c>
      <c r="E70">
        <v>8</v>
      </c>
      <c r="F70">
        <v>1</v>
      </c>
      <c r="G70">
        <v>0.39103700000000002</v>
      </c>
      <c r="H70">
        <v>0.35597000000000001</v>
      </c>
      <c r="I70">
        <v>0.29751499999999997</v>
      </c>
      <c r="J70" s="4">
        <f t="shared" si="0"/>
        <v>0.83578672360030326</v>
      </c>
      <c r="L70" s="5">
        <v>0.9092975856504627</v>
      </c>
      <c r="M70" s="5"/>
      <c r="N70">
        <v>0.303062</v>
      </c>
      <c r="O70">
        <v>0.24084700000000001</v>
      </c>
      <c r="P70" s="4">
        <f t="shared" si="11"/>
        <v>0.8513694974295587</v>
      </c>
      <c r="Q70" s="4">
        <f t="shared" si="10"/>
        <v>0.80952893131438763</v>
      </c>
      <c r="R70">
        <v>0.22286700000000001</v>
      </c>
      <c r="S70" s="4">
        <f t="shared" si="3"/>
        <v>0.92534679692917077</v>
      </c>
      <c r="U70" s="8">
        <v>2</v>
      </c>
      <c r="V70" s="8">
        <v>128</v>
      </c>
      <c r="W70" s="8">
        <f>4096</f>
        <v>4096</v>
      </c>
      <c r="X70" s="8">
        <v>8</v>
      </c>
      <c r="Y70" s="8">
        <v>1</v>
      </c>
      <c r="Z70" s="8">
        <v>0.13827800000000001</v>
      </c>
      <c r="AA70" s="8">
        <v>0.21348700000000001</v>
      </c>
      <c r="AB70">
        <v>0.15212300000000001</v>
      </c>
      <c r="AC70" s="4">
        <f t="shared" si="4"/>
        <v>0.71256329425210907</v>
      </c>
      <c r="AE70" s="5">
        <f t="shared" si="5"/>
        <v>1.5438970769030502</v>
      </c>
      <c r="AF70" s="5">
        <f t="shared" si="6"/>
        <v>1.1001243871042392</v>
      </c>
      <c r="AI70">
        <v>0.20016300000000001</v>
      </c>
      <c r="AJ70">
        <v>0.137382</v>
      </c>
      <c r="AK70" s="4">
        <f t="shared" si="7"/>
        <v>0.93758870563547192</v>
      </c>
      <c r="AL70" s="4">
        <f t="shared" si="8"/>
        <v>0.90309815083846623</v>
      </c>
      <c r="AN70">
        <v>0.141069</v>
      </c>
      <c r="AO70" s="4">
        <f t="shared" si="9"/>
        <v>1.0268375769751497</v>
      </c>
      <c r="AQ70" s="4"/>
    </row>
    <row r="71" spans="2:43" x14ac:dyDescent="0.25">
      <c r="B71">
        <v>4</v>
      </c>
      <c r="C71">
        <v>576</v>
      </c>
      <c r="D71">
        <v>4096</v>
      </c>
      <c r="E71">
        <v>8</v>
      </c>
      <c r="F71">
        <v>1</v>
      </c>
      <c r="G71">
        <v>0.72094199999999997</v>
      </c>
      <c r="H71">
        <v>0.37651699999999999</v>
      </c>
      <c r="I71">
        <v>0.31764700000000001</v>
      </c>
      <c r="J71" s="4">
        <f t="shared" si="0"/>
        <v>0.84364583803652959</v>
      </c>
      <c r="L71" s="5">
        <v>0.52324181418200078</v>
      </c>
      <c r="M71" s="5"/>
      <c r="N71">
        <v>0.41308</v>
      </c>
      <c r="O71">
        <v>0.34063700000000002</v>
      </c>
      <c r="P71" s="4">
        <f t="shared" si="11"/>
        <v>1.0971084970930929</v>
      </c>
      <c r="Q71" s="4">
        <f t="shared" si="10"/>
        <v>1.0723759393288776</v>
      </c>
      <c r="R71">
        <v>0.26910099999999998</v>
      </c>
      <c r="S71" s="4">
        <f t="shared" si="3"/>
        <v>0.78999345344164007</v>
      </c>
      <c r="U71" s="8">
        <v>4</v>
      </c>
      <c r="V71" s="8">
        <v>128</v>
      </c>
      <c r="W71" s="8">
        <f>4096</f>
        <v>4096</v>
      </c>
      <c r="X71" s="8">
        <v>8</v>
      </c>
      <c r="Y71" s="8">
        <v>1</v>
      </c>
      <c r="Z71" s="8">
        <v>0.213506</v>
      </c>
      <c r="AA71" s="8">
        <v>0.217143</v>
      </c>
      <c r="AB71">
        <v>0.155834</v>
      </c>
      <c r="AC71" s="4">
        <f t="shared" si="4"/>
        <v>0.71765610680519287</v>
      </c>
      <c r="AE71" s="5">
        <f t="shared" si="5"/>
        <v>1.0170346500800915</v>
      </c>
      <c r="AF71" s="5">
        <f t="shared" si="6"/>
        <v>0.72988112746246003</v>
      </c>
      <c r="AI71">
        <v>0.229599</v>
      </c>
      <c r="AJ71">
        <v>0.16647000000000001</v>
      </c>
      <c r="AK71" s="4">
        <f t="shared" si="7"/>
        <v>1.057363120155842</v>
      </c>
      <c r="AL71" s="4">
        <f t="shared" si="8"/>
        <v>1.068252114429457</v>
      </c>
      <c r="AN71">
        <v>0.14302699999999999</v>
      </c>
      <c r="AO71" s="4">
        <f t="shared" si="9"/>
        <v>0.85917582747642207</v>
      </c>
      <c r="AQ71" s="4"/>
    </row>
    <row r="72" spans="2:43" x14ac:dyDescent="0.25">
      <c r="B72">
        <v>8</v>
      </c>
      <c r="C72">
        <v>576</v>
      </c>
      <c r="D72">
        <v>4096</v>
      </c>
      <c r="E72">
        <v>8</v>
      </c>
      <c r="F72">
        <v>1</v>
      </c>
      <c r="G72">
        <v>1.3903479999999999</v>
      </c>
      <c r="H72">
        <v>0.491147</v>
      </c>
      <c r="I72">
        <v>0.42371700000000001</v>
      </c>
      <c r="J72" s="4">
        <f t="shared" si="0"/>
        <v>0.86270912781713016</v>
      </c>
      <c r="L72" s="4">
        <v>0.35906406165938315</v>
      </c>
      <c r="M72" s="4"/>
      <c r="N72">
        <v>0.41592899999999999</v>
      </c>
      <c r="O72">
        <v>0.34109400000000001</v>
      </c>
      <c r="P72" s="4">
        <f t="shared" si="11"/>
        <v>0.84685236802830921</v>
      </c>
      <c r="Q72" s="4">
        <f t="shared" si="10"/>
        <v>0.80500428351942455</v>
      </c>
      <c r="R72">
        <v>0.273619</v>
      </c>
      <c r="S72" s="4">
        <f t="shared" si="3"/>
        <v>0.80218063055931799</v>
      </c>
      <c r="U72">
        <v>8</v>
      </c>
      <c r="V72">
        <v>128</v>
      </c>
      <c r="W72">
        <f>4096</f>
        <v>4096</v>
      </c>
      <c r="X72">
        <v>8</v>
      </c>
      <c r="Y72">
        <v>1</v>
      </c>
      <c r="Z72">
        <v>0.37281300000000001</v>
      </c>
      <c r="AA72">
        <v>0.24057100000000001</v>
      </c>
      <c r="AB72">
        <v>0.17739099999999999</v>
      </c>
      <c r="AC72" s="4">
        <f t="shared" si="4"/>
        <v>0.73737482905254581</v>
      </c>
      <c r="AE72" s="5">
        <f t="shared" si="5"/>
        <v>0.64528597446977443</v>
      </c>
      <c r="AF72" s="5">
        <f t="shared" si="6"/>
        <v>0.4758176351146553</v>
      </c>
      <c r="AI72">
        <v>0.23544399999999999</v>
      </c>
      <c r="AJ72">
        <v>0.166605</v>
      </c>
      <c r="AK72" s="4">
        <f t="shared" si="7"/>
        <v>0.97868820431390313</v>
      </c>
      <c r="AL72" s="4">
        <f t="shared" si="8"/>
        <v>0.93919646430765935</v>
      </c>
      <c r="AN72">
        <v>0.143789</v>
      </c>
      <c r="AO72" s="4">
        <f t="shared" si="9"/>
        <v>0.86305332973200077</v>
      </c>
      <c r="AQ72" s="4"/>
    </row>
    <row r="73" spans="2:43" x14ac:dyDescent="0.25">
      <c r="B73">
        <v>16</v>
      </c>
      <c r="C73">
        <v>576</v>
      </c>
      <c r="D73">
        <v>4096</v>
      </c>
      <c r="E73">
        <v>8</v>
      </c>
      <c r="F73">
        <v>1</v>
      </c>
      <c r="G73">
        <v>2.7113909999999999</v>
      </c>
      <c r="H73">
        <v>0.56328100000000003</v>
      </c>
      <c r="I73">
        <v>0.48807499999999998</v>
      </c>
      <c r="J73" s="4">
        <f t="shared" si="0"/>
        <v>0.86648582146388742</v>
      </c>
      <c r="L73" s="4">
        <v>0.21051814363918742</v>
      </c>
      <c r="M73" s="4"/>
      <c r="N73">
        <v>0.433504</v>
      </c>
      <c r="O73">
        <v>0.34264299999999998</v>
      </c>
      <c r="P73" s="4">
        <f t="shared" si="11"/>
        <v>0.76960522368054307</v>
      </c>
      <c r="Q73" s="4">
        <f t="shared" si="10"/>
        <v>0.70202940121907487</v>
      </c>
      <c r="R73">
        <v>0.27693400000000001</v>
      </c>
      <c r="S73" s="4">
        <f t="shared" si="3"/>
        <v>0.80822897301272767</v>
      </c>
      <c r="U73">
        <v>16</v>
      </c>
      <c r="V73">
        <v>128</v>
      </c>
      <c r="W73">
        <f>4096</f>
        <v>4096</v>
      </c>
      <c r="X73">
        <v>8</v>
      </c>
      <c r="Y73">
        <v>1</v>
      </c>
      <c r="Z73">
        <v>0.720688</v>
      </c>
      <c r="AA73">
        <v>0.265461</v>
      </c>
      <c r="AB73">
        <v>0.199881</v>
      </c>
      <c r="AC73" s="4">
        <f t="shared" si="4"/>
        <v>0.75295806163617252</v>
      </c>
      <c r="AE73" s="5">
        <f t="shared" si="5"/>
        <v>0.36834386031125815</v>
      </c>
      <c r="AF73" s="5">
        <f t="shared" si="6"/>
        <v>0.27734747907555002</v>
      </c>
      <c r="AI73">
        <v>0.23655599999999999</v>
      </c>
      <c r="AJ73">
        <v>0.16952300000000001</v>
      </c>
      <c r="AK73" s="4">
        <f t="shared" si="7"/>
        <v>0.89111394894165241</v>
      </c>
      <c r="AL73" s="4">
        <f t="shared" si="8"/>
        <v>0.84811963118055245</v>
      </c>
      <c r="AN73">
        <v>0.14382700000000001</v>
      </c>
      <c r="AO73" s="4">
        <f t="shared" si="9"/>
        <v>0.84842174808138127</v>
      </c>
      <c r="AQ73" s="4"/>
    </row>
    <row r="74" spans="2:43" x14ac:dyDescent="0.25">
      <c r="B74">
        <v>32</v>
      </c>
      <c r="C74">
        <v>576</v>
      </c>
      <c r="D74">
        <v>4096</v>
      </c>
      <c r="E74">
        <v>8</v>
      </c>
      <c r="F74">
        <v>1</v>
      </c>
      <c r="G74">
        <v>5.3134040000000002</v>
      </c>
      <c r="H74">
        <v>0.98673299999999997</v>
      </c>
      <c r="I74">
        <v>0.881884</v>
      </c>
      <c r="J74" s="4">
        <f t="shared" ref="J74:J137" si="12">I74/H74</f>
        <v>0.89374126536763243</v>
      </c>
      <c r="L74" s="4">
        <v>0.18976328545693119</v>
      </c>
      <c r="M74" s="4"/>
      <c r="N74">
        <v>0.69521900000000003</v>
      </c>
      <c r="O74">
        <v>0.68904799999999999</v>
      </c>
      <c r="P74" s="4">
        <f t="shared" ref="P74:P105" si="13">N74/H74</f>
        <v>0.70456648353708662</v>
      </c>
      <c r="Q74" s="4">
        <f t="shared" si="10"/>
        <v>0.7813363208766686</v>
      </c>
      <c r="R74">
        <v>0.47118100000000002</v>
      </c>
      <c r="S74" s="4">
        <f t="shared" ref="S74:S137" si="14">R74/O74</f>
        <v>0.68381448026842839</v>
      </c>
      <c r="U74">
        <v>32</v>
      </c>
      <c r="V74">
        <v>128</v>
      </c>
      <c r="W74">
        <f>4096</f>
        <v>4096</v>
      </c>
      <c r="X74">
        <v>8</v>
      </c>
      <c r="Y74">
        <v>1</v>
      </c>
      <c r="Z74">
        <v>1.3507979999999999</v>
      </c>
      <c r="AA74">
        <v>0.39693299999999998</v>
      </c>
      <c r="AB74">
        <v>0.32766400000000001</v>
      </c>
      <c r="AC74" s="4">
        <f t="shared" ref="AC74:AC137" si="15">AB74/AA74</f>
        <v>0.82548944028337279</v>
      </c>
      <c r="AE74" s="5">
        <f t="shared" ref="AE74:AE137" si="16">AA74/Z74</f>
        <v>0.2938507460034735</v>
      </c>
      <c r="AF74" s="5">
        <f t="shared" ref="AF74:AF137" si="17">AB74/Z74</f>
        <v>0.2425706878452589</v>
      </c>
      <c r="AI74">
        <v>0.35603400000000002</v>
      </c>
      <c r="AJ74">
        <v>0.27081</v>
      </c>
      <c r="AK74" s="4">
        <f t="shared" ref="AK74:AK137" si="18">AI74/AA74</f>
        <v>0.89696245965943888</v>
      </c>
      <c r="AL74" s="4">
        <f t="shared" ref="AL74:AL137" si="19">AJ74/AB74</f>
        <v>0.82648688900825229</v>
      </c>
      <c r="AN74">
        <v>0.23139799999999999</v>
      </c>
      <c r="AO74" s="4">
        <f t="shared" ref="AO74:AO137" si="20">AN74/AJ74</f>
        <v>0.85446623093681917</v>
      </c>
      <c r="AQ74" s="4"/>
    </row>
    <row r="75" spans="2:43" x14ac:dyDescent="0.25">
      <c r="B75">
        <v>64</v>
      </c>
      <c r="C75">
        <v>576</v>
      </c>
      <c r="D75">
        <v>4096</v>
      </c>
      <c r="E75">
        <v>8</v>
      </c>
      <c r="F75">
        <v>1</v>
      </c>
      <c r="G75">
        <v>10.537006</v>
      </c>
      <c r="H75">
        <v>1.919022</v>
      </c>
      <c r="I75">
        <v>1.6328309999999999</v>
      </c>
      <c r="J75" s="4">
        <f t="shared" si="12"/>
        <v>0.85086622248207677</v>
      </c>
      <c r="L75" s="4">
        <v>0.18370341632148637</v>
      </c>
      <c r="M75" s="4"/>
      <c r="N75">
        <v>1.244848</v>
      </c>
      <c r="O75">
        <v>1.2730889999999999</v>
      </c>
      <c r="P75" s="4">
        <f t="shared" si="13"/>
        <v>0.64868875917003554</v>
      </c>
      <c r="Q75" s="4">
        <f t="shared" si="10"/>
        <v>0.77968203690400295</v>
      </c>
      <c r="R75">
        <v>0.86829400000000001</v>
      </c>
      <c r="S75" s="4">
        <f t="shared" si="14"/>
        <v>0.68203715529707665</v>
      </c>
      <c r="U75">
        <v>64</v>
      </c>
      <c r="V75">
        <v>128</v>
      </c>
      <c r="W75">
        <f>4096</f>
        <v>4096</v>
      </c>
      <c r="X75">
        <v>8</v>
      </c>
      <c r="Y75">
        <v>1</v>
      </c>
      <c r="Z75">
        <v>2.6945440000000001</v>
      </c>
      <c r="AA75">
        <v>0.63598500000000002</v>
      </c>
      <c r="AB75">
        <v>0.56909200000000004</v>
      </c>
      <c r="AC75" s="4">
        <f t="shared" si="15"/>
        <v>0.89481984638002476</v>
      </c>
      <c r="AE75" s="5">
        <f t="shared" si="16"/>
        <v>0.2360269492723073</v>
      </c>
      <c r="AF75" s="5">
        <f t="shared" si="17"/>
        <v>0.21120159848939191</v>
      </c>
      <c r="AI75">
        <v>0.59893300000000005</v>
      </c>
      <c r="AJ75">
        <v>0.47721000000000002</v>
      </c>
      <c r="AK75" s="4">
        <f t="shared" si="18"/>
        <v>0.94174076432620268</v>
      </c>
      <c r="AL75" s="4">
        <f t="shared" si="19"/>
        <v>0.83854631588565642</v>
      </c>
      <c r="AN75">
        <v>0.40821099999999999</v>
      </c>
      <c r="AO75" s="4">
        <f t="shared" si="20"/>
        <v>0.855411663628172</v>
      </c>
      <c r="AQ75" s="4"/>
    </row>
    <row r="76" spans="2:43" x14ac:dyDescent="0.25">
      <c r="B76">
        <v>128</v>
      </c>
      <c r="C76">
        <v>576</v>
      </c>
      <c r="D76">
        <v>4096</v>
      </c>
      <c r="E76">
        <v>8</v>
      </c>
      <c r="F76">
        <v>1</v>
      </c>
      <c r="G76">
        <v>21.037534999999998</v>
      </c>
      <c r="H76">
        <v>3.755906</v>
      </c>
      <c r="I76">
        <v>3.1405630000000002</v>
      </c>
      <c r="J76" s="4">
        <f t="shared" si="12"/>
        <v>0.83616656007897971</v>
      </c>
      <c r="L76" s="4">
        <v>0.18056136329660297</v>
      </c>
      <c r="M76" s="4"/>
      <c r="N76">
        <v>2.3029090000000001</v>
      </c>
      <c r="O76">
        <v>2.3853580000000001</v>
      </c>
      <c r="P76" s="4">
        <f t="shared" si="13"/>
        <v>0.61314340667737699</v>
      </c>
      <c r="Q76" s="4">
        <f t="shared" si="10"/>
        <v>0.75953196926793065</v>
      </c>
      <c r="R76">
        <v>1.595513</v>
      </c>
      <c r="S76" s="4">
        <f t="shared" si="14"/>
        <v>0.66887779528272062</v>
      </c>
      <c r="U76">
        <v>128</v>
      </c>
      <c r="V76">
        <v>128</v>
      </c>
      <c r="W76">
        <f>4096</f>
        <v>4096</v>
      </c>
      <c r="X76">
        <v>8</v>
      </c>
      <c r="Y76">
        <v>1</v>
      </c>
      <c r="Z76">
        <v>5.3288500000000001</v>
      </c>
      <c r="AA76">
        <v>1.1312359999999999</v>
      </c>
      <c r="AB76">
        <v>1.026491</v>
      </c>
      <c r="AC76" s="4">
        <f t="shared" si="15"/>
        <v>0.90740658889922188</v>
      </c>
      <c r="AE76" s="5">
        <f t="shared" si="16"/>
        <v>0.21228520224813982</v>
      </c>
      <c r="AF76" s="5">
        <f t="shared" si="17"/>
        <v>0.19262899124576599</v>
      </c>
      <c r="AI76">
        <v>1.0843400000000001</v>
      </c>
      <c r="AJ76">
        <v>0.832314</v>
      </c>
      <c r="AK76" s="4">
        <f t="shared" si="18"/>
        <v>0.95854445933474552</v>
      </c>
      <c r="AL76" s="4">
        <f t="shared" si="19"/>
        <v>0.81083419143470326</v>
      </c>
      <c r="AN76">
        <v>0.75998699999999997</v>
      </c>
      <c r="AO76" s="4">
        <f t="shared" si="20"/>
        <v>0.91310130551690827</v>
      </c>
      <c r="AQ76" s="4"/>
    </row>
    <row r="77" spans="2:43" x14ac:dyDescent="0.25">
      <c r="B77">
        <v>256</v>
      </c>
      <c r="C77">
        <v>576</v>
      </c>
      <c r="D77">
        <v>4096</v>
      </c>
      <c r="E77">
        <v>8</v>
      </c>
      <c r="F77">
        <v>1</v>
      </c>
      <c r="H77">
        <v>7.4096489999999999</v>
      </c>
      <c r="I77">
        <v>6.1053879999999996</v>
      </c>
      <c r="J77" s="4">
        <f t="shared" si="12"/>
        <v>0.82397803188788021</v>
      </c>
      <c r="L77" s="4"/>
      <c r="M77" s="4"/>
      <c r="N77">
        <v>4.3922340000000002</v>
      </c>
      <c r="O77">
        <v>4.6055960000000002</v>
      </c>
      <c r="P77" s="4">
        <f t="shared" si="13"/>
        <v>0.59277220823820398</v>
      </c>
      <c r="Q77" s="4">
        <f t="shared" si="10"/>
        <v>0.75434943692358303</v>
      </c>
      <c r="R77">
        <v>3.0135100000000001</v>
      </c>
      <c r="S77" s="4">
        <f t="shared" si="14"/>
        <v>0.65431488128789417</v>
      </c>
      <c r="U77">
        <v>256</v>
      </c>
      <c r="V77">
        <v>128</v>
      </c>
      <c r="W77">
        <f>4096</f>
        <v>4096</v>
      </c>
      <c r="X77">
        <v>8</v>
      </c>
      <c r="Y77">
        <v>1</v>
      </c>
      <c r="Z77">
        <v>10.765574000000001</v>
      </c>
      <c r="AA77">
        <v>2.113318</v>
      </c>
      <c r="AB77">
        <v>1.911281</v>
      </c>
      <c r="AC77" s="4">
        <f t="shared" si="15"/>
        <v>0.90439820225824985</v>
      </c>
      <c r="AE77" s="5">
        <f t="shared" si="16"/>
        <v>0.19630332762563332</v>
      </c>
      <c r="AF77" s="5">
        <f t="shared" si="17"/>
        <v>0.177536376601935</v>
      </c>
      <c r="AI77">
        <v>2.0541649999999998</v>
      </c>
      <c r="AJ77">
        <v>1.4829829999999999</v>
      </c>
      <c r="AK77" s="4">
        <f t="shared" si="18"/>
        <v>0.97200941836486499</v>
      </c>
      <c r="AL77" s="4">
        <f t="shared" si="19"/>
        <v>0.77591050190945232</v>
      </c>
      <c r="AN77">
        <v>1.4640390000000001</v>
      </c>
      <c r="AO77" s="4">
        <f t="shared" si="20"/>
        <v>0.98722574702474686</v>
      </c>
      <c r="AQ77" s="4"/>
    </row>
    <row r="78" spans="2:43" x14ac:dyDescent="0.25">
      <c r="B78">
        <v>512</v>
      </c>
      <c r="C78">
        <v>576</v>
      </c>
      <c r="D78">
        <v>4096</v>
      </c>
      <c r="E78">
        <v>8</v>
      </c>
      <c r="F78">
        <v>1</v>
      </c>
      <c r="H78">
        <v>14.760866999999999</v>
      </c>
      <c r="I78">
        <v>12.085981</v>
      </c>
      <c r="J78" s="4">
        <f t="shared" si="12"/>
        <v>0.8187853057682859</v>
      </c>
      <c r="L78" s="4"/>
      <c r="M78" s="4"/>
      <c r="N78">
        <v>8.5717110000000005</v>
      </c>
      <c r="O78">
        <v>9.002103</v>
      </c>
      <c r="P78" s="4">
        <f t="shared" si="13"/>
        <v>0.58070511711812056</v>
      </c>
      <c r="Q78" s="4">
        <f t="shared" si="10"/>
        <v>0.74483842064620154</v>
      </c>
      <c r="R78">
        <v>5.9279989999999998</v>
      </c>
      <c r="S78" s="4">
        <f t="shared" si="14"/>
        <v>0.65851268309193967</v>
      </c>
      <c r="U78">
        <v>512</v>
      </c>
      <c r="V78">
        <v>128</v>
      </c>
      <c r="W78">
        <f>4096</f>
        <v>4096</v>
      </c>
      <c r="X78">
        <v>8</v>
      </c>
      <c r="Y78">
        <v>1</v>
      </c>
      <c r="Z78">
        <v>21.724388000000001</v>
      </c>
      <c r="AA78">
        <v>4.0626150000000001</v>
      </c>
      <c r="AB78">
        <v>3.6560049999999999</v>
      </c>
      <c r="AC78" s="4">
        <f t="shared" si="15"/>
        <v>0.89991421781291114</v>
      </c>
      <c r="AE78" s="5">
        <f t="shared" si="16"/>
        <v>0.18700710924514882</v>
      </c>
      <c r="AF78" s="5">
        <f t="shared" si="17"/>
        <v>0.16829035644180171</v>
      </c>
      <c r="AI78">
        <v>3.9986250000000001</v>
      </c>
      <c r="AJ78">
        <v>2.7574529999999999</v>
      </c>
      <c r="AK78" s="4">
        <f t="shared" si="18"/>
        <v>0.98424906125734291</v>
      </c>
      <c r="AL78" s="4">
        <f t="shared" si="19"/>
        <v>0.75422571905672997</v>
      </c>
      <c r="AN78">
        <v>2.871013</v>
      </c>
      <c r="AO78" s="4">
        <f t="shared" si="20"/>
        <v>1.0411829322204222</v>
      </c>
      <c r="AQ78" s="4"/>
    </row>
    <row r="79" spans="2:43" s="9" customFormat="1" x14ac:dyDescent="0.25">
      <c r="B79" s="9">
        <v>1</v>
      </c>
      <c r="C79" s="9">
        <v>576</v>
      </c>
      <c r="D79" s="9">
        <v>8192</v>
      </c>
      <c r="E79" s="9">
        <v>8</v>
      </c>
      <c r="F79" s="9">
        <v>1</v>
      </c>
      <c r="G79" s="9">
        <v>0.73324199999999995</v>
      </c>
      <c r="H79" s="9">
        <v>0.49013899999999999</v>
      </c>
      <c r="I79" s="9">
        <v>0.372423</v>
      </c>
      <c r="J79" s="61">
        <f t="shared" si="12"/>
        <v>0.75983139476760675</v>
      </c>
      <c r="L79" s="61">
        <v>0.66924971564640323</v>
      </c>
      <c r="M79" s="61"/>
      <c r="N79" s="9">
        <v>0.49120999999999998</v>
      </c>
      <c r="O79" s="9">
        <v>0.36364800000000003</v>
      </c>
      <c r="P79" s="61">
        <f t="shared" si="13"/>
        <v>1.0021850944323958</v>
      </c>
      <c r="Q79" s="61">
        <f t="shared" si="10"/>
        <v>0.97643808250296038</v>
      </c>
      <c r="R79" s="9">
        <v>0.35548800000000003</v>
      </c>
      <c r="S79" s="61">
        <f t="shared" si="14"/>
        <v>0.97756071805702216</v>
      </c>
      <c r="U79" s="63">
        <v>1</v>
      </c>
      <c r="V79" s="63">
        <v>128</v>
      </c>
      <c r="W79" s="63">
        <f>8192</f>
        <v>8192</v>
      </c>
      <c r="X79" s="63">
        <v>8</v>
      </c>
      <c r="Y79" s="63">
        <v>1</v>
      </c>
      <c r="Z79" s="63">
        <v>0.21574399999999999</v>
      </c>
      <c r="AA79" s="63">
        <v>0.336256</v>
      </c>
      <c r="AB79" s="9">
        <v>0.213862</v>
      </c>
      <c r="AC79" s="61">
        <f t="shared" si="15"/>
        <v>0.63600946897601829</v>
      </c>
      <c r="AE79" s="61">
        <f t="shared" si="16"/>
        <v>1.558587956096114</v>
      </c>
      <c r="AF79" s="61">
        <f t="shared" si="17"/>
        <v>0.99127669830910714</v>
      </c>
      <c r="AI79" s="9">
        <v>0.33268199999999998</v>
      </c>
      <c r="AJ79" s="9">
        <v>0.20341100000000001</v>
      </c>
      <c r="AK79" s="61">
        <f t="shared" si="18"/>
        <v>0.98937119337647506</v>
      </c>
      <c r="AL79" s="61">
        <f t="shared" si="19"/>
        <v>0.95113203841729721</v>
      </c>
      <c r="AN79" s="9">
        <v>0.21990999999999999</v>
      </c>
      <c r="AO79" s="61">
        <f t="shared" si="20"/>
        <v>1.0811116409633696</v>
      </c>
      <c r="AQ79" s="61"/>
    </row>
    <row r="80" spans="2:43" s="9" customFormat="1" x14ac:dyDescent="0.25">
      <c r="B80" s="9">
        <v>2</v>
      </c>
      <c r="C80" s="9">
        <v>576</v>
      </c>
      <c r="D80" s="9">
        <v>8192</v>
      </c>
      <c r="E80" s="9">
        <v>8</v>
      </c>
      <c r="F80" s="9">
        <v>1</v>
      </c>
      <c r="G80" s="9">
        <v>0.71946500000000002</v>
      </c>
      <c r="H80" s="9">
        <v>0.65015199999999995</v>
      </c>
      <c r="I80" s="9">
        <v>0.52649199999999996</v>
      </c>
      <c r="J80" s="61">
        <f t="shared" si="12"/>
        <v>0.80979832408421415</v>
      </c>
      <c r="L80" s="61">
        <v>0.89728478800219613</v>
      </c>
      <c r="M80" s="61"/>
      <c r="N80" s="9">
        <v>0.57348900000000003</v>
      </c>
      <c r="O80" s="9">
        <v>0.45189800000000002</v>
      </c>
      <c r="P80" s="61">
        <f t="shared" si="13"/>
        <v>0.88208449716374027</v>
      </c>
      <c r="Q80" s="61">
        <f t="shared" si="10"/>
        <v>0.858318834854091</v>
      </c>
      <c r="R80" s="9">
        <v>0.354906</v>
      </c>
      <c r="S80" s="61">
        <f t="shared" si="14"/>
        <v>0.78536749443458476</v>
      </c>
      <c r="U80" s="63">
        <v>2</v>
      </c>
      <c r="V80" s="63">
        <v>128</v>
      </c>
      <c r="W80" s="63">
        <f>8192</f>
        <v>8192</v>
      </c>
      <c r="X80" s="63">
        <v>8</v>
      </c>
      <c r="Y80" s="63">
        <v>1</v>
      </c>
      <c r="Z80" s="63">
        <v>0.225241</v>
      </c>
      <c r="AA80" s="63">
        <v>0.37155700000000003</v>
      </c>
      <c r="AB80" s="9">
        <v>0.24545900000000001</v>
      </c>
      <c r="AC80" s="61">
        <f t="shared" si="15"/>
        <v>0.66062273083268519</v>
      </c>
      <c r="AE80" s="61">
        <f t="shared" si="16"/>
        <v>1.6495975421881452</v>
      </c>
      <c r="AF80" s="61">
        <f t="shared" si="17"/>
        <v>1.089761633095218</v>
      </c>
      <c r="AI80" s="9">
        <v>0.34746300000000002</v>
      </c>
      <c r="AJ80" s="9">
        <v>0.217306</v>
      </c>
      <c r="AK80" s="61">
        <f t="shared" si="18"/>
        <v>0.93515396022682928</v>
      </c>
      <c r="AL80" s="61">
        <f t="shared" si="19"/>
        <v>0.88530467410035885</v>
      </c>
      <c r="AN80" s="9">
        <v>0.21939800000000001</v>
      </c>
      <c r="AO80" s="61">
        <f t="shared" si="20"/>
        <v>1.0096269776260205</v>
      </c>
      <c r="AQ80" s="61"/>
    </row>
    <row r="81" spans="2:43" x14ac:dyDescent="0.25">
      <c r="B81">
        <v>4</v>
      </c>
      <c r="C81">
        <v>576</v>
      </c>
      <c r="D81">
        <v>8192</v>
      </c>
      <c r="E81">
        <v>8</v>
      </c>
      <c r="F81">
        <v>1</v>
      </c>
      <c r="G81">
        <v>1.37747</v>
      </c>
      <c r="H81">
        <v>0.69249300000000003</v>
      </c>
      <c r="I81">
        <v>0.56592799999999999</v>
      </c>
      <c r="J81" s="4">
        <f t="shared" si="12"/>
        <v>0.81723280957352629</v>
      </c>
      <c r="L81" s="5">
        <v>0.50469338715180734</v>
      </c>
      <c r="M81" s="5"/>
      <c r="N81">
        <v>0.92008000000000001</v>
      </c>
      <c r="O81">
        <v>0.69454400000000005</v>
      </c>
      <c r="P81" s="4">
        <f t="shared" si="13"/>
        <v>1.3286488094464493</v>
      </c>
      <c r="Q81" s="4">
        <f t="shared" si="10"/>
        <v>1.227265659235804</v>
      </c>
      <c r="R81">
        <v>0.43703700000000001</v>
      </c>
      <c r="S81" s="4">
        <f t="shared" si="14"/>
        <v>0.62924307171323912</v>
      </c>
      <c r="U81" s="8">
        <v>4</v>
      </c>
      <c r="V81" s="8">
        <v>128</v>
      </c>
      <c r="W81" s="8">
        <f>8192</f>
        <v>8192</v>
      </c>
      <c r="X81" s="8">
        <v>8</v>
      </c>
      <c r="Y81" s="8">
        <v>1</v>
      </c>
      <c r="Z81" s="8">
        <v>0.367392</v>
      </c>
      <c r="AA81" s="8">
        <v>0.37873099999999998</v>
      </c>
      <c r="AB81">
        <v>0.25369900000000001</v>
      </c>
      <c r="AC81" s="4">
        <f t="shared" si="15"/>
        <v>0.6698659470706122</v>
      </c>
      <c r="AE81" s="5">
        <f t="shared" si="16"/>
        <v>1.0308634918561101</v>
      </c>
      <c r="AF81" s="5">
        <f t="shared" si="17"/>
        <v>0.69054034927271146</v>
      </c>
      <c r="AI81">
        <v>0.40182499999999999</v>
      </c>
      <c r="AJ81">
        <v>0.26630999999999999</v>
      </c>
      <c r="AK81" s="4">
        <f t="shared" si="18"/>
        <v>1.0609773163538236</v>
      </c>
      <c r="AL81" s="4">
        <f t="shared" si="19"/>
        <v>1.0497085128439607</v>
      </c>
      <c r="AN81">
        <v>0.22017900000000001</v>
      </c>
      <c r="AO81" s="4">
        <f t="shared" si="20"/>
        <v>0.82677706432353282</v>
      </c>
      <c r="AQ81" s="4"/>
    </row>
    <row r="82" spans="2:43" x14ac:dyDescent="0.25">
      <c r="B82">
        <v>8</v>
      </c>
      <c r="C82">
        <v>576</v>
      </c>
      <c r="D82">
        <v>8192</v>
      </c>
      <c r="E82">
        <v>8</v>
      </c>
      <c r="F82">
        <v>1</v>
      </c>
      <c r="G82">
        <v>2.680275</v>
      </c>
      <c r="H82">
        <v>0.92495499999999997</v>
      </c>
      <c r="I82">
        <v>0.77490000000000003</v>
      </c>
      <c r="J82" s="4">
        <f t="shared" si="12"/>
        <v>0.83777048613175786</v>
      </c>
      <c r="L82" s="4">
        <v>0.34845790077510702</v>
      </c>
      <c r="M82" s="4"/>
      <c r="N82">
        <v>0.93984800000000002</v>
      </c>
      <c r="O82">
        <v>0.68617700000000004</v>
      </c>
      <c r="P82" s="4">
        <f t="shared" si="13"/>
        <v>1.0161013238481873</v>
      </c>
      <c r="Q82" s="4">
        <f t="shared" si="10"/>
        <v>0.88550393599174093</v>
      </c>
      <c r="R82">
        <v>0.436832</v>
      </c>
      <c r="S82" s="4">
        <f t="shared" si="14"/>
        <v>0.63661708276435958</v>
      </c>
      <c r="U82">
        <v>8</v>
      </c>
      <c r="V82">
        <v>128</v>
      </c>
      <c r="W82">
        <f>8192</f>
        <v>8192</v>
      </c>
      <c r="X82">
        <v>8</v>
      </c>
      <c r="Y82">
        <v>1</v>
      </c>
      <c r="Z82">
        <v>0.69224300000000005</v>
      </c>
      <c r="AA82">
        <v>0.42692000000000002</v>
      </c>
      <c r="AB82">
        <v>0.29230699999999998</v>
      </c>
      <c r="AC82" s="4">
        <f t="shared" si="15"/>
        <v>0.68468799775133504</v>
      </c>
      <c r="AE82" s="5">
        <f t="shared" si="16"/>
        <v>0.61671985126610163</v>
      </c>
      <c r="AF82" s="5">
        <f t="shared" si="17"/>
        <v>0.42226068013688828</v>
      </c>
      <c r="AI82">
        <v>0.41509099999999999</v>
      </c>
      <c r="AJ82">
        <v>0.26875500000000002</v>
      </c>
      <c r="AK82" s="4">
        <f t="shared" si="18"/>
        <v>0.97229223273681242</v>
      </c>
      <c r="AL82" s="4">
        <f t="shared" si="19"/>
        <v>0.91942717759068393</v>
      </c>
      <c r="AN82">
        <v>0.22109400000000001</v>
      </c>
      <c r="AO82" s="4">
        <f t="shared" si="20"/>
        <v>0.82266004353407374</v>
      </c>
      <c r="AQ82" s="4"/>
    </row>
    <row r="83" spans="2:43" x14ac:dyDescent="0.25">
      <c r="B83">
        <v>16</v>
      </c>
      <c r="C83">
        <v>576</v>
      </c>
      <c r="D83">
        <v>8192</v>
      </c>
      <c r="E83">
        <v>8</v>
      </c>
      <c r="F83">
        <v>1</v>
      </c>
      <c r="G83">
        <v>5.3073499999999996</v>
      </c>
      <c r="H83">
        <v>1.11077</v>
      </c>
      <c r="I83">
        <v>0.87891300000000006</v>
      </c>
      <c r="J83" s="4">
        <f t="shared" si="12"/>
        <v>0.79126461823779903</v>
      </c>
      <c r="L83" s="4">
        <v>0.22022873938971427</v>
      </c>
      <c r="M83" s="4"/>
      <c r="N83">
        <v>0.93929700000000005</v>
      </c>
      <c r="O83">
        <v>0.67786400000000002</v>
      </c>
      <c r="P83" s="4">
        <f t="shared" si="13"/>
        <v>0.84562690746059044</v>
      </c>
      <c r="Q83" s="4">
        <f t="shared" ref="Q83:Q146" si="21">O83/I83</f>
        <v>0.77125267233503203</v>
      </c>
      <c r="R83">
        <v>0.44284200000000001</v>
      </c>
      <c r="S83" s="4">
        <f t="shared" si="14"/>
        <v>0.65329033552452997</v>
      </c>
      <c r="U83">
        <v>16</v>
      </c>
      <c r="V83">
        <v>128</v>
      </c>
      <c r="W83">
        <f>8192</f>
        <v>8192</v>
      </c>
      <c r="X83">
        <v>8</v>
      </c>
      <c r="Y83">
        <v>1</v>
      </c>
      <c r="Z83">
        <v>1.336303</v>
      </c>
      <c r="AA83">
        <v>0.47640399999999999</v>
      </c>
      <c r="AB83">
        <v>0.32756200000000002</v>
      </c>
      <c r="AC83" s="4">
        <f t="shared" si="15"/>
        <v>0.68757189276328501</v>
      </c>
      <c r="AE83" s="5">
        <f t="shared" si="16"/>
        <v>0.35650896540679772</v>
      </c>
      <c r="AF83" s="5">
        <f t="shared" si="17"/>
        <v>0.24512554413183238</v>
      </c>
      <c r="AI83">
        <v>0.41437000000000002</v>
      </c>
      <c r="AJ83">
        <v>0.269318</v>
      </c>
      <c r="AK83" s="4">
        <f t="shared" si="18"/>
        <v>0.86978698751479844</v>
      </c>
      <c r="AL83" s="4">
        <f t="shared" si="19"/>
        <v>0.82218938704733757</v>
      </c>
      <c r="AN83">
        <v>0.222112</v>
      </c>
      <c r="AO83" s="4">
        <f t="shared" si="20"/>
        <v>0.82472021922040117</v>
      </c>
      <c r="AQ83" s="4"/>
    </row>
    <row r="84" spans="2:43" x14ac:dyDescent="0.25">
      <c r="B84">
        <v>32</v>
      </c>
      <c r="C84">
        <v>576</v>
      </c>
      <c r="D84">
        <v>8192</v>
      </c>
      <c r="E84">
        <v>8</v>
      </c>
      <c r="F84">
        <v>1</v>
      </c>
      <c r="G84">
        <v>10.454022</v>
      </c>
      <c r="H84">
        <v>1.9385619999999999</v>
      </c>
      <c r="I84">
        <v>1.6319859999999999</v>
      </c>
      <c r="J84" s="4">
        <f t="shared" si="12"/>
        <v>0.84185391026957102</v>
      </c>
      <c r="L84" s="4">
        <v>0.19046889321640992</v>
      </c>
      <c r="M84" s="4"/>
      <c r="N84">
        <v>1.394631</v>
      </c>
      <c r="O84">
        <v>1.2580880000000001</v>
      </c>
      <c r="P84" s="4">
        <f t="shared" si="13"/>
        <v>0.71941521602094749</v>
      </c>
      <c r="Q84" s="4">
        <f t="shared" si="21"/>
        <v>0.77089386796210269</v>
      </c>
      <c r="R84">
        <v>0.78077399999999997</v>
      </c>
      <c r="S84" s="4">
        <f t="shared" si="14"/>
        <v>0.62060364616783559</v>
      </c>
      <c r="U84">
        <v>32</v>
      </c>
      <c r="V84">
        <v>128</v>
      </c>
      <c r="W84">
        <f>8192</f>
        <v>8192</v>
      </c>
      <c r="X84">
        <v>8</v>
      </c>
      <c r="Y84">
        <v>1</v>
      </c>
      <c r="Z84">
        <v>2.6613570000000002</v>
      </c>
      <c r="AA84">
        <v>0.74941000000000002</v>
      </c>
      <c r="AB84">
        <v>0.56617799999999996</v>
      </c>
      <c r="AC84" s="4">
        <f t="shared" si="15"/>
        <v>0.75549832534927464</v>
      </c>
      <c r="AE84" s="5">
        <f t="shared" si="16"/>
        <v>0.28158942975331758</v>
      </c>
      <c r="AF84" s="5">
        <f t="shared" si="17"/>
        <v>0.21274034261468863</v>
      </c>
      <c r="AI84">
        <v>0.656219</v>
      </c>
      <c r="AJ84">
        <v>0.47094999999999998</v>
      </c>
      <c r="AK84" s="4">
        <f t="shared" si="18"/>
        <v>0.8756475093740409</v>
      </c>
      <c r="AL84" s="4">
        <f t="shared" si="19"/>
        <v>0.83180554525255312</v>
      </c>
      <c r="AN84">
        <v>0.38903700000000002</v>
      </c>
      <c r="AO84" s="4">
        <f t="shared" si="20"/>
        <v>0.82606858477545397</v>
      </c>
      <c r="AQ84" s="4"/>
    </row>
    <row r="85" spans="2:43" x14ac:dyDescent="0.25">
      <c r="B85">
        <v>64</v>
      </c>
      <c r="C85">
        <v>576</v>
      </c>
      <c r="D85">
        <v>8192</v>
      </c>
      <c r="E85">
        <v>8</v>
      </c>
      <c r="F85">
        <v>1</v>
      </c>
      <c r="G85">
        <v>20.864822</v>
      </c>
      <c r="H85">
        <v>3.859486</v>
      </c>
      <c r="I85">
        <v>3.1122209999999999</v>
      </c>
      <c r="J85" s="4">
        <f t="shared" si="12"/>
        <v>0.80638224882795273</v>
      </c>
      <c r="L85" s="4">
        <v>0.18824589061914834</v>
      </c>
      <c r="M85" s="4"/>
      <c r="N85">
        <v>2.4666869999999999</v>
      </c>
      <c r="O85">
        <v>2.3614860000000002</v>
      </c>
      <c r="P85" s="4">
        <f t="shared" si="13"/>
        <v>0.63912318894277631</v>
      </c>
      <c r="Q85" s="4">
        <f t="shared" si="21"/>
        <v>0.75877837724249031</v>
      </c>
      <c r="R85">
        <v>1.4519869999999999</v>
      </c>
      <c r="S85" s="4">
        <f t="shared" si="14"/>
        <v>0.61486157444930856</v>
      </c>
      <c r="U85">
        <v>64</v>
      </c>
      <c r="V85">
        <v>128</v>
      </c>
      <c r="W85">
        <f>8192</f>
        <v>8192</v>
      </c>
      <c r="X85">
        <v>8</v>
      </c>
      <c r="Y85">
        <v>1</v>
      </c>
      <c r="Z85">
        <v>5.3704239999999999</v>
      </c>
      <c r="AA85">
        <v>1.2287589999999999</v>
      </c>
      <c r="AB85">
        <v>1.015714</v>
      </c>
      <c r="AC85" s="4">
        <f t="shared" si="15"/>
        <v>0.82661775010396676</v>
      </c>
      <c r="AE85" s="5">
        <f t="shared" si="16"/>
        <v>0.22880111514472601</v>
      </c>
      <c r="AF85" s="5">
        <f t="shared" si="17"/>
        <v>0.18913106302221203</v>
      </c>
      <c r="AI85">
        <v>1.1336390000000001</v>
      </c>
      <c r="AJ85">
        <v>0.83104</v>
      </c>
      <c r="AK85" s="4">
        <f t="shared" si="18"/>
        <v>0.92258856293219427</v>
      </c>
      <c r="AL85" s="4">
        <f t="shared" si="19"/>
        <v>0.81818307121886669</v>
      </c>
      <c r="AN85">
        <v>0.72511400000000004</v>
      </c>
      <c r="AO85" s="4">
        <f t="shared" si="20"/>
        <v>0.8725380246438198</v>
      </c>
      <c r="AQ85" s="4"/>
    </row>
    <row r="86" spans="2:43" x14ac:dyDescent="0.25">
      <c r="B86">
        <v>128</v>
      </c>
      <c r="C86">
        <v>576</v>
      </c>
      <c r="D86">
        <v>8192</v>
      </c>
      <c r="E86">
        <v>8</v>
      </c>
      <c r="F86">
        <v>1</v>
      </c>
      <c r="G86">
        <v>41.633338999999999</v>
      </c>
      <c r="H86">
        <v>7.5863079999999998</v>
      </c>
      <c r="I86">
        <v>6.0660040000000004</v>
      </c>
      <c r="J86" s="4">
        <f t="shared" si="12"/>
        <v>0.79959896170838307</v>
      </c>
      <c r="L86" s="4">
        <v>0.18473099166992107</v>
      </c>
      <c r="M86" s="4"/>
      <c r="N86">
        <v>4.4723350000000002</v>
      </c>
      <c r="O86">
        <v>4.5598789999999996</v>
      </c>
      <c r="P86" s="4">
        <f t="shared" si="13"/>
        <v>0.5895272113918919</v>
      </c>
      <c r="Q86" s="4">
        <f t="shared" si="21"/>
        <v>0.75171051651136389</v>
      </c>
      <c r="R86">
        <v>2.737933</v>
      </c>
      <c r="S86" s="4">
        <f t="shared" si="14"/>
        <v>0.60043983623249653</v>
      </c>
      <c r="U86">
        <v>128</v>
      </c>
      <c r="V86">
        <v>128</v>
      </c>
      <c r="W86">
        <f>8192</f>
        <v>8192</v>
      </c>
      <c r="X86">
        <v>8</v>
      </c>
      <c r="Y86">
        <v>1</v>
      </c>
      <c r="Z86">
        <v>10.808669</v>
      </c>
      <c r="AA86">
        <v>2.2033879999999999</v>
      </c>
      <c r="AB86">
        <v>1.897138</v>
      </c>
      <c r="AC86" s="4">
        <f t="shared" si="15"/>
        <v>0.86100949991558462</v>
      </c>
      <c r="AE86" s="5">
        <f t="shared" si="16"/>
        <v>0.20385377700066493</v>
      </c>
      <c r="AF86" s="5">
        <f t="shared" si="17"/>
        <v>0.1755200385912456</v>
      </c>
      <c r="AI86">
        <v>2.099729</v>
      </c>
      <c r="AJ86">
        <v>1.4747140000000001</v>
      </c>
      <c r="AK86" s="4">
        <f t="shared" si="18"/>
        <v>0.95295472245469248</v>
      </c>
      <c r="AL86" s="4">
        <f t="shared" si="19"/>
        <v>0.77733617691491086</v>
      </c>
      <c r="AN86">
        <v>1.3807419999999999</v>
      </c>
      <c r="AO86" s="4">
        <f t="shared" si="20"/>
        <v>0.93627781386763798</v>
      </c>
      <c r="AQ86" s="4"/>
    </row>
    <row r="87" spans="2:43" x14ac:dyDescent="0.25">
      <c r="B87">
        <v>256</v>
      </c>
      <c r="C87">
        <v>576</v>
      </c>
      <c r="D87">
        <v>8192</v>
      </c>
      <c r="E87">
        <v>8</v>
      </c>
      <c r="F87">
        <v>1</v>
      </c>
      <c r="H87">
        <v>15.006664000000001</v>
      </c>
      <c r="I87">
        <v>11.993288</v>
      </c>
      <c r="J87" s="4">
        <f t="shared" si="12"/>
        <v>0.79919747653442497</v>
      </c>
      <c r="L87" s="4"/>
      <c r="M87" s="4"/>
      <c r="N87">
        <v>8.5153479999999995</v>
      </c>
      <c r="O87">
        <v>8.8870419999999992</v>
      </c>
      <c r="P87" s="4">
        <f t="shared" si="13"/>
        <v>0.56743777297872455</v>
      </c>
      <c r="Q87" s="4">
        <f t="shared" si="21"/>
        <v>0.74100130006050047</v>
      </c>
      <c r="R87">
        <v>5.3394890000000004</v>
      </c>
      <c r="S87" s="4">
        <f t="shared" si="14"/>
        <v>0.60081734732434044</v>
      </c>
      <c r="U87">
        <v>256</v>
      </c>
      <c r="V87">
        <v>128</v>
      </c>
      <c r="W87">
        <f>8192</f>
        <v>8192</v>
      </c>
      <c r="X87">
        <v>8</v>
      </c>
      <c r="Y87">
        <v>1</v>
      </c>
      <c r="Z87">
        <v>21.847394999999999</v>
      </c>
      <c r="AA87">
        <v>4.1369300000000004</v>
      </c>
      <c r="AB87">
        <v>3.607132</v>
      </c>
      <c r="AC87" s="4">
        <f t="shared" si="15"/>
        <v>0.87193450215497958</v>
      </c>
      <c r="AE87" s="5">
        <f t="shared" si="16"/>
        <v>0.18935575614392475</v>
      </c>
      <c r="AF87" s="5">
        <f t="shared" si="17"/>
        <v>0.16510581696353274</v>
      </c>
      <c r="AI87">
        <v>4.0217700000000001</v>
      </c>
      <c r="AJ87">
        <v>2.761409</v>
      </c>
      <c r="AK87" s="4">
        <f t="shared" si="18"/>
        <v>0.97216293241606688</v>
      </c>
      <c r="AL87" s="4">
        <f t="shared" si="19"/>
        <v>0.76554143291678822</v>
      </c>
      <c r="AN87">
        <v>2.7041659999999998</v>
      </c>
      <c r="AO87" s="4">
        <f t="shared" si="20"/>
        <v>0.97927036523745659</v>
      </c>
      <c r="AQ87" s="4"/>
    </row>
    <row r="88" spans="2:43" x14ac:dyDescent="0.25">
      <c r="B88">
        <v>512</v>
      </c>
      <c r="C88">
        <v>576</v>
      </c>
      <c r="D88">
        <v>8192</v>
      </c>
      <c r="E88">
        <v>8</v>
      </c>
      <c r="F88">
        <v>1</v>
      </c>
      <c r="H88">
        <v>29.640212999999999</v>
      </c>
      <c r="I88">
        <v>23.818235000000001</v>
      </c>
      <c r="J88" s="4">
        <f t="shared" si="12"/>
        <v>0.80357840208503228</v>
      </c>
      <c r="L88" s="4"/>
      <c r="M88" s="4"/>
      <c r="N88">
        <v>16.808111</v>
      </c>
      <c r="O88">
        <v>17.525423</v>
      </c>
      <c r="P88" s="4">
        <f t="shared" si="13"/>
        <v>0.56707119479876889</v>
      </c>
      <c r="Q88" s="4">
        <f t="shared" si="21"/>
        <v>0.73579855938107919</v>
      </c>
      <c r="R88">
        <v>10.564309</v>
      </c>
      <c r="S88" s="4">
        <f t="shared" si="14"/>
        <v>0.60279908793071646</v>
      </c>
      <c r="U88">
        <v>512</v>
      </c>
      <c r="V88">
        <v>128</v>
      </c>
      <c r="W88">
        <f>8192</f>
        <v>8192</v>
      </c>
      <c r="X88">
        <v>8</v>
      </c>
      <c r="Y88">
        <v>1</v>
      </c>
      <c r="Z88">
        <v>44.215907999999999</v>
      </c>
      <c r="AA88">
        <v>7.985322</v>
      </c>
      <c r="AB88">
        <v>6.9685050000000004</v>
      </c>
      <c r="AC88" s="4">
        <f t="shared" si="15"/>
        <v>0.87266424572484369</v>
      </c>
      <c r="AE88" s="5">
        <f t="shared" si="16"/>
        <v>0.18059839458685323</v>
      </c>
      <c r="AF88" s="5">
        <f t="shared" si="17"/>
        <v>0.15760176179125396</v>
      </c>
      <c r="AI88">
        <v>7.8732280000000001</v>
      </c>
      <c r="AJ88">
        <v>5.2773380000000003</v>
      </c>
      <c r="AK88" s="4">
        <f t="shared" si="18"/>
        <v>0.98596249468712727</v>
      </c>
      <c r="AL88" s="4">
        <f t="shared" si="19"/>
        <v>0.75731279521217243</v>
      </c>
      <c r="AN88">
        <v>5.3487099999999996</v>
      </c>
      <c r="AO88" s="4">
        <f t="shared" si="20"/>
        <v>1.0135242427147928</v>
      </c>
      <c r="AQ88" s="4"/>
    </row>
    <row r="89" spans="2:43" x14ac:dyDescent="0.25">
      <c r="B89">
        <v>1</v>
      </c>
      <c r="C89">
        <v>576</v>
      </c>
      <c r="D89">
        <v>16384</v>
      </c>
      <c r="E89">
        <v>8</v>
      </c>
      <c r="F89">
        <v>1</v>
      </c>
      <c r="G89">
        <v>1.4035930000000001</v>
      </c>
      <c r="H89">
        <v>0.91907499999999998</v>
      </c>
      <c r="I89">
        <v>0.67993599999999998</v>
      </c>
      <c r="J89" s="4">
        <f t="shared" si="12"/>
        <v>0.73980469493784506</v>
      </c>
      <c r="L89" s="5">
        <v>0.65550839880221679</v>
      </c>
      <c r="M89" s="5"/>
      <c r="N89">
        <v>0.92864999999999998</v>
      </c>
      <c r="O89">
        <v>0.67283300000000001</v>
      </c>
      <c r="P89" s="4">
        <f t="shared" si="13"/>
        <v>1.0104180833990697</v>
      </c>
      <c r="Q89" s="4">
        <f t="shared" si="21"/>
        <v>0.98955342855798201</v>
      </c>
      <c r="R89">
        <v>0.61450199999999999</v>
      </c>
      <c r="S89" s="4">
        <f t="shared" si="14"/>
        <v>0.91330538187038979</v>
      </c>
      <c r="U89" s="8">
        <v>1</v>
      </c>
      <c r="V89" s="8">
        <v>128</v>
      </c>
      <c r="W89" s="8">
        <f>16384</f>
        <v>16384</v>
      </c>
      <c r="X89" s="8">
        <v>8</v>
      </c>
      <c r="Y89" s="8">
        <v>1</v>
      </c>
      <c r="Z89" s="8">
        <v>0.38042599999999999</v>
      </c>
      <c r="AA89" s="8">
        <v>0.61742399999999997</v>
      </c>
      <c r="AB89">
        <v>0.37048900000000001</v>
      </c>
      <c r="AC89" s="4">
        <f t="shared" si="15"/>
        <v>0.60005603928580686</v>
      </c>
      <c r="AE89" s="5">
        <f t="shared" si="16"/>
        <v>1.6229805533796322</v>
      </c>
      <c r="AF89" s="5">
        <f t="shared" si="17"/>
        <v>0.97387928269886925</v>
      </c>
      <c r="AI89">
        <v>0.60916899999999996</v>
      </c>
      <c r="AJ89">
        <v>0.34842200000000001</v>
      </c>
      <c r="AK89" s="4">
        <f t="shared" si="18"/>
        <v>0.98662993340071004</v>
      </c>
      <c r="AL89" s="4">
        <f t="shared" si="19"/>
        <v>0.94043817765169813</v>
      </c>
      <c r="AN89">
        <v>0.381133</v>
      </c>
      <c r="AO89" s="4">
        <f t="shared" si="20"/>
        <v>1.0938832794714455</v>
      </c>
      <c r="AQ89" s="4"/>
    </row>
    <row r="90" spans="2:43" x14ac:dyDescent="0.25">
      <c r="B90">
        <v>2</v>
      </c>
      <c r="C90">
        <v>576</v>
      </c>
      <c r="D90">
        <v>16384</v>
      </c>
      <c r="E90">
        <v>8</v>
      </c>
      <c r="F90">
        <v>1</v>
      </c>
      <c r="G90">
        <v>1.3782239999999999</v>
      </c>
      <c r="H90">
        <v>1.238583</v>
      </c>
      <c r="I90">
        <v>0.98188900000000001</v>
      </c>
      <c r="J90" s="4">
        <f t="shared" si="12"/>
        <v>0.79275187855799734</v>
      </c>
      <c r="L90" s="5">
        <v>0.89224538246322804</v>
      </c>
      <c r="M90" s="5"/>
      <c r="N90">
        <v>1.0929150000000001</v>
      </c>
      <c r="O90">
        <v>0.83883700000000005</v>
      </c>
      <c r="P90" s="4">
        <f t="shared" si="13"/>
        <v>0.8823914101840572</v>
      </c>
      <c r="Q90" s="4">
        <f t="shared" si="21"/>
        <v>0.85430939749808787</v>
      </c>
      <c r="R90">
        <v>0.60917100000000002</v>
      </c>
      <c r="S90" s="4">
        <f t="shared" si="14"/>
        <v>0.72620902511453356</v>
      </c>
      <c r="U90" s="8">
        <v>2</v>
      </c>
      <c r="V90" s="8">
        <v>128</v>
      </c>
      <c r="W90" s="8">
        <f>16384</f>
        <v>16384</v>
      </c>
      <c r="X90" s="8">
        <v>8</v>
      </c>
      <c r="Y90" s="8">
        <v>1</v>
      </c>
      <c r="Z90" s="8">
        <v>0.39124799999999998</v>
      </c>
      <c r="AA90" s="8">
        <v>0.687809</v>
      </c>
      <c r="AB90">
        <v>0.423184</v>
      </c>
      <c r="AC90" s="4">
        <f t="shared" si="15"/>
        <v>0.61526383051108668</v>
      </c>
      <c r="AE90" s="5">
        <f t="shared" si="16"/>
        <v>1.7579872612767351</v>
      </c>
      <c r="AF90" s="5">
        <f t="shared" si="17"/>
        <v>1.0816259763628184</v>
      </c>
      <c r="AI90">
        <v>0.63322999999999996</v>
      </c>
      <c r="AJ90">
        <v>0.37763200000000002</v>
      </c>
      <c r="AK90" s="4">
        <f t="shared" si="18"/>
        <v>0.92064802874053697</v>
      </c>
      <c r="AL90" s="4">
        <f t="shared" si="19"/>
        <v>0.89235887935271663</v>
      </c>
      <c r="AN90">
        <v>0.37896299999999999</v>
      </c>
      <c r="AO90" s="4">
        <f t="shared" si="20"/>
        <v>1.0035245953732734</v>
      </c>
      <c r="AQ90" s="4"/>
    </row>
    <row r="91" spans="2:43" x14ac:dyDescent="0.25">
      <c r="B91">
        <v>4</v>
      </c>
      <c r="C91">
        <v>576</v>
      </c>
      <c r="D91">
        <v>16384</v>
      </c>
      <c r="E91">
        <v>8</v>
      </c>
      <c r="F91">
        <v>1</v>
      </c>
      <c r="G91">
        <v>2.670607</v>
      </c>
      <c r="H91">
        <v>1.326363</v>
      </c>
      <c r="I91">
        <v>1.05403</v>
      </c>
      <c r="J91" s="4">
        <f t="shared" si="12"/>
        <v>0.79467687201769055</v>
      </c>
      <c r="L91" s="5">
        <v>0.49817438507425466</v>
      </c>
      <c r="M91" s="5"/>
      <c r="N91">
        <v>1.819226</v>
      </c>
      <c r="O91">
        <v>1.2654799999999999</v>
      </c>
      <c r="P91" s="4">
        <f t="shared" si="13"/>
        <v>1.3715898287271282</v>
      </c>
      <c r="Q91" s="4">
        <f t="shared" si="21"/>
        <v>1.2006109883020406</v>
      </c>
      <c r="R91">
        <v>0.74970899999999996</v>
      </c>
      <c r="S91" s="4">
        <f t="shared" si="14"/>
        <v>0.59243054019028352</v>
      </c>
      <c r="U91" s="8">
        <v>4</v>
      </c>
      <c r="V91" s="8">
        <v>128</v>
      </c>
      <c r="W91" s="8">
        <f>16384</f>
        <v>16384</v>
      </c>
      <c r="X91" s="8">
        <v>8</v>
      </c>
      <c r="Y91" s="8">
        <v>1</v>
      </c>
      <c r="Z91" s="8">
        <v>0.683118</v>
      </c>
      <c r="AA91" s="8">
        <v>0.70228400000000002</v>
      </c>
      <c r="AB91">
        <v>0.44124799999999997</v>
      </c>
      <c r="AC91" s="4">
        <f t="shared" si="15"/>
        <v>0.62830421880606702</v>
      </c>
      <c r="AE91" s="5">
        <f t="shared" si="16"/>
        <v>1.0280566461431262</v>
      </c>
      <c r="AF91" s="5">
        <f t="shared" si="17"/>
        <v>0.6459323279433421</v>
      </c>
      <c r="AI91">
        <v>0.74978299999999998</v>
      </c>
      <c r="AJ91">
        <v>0.46329599999999999</v>
      </c>
      <c r="AK91" s="4">
        <f t="shared" si="18"/>
        <v>1.0676350308422233</v>
      </c>
      <c r="AL91" s="4">
        <f t="shared" si="19"/>
        <v>1.0499673652911741</v>
      </c>
      <c r="AN91">
        <v>0.376915</v>
      </c>
      <c r="AO91" s="4">
        <f t="shared" si="20"/>
        <v>0.81355116383478387</v>
      </c>
      <c r="AQ91" s="4"/>
    </row>
    <row r="92" spans="2:43" x14ac:dyDescent="0.25">
      <c r="B92">
        <v>8</v>
      </c>
      <c r="C92">
        <v>576</v>
      </c>
      <c r="D92">
        <v>16384</v>
      </c>
      <c r="E92">
        <v>8</v>
      </c>
      <c r="F92">
        <v>1</v>
      </c>
      <c r="G92">
        <v>5.2509360000000003</v>
      </c>
      <c r="H92">
        <v>1.7688330000000001</v>
      </c>
      <c r="I92">
        <v>1.4731460000000001</v>
      </c>
      <c r="J92" s="4">
        <f t="shared" si="12"/>
        <v>0.8328349821605544</v>
      </c>
      <c r="L92" s="4">
        <v>0.33915058191530045</v>
      </c>
      <c r="M92" s="4"/>
      <c r="N92">
        <v>1.8640319999999999</v>
      </c>
      <c r="O92">
        <v>1.256629</v>
      </c>
      <c r="P92" s="4">
        <f t="shared" si="13"/>
        <v>1.0538202306266333</v>
      </c>
      <c r="Q92" s="4">
        <f t="shared" si="21"/>
        <v>0.85302407229154475</v>
      </c>
      <c r="R92">
        <v>0.74789799999999995</v>
      </c>
      <c r="S92" s="4">
        <f t="shared" si="14"/>
        <v>0.59516213615951885</v>
      </c>
      <c r="U92">
        <v>8</v>
      </c>
      <c r="V92">
        <v>128</v>
      </c>
      <c r="W92">
        <f>16384</f>
        <v>16384</v>
      </c>
      <c r="X92">
        <v>8</v>
      </c>
      <c r="Y92">
        <v>1</v>
      </c>
      <c r="Z92">
        <v>1.3220080000000001</v>
      </c>
      <c r="AA92">
        <v>0.800535</v>
      </c>
      <c r="AB92">
        <v>0.50888900000000004</v>
      </c>
      <c r="AC92" s="4">
        <f t="shared" si="15"/>
        <v>0.63568613489728754</v>
      </c>
      <c r="AE92" s="5">
        <f t="shared" si="16"/>
        <v>0.60554474708171202</v>
      </c>
      <c r="AF92" s="5">
        <f t="shared" si="17"/>
        <v>0.38493639977972904</v>
      </c>
      <c r="AI92">
        <v>0.77916300000000005</v>
      </c>
      <c r="AJ92">
        <v>0.46814699999999998</v>
      </c>
      <c r="AK92" s="4">
        <f t="shared" si="18"/>
        <v>0.9733028537165771</v>
      </c>
      <c r="AL92" s="4">
        <f t="shared" si="19"/>
        <v>0.91993931879054169</v>
      </c>
      <c r="AN92">
        <v>0.37919399999999998</v>
      </c>
      <c r="AO92" s="4">
        <f t="shared" si="20"/>
        <v>0.8099891700683759</v>
      </c>
      <c r="AQ92" s="4"/>
    </row>
    <row r="93" spans="2:43" x14ac:dyDescent="0.25">
      <c r="B93">
        <v>16</v>
      </c>
      <c r="C93">
        <v>576</v>
      </c>
      <c r="D93">
        <v>16384</v>
      </c>
      <c r="E93">
        <v>8</v>
      </c>
      <c r="F93">
        <v>1</v>
      </c>
      <c r="G93">
        <v>10.434558000000001</v>
      </c>
      <c r="H93">
        <v>2.185549</v>
      </c>
      <c r="I93">
        <v>1.6215619999999999</v>
      </c>
      <c r="J93" s="4">
        <f t="shared" si="12"/>
        <v>0.74194721783863005</v>
      </c>
      <c r="L93" s="4">
        <v>0.21461512792396187</v>
      </c>
      <c r="M93" s="4"/>
      <c r="N93">
        <v>1.8675390000000001</v>
      </c>
      <c r="O93">
        <v>1.253061</v>
      </c>
      <c r="P93" s="4">
        <f t="shared" si="13"/>
        <v>0.85449422547835807</v>
      </c>
      <c r="Q93" s="4">
        <f t="shared" si="21"/>
        <v>0.77274936141818817</v>
      </c>
      <c r="R93">
        <v>0.77288999999999997</v>
      </c>
      <c r="S93" s="4">
        <f t="shared" si="14"/>
        <v>0.61680157629995669</v>
      </c>
      <c r="U93">
        <v>16</v>
      </c>
      <c r="V93">
        <v>128</v>
      </c>
      <c r="W93">
        <f>16384</f>
        <v>16384</v>
      </c>
      <c r="X93">
        <v>8</v>
      </c>
      <c r="Y93">
        <v>1</v>
      </c>
      <c r="Z93">
        <v>2.6201850000000002</v>
      </c>
      <c r="AA93">
        <v>0.901864</v>
      </c>
      <c r="AB93">
        <v>0.56691100000000005</v>
      </c>
      <c r="AC93" s="4">
        <f t="shared" si="15"/>
        <v>0.62859921229808491</v>
      </c>
      <c r="AE93" s="5">
        <f t="shared" si="16"/>
        <v>0.34419859666397601</v>
      </c>
      <c r="AF93" s="5">
        <f t="shared" si="17"/>
        <v>0.21636296673708155</v>
      </c>
      <c r="AI93">
        <v>0.76658400000000004</v>
      </c>
      <c r="AJ93">
        <v>0.46906199999999998</v>
      </c>
      <c r="AK93" s="4">
        <f t="shared" si="18"/>
        <v>0.84999955647414693</v>
      </c>
      <c r="AL93" s="4">
        <f t="shared" si="19"/>
        <v>0.82739971529922673</v>
      </c>
      <c r="AN93">
        <v>0.37948199999999999</v>
      </c>
      <c r="AO93" s="4">
        <f t="shared" si="20"/>
        <v>0.80902311421517836</v>
      </c>
      <c r="AQ93" s="4"/>
    </row>
    <row r="94" spans="2:43" x14ac:dyDescent="0.25">
      <c r="B94">
        <v>32</v>
      </c>
      <c r="C94">
        <v>576</v>
      </c>
      <c r="D94">
        <v>16384</v>
      </c>
      <c r="E94">
        <v>8</v>
      </c>
      <c r="F94">
        <v>1</v>
      </c>
      <c r="G94">
        <v>20.783829000000001</v>
      </c>
      <c r="H94">
        <v>3.84755</v>
      </c>
      <c r="I94">
        <v>3.1086049999999998</v>
      </c>
      <c r="J94" s="4">
        <f t="shared" si="12"/>
        <v>0.80794401632207502</v>
      </c>
      <c r="L94" s="4">
        <v>0.18960842104695916</v>
      </c>
      <c r="M94" s="4"/>
      <c r="N94">
        <v>2.6845870000000001</v>
      </c>
      <c r="O94">
        <v>2.3670610000000001</v>
      </c>
      <c r="P94" s="4">
        <f t="shared" si="13"/>
        <v>0.69773934061935516</v>
      </c>
      <c r="Q94" s="4">
        <f t="shared" si="21"/>
        <v>0.76145441443991768</v>
      </c>
      <c r="R94">
        <v>1.389894</v>
      </c>
      <c r="S94" s="4">
        <f t="shared" si="14"/>
        <v>0.58718131894361825</v>
      </c>
      <c r="U94">
        <v>32</v>
      </c>
      <c r="V94">
        <v>128</v>
      </c>
      <c r="W94">
        <f>16384</f>
        <v>16384</v>
      </c>
      <c r="X94">
        <v>8</v>
      </c>
      <c r="Y94">
        <v>1</v>
      </c>
      <c r="Z94">
        <v>5.3731099999999996</v>
      </c>
      <c r="AA94">
        <v>1.451038</v>
      </c>
      <c r="AB94">
        <v>1.0140530000000001</v>
      </c>
      <c r="AC94" s="4">
        <f t="shared" si="15"/>
        <v>0.69884661876532528</v>
      </c>
      <c r="AE94" s="5">
        <f t="shared" si="16"/>
        <v>0.270055517195814</v>
      </c>
      <c r="AF94" s="5">
        <f t="shared" si="17"/>
        <v>0.18872738507121578</v>
      </c>
      <c r="AI94">
        <v>1.257639</v>
      </c>
      <c r="AJ94">
        <v>0.83577000000000001</v>
      </c>
      <c r="AK94" s="4">
        <f t="shared" si="18"/>
        <v>0.86671679170359417</v>
      </c>
      <c r="AL94" s="4">
        <f t="shared" si="19"/>
        <v>0.82418769038699158</v>
      </c>
      <c r="AN94">
        <v>0.70440999999999998</v>
      </c>
      <c r="AO94" s="4">
        <f t="shared" si="20"/>
        <v>0.84282757217894877</v>
      </c>
      <c r="AQ94" s="4"/>
    </row>
    <row r="95" spans="2:43" x14ac:dyDescent="0.25">
      <c r="B95">
        <v>64</v>
      </c>
      <c r="C95">
        <v>576</v>
      </c>
      <c r="D95">
        <v>16384</v>
      </c>
      <c r="E95">
        <v>8</v>
      </c>
      <c r="F95">
        <v>1</v>
      </c>
      <c r="G95">
        <v>41.503039999999999</v>
      </c>
      <c r="H95">
        <v>7.6670769999999999</v>
      </c>
      <c r="I95">
        <v>6.0388820000000001</v>
      </c>
      <c r="J95" s="4">
        <f t="shared" si="12"/>
        <v>0.7876381051083744</v>
      </c>
      <c r="L95" s="4">
        <v>0.18593729519572541</v>
      </c>
      <c r="M95" s="4"/>
      <c r="N95">
        <v>4.8753849999999996</v>
      </c>
      <c r="O95">
        <v>4.6184190000000003</v>
      </c>
      <c r="P95" s="4">
        <f t="shared" si="13"/>
        <v>0.63588574889752636</v>
      </c>
      <c r="Q95" s="4">
        <f t="shared" si="21"/>
        <v>0.76478046764285179</v>
      </c>
      <c r="R95">
        <v>2.6497920000000001</v>
      </c>
      <c r="S95" s="4">
        <f t="shared" si="14"/>
        <v>0.5737443917496442</v>
      </c>
      <c r="U95">
        <v>64</v>
      </c>
      <c r="V95">
        <v>128</v>
      </c>
      <c r="W95">
        <f>16384</f>
        <v>16384</v>
      </c>
      <c r="X95">
        <v>8</v>
      </c>
      <c r="Y95">
        <v>1</v>
      </c>
      <c r="Z95">
        <v>10.929600000000001</v>
      </c>
      <c r="AA95">
        <v>2.4109479999999999</v>
      </c>
      <c r="AB95">
        <v>1.8830769999999999</v>
      </c>
      <c r="AC95" s="4">
        <f t="shared" si="15"/>
        <v>0.78105251544205845</v>
      </c>
      <c r="AE95" s="5">
        <f t="shared" si="16"/>
        <v>0.22058885961059871</v>
      </c>
      <c r="AF95" s="5">
        <f t="shared" si="17"/>
        <v>0.17229148367735322</v>
      </c>
      <c r="AI95">
        <v>2.2057799999999999</v>
      </c>
      <c r="AJ95">
        <v>1.5036799999999999</v>
      </c>
      <c r="AK95" s="4">
        <f t="shared" si="18"/>
        <v>0.91490152421371174</v>
      </c>
      <c r="AL95" s="4">
        <f t="shared" si="19"/>
        <v>0.79852284319759625</v>
      </c>
      <c r="AN95">
        <v>1.346266</v>
      </c>
      <c r="AO95" s="4">
        <f t="shared" si="20"/>
        <v>0.89531416258778462</v>
      </c>
      <c r="AQ95" s="4"/>
    </row>
    <row r="96" spans="2:43" x14ac:dyDescent="0.25">
      <c r="B96">
        <v>128</v>
      </c>
      <c r="C96">
        <v>576</v>
      </c>
      <c r="D96">
        <v>16384</v>
      </c>
      <c r="E96">
        <v>8</v>
      </c>
      <c r="F96">
        <v>1</v>
      </c>
      <c r="G96">
        <v>82.841247999999993</v>
      </c>
      <c r="H96">
        <v>15.183164</v>
      </c>
      <c r="I96">
        <v>11.946564</v>
      </c>
      <c r="J96" s="4">
        <f t="shared" si="12"/>
        <v>0.78682967529034142</v>
      </c>
      <c r="L96" s="4">
        <v>0.18451246654323702</v>
      </c>
      <c r="M96" s="4"/>
      <c r="N96">
        <v>8.8475380000000001</v>
      </c>
      <c r="O96">
        <v>8.9022849999999991</v>
      </c>
      <c r="P96" s="4">
        <f t="shared" si="13"/>
        <v>0.58272030783570539</v>
      </c>
      <c r="Q96" s="4">
        <f t="shared" si="21"/>
        <v>0.74517534916315675</v>
      </c>
      <c r="R96">
        <v>5.1324810000000003</v>
      </c>
      <c r="S96" s="4">
        <f t="shared" si="14"/>
        <v>0.57653523786308802</v>
      </c>
      <c r="U96">
        <v>128</v>
      </c>
      <c r="V96">
        <v>128</v>
      </c>
      <c r="W96">
        <f>16384</f>
        <v>16384</v>
      </c>
      <c r="X96">
        <v>8</v>
      </c>
      <c r="Y96">
        <v>1</v>
      </c>
      <c r="Z96">
        <v>22.058904999999999</v>
      </c>
      <c r="AA96">
        <v>4.3366959999999999</v>
      </c>
      <c r="AB96">
        <v>3.577169</v>
      </c>
      <c r="AC96" s="4">
        <f t="shared" si="15"/>
        <v>0.8248604467548567</v>
      </c>
      <c r="AE96" s="5">
        <f t="shared" si="16"/>
        <v>0.19659615923818521</v>
      </c>
      <c r="AF96" s="5">
        <f t="shared" si="17"/>
        <v>0.1621643957394984</v>
      </c>
      <c r="AI96">
        <v>4.132288</v>
      </c>
      <c r="AJ96">
        <v>2.7792520000000001</v>
      </c>
      <c r="AK96" s="4">
        <f t="shared" si="18"/>
        <v>0.95286549944935039</v>
      </c>
      <c r="AL96" s="4">
        <f t="shared" si="19"/>
        <v>0.77694176596073594</v>
      </c>
      <c r="AN96">
        <v>2.6342089999999998</v>
      </c>
      <c r="AO96" s="4">
        <f t="shared" si="20"/>
        <v>0.94781221710014052</v>
      </c>
      <c r="AQ96" s="4"/>
    </row>
    <row r="97" spans="2:43" x14ac:dyDescent="0.25">
      <c r="B97">
        <v>256</v>
      </c>
      <c r="C97">
        <v>576</v>
      </c>
      <c r="D97">
        <v>16384</v>
      </c>
      <c r="E97">
        <v>8</v>
      </c>
      <c r="F97">
        <v>1</v>
      </c>
      <c r="H97">
        <v>30.186176</v>
      </c>
      <c r="I97">
        <v>23.704370000000001</v>
      </c>
      <c r="J97" s="4">
        <f t="shared" si="12"/>
        <v>0.78527237103500624</v>
      </c>
      <c r="L97" s="4"/>
      <c r="M97" s="4"/>
      <c r="N97">
        <v>16.897255000000001</v>
      </c>
      <c r="O97">
        <v>17.431168</v>
      </c>
      <c r="P97" s="4">
        <f t="shared" si="13"/>
        <v>0.55976798783655146</v>
      </c>
      <c r="Q97" s="4">
        <f t="shared" si="21"/>
        <v>0.73535672958192932</v>
      </c>
      <c r="R97">
        <v>10.152775</v>
      </c>
      <c r="S97" s="4">
        <f t="shared" si="14"/>
        <v>0.5824494950653909</v>
      </c>
      <c r="U97">
        <v>256</v>
      </c>
      <c r="V97">
        <v>128</v>
      </c>
      <c r="W97">
        <f>16384</f>
        <v>16384</v>
      </c>
      <c r="X97">
        <v>8</v>
      </c>
      <c r="Y97">
        <v>1</v>
      </c>
      <c r="Z97">
        <v>44.337226999999999</v>
      </c>
      <c r="AA97">
        <v>8.1710279999999997</v>
      </c>
      <c r="AB97">
        <v>6.892277</v>
      </c>
      <c r="AC97" s="4">
        <f t="shared" si="15"/>
        <v>0.84350182131305884</v>
      </c>
      <c r="AE97" s="5">
        <f t="shared" si="16"/>
        <v>0.18429271636676781</v>
      </c>
      <c r="AF97" s="5">
        <f t="shared" si="17"/>
        <v>0.15545124191009962</v>
      </c>
      <c r="AI97">
        <v>7.9624290000000002</v>
      </c>
      <c r="AJ97">
        <v>5.3301239999999996</v>
      </c>
      <c r="AK97" s="4">
        <f t="shared" si="18"/>
        <v>0.97447089888812033</v>
      </c>
      <c r="AL97" s="4">
        <f t="shared" si="19"/>
        <v>0.77334732774089021</v>
      </c>
      <c r="AN97">
        <v>5.211481</v>
      </c>
      <c r="AO97" s="4">
        <f t="shared" si="20"/>
        <v>0.97774104317272925</v>
      </c>
      <c r="AQ97" s="4"/>
    </row>
    <row r="98" spans="2:43" x14ac:dyDescent="0.25">
      <c r="B98">
        <v>512</v>
      </c>
      <c r="C98">
        <v>576</v>
      </c>
      <c r="D98">
        <v>16384</v>
      </c>
      <c r="E98">
        <v>8</v>
      </c>
      <c r="F98">
        <v>1</v>
      </c>
      <c r="H98">
        <v>55.324406000000003</v>
      </c>
      <c r="I98">
        <v>47.760505999999999</v>
      </c>
      <c r="J98" s="4">
        <f t="shared" si="12"/>
        <v>0.86328095415972472</v>
      </c>
      <c r="L98" s="4"/>
      <c r="M98" s="4"/>
      <c r="N98">
        <v>33.067413000000002</v>
      </c>
      <c r="O98">
        <v>34.601112000000001</v>
      </c>
      <c r="P98" s="4">
        <f t="shared" si="13"/>
        <v>0.59770028077662507</v>
      </c>
      <c r="Q98" s="4">
        <f t="shared" si="21"/>
        <v>0.72447121896070366</v>
      </c>
      <c r="R98">
        <v>20.498978000000001</v>
      </c>
      <c r="S98" s="4">
        <f t="shared" si="14"/>
        <v>0.59243697138982121</v>
      </c>
      <c r="U98">
        <v>512</v>
      </c>
      <c r="V98">
        <v>128</v>
      </c>
      <c r="W98">
        <f>16384</f>
        <v>16384</v>
      </c>
      <c r="X98">
        <v>8</v>
      </c>
      <c r="Y98">
        <v>1</v>
      </c>
      <c r="Z98">
        <v>88.830460000000002</v>
      </c>
      <c r="AA98">
        <v>15.832815</v>
      </c>
      <c r="AB98">
        <v>13.469061999999999</v>
      </c>
      <c r="AC98" s="4">
        <f t="shared" si="15"/>
        <v>0.85070544940997539</v>
      </c>
      <c r="AE98" s="5">
        <f t="shared" si="16"/>
        <v>0.17823632794426597</v>
      </c>
      <c r="AF98" s="5">
        <f t="shared" si="17"/>
        <v>0.15162661546501052</v>
      </c>
      <c r="AI98">
        <v>15.623239999999999</v>
      </c>
      <c r="AJ98">
        <v>10.397112999999999</v>
      </c>
      <c r="AK98" s="4">
        <f t="shared" si="18"/>
        <v>0.98676325088116035</v>
      </c>
      <c r="AL98" s="4">
        <f t="shared" si="19"/>
        <v>0.77192554314472672</v>
      </c>
      <c r="AN98">
        <v>10.365862999999999</v>
      </c>
      <c r="AO98" s="4">
        <f t="shared" si="20"/>
        <v>0.99699435795302027</v>
      </c>
      <c r="AQ98" s="4"/>
    </row>
    <row r="99" spans="2:43" x14ac:dyDescent="0.25">
      <c r="B99">
        <v>1</v>
      </c>
      <c r="C99">
        <v>576</v>
      </c>
      <c r="D99">
        <v>64</v>
      </c>
      <c r="E99">
        <v>16</v>
      </c>
      <c r="F99">
        <v>1</v>
      </c>
      <c r="H99">
        <v>7.2718000000000005E-2</v>
      </c>
      <c r="I99">
        <v>8.0746999999999999E-2</v>
      </c>
      <c r="J99" s="4">
        <f t="shared" si="12"/>
        <v>1.1104128276355234</v>
      </c>
      <c r="L99" s="4"/>
      <c r="M99" s="4"/>
      <c r="N99">
        <v>7.1159E-2</v>
      </c>
      <c r="O99">
        <v>7.6035000000000005E-2</v>
      </c>
      <c r="P99" s="4">
        <f t="shared" si="13"/>
        <v>0.97856101652960747</v>
      </c>
      <c r="Q99" s="4">
        <f t="shared" si="21"/>
        <v>0.94164489083185765</v>
      </c>
      <c r="R99">
        <v>7.6178999999999997E-2</v>
      </c>
      <c r="S99" s="4">
        <f t="shared" si="14"/>
        <v>1.0018938646675872</v>
      </c>
      <c r="U99">
        <v>1</v>
      </c>
      <c r="V99">
        <v>128</v>
      </c>
      <c r="W99">
        <v>64</v>
      </c>
      <c r="X99">
        <v>16</v>
      </c>
      <c r="Y99">
        <v>1</v>
      </c>
      <c r="Z99">
        <v>6.1963999999999998E-2</v>
      </c>
      <c r="AA99">
        <v>5.9936999999999997E-2</v>
      </c>
      <c r="AB99">
        <v>6.1213999999999998E-2</v>
      </c>
      <c r="AC99" s="4">
        <f t="shared" si="15"/>
        <v>1.0213057043228724</v>
      </c>
      <c r="AE99" s="5">
        <f t="shared" si="16"/>
        <v>0.96728745723323217</v>
      </c>
      <c r="AF99" s="5">
        <f t="shared" si="17"/>
        <v>0.98789619779226645</v>
      </c>
      <c r="AI99">
        <v>5.9803000000000002E-2</v>
      </c>
      <c r="AJ99">
        <v>5.9846000000000003E-2</v>
      </c>
      <c r="AK99" s="4">
        <f t="shared" si="18"/>
        <v>0.99776431920182862</v>
      </c>
      <c r="AL99" s="4">
        <f t="shared" si="19"/>
        <v>0.97765217107197711</v>
      </c>
      <c r="AN99">
        <v>6.0748999999999997E-2</v>
      </c>
      <c r="AO99" s="4">
        <f t="shared" si="20"/>
        <v>1.0150887277345184</v>
      </c>
      <c r="AQ99" s="4"/>
    </row>
    <row r="100" spans="2:43" x14ac:dyDescent="0.25">
      <c r="B100">
        <v>2</v>
      </c>
      <c r="C100">
        <v>576</v>
      </c>
      <c r="D100">
        <v>64</v>
      </c>
      <c r="E100">
        <v>16</v>
      </c>
      <c r="F100">
        <v>1</v>
      </c>
      <c r="H100">
        <v>7.3957999999999996E-2</v>
      </c>
      <c r="I100">
        <v>7.8495999999999996E-2</v>
      </c>
      <c r="J100" s="4">
        <f t="shared" si="12"/>
        <v>1.0613591497877173</v>
      </c>
      <c r="L100" s="4"/>
      <c r="M100" s="4"/>
      <c r="N100">
        <v>7.2427000000000005E-2</v>
      </c>
      <c r="O100">
        <v>7.7084E-2</v>
      </c>
      <c r="P100" s="4">
        <f t="shared" si="13"/>
        <v>0.9792990616295737</v>
      </c>
      <c r="Q100" s="4">
        <f t="shared" si="21"/>
        <v>0.98201182225845907</v>
      </c>
      <c r="R100">
        <v>7.6844999999999997E-2</v>
      </c>
      <c r="S100" s="4">
        <f t="shared" si="14"/>
        <v>0.99689948627471325</v>
      </c>
      <c r="U100">
        <v>2</v>
      </c>
      <c r="V100">
        <v>128</v>
      </c>
      <c r="W100">
        <v>64</v>
      </c>
      <c r="X100">
        <v>16</v>
      </c>
      <c r="Y100">
        <v>1</v>
      </c>
      <c r="Z100">
        <v>6.6316E-2</v>
      </c>
      <c r="AA100">
        <v>6.0024000000000001E-2</v>
      </c>
      <c r="AB100">
        <v>6.1800000000000001E-2</v>
      </c>
      <c r="AC100" s="4">
        <f t="shared" si="15"/>
        <v>1.0295881647341063</v>
      </c>
      <c r="AE100" s="5">
        <f t="shared" si="16"/>
        <v>0.90512093612401234</v>
      </c>
      <c r="AF100" s="5">
        <f t="shared" si="17"/>
        <v>0.93190180348633811</v>
      </c>
      <c r="AI100">
        <v>5.9824000000000002E-2</v>
      </c>
      <c r="AJ100">
        <v>6.0102000000000003E-2</v>
      </c>
      <c r="AK100" s="4">
        <f t="shared" si="18"/>
        <v>0.99666799946687989</v>
      </c>
      <c r="AL100" s="4">
        <f t="shared" si="19"/>
        <v>0.97252427184466017</v>
      </c>
      <c r="AN100">
        <v>6.1234999999999998E-2</v>
      </c>
      <c r="AO100" s="4">
        <f t="shared" si="20"/>
        <v>1.0188512861468835</v>
      </c>
      <c r="AQ100" s="4"/>
    </row>
    <row r="101" spans="2:43" x14ac:dyDescent="0.25">
      <c r="B101">
        <v>4</v>
      </c>
      <c r="C101">
        <v>576</v>
      </c>
      <c r="D101">
        <v>64</v>
      </c>
      <c r="E101">
        <v>16</v>
      </c>
      <c r="F101">
        <v>1</v>
      </c>
      <c r="H101">
        <v>7.2408E-2</v>
      </c>
      <c r="I101">
        <v>7.732E-2</v>
      </c>
      <c r="J101" s="4">
        <f t="shared" si="12"/>
        <v>1.0678378079770192</v>
      </c>
      <c r="L101" s="4"/>
      <c r="M101" s="4"/>
      <c r="N101">
        <v>7.2151000000000007E-2</v>
      </c>
      <c r="O101">
        <v>7.714E-2</v>
      </c>
      <c r="P101" s="4">
        <f t="shared" si="13"/>
        <v>0.9964506684344272</v>
      </c>
      <c r="Q101" s="4">
        <f t="shared" si="21"/>
        <v>0.99767201241593384</v>
      </c>
      <c r="R101">
        <v>7.6901999999999998E-2</v>
      </c>
      <c r="S101" s="4">
        <f t="shared" si="14"/>
        <v>0.99691470054446463</v>
      </c>
      <c r="U101">
        <v>4</v>
      </c>
      <c r="V101">
        <v>128</v>
      </c>
      <c r="W101">
        <v>64</v>
      </c>
      <c r="X101">
        <v>16</v>
      </c>
      <c r="Y101">
        <v>1</v>
      </c>
      <c r="Z101">
        <v>7.4524000000000007E-2</v>
      </c>
      <c r="AA101">
        <v>5.9449000000000002E-2</v>
      </c>
      <c r="AB101">
        <v>6.1017000000000002E-2</v>
      </c>
      <c r="AC101" s="4">
        <f t="shared" si="15"/>
        <v>1.0263755487897188</v>
      </c>
      <c r="AE101" s="5">
        <f t="shared" si="16"/>
        <v>0.7977161719714454</v>
      </c>
      <c r="AF101" s="5">
        <f t="shared" si="17"/>
        <v>0.81875637378562605</v>
      </c>
      <c r="AI101">
        <v>5.9475E-2</v>
      </c>
      <c r="AJ101">
        <v>6.0365000000000002E-2</v>
      </c>
      <c r="AK101" s="4">
        <f t="shared" si="18"/>
        <v>1.0004373496610539</v>
      </c>
      <c r="AL101" s="4">
        <f t="shared" si="19"/>
        <v>0.98931445334906665</v>
      </c>
      <c r="AN101">
        <v>6.1210000000000001E-2</v>
      </c>
      <c r="AO101" s="4">
        <f t="shared" si="20"/>
        <v>1.0139981777520086</v>
      </c>
      <c r="AQ101" s="4"/>
    </row>
    <row r="102" spans="2:43" x14ac:dyDescent="0.25">
      <c r="B102">
        <v>8</v>
      </c>
      <c r="C102">
        <v>576</v>
      </c>
      <c r="D102">
        <v>64</v>
      </c>
      <c r="E102">
        <v>16</v>
      </c>
      <c r="F102">
        <v>1</v>
      </c>
      <c r="H102">
        <v>7.5330999999999995E-2</v>
      </c>
      <c r="I102">
        <v>7.9616999999999993E-2</v>
      </c>
      <c r="J102" s="4">
        <f t="shared" si="12"/>
        <v>1.056895567561827</v>
      </c>
      <c r="L102" s="4"/>
      <c r="M102" s="4"/>
      <c r="N102">
        <v>7.2562000000000001E-2</v>
      </c>
      <c r="O102">
        <v>7.7165999999999998E-2</v>
      </c>
      <c r="P102" s="4">
        <f t="shared" si="13"/>
        <v>0.96324222431668249</v>
      </c>
      <c r="Q102" s="4">
        <f t="shared" si="21"/>
        <v>0.96921511737443011</v>
      </c>
      <c r="R102">
        <v>7.6992000000000005E-2</v>
      </c>
      <c r="S102" s="4">
        <f t="shared" si="14"/>
        <v>0.99774512090817202</v>
      </c>
      <c r="U102">
        <v>8</v>
      </c>
      <c r="V102">
        <v>128</v>
      </c>
      <c r="W102">
        <v>64</v>
      </c>
      <c r="X102">
        <v>16</v>
      </c>
      <c r="Y102">
        <v>1</v>
      </c>
      <c r="Z102">
        <v>9.3053999999999998E-2</v>
      </c>
      <c r="AA102">
        <v>6.0523E-2</v>
      </c>
      <c r="AB102">
        <v>6.1913999999999997E-2</v>
      </c>
      <c r="AC102" s="4">
        <f t="shared" si="15"/>
        <v>1.0229829981990317</v>
      </c>
      <c r="AE102" s="5">
        <f t="shared" si="16"/>
        <v>0.65040729039052592</v>
      </c>
      <c r="AF102" s="5">
        <f t="shared" si="17"/>
        <v>0.66535559997420846</v>
      </c>
      <c r="AI102">
        <v>6.0165000000000003E-2</v>
      </c>
      <c r="AJ102">
        <v>6.0634E-2</v>
      </c>
      <c r="AK102" s="4">
        <f t="shared" si="18"/>
        <v>0.99408489334633121</v>
      </c>
      <c r="AL102" s="4">
        <f t="shared" si="19"/>
        <v>0.97932616209581036</v>
      </c>
      <c r="AN102">
        <v>6.1530000000000001E-2</v>
      </c>
      <c r="AO102" s="4">
        <f t="shared" si="20"/>
        <v>1.0147771877164626</v>
      </c>
      <c r="AQ102" s="4"/>
    </row>
    <row r="103" spans="2:43" x14ac:dyDescent="0.25">
      <c r="B103">
        <v>16</v>
      </c>
      <c r="C103">
        <v>576</v>
      </c>
      <c r="D103">
        <v>64</v>
      </c>
      <c r="E103">
        <v>16</v>
      </c>
      <c r="F103">
        <v>1</v>
      </c>
      <c r="H103">
        <v>7.9555000000000001E-2</v>
      </c>
      <c r="I103">
        <v>8.6989999999999998E-2</v>
      </c>
      <c r="J103" s="4">
        <f t="shared" si="12"/>
        <v>1.0934573565457859</v>
      </c>
      <c r="L103" s="4"/>
      <c r="M103" s="4"/>
      <c r="N103">
        <v>7.3278999999999997E-2</v>
      </c>
      <c r="O103">
        <v>7.7692999999999998E-2</v>
      </c>
      <c r="P103" s="4">
        <f t="shared" si="13"/>
        <v>0.92111118094400091</v>
      </c>
      <c r="Q103" s="4">
        <f t="shared" si="21"/>
        <v>0.89312564662604899</v>
      </c>
      <c r="R103">
        <v>7.7670000000000003E-2</v>
      </c>
      <c r="S103" s="4">
        <f t="shared" si="14"/>
        <v>0.99970396303399278</v>
      </c>
      <c r="U103">
        <v>16</v>
      </c>
      <c r="V103">
        <v>128</v>
      </c>
      <c r="W103">
        <v>64</v>
      </c>
      <c r="X103">
        <v>16</v>
      </c>
      <c r="Y103">
        <v>1</v>
      </c>
      <c r="Z103">
        <v>0.12384100000000001</v>
      </c>
      <c r="AA103">
        <v>6.0772E-2</v>
      </c>
      <c r="AB103">
        <v>6.2758999999999995E-2</v>
      </c>
      <c r="AC103" s="4">
        <f t="shared" si="15"/>
        <v>1.0326959784111103</v>
      </c>
      <c r="AE103" s="5">
        <f t="shared" si="16"/>
        <v>0.49072601157936385</v>
      </c>
      <c r="AF103" s="5">
        <f t="shared" si="17"/>
        <v>0.50677077865973297</v>
      </c>
      <c r="AI103">
        <v>6.0461000000000001E-2</v>
      </c>
      <c r="AJ103">
        <v>6.1043E-2</v>
      </c>
      <c r="AK103" s="4">
        <f t="shared" si="18"/>
        <v>0.99488251168301189</v>
      </c>
      <c r="AL103" s="4">
        <f t="shared" si="19"/>
        <v>0.97265730811517082</v>
      </c>
      <c r="AN103">
        <v>6.2272000000000001E-2</v>
      </c>
      <c r="AO103" s="4">
        <f t="shared" si="20"/>
        <v>1.0201333486231017</v>
      </c>
      <c r="AQ103" s="4"/>
    </row>
    <row r="104" spans="2:43" x14ac:dyDescent="0.25">
      <c r="B104">
        <v>32</v>
      </c>
      <c r="C104">
        <v>576</v>
      </c>
      <c r="D104">
        <v>64</v>
      </c>
      <c r="E104">
        <v>16</v>
      </c>
      <c r="F104">
        <v>1</v>
      </c>
      <c r="H104">
        <v>9.5404000000000003E-2</v>
      </c>
      <c r="I104">
        <v>0.106015</v>
      </c>
      <c r="J104" s="4">
        <f t="shared" si="12"/>
        <v>1.1112217517085237</v>
      </c>
      <c r="L104" s="4"/>
      <c r="M104" s="4"/>
      <c r="N104">
        <v>8.2424999999999998E-2</v>
      </c>
      <c r="O104">
        <v>9.5282000000000006E-2</v>
      </c>
      <c r="P104" s="4">
        <f t="shared" si="13"/>
        <v>0.86395748605928468</v>
      </c>
      <c r="Q104" s="4">
        <f t="shared" si="21"/>
        <v>0.89875960948922329</v>
      </c>
      <c r="R104">
        <v>9.2985999999999999E-2</v>
      </c>
      <c r="S104" s="4">
        <f t="shared" si="14"/>
        <v>0.97590310866690444</v>
      </c>
      <c r="U104">
        <v>32</v>
      </c>
      <c r="V104">
        <v>128</v>
      </c>
      <c r="W104">
        <v>64</v>
      </c>
      <c r="X104">
        <v>16</v>
      </c>
      <c r="Y104">
        <v>1</v>
      </c>
      <c r="Z104">
        <v>0.19975799999999999</v>
      </c>
      <c r="AA104">
        <v>6.5657999999999994E-2</v>
      </c>
      <c r="AB104">
        <v>7.0711999999999997E-2</v>
      </c>
      <c r="AC104" s="4">
        <f t="shared" si="15"/>
        <v>1.0769746260927839</v>
      </c>
      <c r="AE104" s="5">
        <f t="shared" si="16"/>
        <v>0.3286877121316793</v>
      </c>
      <c r="AF104" s="5">
        <f t="shared" si="17"/>
        <v>0.3539883258743079</v>
      </c>
      <c r="AI104">
        <v>6.5228999999999995E-2</v>
      </c>
      <c r="AJ104">
        <v>6.8447999999999995E-2</v>
      </c>
      <c r="AK104" s="4">
        <f t="shared" si="18"/>
        <v>0.99346614273965095</v>
      </c>
      <c r="AL104" s="4">
        <f t="shared" si="19"/>
        <v>0.96798280348455701</v>
      </c>
      <c r="AN104">
        <v>6.9906999999999997E-2</v>
      </c>
      <c r="AO104" s="4">
        <f t="shared" si="20"/>
        <v>1.021315451145395</v>
      </c>
      <c r="AQ104" s="4"/>
    </row>
    <row r="105" spans="2:43" x14ac:dyDescent="0.25">
      <c r="B105">
        <v>64</v>
      </c>
      <c r="C105">
        <v>576</v>
      </c>
      <c r="D105">
        <v>64</v>
      </c>
      <c r="E105">
        <v>16</v>
      </c>
      <c r="F105">
        <v>1</v>
      </c>
      <c r="H105">
        <v>0.13220499999999999</v>
      </c>
      <c r="I105">
        <v>0.15765599999999999</v>
      </c>
      <c r="J105" s="4">
        <f t="shared" si="12"/>
        <v>1.192511629666049</v>
      </c>
      <c r="L105" s="4"/>
      <c r="M105" s="4"/>
      <c r="N105">
        <v>0.115479</v>
      </c>
      <c r="O105">
        <v>0.13606099999999999</v>
      </c>
      <c r="P105" s="4">
        <f t="shared" si="13"/>
        <v>0.87348436140841879</v>
      </c>
      <c r="Q105" s="4">
        <f t="shared" si="21"/>
        <v>0.86302455980108583</v>
      </c>
      <c r="R105">
        <v>0.130387</v>
      </c>
      <c r="S105" s="4">
        <f t="shared" si="14"/>
        <v>0.95829811628607764</v>
      </c>
      <c r="U105">
        <v>64</v>
      </c>
      <c r="V105">
        <v>128</v>
      </c>
      <c r="W105">
        <v>64</v>
      </c>
      <c r="X105">
        <v>16</v>
      </c>
      <c r="Y105">
        <v>1</v>
      </c>
      <c r="Z105">
        <v>0.335455</v>
      </c>
      <c r="AA105">
        <v>7.6124999999999998E-2</v>
      </c>
      <c r="AB105">
        <v>8.7309999999999999E-2</v>
      </c>
      <c r="AC105" s="4">
        <f t="shared" si="15"/>
        <v>1.1469293924466339</v>
      </c>
      <c r="AE105" s="5">
        <f t="shared" si="16"/>
        <v>0.22693058681492301</v>
      </c>
      <c r="AF105" s="5">
        <f t="shared" si="17"/>
        <v>0.26027336006319773</v>
      </c>
      <c r="AI105">
        <v>7.3847999999999997E-2</v>
      </c>
      <c r="AJ105">
        <v>8.3116999999999996E-2</v>
      </c>
      <c r="AK105" s="4">
        <f t="shared" si="18"/>
        <v>0.97008866995073895</v>
      </c>
      <c r="AL105" s="4">
        <f t="shared" si="19"/>
        <v>0.95197571870347042</v>
      </c>
      <c r="AN105">
        <v>8.5402000000000006E-2</v>
      </c>
      <c r="AO105" s="4">
        <f t="shared" si="20"/>
        <v>1.0274913675902644</v>
      </c>
      <c r="AQ105" s="4"/>
    </row>
    <row r="106" spans="2:43" x14ac:dyDescent="0.25">
      <c r="B106">
        <v>128</v>
      </c>
      <c r="C106">
        <v>576</v>
      </c>
      <c r="D106">
        <v>64</v>
      </c>
      <c r="E106">
        <v>16</v>
      </c>
      <c r="F106">
        <v>1</v>
      </c>
      <c r="H106">
        <v>0.20663100000000001</v>
      </c>
      <c r="I106">
        <v>0.24799599999999999</v>
      </c>
      <c r="J106" s="4">
        <f t="shared" si="12"/>
        <v>1.2001877743417009</v>
      </c>
      <c r="L106" s="4"/>
      <c r="M106" s="4"/>
      <c r="N106">
        <v>0.19279299999999999</v>
      </c>
      <c r="O106">
        <v>0.233677</v>
      </c>
      <c r="P106" s="4">
        <f t="shared" ref="P106:P137" si="22">N106/H106</f>
        <v>0.93303037782326947</v>
      </c>
      <c r="Q106" s="4">
        <f t="shared" si="21"/>
        <v>0.94226116550266936</v>
      </c>
      <c r="R106">
        <v>0.21093100000000001</v>
      </c>
      <c r="S106" s="4">
        <f t="shared" si="14"/>
        <v>0.90266051002024161</v>
      </c>
      <c r="U106">
        <v>128</v>
      </c>
      <c r="V106">
        <v>128</v>
      </c>
      <c r="W106">
        <v>64</v>
      </c>
      <c r="X106">
        <v>16</v>
      </c>
      <c r="Y106">
        <v>1</v>
      </c>
      <c r="Z106">
        <v>0.60672300000000001</v>
      </c>
      <c r="AA106">
        <v>9.5024999999999998E-2</v>
      </c>
      <c r="AB106">
        <v>0.119504</v>
      </c>
      <c r="AC106" s="4">
        <f t="shared" si="15"/>
        <v>1.2576058931860037</v>
      </c>
      <c r="AE106" s="5">
        <f t="shared" si="16"/>
        <v>0.15662007209220682</v>
      </c>
      <c r="AF106" s="5">
        <f t="shared" si="17"/>
        <v>0.19696632565437605</v>
      </c>
      <c r="AI106">
        <v>9.2719999999999997E-2</v>
      </c>
      <c r="AJ106">
        <v>0.11351</v>
      </c>
      <c r="AK106" s="4">
        <f t="shared" si="18"/>
        <v>0.97574322546698233</v>
      </c>
      <c r="AL106" s="4">
        <f t="shared" si="19"/>
        <v>0.94984268309010578</v>
      </c>
      <c r="AN106">
        <v>0.11865000000000001</v>
      </c>
      <c r="AO106" s="4">
        <f t="shared" si="20"/>
        <v>1.0452823539776233</v>
      </c>
      <c r="AQ106" s="4"/>
    </row>
    <row r="107" spans="2:43" x14ac:dyDescent="0.25">
      <c r="B107">
        <v>256</v>
      </c>
      <c r="C107">
        <v>576</v>
      </c>
      <c r="D107">
        <v>64</v>
      </c>
      <c r="E107">
        <v>16</v>
      </c>
      <c r="F107">
        <v>1</v>
      </c>
      <c r="H107">
        <v>0.46341500000000002</v>
      </c>
      <c r="I107">
        <v>0.54459400000000002</v>
      </c>
      <c r="J107" s="4">
        <f t="shared" si="12"/>
        <v>1.1751755985455801</v>
      </c>
      <c r="L107" s="4"/>
      <c r="M107" s="4"/>
      <c r="N107">
        <v>0.41058299999999998</v>
      </c>
      <c r="O107">
        <v>0.49391299999999999</v>
      </c>
      <c r="P107" s="4">
        <f t="shared" si="22"/>
        <v>0.88599419526774048</v>
      </c>
      <c r="Q107" s="4">
        <f t="shared" si="21"/>
        <v>0.90693801253778039</v>
      </c>
      <c r="R107">
        <v>0.41184599999999999</v>
      </c>
      <c r="S107" s="4">
        <f t="shared" si="14"/>
        <v>0.83384320720450766</v>
      </c>
      <c r="U107">
        <v>256</v>
      </c>
      <c r="V107">
        <v>128</v>
      </c>
      <c r="W107">
        <v>64</v>
      </c>
      <c r="X107">
        <v>16</v>
      </c>
      <c r="Y107">
        <v>1</v>
      </c>
      <c r="Z107">
        <v>1.1815899999999999</v>
      </c>
      <c r="AA107">
        <v>0.137041</v>
      </c>
      <c r="AB107">
        <v>0.18440899999999999</v>
      </c>
      <c r="AC107" s="4">
        <f t="shared" si="15"/>
        <v>1.3456483826008274</v>
      </c>
      <c r="AE107" s="5">
        <f t="shared" si="16"/>
        <v>0.11598016232364865</v>
      </c>
      <c r="AF107" s="5">
        <f t="shared" si="17"/>
        <v>0.15606851784459924</v>
      </c>
      <c r="AI107">
        <v>0.13513900000000001</v>
      </c>
      <c r="AJ107">
        <v>0.176064</v>
      </c>
      <c r="AK107" s="4">
        <f t="shared" si="18"/>
        <v>0.98612094190789623</v>
      </c>
      <c r="AL107" s="4">
        <f t="shared" si="19"/>
        <v>0.95474732795037121</v>
      </c>
      <c r="AN107">
        <v>0.182758</v>
      </c>
      <c r="AO107" s="4">
        <f t="shared" si="20"/>
        <v>1.0380202653580517</v>
      </c>
      <c r="AQ107" s="4"/>
    </row>
    <row r="108" spans="2:43" x14ac:dyDescent="0.25">
      <c r="B108">
        <v>512</v>
      </c>
      <c r="C108">
        <v>576</v>
      </c>
      <c r="D108">
        <v>64</v>
      </c>
      <c r="E108">
        <v>16</v>
      </c>
      <c r="F108">
        <v>1</v>
      </c>
      <c r="H108">
        <v>1.0392129999999999</v>
      </c>
      <c r="I108">
        <v>1.1463760000000001</v>
      </c>
      <c r="J108" s="4">
        <f t="shared" si="12"/>
        <v>1.1031193797614158</v>
      </c>
      <c r="L108" s="4"/>
      <c r="M108" s="4"/>
      <c r="N108">
        <v>0.91918900000000003</v>
      </c>
      <c r="O108">
        <v>1.053469</v>
      </c>
      <c r="P108" s="4">
        <f t="shared" si="22"/>
        <v>0.8845049090032554</v>
      </c>
      <c r="Q108" s="4">
        <f t="shared" si="21"/>
        <v>0.91895590975386776</v>
      </c>
      <c r="R108">
        <v>0.86051900000000003</v>
      </c>
      <c r="S108" s="4">
        <f t="shared" si="14"/>
        <v>0.81684321038397911</v>
      </c>
      <c r="U108">
        <v>512</v>
      </c>
      <c r="V108">
        <v>128</v>
      </c>
      <c r="W108">
        <v>64</v>
      </c>
      <c r="X108">
        <v>16</v>
      </c>
      <c r="Y108">
        <v>1</v>
      </c>
      <c r="Z108">
        <v>2.3342999999999998</v>
      </c>
      <c r="AA108">
        <v>0.218253</v>
      </c>
      <c r="AB108">
        <v>0.316581</v>
      </c>
      <c r="AC108" s="4">
        <f t="shared" si="15"/>
        <v>1.4505230168657475</v>
      </c>
      <c r="AE108" s="5">
        <f t="shared" si="16"/>
        <v>9.3498265004498149E-2</v>
      </c>
      <c r="AF108" s="5">
        <f t="shared" si="17"/>
        <v>0.1356213854260378</v>
      </c>
      <c r="AI108">
        <v>0.217586</v>
      </c>
      <c r="AJ108">
        <v>0.30652200000000002</v>
      </c>
      <c r="AK108" s="4">
        <f t="shared" si="18"/>
        <v>0.99694391371481716</v>
      </c>
      <c r="AL108" s="4">
        <f t="shared" si="19"/>
        <v>0.96822614117713957</v>
      </c>
      <c r="AN108">
        <v>0.31827800000000001</v>
      </c>
      <c r="AO108" s="4">
        <f t="shared" si="20"/>
        <v>1.0383528751606736</v>
      </c>
      <c r="AQ108" s="4"/>
    </row>
    <row r="109" spans="2:43" x14ac:dyDescent="0.25">
      <c r="B109">
        <v>1</v>
      </c>
      <c r="C109">
        <v>576</v>
      </c>
      <c r="D109">
        <v>128</v>
      </c>
      <c r="E109">
        <v>16</v>
      </c>
      <c r="F109">
        <v>1</v>
      </c>
      <c r="H109">
        <v>7.4475E-2</v>
      </c>
      <c r="I109">
        <v>7.7629000000000004E-2</v>
      </c>
      <c r="J109" s="4">
        <f t="shared" si="12"/>
        <v>1.0423497818059753</v>
      </c>
      <c r="L109" s="4"/>
      <c r="M109" s="4"/>
      <c r="N109">
        <v>7.3724999999999999E-2</v>
      </c>
      <c r="O109">
        <v>7.5961000000000001E-2</v>
      </c>
      <c r="P109" s="4">
        <f t="shared" si="22"/>
        <v>0.98992950654582068</v>
      </c>
      <c r="Q109" s="4">
        <f t="shared" si="21"/>
        <v>0.97851318450579028</v>
      </c>
      <c r="R109">
        <v>7.7772999999999995E-2</v>
      </c>
      <c r="S109" s="4">
        <f t="shared" si="14"/>
        <v>1.0238543463092902</v>
      </c>
      <c r="U109" s="8">
        <v>1</v>
      </c>
      <c r="V109" s="8">
        <v>128</v>
      </c>
      <c r="W109" s="8">
        <v>128</v>
      </c>
      <c r="X109" s="8">
        <v>16</v>
      </c>
      <c r="Y109" s="8">
        <v>1</v>
      </c>
      <c r="Z109" s="8">
        <v>6.1893999999999998E-2</v>
      </c>
      <c r="AA109" s="8">
        <v>6.2288999999999997E-2</v>
      </c>
      <c r="AB109">
        <v>6.2266000000000002E-2</v>
      </c>
      <c r="AC109" s="4">
        <f t="shared" si="15"/>
        <v>0.99963075342355801</v>
      </c>
      <c r="AE109" s="5">
        <f t="shared" si="16"/>
        <v>1.0063818786958347</v>
      </c>
      <c r="AF109" s="5">
        <f t="shared" si="17"/>
        <v>1.0060102756325331</v>
      </c>
      <c r="AI109">
        <v>6.1732000000000002E-2</v>
      </c>
      <c r="AJ109">
        <v>6.0831999999999997E-2</v>
      </c>
      <c r="AK109" s="4">
        <f t="shared" si="18"/>
        <v>0.99105781117051173</v>
      </c>
      <c r="AL109" s="4">
        <f t="shared" si="19"/>
        <v>0.97696977483698966</v>
      </c>
      <c r="AN109">
        <v>6.1900999999999998E-2</v>
      </c>
      <c r="AO109" s="4">
        <f t="shared" si="20"/>
        <v>1.0175729879011046</v>
      </c>
      <c r="AQ109" s="4"/>
    </row>
    <row r="110" spans="2:43" x14ac:dyDescent="0.25">
      <c r="B110">
        <v>2</v>
      </c>
      <c r="C110">
        <v>576</v>
      </c>
      <c r="D110">
        <v>128</v>
      </c>
      <c r="E110">
        <v>16</v>
      </c>
      <c r="F110">
        <v>1</v>
      </c>
      <c r="H110">
        <v>7.7173000000000005E-2</v>
      </c>
      <c r="I110">
        <v>8.0310000000000006E-2</v>
      </c>
      <c r="J110" s="4">
        <f t="shared" si="12"/>
        <v>1.0406489316211629</v>
      </c>
      <c r="L110" s="4"/>
      <c r="M110" s="4"/>
      <c r="N110">
        <v>7.4955999999999995E-2</v>
      </c>
      <c r="O110">
        <v>7.7104000000000006E-2</v>
      </c>
      <c r="P110" s="4">
        <f t="shared" si="22"/>
        <v>0.97127233617975184</v>
      </c>
      <c r="Q110" s="4">
        <f t="shared" si="21"/>
        <v>0.96007969119661307</v>
      </c>
      <c r="R110">
        <v>7.8240000000000004E-2</v>
      </c>
      <c r="S110" s="4">
        <f t="shared" si="14"/>
        <v>1.014733347167462</v>
      </c>
      <c r="U110">
        <v>2</v>
      </c>
      <c r="V110">
        <v>128</v>
      </c>
      <c r="W110">
        <v>128</v>
      </c>
      <c r="X110">
        <v>16</v>
      </c>
      <c r="Y110">
        <v>1</v>
      </c>
      <c r="Z110">
        <v>6.6321000000000005E-2</v>
      </c>
      <c r="AA110">
        <v>6.2427999999999997E-2</v>
      </c>
      <c r="AB110">
        <v>6.3101000000000004E-2</v>
      </c>
      <c r="AC110" s="4">
        <f t="shared" si="15"/>
        <v>1.0107804190427374</v>
      </c>
      <c r="AE110" s="5">
        <f t="shared" si="16"/>
        <v>0.94130064383830148</v>
      </c>
      <c r="AF110" s="5">
        <f t="shared" si="17"/>
        <v>0.95144825922407683</v>
      </c>
      <c r="AI110">
        <v>6.1852999999999998E-2</v>
      </c>
      <c r="AJ110">
        <v>6.1126E-2</v>
      </c>
      <c r="AK110" s="4">
        <f t="shared" si="18"/>
        <v>0.9907893893765618</v>
      </c>
      <c r="AL110" s="4">
        <f t="shared" si="19"/>
        <v>0.96870097145845546</v>
      </c>
      <c r="AN110">
        <v>6.1990000000000003E-2</v>
      </c>
      <c r="AO110" s="4">
        <f t="shared" si="20"/>
        <v>1.0141347380819947</v>
      </c>
      <c r="AQ110" s="4"/>
    </row>
    <row r="111" spans="2:43" x14ac:dyDescent="0.25">
      <c r="B111">
        <v>4</v>
      </c>
      <c r="C111">
        <v>576</v>
      </c>
      <c r="D111">
        <v>128</v>
      </c>
      <c r="E111">
        <v>16</v>
      </c>
      <c r="F111">
        <v>1</v>
      </c>
      <c r="H111">
        <v>7.5251999999999999E-2</v>
      </c>
      <c r="I111">
        <v>7.8827999999999995E-2</v>
      </c>
      <c r="J111" s="4">
        <f t="shared" si="12"/>
        <v>1.0475203316855366</v>
      </c>
      <c r="L111" s="4"/>
      <c r="M111" s="4"/>
      <c r="N111">
        <v>7.485E-2</v>
      </c>
      <c r="O111">
        <v>7.7721999999999999E-2</v>
      </c>
      <c r="P111" s="4">
        <f t="shared" si="22"/>
        <v>0.99465794929038431</v>
      </c>
      <c r="Q111" s="4">
        <f t="shared" si="21"/>
        <v>0.98596945247881473</v>
      </c>
      <c r="R111">
        <v>7.8362000000000001E-2</v>
      </c>
      <c r="S111" s="4">
        <f t="shared" si="14"/>
        <v>1.0082344767247369</v>
      </c>
      <c r="U111">
        <v>4</v>
      </c>
      <c r="V111">
        <v>128</v>
      </c>
      <c r="W111">
        <v>128</v>
      </c>
      <c r="X111">
        <v>16</v>
      </c>
      <c r="Y111">
        <v>1</v>
      </c>
      <c r="Z111">
        <v>7.4674000000000004E-2</v>
      </c>
      <c r="AA111">
        <v>6.1643000000000003E-2</v>
      </c>
      <c r="AB111">
        <v>6.2378999999999997E-2</v>
      </c>
      <c r="AC111" s="4">
        <f t="shared" si="15"/>
        <v>1.0119397174050579</v>
      </c>
      <c r="AE111" s="5">
        <f t="shared" si="16"/>
        <v>0.8254948174732839</v>
      </c>
      <c r="AF111" s="5">
        <f t="shared" si="17"/>
        <v>0.83535099231325483</v>
      </c>
      <c r="AI111">
        <v>6.1697000000000002E-2</v>
      </c>
      <c r="AJ111">
        <v>6.1484999999999998E-2</v>
      </c>
      <c r="AK111" s="4">
        <f t="shared" si="18"/>
        <v>1.0008760118748277</v>
      </c>
      <c r="AL111" s="4">
        <f t="shared" si="19"/>
        <v>0.98566825373923916</v>
      </c>
      <c r="AN111">
        <v>6.2060999999999998E-2</v>
      </c>
      <c r="AO111" s="4">
        <f t="shared" si="20"/>
        <v>1.009368138570383</v>
      </c>
      <c r="AQ111" s="4"/>
    </row>
    <row r="112" spans="2:43" x14ac:dyDescent="0.25">
      <c r="B112">
        <v>8</v>
      </c>
      <c r="C112">
        <v>576</v>
      </c>
      <c r="D112">
        <v>128</v>
      </c>
      <c r="E112">
        <v>16</v>
      </c>
      <c r="F112">
        <v>1</v>
      </c>
      <c r="H112">
        <v>7.9297999999999993E-2</v>
      </c>
      <c r="I112">
        <v>8.2332000000000002E-2</v>
      </c>
      <c r="J112" s="4">
        <f t="shared" si="12"/>
        <v>1.0382607379757371</v>
      </c>
      <c r="L112" s="4"/>
      <c r="M112" s="4"/>
      <c r="N112">
        <v>7.5678999999999996E-2</v>
      </c>
      <c r="O112">
        <v>7.7703999999999995E-2</v>
      </c>
      <c r="P112" s="4">
        <f t="shared" si="22"/>
        <v>0.95436202678503879</v>
      </c>
      <c r="Q112" s="4">
        <f t="shared" si="21"/>
        <v>0.94378856337754446</v>
      </c>
      <c r="R112">
        <v>7.8233999999999998E-2</v>
      </c>
      <c r="S112" s="4">
        <f t="shared" si="14"/>
        <v>1.0068207556882529</v>
      </c>
      <c r="U112">
        <v>8</v>
      </c>
      <c r="V112">
        <v>128</v>
      </c>
      <c r="W112">
        <v>128</v>
      </c>
      <c r="X112">
        <v>16</v>
      </c>
      <c r="Y112">
        <v>1</v>
      </c>
      <c r="Z112">
        <v>9.3211000000000002E-2</v>
      </c>
      <c r="AA112">
        <v>6.2958E-2</v>
      </c>
      <c r="AB112">
        <v>6.3308000000000003E-2</v>
      </c>
      <c r="AC112" s="4">
        <f t="shared" si="15"/>
        <v>1.0055592617300424</v>
      </c>
      <c r="AE112" s="5">
        <f t="shared" si="16"/>
        <v>0.67543530270032504</v>
      </c>
      <c r="AF112" s="5">
        <f t="shared" si="17"/>
        <v>0.67919022432974652</v>
      </c>
      <c r="AI112">
        <v>6.2325999999999999E-2</v>
      </c>
      <c r="AJ112">
        <v>6.1810999999999998E-2</v>
      </c>
      <c r="AK112" s="4">
        <f t="shared" si="18"/>
        <v>0.98996156167603799</v>
      </c>
      <c r="AL112" s="4">
        <f t="shared" si="19"/>
        <v>0.97635369937448657</v>
      </c>
      <c r="AN112">
        <v>6.2489999999999997E-2</v>
      </c>
      <c r="AO112" s="4">
        <f t="shared" si="20"/>
        <v>1.0109850997395287</v>
      </c>
      <c r="AQ112" s="4"/>
    </row>
    <row r="113" spans="2:43" x14ac:dyDescent="0.25">
      <c r="B113">
        <v>16</v>
      </c>
      <c r="C113">
        <v>576</v>
      </c>
      <c r="D113">
        <v>128</v>
      </c>
      <c r="E113">
        <v>16</v>
      </c>
      <c r="F113">
        <v>1</v>
      </c>
      <c r="H113">
        <v>8.6308999999999997E-2</v>
      </c>
      <c r="I113">
        <v>8.5772000000000001E-2</v>
      </c>
      <c r="J113" s="4">
        <f t="shared" si="12"/>
        <v>0.99377816913647476</v>
      </c>
      <c r="L113" s="4"/>
      <c r="M113" s="4"/>
      <c r="N113">
        <v>7.6565999999999995E-2</v>
      </c>
      <c r="O113">
        <v>7.8363000000000002E-2</v>
      </c>
      <c r="P113" s="4">
        <f t="shared" si="22"/>
        <v>0.88711490111112401</v>
      </c>
      <c r="Q113" s="4">
        <f t="shared" si="21"/>
        <v>0.91361982931492791</v>
      </c>
      <c r="R113">
        <v>7.9090999999999995E-2</v>
      </c>
      <c r="S113" s="4">
        <f t="shared" si="14"/>
        <v>1.0092900986434923</v>
      </c>
      <c r="U113">
        <v>16</v>
      </c>
      <c r="V113">
        <v>128</v>
      </c>
      <c r="W113">
        <v>128</v>
      </c>
      <c r="X113">
        <v>16</v>
      </c>
      <c r="Y113">
        <v>1</v>
      </c>
      <c r="Z113">
        <v>0.123802</v>
      </c>
      <c r="AA113">
        <v>6.3128000000000004E-2</v>
      </c>
      <c r="AB113">
        <v>6.4014000000000001E-2</v>
      </c>
      <c r="AC113" s="4">
        <f t="shared" si="15"/>
        <v>1.0140349765555696</v>
      </c>
      <c r="AE113" s="5">
        <f t="shared" si="16"/>
        <v>0.50991098689843462</v>
      </c>
      <c r="AF113" s="5">
        <f t="shared" si="17"/>
        <v>0.51706757564498151</v>
      </c>
      <c r="AI113">
        <v>6.2820000000000001E-2</v>
      </c>
      <c r="AJ113">
        <v>6.1957999999999999E-2</v>
      </c>
      <c r="AK113" s="4">
        <f t="shared" si="18"/>
        <v>0.99512102395133695</v>
      </c>
      <c r="AL113" s="4">
        <f t="shared" si="19"/>
        <v>0.96788202580685467</v>
      </c>
      <c r="AN113">
        <v>6.3039999999999999E-2</v>
      </c>
      <c r="AO113" s="4">
        <f t="shared" si="20"/>
        <v>1.0174634429775009</v>
      </c>
      <c r="AQ113" s="4"/>
    </row>
    <row r="114" spans="2:43" x14ac:dyDescent="0.25">
      <c r="B114">
        <v>32</v>
      </c>
      <c r="C114">
        <v>576</v>
      </c>
      <c r="D114">
        <v>128</v>
      </c>
      <c r="E114">
        <v>16</v>
      </c>
      <c r="F114">
        <v>1</v>
      </c>
      <c r="H114">
        <v>9.4959000000000002E-2</v>
      </c>
      <c r="I114">
        <v>0.11070000000000001</v>
      </c>
      <c r="J114" s="4">
        <f t="shared" si="12"/>
        <v>1.1657662780779074</v>
      </c>
      <c r="L114" s="4"/>
      <c r="M114" s="4"/>
      <c r="N114">
        <v>8.5986000000000007E-2</v>
      </c>
      <c r="O114">
        <v>9.6098000000000003E-2</v>
      </c>
      <c r="P114" s="4">
        <f t="shared" si="22"/>
        <v>0.90550658705335996</v>
      </c>
      <c r="Q114" s="4">
        <f t="shared" si="21"/>
        <v>0.86809394760614267</v>
      </c>
      <c r="R114">
        <v>9.5314999999999997E-2</v>
      </c>
      <c r="S114" s="4">
        <f t="shared" si="14"/>
        <v>0.99185206768090906</v>
      </c>
      <c r="U114">
        <v>32</v>
      </c>
      <c r="V114">
        <v>128</v>
      </c>
      <c r="W114">
        <v>128</v>
      </c>
      <c r="X114">
        <v>16</v>
      </c>
      <c r="Y114">
        <v>1</v>
      </c>
      <c r="Z114">
        <v>0.19972000000000001</v>
      </c>
      <c r="AA114">
        <v>6.9846000000000005E-2</v>
      </c>
      <c r="AB114">
        <v>7.3284000000000002E-2</v>
      </c>
      <c r="AC114" s="4">
        <f t="shared" si="15"/>
        <v>1.0492225753801219</v>
      </c>
      <c r="AE114" s="5">
        <f t="shared" si="16"/>
        <v>0.34971960745043063</v>
      </c>
      <c r="AF114" s="5">
        <f t="shared" si="17"/>
        <v>0.36693370719006607</v>
      </c>
      <c r="AI114">
        <v>6.8683999999999995E-2</v>
      </c>
      <c r="AJ114">
        <v>7.0713999999999999E-2</v>
      </c>
      <c r="AK114" s="4">
        <f t="shared" si="18"/>
        <v>0.98336339947885332</v>
      </c>
      <c r="AL114" s="4">
        <f t="shared" si="19"/>
        <v>0.96493095355057035</v>
      </c>
      <c r="AN114">
        <v>7.1570999999999996E-2</v>
      </c>
      <c r="AO114" s="4">
        <f t="shared" si="20"/>
        <v>1.0121192408858217</v>
      </c>
      <c r="AQ114" s="4"/>
    </row>
    <row r="115" spans="2:43" x14ac:dyDescent="0.25">
      <c r="B115">
        <v>64</v>
      </c>
      <c r="C115">
        <v>576</v>
      </c>
      <c r="D115">
        <v>128</v>
      </c>
      <c r="E115">
        <v>16</v>
      </c>
      <c r="F115">
        <v>1</v>
      </c>
      <c r="H115">
        <v>0.13327700000000001</v>
      </c>
      <c r="I115">
        <v>0.160718</v>
      </c>
      <c r="J115" s="4">
        <f t="shared" si="12"/>
        <v>1.2058944904222033</v>
      </c>
      <c r="L115" s="4"/>
      <c r="M115" s="4"/>
      <c r="N115">
        <v>0.11863799999999999</v>
      </c>
      <c r="O115">
        <v>0.13461200000000001</v>
      </c>
      <c r="P115" s="4">
        <f t="shared" si="22"/>
        <v>0.89016109306181856</v>
      </c>
      <c r="Q115" s="4">
        <f t="shared" si="21"/>
        <v>0.83756642068716636</v>
      </c>
      <c r="R115">
        <v>0.13420799999999999</v>
      </c>
      <c r="S115" s="4">
        <f t="shared" si="14"/>
        <v>0.99699878168365363</v>
      </c>
      <c r="U115">
        <v>64</v>
      </c>
      <c r="V115">
        <v>128</v>
      </c>
      <c r="W115">
        <v>128</v>
      </c>
      <c r="X115">
        <v>16</v>
      </c>
      <c r="Y115">
        <v>1</v>
      </c>
      <c r="Z115">
        <v>0.33540599999999998</v>
      </c>
      <c r="AA115">
        <v>8.1213999999999995E-2</v>
      </c>
      <c r="AB115">
        <v>9.1857999999999995E-2</v>
      </c>
      <c r="AC115" s="4">
        <f t="shared" si="15"/>
        <v>1.1310611470928658</v>
      </c>
      <c r="AE115" s="5">
        <f t="shared" si="16"/>
        <v>0.24213639589035377</v>
      </c>
      <c r="AF115" s="5">
        <f t="shared" si="17"/>
        <v>0.27387106968867581</v>
      </c>
      <c r="AI115">
        <v>7.9873E-2</v>
      </c>
      <c r="AJ115">
        <v>8.6988999999999997E-2</v>
      </c>
      <c r="AK115" s="4">
        <f t="shared" si="18"/>
        <v>0.98348806855960802</v>
      </c>
      <c r="AL115" s="4">
        <f t="shared" si="19"/>
        <v>0.9469942737703847</v>
      </c>
      <c r="AN115">
        <v>8.8709999999999997E-2</v>
      </c>
      <c r="AO115" s="4">
        <f t="shared" si="20"/>
        <v>1.0197841106346779</v>
      </c>
      <c r="AQ115" s="4"/>
    </row>
    <row r="116" spans="2:43" x14ac:dyDescent="0.25">
      <c r="B116">
        <v>128</v>
      </c>
      <c r="C116">
        <v>576</v>
      </c>
      <c r="D116">
        <v>128</v>
      </c>
      <c r="E116">
        <v>16</v>
      </c>
      <c r="F116">
        <v>1</v>
      </c>
      <c r="H116">
        <v>0.21557100000000001</v>
      </c>
      <c r="I116">
        <v>0.25577299999999997</v>
      </c>
      <c r="J116" s="4">
        <f t="shared" si="12"/>
        <v>1.1864907617443903</v>
      </c>
      <c r="L116" s="4"/>
      <c r="M116" s="4"/>
      <c r="N116">
        <v>0.19358</v>
      </c>
      <c r="O116">
        <v>0.23256199999999999</v>
      </c>
      <c r="P116" s="4">
        <f t="shared" si="22"/>
        <v>0.89798720607131755</v>
      </c>
      <c r="Q116" s="4">
        <f t="shared" si="21"/>
        <v>0.90925156290929854</v>
      </c>
      <c r="R116">
        <v>0.21628800000000001</v>
      </c>
      <c r="S116" s="4">
        <f t="shared" si="14"/>
        <v>0.93002296161883724</v>
      </c>
      <c r="U116">
        <v>128</v>
      </c>
      <c r="V116">
        <v>128</v>
      </c>
      <c r="W116">
        <v>128</v>
      </c>
      <c r="X116">
        <v>16</v>
      </c>
      <c r="Y116">
        <v>1</v>
      </c>
      <c r="Z116">
        <v>0.60648899999999994</v>
      </c>
      <c r="AA116">
        <v>0.105281</v>
      </c>
      <c r="AB116">
        <v>0.128501</v>
      </c>
      <c r="AC116" s="4">
        <f t="shared" si="15"/>
        <v>1.2205526163315319</v>
      </c>
      <c r="AE116" s="5">
        <f t="shared" si="16"/>
        <v>0.17359094723894417</v>
      </c>
      <c r="AF116" s="5">
        <f t="shared" si="17"/>
        <v>0.21187688482396222</v>
      </c>
      <c r="AI116">
        <v>0.10365099999999999</v>
      </c>
      <c r="AJ116">
        <v>0.121146</v>
      </c>
      <c r="AK116" s="4">
        <f t="shared" si="18"/>
        <v>0.98451762426268741</v>
      </c>
      <c r="AL116" s="4">
        <f t="shared" si="19"/>
        <v>0.94276309133781055</v>
      </c>
      <c r="AN116">
        <v>0.124794</v>
      </c>
      <c r="AO116" s="4">
        <f t="shared" si="20"/>
        <v>1.0301124263285621</v>
      </c>
      <c r="AQ116" s="4"/>
    </row>
    <row r="117" spans="2:43" x14ac:dyDescent="0.25">
      <c r="B117">
        <v>256</v>
      </c>
      <c r="C117">
        <v>576</v>
      </c>
      <c r="D117">
        <v>128</v>
      </c>
      <c r="E117">
        <v>16</v>
      </c>
      <c r="F117">
        <v>1</v>
      </c>
      <c r="H117">
        <v>0.45868999999999999</v>
      </c>
      <c r="I117">
        <v>0.524559</v>
      </c>
      <c r="J117" s="4">
        <f t="shared" si="12"/>
        <v>1.1436024330157624</v>
      </c>
      <c r="L117" s="4"/>
      <c r="M117" s="4"/>
      <c r="N117">
        <v>0.41675400000000001</v>
      </c>
      <c r="O117">
        <v>0.48904700000000001</v>
      </c>
      <c r="P117" s="4">
        <f t="shared" si="22"/>
        <v>0.90857441845254971</v>
      </c>
      <c r="Q117" s="4">
        <f t="shared" si="21"/>
        <v>0.93230122826984196</v>
      </c>
      <c r="R117">
        <v>0.42453099999999999</v>
      </c>
      <c r="S117" s="4">
        <f t="shared" si="14"/>
        <v>0.8680781192809689</v>
      </c>
      <c r="U117">
        <v>256</v>
      </c>
      <c r="V117">
        <v>128</v>
      </c>
      <c r="W117">
        <v>128</v>
      </c>
      <c r="X117">
        <v>16</v>
      </c>
      <c r="Y117">
        <v>1</v>
      </c>
      <c r="Z117">
        <v>1.180976</v>
      </c>
      <c r="AA117">
        <v>0.15449199999999999</v>
      </c>
      <c r="AB117">
        <v>0.20127400000000001</v>
      </c>
      <c r="AC117" s="4">
        <f t="shared" si="15"/>
        <v>1.302811796080056</v>
      </c>
      <c r="AE117" s="5">
        <f t="shared" si="16"/>
        <v>0.13081722236523011</v>
      </c>
      <c r="AF117" s="5">
        <f t="shared" si="17"/>
        <v>0.1704302204278495</v>
      </c>
      <c r="AI117">
        <v>0.15168699999999999</v>
      </c>
      <c r="AJ117">
        <v>0.188531</v>
      </c>
      <c r="AK117" s="4">
        <f t="shared" si="18"/>
        <v>0.98184372006317477</v>
      </c>
      <c r="AL117" s="4">
        <f t="shared" si="19"/>
        <v>0.93668829555729993</v>
      </c>
      <c r="AN117">
        <v>0.194963</v>
      </c>
      <c r="AO117" s="4">
        <f t="shared" si="20"/>
        <v>1.0341164052596123</v>
      </c>
      <c r="AQ117" s="4"/>
    </row>
    <row r="118" spans="2:43" x14ac:dyDescent="0.25">
      <c r="B118">
        <v>512</v>
      </c>
      <c r="C118">
        <v>576</v>
      </c>
      <c r="D118">
        <v>128</v>
      </c>
      <c r="E118">
        <v>16</v>
      </c>
      <c r="F118">
        <v>1</v>
      </c>
      <c r="H118">
        <v>1.027652</v>
      </c>
      <c r="I118">
        <v>1.1089249999999999</v>
      </c>
      <c r="J118" s="4">
        <f t="shared" si="12"/>
        <v>1.0790861108624319</v>
      </c>
      <c r="L118" s="4"/>
      <c r="M118" s="4"/>
      <c r="N118">
        <v>0.98319400000000001</v>
      </c>
      <c r="O118">
        <v>1.0978079999999999</v>
      </c>
      <c r="P118" s="4">
        <f t="shared" si="22"/>
        <v>0.95673827326760419</v>
      </c>
      <c r="Q118" s="4">
        <f t="shared" si="21"/>
        <v>0.98997497576481719</v>
      </c>
      <c r="R118">
        <v>0.88370599999999999</v>
      </c>
      <c r="S118" s="4">
        <f t="shared" si="14"/>
        <v>0.80497318292451869</v>
      </c>
      <c r="U118">
        <v>512</v>
      </c>
      <c r="V118">
        <v>128</v>
      </c>
      <c r="W118">
        <v>128</v>
      </c>
      <c r="X118">
        <v>16</v>
      </c>
      <c r="Y118">
        <v>1</v>
      </c>
      <c r="Z118">
        <v>2.3333029999999999</v>
      </c>
      <c r="AA118">
        <v>0.25364999999999999</v>
      </c>
      <c r="AB118">
        <v>0.35230299999999998</v>
      </c>
      <c r="AC118" s="4">
        <f t="shared" si="15"/>
        <v>1.3889335698797556</v>
      </c>
      <c r="AE118" s="5">
        <f t="shared" si="16"/>
        <v>0.10870855606837175</v>
      </c>
      <c r="AF118" s="5">
        <f t="shared" si="17"/>
        <v>0.15098896285651714</v>
      </c>
      <c r="AI118">
        <v>0.248144</v>
      </c>
      <c r="AJ118">
        <v>0.32944600000000002</v>
      </c>
      <c r="AK118" s="4">
        <f t="shared" si="18"/>
        <v>0.97829292331953488</v>
      </c>
      <c r="AL118" s="4">
        <f t="shared" si="19"/>
        <v>0.93512118829530277</v>
      </c>
      <c r="AN118">
        <v>0.34202900000000003</v>
      </c>
      <c r="AO118" s="4">
        <f t="shared" si="20"/>
        <v>1.038194423365286</v>
      </c>
      <c r="AQ118" s="4"/>
    </row>
    <row r="119" spans="2:43" x14ac:dyDescent="0.25">
      <c r="B119">
        <v>1</v>
      </c>
      <c r="C119">
        <v>576</v>
      </c>
      <c r="D119">
        <v>256</v>
      </c>
      <c r="E119">
        <v>16</v>
      </c>
      <c r="F119">
        <v>1</v>
      </c>
      <c r="H119">
        <v>8.0528000000000002E-2</v>
      </c>
      <c r="I119">
        <v>8.1987000000000004E-2</v>
      </c>
      <c r="J119" s="4">
        <f t="shared" si="12"/>
        <v>1.01811792171667</v>
      </c>
      <c r="L119" s="4"/>
      <c r="M119" s="4"/>
      <c r="N119">
        <v>7.8945000000000001E-2</v>
      </c>
      <c r="O119">
        <v>7.868E-2</v>
      </c>
      <c r="P119" s="4">
        <f t="shared" si="22"/>
        <v>0.98034224120802704</v>
      </c>
      <c r="Q119" s="4">
        <f t="shared" si="21"/>
        <v>0.95966433702904119</v>
      </c>
      <c r="R119">
        <v>8.3199999999999996E-2</v>
      </c>
      <c r="S119" s="4">
        <f t="shared" si="14"/>
        <v>1.0574478901881037</v>
      </c>
      <c r="U119" s="8">
        <v>1</v>
      </c>
      <c r="V119" s="8">
        <v>128</v>
      </c>
      <c r="W119" s="8">
        <v>256</v>
      </c>
      <c r="X119" s="8">
        <v>16</v>
      </c>
      <c r="Y119" s="8">
        <v>1</v>
      </c>
      <c r="Z119" s="8">
        <v>6.4139000000000002E-2</v>
      </c>
      <c r="AA119" s="8">
        <v>6.6475000000000006E-2</v>
      </c>
      <c r="AB119">
        <v>6.4504000000000006E-2</v>
      </c>
      <c r="AC119" s="4">
        <f t="shared" si="15"/>
        <v>0.97034975554719816</v>
      </c>
      <c r="AE119" s="5">
        <f t="shared" si="16"/>
        <v>1.0364208983613714</v>
      </c>
      <c r="AF119" s="5">
        <f t="shared" si="17"/>
        <v>1.0056907653689644</v>
      </c>
      <c r="AI119">
        <v>6.6236000000000003E-2</v>
      </c>
      <c r="AJ119">
        <v>6.2937999999999994E-2</v>
      </c>
      <c r="AK119" s="4">
        <f t="shared" si="18"/>
        <v>0.99640466340729594</v>
      </c>
      <c r="AL119" s="4">
        <f t="shared" si="19"/>
        <v>0.97572243581793361</v>
      </c>
      <c r="AN119">
        <v>6.4370999999999998E-2</v>
      </c>
      <c r="AO119" s="4">
        <f t="shared" si="20"/>
        <v>1.0227684387810227</v>
      </c>
      <c r="AQ119" s="4"/>
    </row>
    <row r="120" spans="2:43" x14ac:dyDescent="0.25">
      <c r="B120">
        <v>2</v>
      </c>
      <c r="C120">
        <v>576</v>
      </c>
      <c r="D120">
        <v>256</v>
      </c>
      <c r="E120">
        <v>16</v>
      </c>
      <c r="F120">
        <v>1</v>
      </c>
      <c r="H120">
        <v>8.5677000000000003E-2</v>
      </c>
      <c r="I120">
        <v>8.6649000000000004E-2</v>
      </c>
      <c r="J120" s="4">
        <f t="shared" si="12"/>
        <v>1.0113449350467454</v>
      </c>
      <c r="L120" s="4"/>
      <c r="M120" s="4"/>
      <c r="N120">
        <v>8.0744999999999997E-2</v>
      </c>
      <c r="O120">
        <v>8.0532000000000006E-2</v>
      </c>
      <c r="P120" s="4">
        <f t="shared" si="22"/>
        <v>0.94243495920725506</v>
      </c>
      <c r="Q120" s="4">
        <f t="shared" si="21"/>
        <v>0.92940484021742897</v>
      </c>
      <c r="R120">
        <v>8.4371000000000002E-2</v>
      </c>
      <c r="S120" s="4">
        <f t="shared" si="14"/>
        <v>1.0476704912332986</v>
      </c>
      <c r="U120">
        <v>2</v>
      </c>
      <c r="V120">
        <v>128</v>
      </c>
      <c r="W120">
        <v>256</v>
      </c>
      <c r="X120">
        <v>16</v>
      </c>
      <c r="Y120">
        <v>1</v>
      </c>
      <c r="Z120">
        <v>7.0331000000000005E-2</v>
      </c>
      <c r="AA120">
        <v>6.7179000000000003E-2</v>
      </c>
      <c r="AB120">
        <v>6.5915000000000001E-2</v>
      </c>
      <c r="AC120" s="4">
        <f t="shared" si="15"/>
        <v>0.98118459637684396</v>
      </c>
      <c r="AE120" s="5">
        <f t="shared" si="16"/>
        <v>0.95518334731483978</v>
      </c>
      <c r="AF120" s="5">
        <f t="shared" si="17"/>
        <v>0.93721118710099383</v>
      </c>
      <c r="AI120">
        <v>6.6281000000000007E-2</v>
      </c>
      <c r="AJ120">
        <v>6.3251000000000002E-2</v>
      </c>
      <c r="AK120" s="4">
        <f t="shared" si="18"/>
        <v>0.98663272748924524</v>
      </c>
      <c r="AL120" s="4">
        <f t="shared" si="19"/>
        <v>0.95958431313054693</v>
      </c>
      <c r="AN120">
        <v>6.4940999999999999E-2</v>
      </c>
      <c r="AO120" s="4">
        <f t="shared" si="20"/>
        <v>1.0267189451550172</v>
      </c>
      <c r="AQ120" s="4"/>
    </row>
    <row r="121" spans="2:43" x14ac:dyDescent="0.25">
      <c r="B121">
        <v>4</v>
      </c>
      <c r="C121">
        <v>576</v>
      </c>
      <c r="D121">
        <v>256</v>
      </c>
      <c r="E121">
        <v>16</v>
      </c>
      <c r="F121">
        <v>1</v>
      </c>
      <c r="H121">
        <v>8.4192000000000003E-2</v>
      </c>
      <c r="I121">
        <v>8.5530999999999996E-2</v>
      </c>
      <c r="J121" s="4">
        <f t="shared" si="12"/>
        <v>1.0159041239072595</v>
      </c>
      <c r="L121" s="4"/>
      <c r="M121" s="4"/>
      <c r="N121">
        <v>8.2709000000000005E-2</v>
      </c>
      <c r="O121">
        <v>8.3307999999999993E-2</v>
      </c>
      <c r="P121" s="4">
        <f t="shared" si="22"/>
        <v>0.98238549980995826</v>
      </c>
      <c r="Q121" s="4">
        <f t="shared" si="21"/>
        <v>0.97400942348388297</v>
      </c>
      <c r="R121">
        <v>8.5690000000000002E-2</v>
      </c>
      <c r="S121" s="4">
        <f t="shared" si="14"/>
        <v>1.0285926921784223</v>
      </c>
      <c r="U121">
        <v>4</v>
      </c>
      <c r="V121">
        <v>128</v>
      </c>
      <c r="W121">
        <v>256</v>
      </c>
      <c r="X121">
        <v>16</v>
      </c>
      <c r="Y121">
        <v>1</v>
      </c>
      <c r="Z121">
        <v>8.2838999999999996E-2</v>
      </c>
      <c r="AA121">
        <v>6.6911999999999999E-2</v>
      </c>
      <c r="AB121">
        <v>6.5279000000000004E-2</v>
      </c>
      <c r="AC121" s="4">
        <f t="shared" si="15"/>
        <v>0.97559481109516988</v>
      </c>
      <c r="AE121" s="5">
        <f t="shared" si="16"/>
        <v>0.80773548690834029</v>
      </c>
      <c r="AF121" s="5">
        <f t="shared" si="17"/>
        <v>0.78802254976520725</v>
      </c>
      <c r="AI121">
        <v>6.7045999999999994E-2</v>
      </c>
      <c r="AJ121">
        <v>6.4115000000000005E-2</v>
      </c>
      <c r="AK121" s="4">
        <f t="shared" si="18"/>
        <v>1.0020026303204208</v>
      </c>
      <c r="AL121" s="4">
        <f t="shared" si="19"/>
        <v>0.98216884449823072</v>
      </c>
      <c r="AN121">
        <v>6.5132999999999996E-2</v>
      </c>
      <c r="AO121" s="4">
        <f t="shared" si="20"/>
        <v>1.0158777197223736</v>
      </c>
      <c r="AQ121" s="4"/>
    </row>
    <row r="122" spans="2:43" x14ac:dyDescent="0.25">
      <c r="B122">
        <v>8</v>
      </c>
      <c r="C122">
        <v>576</v>
      </c>
      <c r="D122">
        <v>256</v>
      </c>
      <c r="E122">
        <v>16</v>
      </c>
      <c r="F122">
        <v>1</v>
      </c>
      <c r="H122">
        <v>9.1058E-2</v>
      </c>
      <c r="I122">
        <v>9.2055999999999999E-2</v>
      </c>
      <c r="J122" s="4">
        <f t="shared" si="12"/>
        <v>1.0109600474422895</v>
      </c>
      <c r="L122" s="4"/>
      <c r="M122" s="4"/>
      <c r="N122">
        <v>8.3208000000000004E-2</v>
      </c>
      <c r="O122">
        <v>8.3173999999999998E-2</v>
      </c>
      <c r="P122" s="4">
        <f t="shared" si="22"/>
        <v>0.91379120999802332</v>
      </c>
      <c r="Q122" s="4">
        <f t="shared" si="21"/>
        <v>0.90351525158599111</v>
      </c>
      <c r="R122">
        <v>8.5690000000000002E-2</v>
      </c>
      <c r="S122" s="4">
        <f t="shared" si="14"/>
        <v>1.0302498376896627</v>
      </c>
      <c r="U122">
        <v>8</v>
      </c>
      <c r="V122">
        <v>128</v>
      </c>
      <c r="W122">
        <v>256</v>
      </c>
      <c r="X122">
        <v>16</v>
      </c>
      <c r="Y122">
        <v>1</v>
      </c>
      <c r="Z122">
        <v>0.111535</v>
      </c>
      <c r="AA122">
        <v>6.8249000000000004E-2</v>
      </c>
      <c r="AB122">
        <v>6.6623000000000002E-2</v>
      </c>
      <c r="AC122" s="4">
        <f t="shared" si="15"/>
        <v>0.97617547509853619</v>
      </c>
      <c r="AE122" s="5">
        <f t="shared" si="16"/>
        <v>0.61190657641099211</v>
      </c>
      <c r="AF122" s="5">
        <f t="shared" si="17"/>
        <v>0.59732819294391903</v>
      </c>
      <c r="AI122">
        <v>6.7257999999999998E-2</v>
      </c>
      <c r="AJ122">
        <v>6.4300999999999997E-2</v>
      </c>
      <c r="AK122" s="4">
        <f t="shared" si="18"/>
        <v>0.98547964072733663</v>
      </c>
      <c r="AL122" s="4">
        <f t="shared" si="19"/>
        <v>0.96514717139726514</v>
      </c>
      <c r="AN122">
        <v>6.5522999999999998E-2</v>
      </c>
      <c r="AO122" s="4">
        <f t="shared" si="20"/>
        <v>1.0190043700720051</v>
      </c>
      <c r="AQ122" s="4"/>
    </row>
    <row r="123" spans="2:43" x14ac:dyDescent="0.25">
      <c r="B123">
        <v>16</v>
      </c>
      <c r="C123">
        <v>576</v>
      </c>
      <c r="D123">
        <v>256</v>
      </c>
      <c r="E123">
        <v>16</v>
      </c>
      <c r="F123">
        <v>1</v>
      </c>
      <c r="H123">
        <v>9.7464999999999996E-2</v>
      </c>
      <c r="I123">
        <v>9.7513000000000002E-2</v>
      </c>
      <c r="J123" s="4">
        <f t="shared" si="12"/>
        <v>1.0004924844816088</v>
      </c>
      <c r="L123" s="4"/>
      <c r="M123" s="4"/>
      <c r="N123">
        <v>8.4293000000000007E-2</v>
      </c>
      <c r="O123">
        <v>8.3616999999999997E-2</v>
      </c>
      <c r="P123" s="4">
        <f t="shared" si="22"/>
        <v>0.86485405017185668</v>
      </c>
      <c r="Q123" s="4">
        <f t="shared" si="21"/>
        <v>0.85749592362044025</v>
      </c>
      <c r="R123">
        <v>8.6457999999999993E-2</v>
      </c>
      <c r="S123" s="4">
        <f t="shared" si="14"/>
        <v>1.0339763445232428</v>
      </c>
      <c r="U123">
        <v>16</v>
      </c>
      <c r="V123">
        <v>128</v>
      </c>
      <c r="W123">
        <v>256</v>
      </c>
      <c r="X123">
        <v>16</v>
      </c>
      <c r="Y123">
        <v>1</v>
      </c>
      <c r="Z123">
        <v>0.15944900000000001</v>
      </c>
      <c r="AA123">
        <v>6.8831000000000003E-2</v>
      </c>
      <c r="AB123">
        <v>6.7434999999999995E-2</v>
      </c>
      <c r="AC123" s="4">
        <f t="shared" si="15"/>
        <v>0.97971844081881698</v>
      </c>
      <c r="AE123" s="5">
        <f t="shared" si="16"/>
        <v>0.43168034920256632</v>
      </c>
      <c r="AF123" s="5">
        <f t="shared" si="17"/>
        <v>0.42292519865286071</v>
      </c>
      <c r="AI123">
        <v>6.7711999999999994E-2</v>
      </c>
      <c r="AJ123">
        <v>6.4512E-2</v>
      </c>
      <c r="AK123" s="4">
        <f t="shared" si="18"/>
        <v>0.98374279031250444</v>
      </c>
      <c r="AL123" s="4">
        <f t="shared" si="19"/>
        <v>0.9566545562393417</v>
      </c>
      <c r="AN123">
        <v>6.6175999999999999E-2</v>
      </c>
      <c r="AO123" s="4">
        <f t="shared" si="20"/>
        <v>1.0257936507936507</v>
      </c>
      <c r="AQ123" s="4"/>
    </row>
    <row r="124" spans="2:43" x14ac:dyDescent="0.25">
      <c r="B124">
        <v>32</v>
      </c>
      <c r="C124">
        <v>576</v>
      </c>
      <c r="D124">
        <v>256</v>
      </c>
      <c r="E124">
        <v>16</v>
      </c>
      <c r="F124">
        <v>1</v>
      </c>
      <c r="H124">
        <v>0.115666</v>
      </c>
      <c r="I124">
        <v>0.13164600000000001</v>
      </c>
      <c r="J124" s="4">
        <f t="shared" si="12"/>
        <v>1.1381564158871234</v>
      </c>
      <c r="L124" s="4"/>
      <c r="M124" s="4"/>
      <c r="N124">
        <v>9.9221000000000004E-2</v>
      </c>
      <c r="O124">
        <v>0.10788499999999999</v>
      </c>
      <c r="P124" s="4">
        <f t="shared" si="22"/>
        <v>0.85782338803105496</v>
      </c>
      <c r="Q124" s="4">
        <f t="shared" si="21"/>
        <v>0.81950837853030079</v>
      </c>
      <c r="R124">
        <v>0.109766</v>
      </c>
      <c r="S124" s="4">
        <f t="shared" si="14"/>
        <v>1.0174352319599573</v>
      </c>
      <c r="U124">
        <v>32</v>
      </c>
      <c r="V124">
        <v>128</v>
      </c>
      <c r="W124">
        <v>256</v>
      </c>
      <c r="X124">
        <v>16</v>
      </c>
      <c r="Y124">
        <v>1</v>
      </c>
      <c r="Z124">
        <v>0.27280599999999999</v>
      </c>
      <c r="AA124">
        <v>7.8051999999999996E-2</v>
      </c>
      <c r="AB124">
        <v>8.0593999999999999E-2</v>
      </c>
      <c r="AC124" s="4">
        <f t="shared" si="15"/>
        <v>1.0325680315686978</v>
      </c>
      <c r="AE124" s="5">
        <f t="shared" si="16"/>
        <v>0.28610807680182987</v>
      </c>
      <c r="AF124" s="5">
        <f t="shared" si="17"/>
        <v>0.2954260536791713</v>
      </c>
      <c r="AI124">
        <v>7.6891000000000001E-2</v>
      </c>
      <c r="AJ124">
        <v>7.6563000000000006E-2</v>
      </c>
      <c r="AK124" s="4">
        <f t="shared" si="18"/>
        <v>0.98512530108133045</v>
      </c>
      <c r="AL124" s="4">
        <f t="shared" si="19"/>
        <v>0.94998386976698024</v>
      </c>
      <c r="AN124">
        <v>7.6966000000000007E-2</v>
      </c>
      <c r="AO124" s="4">
        <f t="shared" si="20"/>
        <v>1.0052636390946019</v>
      </c>
      <c r="AQ124" s="4"/>
    </row>
    <row r="125" spans="2:43" x14ac:dyDescent="0.25">
      <c r="B125">
        <v>64</v>
      </c>
      <c r="C125">
        <v>576</v>
      </c>
      <c r="D125">
        <v>256</v>
      </c>
      <c r="E125">
        <v>16</v>
      </c>
      <c r="F125">
        <v>1</v>
      </c>
      <c r="H125">
        <v>0.17912400000000001</v>
      </c>
      <c r="I125">
        <v>0.198598</v>
      </c>
      <c r="J125" s="4">
        <f t="shared" si="12"/>
        <v>1.1087179830731784</v>
      </c>
      <c r="L125" s="4"/>
      <c r="M125" s="4"/>
      <c r="N125">
        <v>0.156996</v>
      </c>
      <c r="O125">
        <v>0.16997799999999999</v>
      </c>
      <c r="P125" s="4">
        <f t="shared" si="22"/>
        <v>0.87646546526428615</v>
      </c>
      <c r="Q125" s="4">
        <f t="shared" si="21"/>
        <v>0.85588978740974231</v>
      </c>
      <c r="R125">
        <v>0.17535400000000001</v>
      </c>
      <c r="S125" s="4">
        <f t="shared" si="14"/>
        <v>1.0316276223981928</v>
      </c>
      <c r="U125">
        <v>64</v>
      </c>
      <c r="V125">
        <v>128</v>
      </c>
      <c r="W125">
        <v>256</v>
      </c>
      <c r="X125">
        <v>16</v>
      </c>
      <c r="Y125">
        <v>1</v>
      </c>
      <c r="Z125">
        <v>0.465526</v>
      </c>
      <c r="AA125">
        <v>0.100039</v>
      </c>
      <c r="AB125">
        <v>0.105729</v>
      </c>
      <c r="AC125" s="4">
        <f t="shared" si="15"/>
        <v>1.056877817651116</v>
      </c>
      <c r="AE125" s="5">
        <f t="shared" si="16"/>
        <v>0.21489454939144109</v>
      </c>
      <c r="AF125" s="5">
        <f t="shared" si="17"/>
        <v>0.22711728238594622</v>
      </c>
      <c r="AI125">
        <v>9.6679000000000001E-2</v>
      </c>
      <c r="AJ125">
        <v>9.8713999999999996E-2</v>
      </c>
      <c r="AK125" s="4">
        <f t="shared" si="18"/>
        <v>0.96641309889143234</v>
      </c>
      <c r="AL125" s="4">
        <f t="shared" si="19"/>
        <v>0.933651126937737</v>
      </c>
      <c r="AN125">
        <v>0.100013</v>
      </c>
      <c r="AO125" s="4">
        <f t="shared" si="20"/>
        <v>1.0131592276678081</v>
      </c>
      <c r="AQ125" s="4"/>
    </row>
    <row r="126" spans="2:43" x14ac:dyDescent="0.25">
      <c r="B126">
        <v>128</v>
      </c>
      <c r="C126">
        <v>576</v>
      </c>
      <c r="D126">
        <v>256</v>
      </c>
      <c r="E126">
        <v>16</v>
      </c>
      <c r="F126">
        <v>1</v>
      </c>
      <c r="H126">
        <v>0.29949700000000001</v>
      </c>
      <c r="I126">
        <v>0.335534</v>
      </c>
      <c r="J126" s="4">
        <f t="shared" si="12"/>
        <v>1.1203250783814194</v>
      </c>
      <c r="L126" s="4"/>
      <c r="M126" s="4"/>
      <c r="N126">
        <v>0.23802100000000001</v>
      </c>
      <c r="O126">
        <v>0.27024900000000002</v>
      </c>
      <c r="P126" s="4">
        <f t="shared" si="22"/>
        <v>0.7947358404257806</v>
      </c>
      <c r="Q126" s="4">
        <f t="shared" si="21"/>
        <v>0.8054295540839379</v>
      </c>
      <c r="R126">
        <v>0.27907799999999999</v>
      </c>
      <c r="S126" s="4">
        <f t="shared" si="14"/>
        <v>1.0326698711188569</v>
      </c>
      <c r="U126">
        <v>128</v>
      </c>
      <c r="V126">
        <v>128</v>
      </c>
      <c r="W126">
        <v>256</v>
      </c>
      <c r="X126">
        <v>16</v>
      </c>
      <c r="Y126">
        <v>1</v>
      </c>
      <c r="Z126">
        <v>0.88933399999999996</v>
      </c>
      <c r="AA126">
        <v>0.13845199999999999</v>
      </c>
      <c r="AB126">
        <v>0.15473200000000001</v>
      </c>
      <c r="AC126" s="4">
        <f t="shared" si="15"/>
        <v>1.1175858781382719</v>
      </c>
      <c r="AE126" s="5">
        <f t="shared" si="16"/>
        <v>0.15568054296810871</v>
      </c>
      <c r="AF126" s="5">
        <f t="shared" si="17"/>
        <v>0.17398637632205674</v>
      </c>
      <c r="AI126">
        <v>0.13802800000000001</v>
      </c>
      <c r="AJ126">
        <v>0.14201</v>
      </c>
      <c r="AK126" s="4">
        <f t="shared" si="18"/>
        <v>0.99693756681015822</v>
      </c>
      <c r="AL126" s="4">
        <f t="shared" si="19"/>
        <v>0.91778042033968399</v>
      </c>
      <c r="AN126">
        <v>0.14214399999999999</v>
      </c>
      <c r="AO126" s="4">
        <f t="shared" si="20"/>
        <v>1.0009435955214421</v>
      </c>
      <c r="AQ126" s="4"/>
    </row>
    <row r="127" spans="2:43" x14ac:dyDescent="0.25">
      <c r="B127">
        <v>256</v>
      </c>
      <c r="C127">
        <v>576</v>
      </c>
      <c r="D127">
        <v>256</v>
      </c>
      <c r="E127">
        <v>16</v>
      </c>
      <c r="F127">
        <v>1</v>
      </c>
      <c r="H127">
        <v>0.61707699999999999</v>
      </c>
      <c r="I127">
        <v>0.65136000000000005</v>
      </c>
      <c r="J127" s="4">
        <f t="shared" si="12"/>
        <v>1.0555570860686756</v>
      </c>
      <c r="L127" s="4"/>
      <c r="M127" s="4"/>
      <c r="N127">
        <v>0.54010000000000002</v>
      </c>
      <c r="O127">
        <v>0.61549600000000004</v>
      </c>
      <c r="P127" s="4">
        <f t="shared" si="22"/>
        <v>0.87525543813819029</v>
      </c>
      <c r="Q127" s="4">
        <f t="shared" si="21"/>
        <v>0.94493981822647999</v>
      </c>
      <c r="R127">
        <v>0.54286699999999999</v>
      </c>
      <c r="S127" s="4">
        <f t="shared" si="14"/>
        <v>0.8819992331388018</v>
      </c>
      <c r="U127">
        <v>256</v>
      </c>
      <c r="V127">
        <v>128</v>
      </c>
      <c r="W127">
        <v>256</v>
      </c>
      <c r="X127">
        <v>16</v>
      </c>
      <c r="Y127">
        <v>1</v>
      </c>
      <c r="Z127">
        <v>1.8016289999999999</v>
      </c>
      <c r="AA127">
        <v>0.218892</v>
      </c>
      <c r="AB127">
        <v>0.25459799999999999</v>
      </c>
      <c r="AC127" s="4">
        <f t="shared" si="15"/>
        <v>1.1631215393892878</v>
      </c>
      <c r="AE127" s="5">
        <f t="shared" si="16"/>
        <v>0.121496712142178</v>
      </c>
      <c r="AF127" s="5">
        <f t="shared" si="17"/>
        <v>0.14131544285754724</v>
      </c>
      <c r="AI127">
        <v>0.21514900000000001</v>
      </c>
      <c r="AJ127">
        <v>0.23120599999999999</v>
      </c>
      <c r="AK127" s="4">
        <f t="shared" si="18"/>
        <v>0.98290024304223089</v>
      </c>
      <c r="AL127" s="4">
        <f t="shared" si="19"/>
        <v>0.90812182342359327</v>
      </c>
      <c r="AN127">
        <v>0.228934</v>
      </c>
      <c r="AO127" s="4">
        <f t="shared" si="20"/>
        <v>0.99017326539968686</v>
      </c>
      <c r="AQ127" s="4"/>
    </row>
    <row r="128" spans="2:43" x14ac:dyDescent="0.25">
      <c r="B128">
        <v>512</v>
      </c>
      <c r="C128">
        <v>576</v>
      </c>
      <c r="D128">
        <v>256</v>
      </c>
      <c r="E128">
        <v>16</v>
      </c>
      <c r="F128">
        <v>1</v>
      </c>
      <c r="H128">
        <v>1.3068489999999999</v>
      </c>
      <c r="I128">
        <v>1.3318460000000001</v>
      </c>
      <c r="J128" s="4">
        <f t="shared" si="12"/>
        <v>1.0191276880496525</v>
      </c>
      <c r="L128" s="4"/>
      <c r="M128" s="4"/>
      <c r="N128">
        <v>1.16561</v>
      </c>
      <c r="O128">
        <v>1.3089310000000001</v>
      </c>
      <c r="P128" s="4">
        <f t="shared" si="22"/>
        <v>0.89192400958335671</v>
      </c>
      <c r="Q128" s="4">
        <f t="shared" si="21"/>
        <v>0.98279455732870014</v>
      </c>
      <c r="R128">
        <v>1.125248</v>
      </c>
      <c r="S128" s="4">
        <f t="shared" si="14"/>
        <v>0.85966945545639917</v>
      </c>
      <c r="U128">
        <v>512</v>
      </c>
      <c r="V128">
        <v>128</v>
      </c>
      <c r="W128">
        <v>256</v>
      </c>
      <c r="X128">
        <v>16</v>
      </c>
      <c r="Y128">
        <v>1</v>
      </c>
      <c r="Z128">
        <v>3.502367</v>
      </c>
      <c r="AA128">
        <v>0.379357</v>
      </c>
      <c r="AB128">
        <v>0.46202599999999999</v>
      </c>
      <c r="AC128" s="4">
        <f t="shared" si="15"/>
        <v>1.2179187414493471</v>
      </c>
      <c r="AE128" s="5">
        <f t="shared" si="16"/>
        <v>0.10831446276189788</v>
      </c>
      <c r="AF128" s="5">
        <f t="shared" si="17"/>
        <v>0.13191821416773286</v>
      </c>
      <c r="AI128">
        <v>0.369473</v>
      </c>
      <c r="AJ128">
        <v>0.40534399999999998</v>
      </c>
      <c r="AK128" s="4">
        <f t="shared" si="18"/>
        <v>0.97394538653563789</v>
      </c>
      <c r="AL128" s="4">
        <f t="shared" si="19"/>
        <v>0.87731859246016453</v>
      </c>
      <c r="AN128">
        <v>0.40188800000000002</v>
      </c>
      <c r="AO128" s="4">
        <f t="shared" si="20"/>
        <v>0.9914739085813532</v>
      </c>
      <c r="AQ128" s="4"/>
    </row>
    <row r="129" spans="2:43" x14ac:dyDescent="0.25">
      <c r="B129">
        <v>1</v>
      </c>
      <c r="C129">
        <v>576</v>
      </c>
      <c r="D129">
        <v>512</v>
      </c>
      <c r="E129">
        <v>16</v>
      </c>
      <c r="F129">
        <v>1</v>
      </c>
      <c r="H129">
        <v>9.4147999999999996E-2</v>
      </c>
      <c r="I129">
        <v>9.0414999999999995E-2</v>
      </c>
      <c r="J129" s="4">
        <f t="shared" si="12"/>
        <v>0.96034966223392959</v>
      </c>
      <c r="L129" s="4"/>
      <c r="M129" s="4"/>
      <c r="N129">
        <v>9.1727000000000003E-2</v>
      </c>
      <c r="O129">
        <v>8.6886000000000005E-2</v>
      </c>
      <c r="P129" s="4">
        <f t="shared" si="22"/>
        <v>0.97428516803330933</v>
      </c>
      <c r="Q129" s="4">
        <f t="shared" si="21"/>
        <v>0.96096886578554452</v>
      </c>
      <c r="R129">
        <v>9.7568000000000002E-2</v>
      </c>
      <c r="S129" s="4">
        <f t="shared" si="14"/>
        <v>1.1229427065349999</v>
      </c>
      <c r="U129" s="8">
        <v>1</v>
      </c>
      <c r="V129" s="8">
        <v>128</v>
      </c>
      <c r="W129" s="8">
        <v>512</v>
      </c>
      <c r="X129" s="8">
        <v>16</v>
      </c>
      <c r="Y129" s="8">
        <v>1</v>
      </c>
      <c r="Z129" s="8">
        <v>6.7864999999999995E-2</v>
      </c>
      <c r="AA129" s="8">
        <v>7.4615000000000001E-2</v>
      </c>
      <c r="AB129">
        <v>6.9176000000000001E-2</v>
      </c>
      <c r="AC129" s="4">
        <f t="shared" si="15"/>
        <v>0.92710580982376201</v>
      </c>
      <c r="AE129" s="5">
        <f t="shared" si="16"/>
        <v>1.0994621675384957</v>
      </c>
      <c r="AF129" s="5">
        <f t="shared" si="17"/>
        <v>1.0193177632063657</v>
      </c>
      <c r="AI129">
        <v>7.4201000000000003E-2</v>
      </c>
      <c r="AJ129">
        <v>6.7693000000000003E-2</v>
      </c>
      <c r="AK129" s="4">
        <f t="shared" si="18"/>
        <v>0.9944515177913289</v>
      </c>
      <c r="AL129" s="4">
        <f t="shared" si="19"/>
        <v>0.97856192899271421</v>
      </c>
      <c r="AN129">
        <v>7.0047999999999999E-2</v>
      </c>
      <c r="AO129" s="4">
        <f t="shared" si="20"/>
        <v>1.0347894169264178</v>
      </c>
      <c r="AQ129" s="4"/>
    </row>
    <row r="130" spans="2:43" x14ac:dyDescent="0.25">
      <c r="B130">
        <v>2</v>
      </c>
      <c r="C130">
        <v>576</v>
      </c>
      <c r="D130">
        <v>512</v>
      </c>
      <c r="E130">
        <v>16</v>
      </c>
      <c r="F130">
        <v>1</v>
      </c>
      <c r="H130">
        <v>0.103126</v>
      </c>
      <c r="I130">
        <v>0.100632</v>
      </c>
      <c r="J130" s="4">
        <f t="shared" si="12"/>
        <v>0.97581599208734948</v>
      </c>
      <c r="L130" s="4"/>
      <c r="M130" s="4"/>
      <c r="N130">
        <v>9.4812999999999995E-2</v>
      </c>
      <c r="O130">
        <v>8.9806999999999998E-2</v>
      </c>
      <c r="P130" s="4">
        <f t="shared" si="22"/>
        <v>0.91938987258305371</v>
      </c>
      <c r="Q130" s="4">
        <f t="shared" si="21"/>
        <v>0.8924298433897766</v>
      </c>
      <c r="R130">
        <v>9.9302000000000001E-2</v>
      </c>
      <c r="S130" s="4">
        <f t="shared" si="14"/>
        <v>1.1057267250882448</v>
      </c>
      <c r="U130">
        <v>2</v>
      </c>
      <c r="V130">
        <v>128</v>
      </c>
      <c r="W130">
        <v>512</v>
      </c>
      <c r="X130">
        <v>16</v>
      </c>
      <c r="Y130">
        <v>1</v>
      </c>
      <c r="Z130">
        <v>7.8594999999999998E-2</v>
      </c>
      <c r="AA130">
        <v>7.6929999999999998E-2</v>
      </c>
      <c r="AB130">
        <v>7.1660000000000001E-2</v>
      </c>
      <c r="AC130" s="4">
        <f t="shared" si="15"/>
        <v>0.93149616534511903</v>
      </c>
      <c r="AE130" s="5">
        <f t="shared" si="16"/>
        <v>0.97881544627520833</v>
      </c>
      <c r="AF130" s="5">
        <f t="shared" si="17"/>
        <v>0.9117628347859279</v>
      </c>
      <c r="AI130">
        <v>7.4548000000000003E-2</v>
      </c>
      <c r="AJ130">
        <v>6.7891000000000007E-2</v>
      </c>
      <c r="AK130" s="4">
        <f t="shared" si="18"/>
        <v>0.96903678668919802</v>
      </c>
      <c r="AL130" s="4">
        <f t="shared" si="19"/>
        <v>0.94740440971253148</v>
      </c>
      <c r="AN130">
        <v>7.0803000000000005E-2</v>
      </c>
      <c r="AO130" s="4">
        <f t="shared" si="20"/>
        <v>1.0428922832186887</v>
      </c>
      <c r="AQ130" s="4"/>
    </row>
    <row r="131" spans="2:43" x14ac:dyDescent="0.25">
      <c r="B131">
        <v>4</v>
      </c>
      <c r="C131">
        <v>576</v>
      </c>
      <c r="D131">
        <v>512</v>
      </c>
      <c r="E131">
        <v>16</v>
      </c>
      <c r="F131">
        <v>1</v>
      </c>
      <c r="H131">
        <v>0.102858</v>
      </c>
      <c r="I131">
        <v>0.100424</v>
      </c>
      <c r="J131" s="4">
        <f t="shared" si="12"/>
        <v>0.97633630830854179</v>
      </c>
      <c r="L131" s="4"/>
      <c r="M131" s="4"/>
      <c r="N131">
        <v>0.10412</v>
      </c>
      <c r="O131">
        <v>9.9457000000000004E-2</v>
      </c>
      <c r="P131" s="4">
        <f t="shared" si="22"/>
        <v>1.012269342199926</v>
      </c>
      <c r="Q131" s="4">
        <f t="shared" si="21"/>
        <v>0.99037082769059193</v>
      </c>
      <c r="R131">
        <v>0.10197100000000001</v>
      </c>
      <c r="S131" s="4">
        <f t="shared" si="14"/>
        <v>1.0252772554973506</v>
      </c>
      <c r="U131">
        <v>4</v>
      </c>
      <c r="V131">
        <v>128</v>
      </c>
      <c r="W131">
        <v>512</v>
      </c>
      <c r="X131">
        <v>16</v>
      </c>
      <c r="Y131">
        <v>1</v>
      </c>
      <c r="Z131">
        <v>0.104144</v>
      </c>
      <c r="AA131">
        <v>7.6732999999999996E-2</v>
      </c>
      <c r="AB131">
        <v>7.1165999999999993E-2</v>
      </c>
      <c r="AC131" s="4">
        <f t="shared" si="15"/>
        <v>0.9274497282785763</v>
      </c>
      <c r="AE131" s="5">
        <f t="shared" si="16"/>
        <v>0.73679712705484712</v>
      </c>
      <c r="AF131" s="5">
        <f t="shared" si="17"/>
        <v>0.68334229528345358</v>
      </c>
      <c r="AI131">
        <v>7.6655000000000001E-2</v>
      </c>
      <c r="AJ131">
        <v>7.0118E-2</v>
      </c>
      <c r="AK131" s="4">
        <f t="shared" si="18"/>
        <v>0.99898348819934069</v>
      </c>
      <c r="AL131" s="4">
        <f t="shared" si="19"/>
        <v>0.98527386673411466</v>
      </c>
      <c r="AN131">
        <v>7.1373000000000006E-2</v>
      </c>
      <c r="AO131" s="4">
        <f t="shared" si="20"/>
        <v>1.0178983998402693</v>
      </c>
      <c r="AQ131" s="4"/>
    </row>
    <row r="132" spans="2:43" x14ac:dyDescent="0.25">
      <c r="B132">
        <v>8</v>
      </c>
      <c r="C132">
        <v>576</v>
      </c>
      <c r="D132">
        <v>512</v>
      </c>
      <c r="E132">
        <v>16</v>
      </c>
      <c r="F132">
        <v>1</v>
      </c>
      <c r="H132">
        <v>0.117405</v>
      </c>
      <c r="I132">
        <v>0.113733</v>
      </c>
      <c r="J132" s="4">
        <f t="shared" si="12"/>
        <v>0.96872364890762752</v>
      </c>
      <c r="L132" s="4"/>
      <c r="M132" s="4"/>
      <c r="N132">
        <v>0.103587</v>
      </c>
      <c r="O132">
        <v>9.8877000000000007E-2</v>
      </c>
      <c r="P132" s="4">
        <f t="shared" si="22"/>
        <v>0.88230484221285299</v>
      </c>
      <c r="Q132" s="4">
        <f t="shared" si="21"/>
        <v>0.86937828071008416</v>
      </c>
      <c r="R132">
        <v>0.103232</v>
      </c>
      <c r="S132" s="4">
        <f t="shared" si="14"/>
        <v>1.0440446210948957</v>
      </c>
      <c r="U132">
        <v>8</v>
      </c>
      <c r="V132">
        <v>128</v>
      </c>
      <c r="W132">
        <v>512</v>
      </c>
      <c r="X132">
        <v>16</v>
      </c>
      <c r="Y132">
        <v>1</v>
      </c>
      <c r="Z132">
        <v>0.144459</v>
      </c>
      <c r="AA132">
        <v>7.9861000000000001E-2</v>
      </c>
      <c r="AB132">
        <v>7.4122999999999994E-2</v>
      </c>
      <c r="AC132" s="4">
        <f t="shared" si="15"/>
        <v>0.92815016090457159</v>
      </c>
      <c r="AE132" s="5">
        <f t="shared" si="16"/>
        <v>0.55282813808762343</v>
      </c>
      <c r="AF132" s="5">
        <f t="shared" si="17"/>
        <v>0.51310752531860249</v>
      </c>
      <c r="AI132">
        <v>7.7090000000000006E-2</v>
      </c>
      <c r="AJ132">
        <v>7.0330000000000004E-2</v>
      </c>
      <c r="AK132" s="4">
        <f t="shared" si="18"/>
        <v>0.96530221259438276</v>
      </c>
      <c r="AL132" s="4">
        <f t="shared" si="19"/>
        <v>0.94882829890857101</v>
      </c>
      <c r="AN132">
        <v>7.1686E-2</v>
      </c>
      <c r="AO132" s="4">
        <f t="shared" si="20"/>
        <v>1.0192805346224938</v>
      </c>
      <c r="AQ132" s="4"/>
    </row>
    <row r="133" spans="2:43" x14ac:dyDescent="0.25">
      <c r="B133">
        <v>16</v>
      </c>
      <c r="C133">
        <v>576</v>
      </c>
      <c r="D133">
        <v>512</v>
      </c>
      <c r="E133">
        <v>16</v>
      </c>
      <c r="F133">
        <v>1</v>
      </c>
      <c r="H133">
        <v>0.12714800000000001</v>
      </c>
      <c r="I133">
        <v>0.12238599999999999</v>
      </c>
      <c r="J133" s="4">
        <f t="shared" si="12"/>
        <v>0.96254758234498372</v>
      </c>
      <c r="L133" s="4"/>
      <c r="M133" s="4"/>
      <c r="N133">
        <v>0.10534499999999999</v>
      </c>
      <c r="O133">
        <v>9.8196000000000006E-2</v>
      </c>
      <c r="P133" s="4">
        <f t="shared" si="22"/>
        <v>0.82852266649888306</v>
      </c>
      <c r="Q133" s="4">
        <f t="shared" si="21"/>
        <v>0.80234667363914181</v>
      </c>
      <c r="R133">
        <v>0.103309</v>
      </c>
      <c r="S133" s="4">
        <f t="shared" si="14"/>
        <v>1.0520693307263025</v>
      </c>
      <c r="U133">
        <v>16</v>
      </c>
      <c r="V133">
        <v>128</v>
      </c>
      <c r="W133">
        <v>512</v>
      </c>
      <c r="X133">
        <v>16</v>
      </c>
      <c r="Y133">
        <v>1</v>
      </c>
      <c r="Z133">
        <v>0.22495999999999999</v>
      </c>
      <c r="AA133">
        <v>8.0618999999999996E-2</v>
      </c>
      <c r="AB133">
        <v>7.5600000000000001E-2</v>
      </c>
      <c r="AC133" s="4">
        <f t="shared" si="15"/>
        <v>0.93774420421984894</v>
      </c>
      <c r="AE133" s="5">
        <f t="shared" si="16"/>
        <v>0.35837037695590329</v>
      </c>
      <c r="AF133" s="5">
        <f t="shared" si="17"/>
        <v>0.33605974395448079</v>
      </c>
      <c r="AI133">
        <v>7.7358999999999997E-2</v>
      </c>
      <c r="AJ133">
        <v>7.0476999999999998E-2</v>
      </c>
      <c r="AK133" s="4">
        <f t="shared" si="18"/>
        <v>0.95956288219898533</v>
      </c>
      <c r="AL133" s="4">
        <f t="shared" si="19"/>
        <v>0.93223544973544969</v>
      </c>
      <c r="AN133">
        <v>7.2377999999999998E-2</v>
      </c>
      <c r="AO133" s="4">
        <f t="shared" si="20"/>
        <v>1.0269733388197568</v>
      </c>
      <c r="AQ133" s="4"/>
    </row>
    <row r="134" spans="2:43" x14ac:dyDescent="0.25">
      <c r="B134">
        <v>32</v>
      </c>
      <c r="C134">
        <v>576</v>
      </c>
      <c r="D134">
        <v>512</v>
      </c>
      <c r="E134">
        <v>16</v>
      </c>
      <c r="F134">
        <v>1</v>
      </c>
      <c r="H134">
        <v>0.162688</v>
      </c>
      <c r="I134">
        <v>0.17983399999999999</v>
      </c>
      <c r="J134" s="4">
        <f t="shared" si="12"/>
        <v>1.1053919158143195</v>
      </c>
      <c r="L134" s="4"/>
      <c r="M134" s="4"/>
      <c r="N134">
        <v>0.14455000000000001</v>
      </c>
      <c r="O134">
        <v>0.14629200000000001</v>
      </c>
      <c r="P134" s="4">
        <f t="shared" si="22"/>
        <v>0.88851052321007085</v>
      </c>
      <c r="Q134" s="4">
        <f t="shared" si="21"/>
        <v>0.81348354593680849</v>
      </c>
      <c r="R134">
        <v>0.14943400000000001</v>
      </c>
      <c r="S134" s="4">
        <f t="shared" si="14"/>
        <v>1.0214775927596862</v>
      </c>
      <c r="U134">
        <v>32</v>
      </c>
      <c r="V134">
        <v>128</v>
      </c>
      <c r="W134">
        <v>512</v>
      </c>
      <c r="X134">
        <v>16</v>
      </c>
      <c r="Y134">
        <v>1</v>
      </c>
      <c r="Z134">
        <v>0.42883900000000003</v>
      </c>
      <c r="AA134">
        <v>9.7147999999999998E-2</v>
      </c>
      <c r="AB134">
        <v>9.8239999999999994E-2</v>
      </c>
      <c r="AC134" s="4">
        <f t="shared" si="15"/>
        <v>1.0112405813809857</v>
      </c>
      <c r="AE134" s="5">
        <f t="shared" si="16"/>
        <v>0.22653723192153696</v>
      </c>
      <c r="AF134" s="5">
        <f t="shared" si="17"/>
        <v>0.22908364211277424</v>
      </c>
      <c r="AI134">
        <v>9.6140000000000003E-2</v>
      </c>
      <c r="AJ134">
        <v>8.9325000000000002E-2</v>
      </c>
      <c r="AK134" s="4">
        <f t="shared" si="18"/>
        <v>0.98962407872524405</v>
      </c>
      <c r="AL134" s="4">
        <f t="shared" si="19"/>
        <v>0.9092528501628665</v>
      </c>
      <c r="AN134">
        <v>8.9536000000000004E-2</v>
      </c>
      <c r="AO134" s="4">
        <f t="shared" si="20"/>
        <v>1.0023621606493143</v>
      </c>
      <c r="AQ134" s="4"/>
    </row>
    <row r="135" spans="2:43" x14ac:dyDescent="0.25">
      <c r="B135">
        <v>64</v>
      </c>
      <c r="C135">
        <v>576</v>
      </c>
      <c r="D135">
        <v>512</v>
      </c>
      <c r="E135">
        <v>16</v>
      </c>
      <c r="F135">
        <v>1</v>
      </c>
      <c r="H135">
        <v>0.26658100000000001</v>
      </c>
      <c r="I135">
        <v>0.28995700000000002</v>
      </c>
      <c r="J135" s="4">
        <f t="shared" si="12"/>
        <v>1.0876881698245562</v>
      </c>
      <c r="L135" s="4"/>
      <c r="M135" s="4"/>
      <c r="N135">
        <v>0.220691</v>
      </c>
      <c r="O135">
        <v>0.23119400000000001</v>
      </c>
      <c r="P135" s="4">
        <f t="shared" si="22"/>
        <v>0.82785719912521893</v>
      </c>
      <c r="Q135" s="4">
        <f t="shared" si="21"/>
        <v>0.79733891577026939</v>
      </c>
      <c r="R135">
        <v>0.243834</v>
      </c>
      <c r="S135" s="4">
        <f t="shared" si="14"/>
        <v>1.0546726991184892</v>
      </c>
      <c r="U135">
        <v>64</v>
      </c>
      <c r="V135">
        <v>128</v>
      </c>
      <c r="W135">
        <v>512</v>
      </c>
      <c r="X135">
        <v>16</v>
      </c>
      <c r="Y135">
        <v>1</v>
      </c>
      <c r="Z135">
        <v>0.75379399999999996</v>
      </c>
      <c r="AA135">
        <v>0.13778899999999999</v>
      </c>
      <c r="AB135">
        <v>0.136353</v>
      </c>
      <c r="AC135" s="4">
        <f t="shared" si="15"/>
        <v>0.98957826822170136</v>
      </c>
      <c r="AE135" s="5">
        <f t="shared" si="16"/>
        <v>0.18279397288914478</v>
      </c>
      <c r="AF135" s="5">
        <f t="shared" si="17"/>
        <v>0.18088894313300452</v>
      </c>
      <c r="AI135">
        <v>0.130908</v>
      </c>
      <c r="AJ135">
        <v>0.125248</v>
      </c>
      <c r="AK135" s="4">
        <f t="shared" si="18"/>
        <v>0.95006132565008816</v>
      </c>
      <c r="AL135" s="4">
        <f t="shared" si="19"/>
        <v>0.91855698077783399</v>
      </c>
      <c r="AN135">
        <v>0.12257899999999999</v>
      </c>
      <c r="AO135" s="4">
        <f t="shared" si="20"/>
        <v>0.9786902784874808</v>
      </c>
      <c r="AQ135" s="4"/>
    </row>
    <row r="136" spans="2:43" x14ac:dyDescent="0.25">
      <c r="B136">
        <v>128</v>
      </c>
      <c r="C136">
        <v>576</v>
      </c>
      <c r="D136">
        <v>512</v>
      </c>
      <c r="E136">
        <v>16</v>
      </c>
      <c r="F136">
        <v>1</v>
      </c>
      <c r="H136">
        <v>0.48429299999999997</v>
      </c>
      <c r="I136">
        <v>0.51056999999999997</v>
      </c>
      <c r="J136" s="4">
        <f t="shared" si="12"/>
        <v>1.0542584757574442</v>
      </c>
      <c r="L136" s="4"/>
      <c r="M136" s="4"/>
      <c r="N136">
        <v>0.36221700000000001</v>
      </c>
      <c r="O136">
        <v>0.39066899999999999</v>
      </c>
      <c r="P136" s="4">
        <f t="shared" si="22"/>
        <v>0.74792945592853921</v>
      </c>
      <c r="Q136" s="4">
        <f t="shared" si="21"/>
        <v>0.76516246547975797</v>
      </c>
      <c r="R136">
        <v>0.416211</v>
      </c>
      <c r="S136" s="4">
        <f t="shared" si="14"/>
        <v>1.0653801555792757</v>
      </c>
      <c r="U136">
        <v>128</v>
      </c>
      <c r="V136">
        <v>128</v>
      </c>
      <c r="W136">
        <v>512</v>
      </c>
      <c r="X136">
        <v>16</v>
      </c>
      <c r="Y136">
        <v>1</v>
      </c>
      <c r="Z136">
        <v>1.5188140000000001</v>
      </c>
      <c r="AA136">
        <v>0.21137700000000001</v>
      </c>
      <c r="AB136">
        <v>0.218995</v>
      </c>
      <c r="AC136" s="4">
        <f t="shared" si="15"/>
        <v>1.0360398718876698</v>
      </c>
      <c r="AE136" s="5">
        <f t="shared" si="16"/>
        <v>0.13917240689116639</v>
      </c>
      <c r="AF136" s="5">
        <f t="shared" si="17"/>
        <v>0.14418816260582268</v>
      </c>
      <c r="AI136">
        <v>0.20268600000000001</v>
      </c>
      <c r="AJ136">
        <v>0.19372800000000001</v>
      </c>
      <c r="AK136" s="4">
        <f t="shared" si="18"/>
        <v>0.95888388992179852</v>
      </c>
      <c r="AL136" s="4">
        <f t="shared" si="19"/>
        <v>0.88462293659672597</v>
      </c>
      <c r="AN136">
        <v>0.187642</v>
      </c>
      <c r="AO136" s="4">
        <f t="shared" si="20"/>
        <v>0.96858481995374957</v>
      </c>
      <c r="AQ136" s="4"/>
    </row>
    <row r="137" spans="2:43" x14ac:dyDescent="0.25">
      <c r="B137">
        <v>256</v>
      </c>
      <c r="C137">
        <v>576</v>
      </c>
      <c r="D137">
        <v>512</v>
      </c>
      <c r="E137">
        <v>16</v>
      </c>
      <c r="F137">
        <v>1</v>
      </c>
      <c r="H137">
        <v>0.97301400000000005</v>
      </c>
      <c r="I137">
        <v>0.98619999999999997</v>
      </c>
      <c r="J137" s="4">
        <f t="shared" si="12"/>
        <v>1.0135517063474935</v>
      </c>
      <c r="L137" s="4"/>
      <c r="M137" s="4"/>
      <c r="N137">
        <v>0.82172400000000001</v>
      </c>
      <c r="O137">
        <v>0.86305399999999999</v>
      </c>
      <c r="P137" s="4">
        <f t="shared" si="22"/>
        <v>0.84451405632395826</v>
      </c>
      <c r="Q137" s="4">
        <f t="shared" si="21"/>
        <v>0.87513080511052521</v>
      </c>
      <c r="R137">
        <v>0.80746899999999999</v>
      </c>
      <c r="S137" s="4">
        <f t="shared" si="14"/>
        <v>0.9355949917386398</v>
      </c>
      <c r="U137">
        <v>256</v>
      </c>
      <c r="V137">
        <v>128</v>
      </c>
      <c r="W137">
        <v>512</v>
      </c>
      <c r="X137">
        <v>16</v>
      </c>
      <c r="Y137">
        <v>1</v>
      </c>
      <c r="Z137">
        <v>3.1016409999999999</v>
      </c>
      <c r="AA137">
        <v>0.35969200000000001</v>
      </c>
      <c r="AB137">
        <v>0.3765</v>
      </c>
      <c r="AC137" s="4">
        <f t="shared" si="15"/>
        <v>1.0467288680315381</v>
      </c>
      <c r="AE137" s="5">
        <f t="shared" si="16"/>
        <v>0.11596828904441231</v>
      </c>
      <c r="AF137" s="5">
        <f t="shared" si="17"/>
        <v>0.12138735591901191</v>
      </c>
      <c r="AI137">
        <v>0.34362700000000002</v>
      </c>
      <c r="AJ137">
        <v>0.326214</v>
      </c>
      <c r="AK137" s="4">
        <f t="shared" si="18"/>
        <v>0.95533678814096501</v>
      </c>
      <c r="AL137" s="4">
        <f t="shared" si="19"/>
        <v>0.86643824701195216</v>
      </c>
      <c r="AN137">
        <v>0.314944</v>
      </c>
      <c r="AO137" s="4">
        <f t="shared" si="20"/>
        <v>0.96545212651817514</v>
      </c>
      <c r="AQ137" s="4"/>
    </row>
    <row r="138" spans="2:43" x14ac:dyDescent="0.25">
      <c r="B138">
        <v>512</v>
      </c>
      <c r="C138">
        <v>576</v>
      </c>
      <c r="D138">
        <v>512</v>
      </c>
      <c r="E138">
        <v>16</v>
      </c>
      <c r="F138">
        <v>1</v>
      </c>
      <c r="H138">
        <v>1.9967649999999999</v>
      </c>
      <c r="I138">
        <v>1.9476739999999999</v>
      </c>
      <c r="J138" s="4">
        <f t="shared" ref="J138:J188" si="23">I138/H138</f>
        <v>0.97541473333116313</v>
      </c>
      <c r="L138" s="4"/>
      <c r="M138" s="4"/>
      <c r="N138">
        <v>1.6768259999999999</v>
      </c>
      <c r="O138">
        <v>1.7137009999999999</v>
      </c>
      <c r="P138" s="4">
        <f t="shared" ref="P138:P169" si="24">N138/H138</f>
        <v>0.83977133012647953</v>
      </c>
      <c r="Q138" s="4">
        <f t="shared" si="21"/>
        <v>0.87987055328561148</v>
      </c>
      <c r="R138">
        <v>1.6147579999999999</v>
      </c>
      <c r="S138" s="4">
        <f t="shared" ref="S138:S188" si="25">R138/O138</f>
        <v>0.94226355706158771</v>
      </c>
      <c r="U138">
        <v>512</v>
      </c>
      <c r="V138">
        <v>128</v>
      </c>
      <c r="W138">
        <v>512</v>
      </c>
      <c r="X138">
        <v>16</v>
      </c>
      <c r="Y138">
        <v>1</v>
      </c>
      <c r="Z138">
        <v>5.9666350000000001</v>
      </c>
      <c r="AA138">
        <v>0.64265300000000003</v>
      </c>
      <c r="AB138">
        <v>0.690913</v>
      </c>
      <c r="AC138" s="4">
        <f t="shared" ref="AC138:AC188" si="26">AB138/AA138</f>
        <v>1.0750949579321967</v>
      </c>
      <c r="AE138" s="5">
        <f t="shared" ref="AE138:AE188" si="27">AA138/Z138</f>
        <v>0.10770777833737107</v>
      </c>
      <c r="AF138" s="5">
        <f t="shared" ref="AF138:AF188" si="28">AB138/Z138</f>
        <v>0.11579608942058631</v>
      </c>
      <c r="AI138">
        <v>0.61963900000000005</v>
      </c>
      <c r="AJ138">
        <v>0.58526699999999998</v>
      </c>
      <c r="AK138" s="4">
        <f t="shared" ref="AK138:AK188" si="29">AI138/AA138</f>
        <v>0.96418907248546259</v>
      </c>
      <c r="AL138" s="4">
        <f t="shared" ref="AL138:AL188" si="30">AJ138/AB138</f>
        <v>0.84709218092581839</v>
      </c>
      <c r="AN138">
        <v>0.56998400000000005</v>
      </c>
      <c r="AO138" s="4">
        <f t="shared" ref="AO138:AO188" si="31">AN138/AJ138</f>
        <v>0.97388713185605902</v>
      </c>
      <c r="AQ138" s="4"/>
    </row>
    <row r="139" spans="2:43" x14ac:dyDescent="0.25">
      <c r="B139">
        <v>1</v>
      </c>
      <c r="C139">
        <v>576</v>
      </c>
      <c r="D139">
        <v>1024</v>
      </c>
      <c r="E139">
        <v>16</v>
      </c>
      <c r="F139">
        <v>1</v>
      </c>
      <c r="H139">
        <v>0.12225</v>
      </c>
      <c r="I139">
        <v>0.10975799999999999</v>
      </c>
      <c r="J139" s="4">
        <f t="shared" si="23"/>
        <v>0.89781595092024535</v>
      </c>
      <c r="L139" s="4"/>
      <c r="M139" s="4"/>
      <c r="N139">
        <v>0.122408</v>
      </c>
      <c r="O139">
        <v>0.10867</v>
      </c>
      <c r="P139" s="4">
        <f t="shared" si="24"/>
        <v>1.0012924335378324</v>
      </c>
      <c r="Q139" s="4">
        <f t="shared" si="21"/>
        <v>0.99008728293154036</v>
      </c>
      <c r="R139">
        <v>0.126496</v>
      </c>
      <c r="S139" s="4">
        <f t="shared" si="25"/>
        <v>1.1640379129474556</v>
      </c>
      <c r="U139" s="8">
        <v>1</v>
      </c>
      <c r="V139" s="8">
        <v>128</v>
      </c>
      <c r="W139" s="8">
        <f>1024</f>
        <v>1024</v>
      </c>
      <c r="X139" s="8">
        <v>16</v>
      </c>
      <c r="Y139" s="8">
        <v>1</v>
      </c>
      <c r="Z139" s="8">
        <v>7.7563999999999994E-2</v>
      </c>
      <c r="AA139" s="8">
        <v>9.2565999999999996E-2</v>
      </c>
      <c r="AB139">
        <v>7.8109999999999999E-2</v>
      </c>
      <c r="AC139" s="4">
        <f t="shared" si="26"/>
        <v>0.84383034807596746</v>
      </c>
      <c r="AE139" s="5">
        <f t="shared" si="27"/>
        <v>1.193414470630705</v>
      </c>
      <c r="AF139" s="5">
        <f t="shared" si="28"/>
        <v>1.0070393481512043</v>
      </c>
      <c r="AI139">
        <v>9.1969999999999996E-2</v>
      </c>
      <c r="AJ139">
        <v>7.6633999999999994E-2</v>
      </c>
      <c r="AK139" s="4">
        <f t="shared" si="29"/>
        <v>0.99356135081995545</v>
      </c>
      <c r="AL139" s="4">
        <f t="shared" si="30"/>
        <v>0.98110357188580199</v>
      </c>
      <c r="AN139">
        <v>8.1925999999999999E-2</v>
      </c>
      <c r="AO139" s="4">
        <f t="shared" si="31"/>
        <v>1.0690555106088682</v>
      </c>
      <c r="AQ139" s="4"/>
    </row>
    <row r="140" spans="2:43" x14ac:dyDescent="0.25">
      <c r="B140">
        <v>2</v>
      </c>
      <c r="C140">
        <v>576</v>
      </c>
      <c r="D140">
        <v>1024</v>
      </c>
      <c r="E140">
        <v>16</v>
      </c>
      <c r="F140">
        <v>1</v>
      </c>
      <c r="H140">
        <v>0.13983200000000001</v>
      </c>
      <c r="I140">
        <v>0.12918099999999999</v>
      </c>
      <c r="J140" s="4">
        <f t="shared" si="23"/>
        <v>0.92383002460094954</v>
      </c>
      <c r="L140" s="4"/>
      <c r="M140" s="4"/>
      <c r="N140">
        <v>0.129247</v>
      </c>
      <c r="O140">
        <v>0.115286</v>
      </c>
      <c r="P140" s="4">
        <f t="shared" si="24"/>
        <v>0.92430201956633662</v>
      </c>
      <c r="Q140" s="4">
        <f t="shared" si="21"/>
        <v>0.89243774239245721</v>
      </c>
      <c r="R140">
        <v>0.12806400000000001</v>
      </c>
      <c r="S140" s="4">
        <f t="shared" si="25"/>
        <v>1.1108373956941868</v>
      </c>
      <c r="U140" s="8">
        <v>2</v>
      </c>
      <c r="V140" s="8">
        <v>128</v>
      </c>
      <c r="W140" s="8">
        <f>1024</f>
        <v>1024</v>
      </c>
      <c r="X140" s="8">
        <v>16</v>
      </c>
      <c r="Y140" s="8">
        <v>1</v>
      </c>
      <c r="Z140" s="8">
        <v>9.6643999999999994E-2</v>
      </c>
      <c r="AA140" s="8">
        <v>9.6920000000000006E-2</v>
      </c>
      <c r="AB140">
        <v>8.2837999999999995E-2</v>
      </c>
      <c r="AC140" s="4">
        <f t="shared" si="26"/>
        <v>0.85470491126702419</v>
      </c>
      <c r="AE140" s="5">
        <f t="shared" si="27"/>
        <v>1.0028558420595175</v>
      </c>
      <c r="AF140" s="5">
        <f t="shared" si="28"/>
        <v>0.85714581350109686</v>
      </c>
      <c r="AI140">
        <v>9.2719999999999997E-2</v>
      </c>
      <c r="AJ140">
        <v>7.7626000000000001E-2</v>
      </c>
      <c r="AK140" s="4">
        <f t="shared" si="29"/>
        <v>0.95666529096161779</v>
      </c>
      <c r="AL140" s="4">
        <f t="shared" si="30"/>
        <v>0.93708201550013281</v>
      </c>
      <c r="AN140">
        <v>8.2848000000000005E-2</v>
      </c>
      <c r="AO140" s="4">
        <f t="shared" si="31"/>
        <v>1.0672712750882436</v>
      </c>
      <c r="AQ140" s="4"/>
    </row>
    <row r="141" spans="2:43" x14ac:dyDescent="0.25">
      <c r="B141">
        <v>4</v>
      </c>
      <c r="C141">
        <v>576</v>
      </c>
      <c r="D141">
        <v>1024</v>
      </c>
      <c r="E141">
        <v>16</v>
      </c>
      <c r="F141">
        <v>1</v>
      </c>
      <c r="H141">
        <v>0.142738</v>
      </c>
      <c r="I141">
        <v>0.13191800000000001</v>
      </c>
      <c r="J141" s="4">
        <f t="shared" si="23"/>
        <v>0.92419678011461559</v>
      </c>
      <c r="L141" s="4"/>
      <c r="M141" s="4"/>
      <c r="N141">
        <v>0.15109900000000001</v>
      </c>
      <c r="O141">
        <v>0.13713500000000001</v>
      </c>
      <c r="P141" s="4">
        <f t="shared" si="24"/>
        <v>1.0585758522607855</v>
      </c>
      <c r="Q141" s="4">
        <f t="shared" si="21"/>
        <v>1.0395472945314514</v>
      </c>
      <c r="R141">
        <v>0.142758</v>
      </c>
      <c r="S141" s="4">
        <f t="shared" si="25"/>
        <v>1.0410033908192655</v>
      </c>
      <c r="U141">
        <v>4</v>
      </c>
      <c r="V141">
        <v>128</v>
      </c>
      <c r="W141">
        <f>1024</f>
        <v>1024</v>
      </c>
      <c r="X141">
        <v>16</v>
      </c>
      <c r="Y141">
        <v>1</v>
      </c>
      <c r="Z141">
        <v>0.143038</v>
      </c>
      <c r="AA141">
        <v>9.6575999999999995E-2</v>
      </c>
      <c r="AB141">
        <v>8.2775000000000001E-2</v>
      </c>
      <c r="AC141" s="4">
        <f t="shared" si="26"/>
        <v>0.85709700132538114</v>
      </c>
      <c r="AE141" s="5">
        <f t="shared" si="27"/>
        <v>0.67517722563234939</v>
      </c>
      <c r="AF141" s="5">
        <f t="shared" si="28"/>
        <v>0.57869237545267693</v>
      </c>
      <c r="AI141">
        <v>9.7576999999999997E-2</v>
      </c>
      <c r="AJ141">
        <v>8.3353999999999998E-2</v>
      </c>
      <c r="AK141" s="4">
        <f t="shared" si="29"/>
        <v>1.0103648939695162</v>
      </c>
      <c r="AL141" s="4">
        <f t="shared" si="30"/>
        <v>1.0069948655995167</v>
      </c>
      <c r="AN141">
        <v>8.4806000000000006E-2</v>
      </c>
      <c r="AO141" s="4">
        <f t="shared" si="31"/>
        <v>1.0174196799193802</v>
      </c>
      <c r="AQ141" s="4"/>
    </row>
    <row r="142" spans="2:43" x14ac:dyDescent="0.25">
      <c r="B142">
        <v>8</v>
      </c>
      <c r="C142">
        <v>576</v>
      </c>
      <c r="D142">
        <v>1024</v>
      </c>
      <c r="E142">
        <v>16</v>
      </c>
      <c r="F142">
        <v>1</v>
      </c>
      <c r="H142">
        <v>0.171126</v>
      </c>
      <c r="I142">
        <v>0.15860299999999999</v>
      </c>
      <c r="J142" s="4">
        <f t="shared" si="23"/>
        <v>0.92682000397368014</v>
      </c>
      <c r="L142" s="4"/>
      <c r="M142" s="4"/>
      <c r="N142">
        <v>0.15737100000000001</v>
      </c>
      <c r="O142">
        <v>0.143234</v>
      </c>
      <c r="P142" s="4">
        <f t="shared" si="24"/>
        <v>0.91962063041267839</v>
      </c>
      <c r="Q142" s="4">
        <f t="shared" si="21"/>
        <v>0.90309767154467446</v>
      </c>
      <c r="R142">
        <v>0.14313000000000001</v>
      </c>
      <c r="S142" s="4">
        <f t="shared" si="25"/>
        <v>0.99927391541114541</v>
      </c>
      <c r="U142">
        <v>8</v>
      </c>
      <c r="V142">
        <v>128</v>
      </c>
      <c r="W142">
        <f>1024</f>
        <v>1024</v>
      </c>
      <c r="X142">
        <v>16</v>
      </c>
      <c r="Y142">
        <v>1</v>
      </c>
      <c r="Z142">
        <v>0.22309799999999999</v>
      </c>
      <c r="AA142">
        <v>0.1022</v>
      </c>
      <c r="AB142">
        <v>8.8501999999999997E-2</v>
      </c>
      <c r="AC142" s="4">
        <f t="shared" si="26"/>
        <v>0.86596868884540112</v>
      </c>
      <c r="AE142" s="5">
        <f t="shared" si="27"/>
        <v>0.45809464898833696</v>
      </c>
      <c r="AF142" s="5">
        <f t="shared" si="28"/>
        <v>0.39669562255152446</v>
      </c>
      <c r="AI142">
        <v>9.9160999999999999E-2</v>
      </c>
      <c r="AJ142">
        <v>8.3885000000000001E-2</v>
      </c>
      <c r="AK142" s="4">
        <f t="shared" si="29"/>
        <v>0.97026418786692759</v>
      </c>
      <c r="AL142" s="4">
        <f t="shared" si="30"/>
        <v>0.94783168741949342</v>
      </c>
      <c r="AN142">
        <v>8.5074999999999998E-2</v>
      </c>
      <c r="AO142" s="4">
        <f t="shared" si="31"/>
        <v>1.0141860880967992</v>
      </c>
      <c r="AQ142" s="4"/>
    </row>
    <row r="143" spans="2:43" x14ac:dyDescent="0.25">
      <c r="B143">
        <v>16</v>
      </c>
      <c r="C143">
        <v>576</v>
      </c>
      <c r="D143">
        <v>1024</v>
      </c>
      <c r="E143">
        <v>16</v>
      </c>
      <c r="F143">
        <v>1</v>
      </c>
      <c r="H143">
        <v>0.187634</v>
      </c>
      <c r="I143">
        <v>0.17461699999999999</v>
      </c>
      <c r="J143" s="4">
        <f t="shared" si="23"/>
        <v>0.9306255795857894</v>
      </c>
      <c r="L143" s="4"/>
      <c r="M143" s="4"/>
      <c r="N143">
        <v>0.16190499999999999</v>
      </c>
      <c r="O143">
        <v>0.144402</v>
      </c>
      <c r="P143" s="4">
        <f t="shared" si="24"/>
        <v>0.86287666414402509</v>
      </c>
      <c r="Q143" s="4">
        <f t="shared" si="21"/>
        <v>0.82696415583820593</v>
      </c>
      <c r="R143">
        <v>0.14405799999999999</v>
      </c>
      <c r="S143" s="4">
        <f t="shared" si="25"/>
        <v>0.99761776152684856</v>
      </c>
      <c r="U143">
        <v>16</v>
      </c>
      <c r="V143">
        <v>128</v>
      </c>
      <c r="W143">
        <f>1024</f>
        <v>1024</v>
      </c>
      <c r="X143">
        <v>16</v>
      </c>
      <c r="Y143">
        <v>1</v>
      </c>
      <c r="Z143">
        <v>0.38619700000000001</v>
      </c>
      <c r="AA143">
        <v>0.10578799999999999</v>
      </c>
      <c r="AB143">
        <v>9.2507000000000006E-2</v>
      </c>
      <c r="AC143" s="4">
        <f t="shared" si="26"/>
        <v>0.87445646008999145</v>
      </c>
      <c r="AE143" s="5">
        <f t="shared" si="27"/>
        <v>0.27392237640375244</v>
      </c>
      <c r="AF143" s="5">
        <f t="shared" si="28"/>
        <v>0.23953319160946357</v>
      </c>
      <c r="AI143">
        <v>9.9185999999999996E-2</v>
      </c>
      <c r="AJ143">
        <v>8.4556999999999993E-2</v>
      </c>
      <c r="AK143" s="4">
        <f t="shared" si="29"/>
        <v>0.9375921654630015</v>
      </c>
      <c r="AL143" s="4">
        <f t="shared" si="30"/>
        <v>0.91406055757942628</v>
      </c>
      <c r="AN143">
        <v>8.5612999999999995E-2</v>
      </c>
      <c r="AO143" s="4">
        <f t="shared" si="31"/>
        <v>1.0124886171458307</v>
      </c>
      <c r="AQ143" s="4"/>
    </row>
    <row r="144" spans="2:43" x14ac:dyDescent="0.25">
      <c r="B144">
        <v>32</v>
      </c>
      <c r="C144">
        <v>576</v>
      </c>
      <c r="D144">
        <v>1024</v>
      </c>
      <c r="E144">
        <v>16</v>
      </c>
      <c r="F144">
        <v>1</v>
      </c>
      <c r="H144">
        <v>0.26368999999999998</v>
      </c>
      <c r="I144">
        <v>0.28853299999999998</v>
      </c>
      <c r="J144" s="4">
        <f t="shared" si="23"/>
        <v>1.0942129015131405</v>
      </c>
      <c r="L144" s="4"/>
      <c r="M144" s="4"/>
      <c r="N144">
        <v>0.21484200000000001</v>
      </c>
      <c r="O144">
        <v>0.20594499999999999</v>
      </c>
      <c r="P144" s="4">
        <f t="shared" si="24"/>
        <v>0.81475217111001563</v>
      </c>
      <c r="Q144" s="4">
        <f t="shared" si="21"/>
        <v>0.71376584307514224</v>
      </c>
      <c r="R144">
        <v>0.21842600000000001</v>
      </c>
      <c r="S144" s="4">
        <f t="shared" si="25"/>
        <v>1.0606035592026999</v>
      </c>
      <c r="U144">
        <v>32</v>
      </c>
      <c r="V144">
        <v>128</v>
      </c>
      <c r="W144">
        <f>1024</f>
        <v>1024</v>
      </c>
      <c r="X144">
        <v>16</v>
      </c>
      <c r="Y144">
        <v>1</v>
      </c>
      <c r="Z144">
        <v>0.76147600000000004</v>
      </c>
      <c r="AA144">
        <v>0.13789499999999999</v>
      </c>
      <c r="AB144">
        <v>0.128557</v>
      </c>
      <c r="AC144" s="4">
        <f t="shared" si="26"/>
        <v>0.93228180862250276</v>
      </c>
      <c r="AE144" s="5">
        <f t="shared" si="27"/>
        <v>0.18108909538842982</v>
      </c>
      <c r="AF144" s="5">
        <f t="shared" si="28"/>
        <v>0.16882606937053826</v>
      </c>
      <c r="AI144">
        <v>0.13150999999999999</v>
      </c>
      <c r="AJ144">
        <v>0.112621</v>
      </c>
      <c r="AK144" s="4">
        <f t="shared" si="29"/>
        <v>0.95369665325066177</v>
      </c>
      <c r="AL144" s="4">
        <f t="shared" si="30"/>
        <v>0.87603942220182485</v>
      </c>
      <c r="AN144">
        <v>0.115635</v>
      </c>
      <c r="AO144" s="4">
        <f t="shared" si="31"/>
        <v>1.0267623267419044</v>
      </c>
      <c r="AQ144" s="4"/>
    </row>
    <row r="145" spans="2:43" x14ac:dyDescent="0.25">
      <c r="B145">
        <v>64</v>
      </c>
      <c r="C145">
        <v>576</v>
      </c>
      <c r="D145">
        <v>1024</v>
      </c>
      <c r="E145">
        <v>16</v>
      </c>
      <c r="F145">
        <v>1</v>
      </c>
      <c r="H145">
        <v>0.46196500000000001</v>
      </c>
      <c r="I145">
        <v>0.48626000000000003</v>
      </c>
      <c r="J145" s="4">
        <f t="shared" si="23"/>
        <v>1.0525905642202331</v>
      </c>
      <c r="L145" s="4"/>
      <c r="M145" s="4"/>
      <c r="N145">
        <v>0.35437999999999997</v>
      </c>
      <c r="O145">
        <v>0.362481</v>
      </c>
      <c r="P145" s="4">
        <f t="shared" si="24"/>
        <v>0.76711439178292717</v>
      </c>
      <c r="Q145" s="4">
        <f t="shared" si="21"/>
        <v>0.74544688026981443</v>
      </c>
      <c r="R145">
        <v>0.38194600000000001</v>
      </c>
      <c r="S145" s="4">
        <f t="shared" si="25"/>
        <v>1.0536993663116136</v>
      </c>
      <c r="U145">
        <v>64</v>
      </c>
      <c r="V145">
        <v>128</v>
      </c>
      <c r="W145">
        <f>1024</f>
        <v>1024</v>
      </c>
      <c r="X145">
        <v>16</v>
      </c>
      <c r="Y145">
        <v>1</v>
      </c>
      <c r="Z145">
        <v>1.403564</v>
      </c>
      <c r="AA145">
        <v>0.20415800000000001</v>
      </c>
      <c r="AB145">
        <v>0.19780700000000001</v>
      </c>
      <c r="AC145" s="4">
        <f t="shared" si="26"/>
        <v>0.96889174071062611</v>
      </c>
      <c r="AE145" s="5">
        <f t="shared" si="27"/>
        <v>0.14545685127290242</v>
      </c>
      <c r="AF145" s="5">
        <f t="shared" si="28"/>
        <v>0.14093194182808907</v>
      </c>
      <c r="AI145">
        <v>0.19549800000000001</v>
      </c>
      <c r="AJ145">
        <v>0.16903000000000001</v>
      </c>
      <c r="AK145" s="4">
        <f t="shared" si="29"/>
        <v>0.95758187286317464</v>
      </c>
      <c r="AL145" s="4">
        <f t="shared" si="30"/>
        <v>0.8545198097135086</v>
      </c>
      <c r="AN145">
        <v>0.17330599999999999</v>
      </c>
      <c r="AO145" s="4">
        <f t="shared" si="31"/>
        <v>1.0252972845057089</v>
      </c>
      <c r="AQ145" s="4"/>
    </row>
    <row r="146" spans="2:43" x14ac:dyDescent="0.25">
      <c r="B146">
        <v>128</v>
      </c>
      <c r="C146">
        <v>576</v>
      </c>
      <c r="D146">
        <v>1024</v>
      </c>
      <c r="E146">
        <v>16</v>
      </c>
      <c r="F146">
        <v>1</v>
      </c>
      <c r="H146">
        <v>0.88243400000000005</v>
      </c>
      <c r="I146">
        <v>0.89043700000000003</v>
      </c>
      <c r="J146" s="4">
        <f t="shared" si="23"/>
        <v>1.0090692335064151</v>
      </c>
      <c r="L146" s="4"/>
      <c r="M146" s="4"/>
      <c r="N146">
        <v>0.70141799999999999</v>
      </c>
      <c r="O146">
        <v>0.71455400000000002</v>
      </c>
      <c r="P146" s="4">
        <f t="shared" si="24"/>
        <v>0.79486737818352415</v>
      </c>
      <c r="Q146" s="4">
        <f t="shared" si="21"/>
        <v>0.80247563836633018</v>
      </c>
      <c r="R146">
        <v>0.69458500000000001</v>
      </c>
      <c r="S146" s="4">
        <f t="shared" si="25"/>
        <v>0.97205389655645336</v>
      </c>
      <c r="U146">
        <v>128</v>
      </c>
      <c r="V146">
        <v>128</v>
      </c>
      <c r="W146">
        <f>1024</f>
        <v>1024</v>
      </c>
      <c r="X146">
        <v>16</v>
      </c>
      <c r="Y146">
        <v>1</v>
      </c>
      <c r="Z146">
        <v>2.7782710000000002</v>
      </c>
      <c r="AA146">
        <v>0.34223300000000001</v>
      </c>
      <c r="AB146">
        <v>0.32604</v>
      </c>
      <c r="AC146" s="4">
        <f t="shared" si="26"/>
        <v>0.95268428234565339</v>
      </c>
      <c r="AE146" s="5">
        <f t="shared" si="27"/>
        <v>0.12318200780269455</v>
      </c>
      <c r="AF146" s="5">
        <f t="shared" si="28"/>
        <v>0.11735356270140673</v>
      </c>
      <c r="AI146">
        <v>0.32463399999999998</v>
      </c>
      <c r="AJ146">
        <v>0.26801900000000001</v>
      </c>
      <c r="AK146" s="4">
        <f t="shared" si="29"/>
        <v>0.94857597017236783</v>
      </c>
      <c r="AL146" s="4">
        <f t="shared" si="30"/>
        <v>0.8220433075696234</v>
      </c>
      <c r="AN146">
        <v>0.28841</v>
      </c>
      <c r="AO146" s="4">
        <f t="shared" si="31"/>
        <v>1.0760804271338973</v>
      </c>
      <c r="AQ146" s="4"/>
    </row>
    <row r="147" spans="2:43" x14ac:dyDescent="0.25">
      <c r="B147">
        <v>256</v>
      </c>
      <c r="C147">
        <v>576</v>
      </c>
      <c r="D147">
        <v>1024</v>
      </c>
      <c r="E147">
        <v>16</v>
      </c>
      <c r="F147">
        <v>1</v>
      </c>
      <c r="H147">
        <v>1.761334</v>
      </c>
      <c r="I147">
        <v>1.731927</v>
      </c>
      <c r="J147" s="4">
        <f t="shared" si="23"/>
        <v>0.98330413198178201</v>
      </c>
      <c r="L147" s="4"/>
      <c r="M147" s="4"/>
      <c r="N147">
        <v>1.365159</v>
      </c>
      <c r="O147">
        <v>1.40741</v>
      </c>
      <c r="P147" s="4">
        <f t="shared" si="24"/>
        <v>0.77507105409876831</v>
      </c>
      <c r="Q147" s="4">
        <f t="shared" ref="Q147:Q172" si="32">O147/I147</f>
        <v>0.8126266291824078</v>
      </c>
      <c r="R147">
        <v>1.3155969999999999</v>
      </c>
      <c r="S147" s="4">
        <f t="shared" si="25"/>
        <v>0.93476456753895443</v>
      </c>
      <c r="U147">
        <v>256</v>
      </c>
      <c r="V147">
        <v>128</v>
      </c>
      <c r="W147">
        <f>1024</f>
        <v>1024</v>
      </c>
      <c r="X147">
        <v>16</v>
      </c>
      <c r="Y147">
        <v>1</v>
      </c>
      <c r="Z147">
        <v>5.7348299999999997</v>
      </c>
      <c r="AA147">
        <v>0.61105399999999999</v>
      </c>
      <c r="AB147">
        <v>0.57605499999999998</v>
      </c>
      <c r="AC147" s="4">
        <f t="shared" si="26"/>
        <v>0.94272355634690219</v>
      </c>
      <c r="AE147" s="5">
        <f t="shared" si="27"/>
        <v>0.10655137118275521</v>
      </c>
      <c r="AF147" s="5">
        <f t="shared" si="28"/>
        <v>0.10044848757504582</v>
      </c>
      <c r="AI147">
        <v>0.58205899999999999</v>
      </c>
      <c r="AJ147">
        <v>0.45726099999999997</v>
      </c>
      <c r="AK147" s="4">
        <f t="shared" si="29"/>
        <v>0.95254920187086578</v>
      </c>
      <c r="AL147" s="4">
        <f t="shared" si="30"/>
        <v>0.79378010780220631</v>
      </c>
      <c r="AN147">
        <v>0.51598699999999997</v>
      </c>
      <c r="AO147" s="4">
        <f t="shared" si="31"/>
        <v>1.1284299338889605</v>
      </c>
      <c r="AQ147" s="4"/>
    </row>
    <row r="148" spans="2:43" x14ac:dyDescent="0.25">
      <c r="B148">
        <v>512</v>
      </c>
      <c r="C148">
        <v>576</v>
      </c>
      <c r="D148">
        <v>1024</v>
      </c>
      <c r="E148">
        <v>16</v>
      </c>
      <c r="F148">
        <v>1</v>
      </c>
      <c r="H148">
        <v>3.5967180000000001</v>
      </c>
      <c r="I148">
        <v>3.4372889999999998</v>
      </c>
      <c r="J148" s="4">
        <f t="shared" si="23"/>
        <v>0.95567375590746895</v>
      </c>
      <c r="L148" s="4"/>
      <c r="M148" s="4"/>
      <c r="N148">
        <v>2.7461859999999998</v>
      </c>
      <c r="O148">
        <v>2.7906170000000001</v>
      </c>
      <c r="P148" s="4">
        <f t="shared" si="24"/>
        <v>0.763525525214932</v>
      </c>
      <c r="Q148" s="4">
        <f t="shared" si="32"/>
        <v>0.81186568833752426</v>
      </c>
      <c r="R148">
        <v>2.6456439999999999</v>
      </c>
      <c r="S148" s="4">
        <f t="shared" si="25"/>
        <v>0.94804983987412095</v>
      </c>
      <c r="U148">
        <v>512</v>
      </c>
      <c r="V148">
        <v>128</v>
      </c>
      <c r="W148">
        <f>1024</f>
        <v>1024</v>
      </c>
      <c r="X148">
        <v>16</v>
      </c>
      <c r="Y148">
        <v>1</v>
      </c>
      <c r="Z148">
        <v>11.164040999999999</v>
      </c>
      <c r="AA148">
        <v>1.130811</v>
      </c>
      <c r="AB148">
        <v>1.0644359999999999</v>
      </c>
      <c r="AC148" s="4">
        <f t="shared" si="26"/>
        <v>0.94130318859650275</v>
      </c>
      <c r="AE148" s="5">
        <f t="shared" si="27"/>
        <v>0.10129047358389315</v>
      </c>
      <c r="AF148" s="5">
        <f t="shared" si="28"/>
        <v>9.5345045758968461E-2</v>
      </c>
      <c r="AI148">
        <v>1.0990599999999999</v>
      </c>
      <c r="AJ148">
        <v>0.82972100000000004</v>
      </c>
      <c r="AK148" s="4">
        <f t="shared" si="29"/>
        <v>0.97192192152357904</v>
      </c>
      <c r="AL148" s="4">
        <f t="shared" si="30"/>
        <v>0.77949355339353432</v>
      </c>
      <c r="AN148">
        <v>0.96688700000000005</v>
      </c>
      <c r="AO148" s="4">
        <f t="shared" si="31"/>
        <v>1.1653158109774249</v>
      </c>
      <c r="AQ148" s="4"/>
    </row>
    <row r="149" spans="2:43" x14ac:dyDescent="0.25">
      <c r="B149">
        <v>1</v>
      </c>
      <c r="C149">
        <v>576</v>
      </c>
      <c r="D149">
        <v>2048</v>
      </c>
      <c r="E149">
        <v>16</v>
      </c>
      <c r="F149">
        <v>1</v>
      </c>
      <c r="H149">
        <v>0.17532300000000001</v>
      </c>
      <c r="I149">
        <v>0.147732</v>
      </c>
      <c r="J149" s="4">
        <f t="shared" si="23"/>
        <v>0.84262760733047004</v>
      </c>
      <c r="L149" s="4"/>
      <c r="M149" s="4"/>
      <c r="N149">
        <v>0.17496200000000001</v>
      </c>
      <c r="O149">
        <v>0.14482600000000001</v>
      </c>
      <c r="P149" s="4">
        <f t="shared" si="24"/>
        <v>0.99794094328753213</v>
      </c>
      <c r="Q149" s="4">
        <f t="shared" si="32"/>
        <v>0.98032924484878026</v>
      </c>
      <c r="R149">
        <v>0.159885</v>
      </c>
      <c r="S149" s="4">
        <f t="shared" si="25"/>
        <v>1.1039799483518151</v>
      </c>
      <c r="U149" s="8">
        <v>1</v>
      </c>
      <c r="V149" s="8">
        <v>128</v>
      </c>
      <c r="W149" s="8">
        <f>2048</f>
        <v>2048</v>
      </c>
      <c r="X149" s="8">
        <v>16</v>
      </c>
      <c r="Y149" s="8">
        <v>1</v>
      </c>
      <c r="Z149" s="9">
        <v>9.7474000000000005E-2</v>
      </c>
      <c r="AA149" s="9">
        <v>0.127081</v>
      </c>
      <c r="AB149" s="9">
        <v>9.7673999999999997E-2</v>
      </c>
      <c r="AC149" s="4">
        <f t="shared" si="26"/>
        <v>0.76859640701599763</v>
      </c>
      <c r="AE149" s="5">
        <f t="shared" si="27"/>
        <v>1.303742536471264</v>
      </c>
      <c r="AF149" s="5">
        <f t="shared" si="28"/>
        <v>1.0020518292057368</v>
      </c>
      <c r="AI149">
        <v>0.12709000000000001</v>
      </c>
      <c r="AJ149">
        <v>9.5808000000000004E-2</v>
      </c>
      <c r="AK149" s="4">
        <f t="shared" si="29"/>
        <v>1.0000708209724507</v>
      </c>
      <c r="AL149" s="4">
        <f t="shared" si="30"/>
        <v>0.98089563240985322</v>
      </c>
      <c r="AN149">
        <v>0.102099</v>
      </c>
      <c r="AO149" s="4">
        <f t="shared" si="31"/>
        <v>1.0656625751503006</v>
      </c>
      <c r="AQ149" s="4"/>
    </row>
    <row r="150" spans="2:43" x14ac:dyDescent="0.25">
      <c r="B150">
        <v>2</v>
      </c>
      <c r="C150">
        <v>576</v>
      </c>
      <c r="D150">
        <v>2048</v>
      </c>
      <c r="E150">
        <v>16</v>
      </c>
      <c r="F150">
        <v>1</v>
      </c>
      <c r="H150">
        <v>0.21369299999999999</v>
      </c>
      <c r="I150">
        <v>0.18675900000000001</v>
      </c>
      <c r="J150" s="4">
        <f t="shared" si="23"/>
        <v>0.87395937162190629</v>
      </c>
      <c r="L150" s="4"/>
      <c r="M150" s="4"/>
      <c r="N150">
        <v>0.18844900000000001</v>
      </c>
      <c r="O150">
        <v>0.15807499999999999</v>
      </c>
      <c r="P150" s="4">
        <f t="shared" si="24"/>
        <v>0.88186791331489567</v>
      </c>
      <c r="Q150" s="4">
        <f t="shared" si="32"/>
        <v>0.8464116856483489</v>
      </c>
      <c r="R150">
        <v>0.16110099999999999</v>
      </c>
      <c r="S150" s="4">
        <f t="shared" si="25"/>
        <v>1.0191428119563499</v>
      </c>
      <c r="U150" s="8">
        <v>2</v>
      </c>
      <c r="V150" s="8">
        <v>128</v>
      </c>
      <c r="W150" s="8">
        <f>2048</f>
        <v>2048</v>
      </c>
      <c r="X150" s="8">
        <v>16</v>
      </c>
      <c r="Y150" s="8">
        <v>1</v>
      </c>
      <c r="Z150">
        <v>0.1346</v>
      </c>
      <c r="AA150">
        <v>0.13558700000000001</v>
      </c>
      <c r="AB150">
        <v>0.10582999999999999</v>
      </c>
      <c r="AC150" s="4">
        <f t="shared" si="26"/>
        <v>0.78053205690811056</v>
      </c>
      <c r="AE150" s="5">
        <f t="shared" si="27"/>
        <v>1.007332838038633</v>
      </c>
      <c r="AF150" s="5">
        <f t="shared" si="28"/>
        <v>0.78625557206537888</v>
      </c>
      <c r="AI150">
        <v>0.12892500000000001</v>
      </c>
      <c r="AJ150">
        <v>9.7919999999999993E-2</v>
      </c>
      <c r="AK150" s="4">
        <f t="shared" si="29"/>
        <v>0.95086549595462688</v>
      </c>
      <c r="AL150" s="4">
        <f t="shared" si="30"/>
        <v>0.92525748842483224</v>
      </c>
      <c r="AN150">
        <v>0.10269399999999999</v>
      </c>
      <c r="AO150" s="4">
        <f t="shared" si="31"/>
        <v>1.0487540849673203</v>
      </c>
      <c r="AQ150" s="4"/>
    </row>
    <row r="151" spans="2:43" x14ac:dyDescent="0.25">
      <c r="B151">
        <v>4</v>
      </c>
      <c r="C151">
        <v>576</v>
      </c>
      <c r="D151">
        <v>2048</v>
      </c>
      <c r="E151">
        <v>16</v>
      </c>
      <c r="F151">
        <v>1</v>
      </c>
      <c r="H151">
        <v>0.22147600000000001</v>
      </c>
      <c r="I151">
        <v>0.19451099999999999</v>
      </c>
      <c r="J151" s="4">
        <f t="shared" si="23"/>
        <v>0.87824865899691151</v>
      </c>
      <c r="L151" s="4"/>
      <c r="M151" s="4"/>
      <c r="N151">
        <v>0.23710000000000001</v>
      </c>
      <c r="O151">
        <v>0.21323400000000001</v>
      </c>
      <c r="P151" s="4">
        <f t="shared" si="24"/>
        <v>1.070544889739746</v>
      </c>
      <c r="Q151" s="4">
        <f t="shared" si="32"/>
        <v>1.0962567669694774</v>
      </c>
      <c r="R151">
        <v>0.18440999999999999</v>
      </c>
      <c r="S151" s="4">
        <f t="shared" si="25"/>
        <v>0.86482455893525412</v>
      </c>
      <c r="U151">
        <v>4</v>
      </c>
      <c r="V151">
        <v>128</v>
      </c>
      <c r="W151">
        <f>2048</f>
        <v>2048</v>
      </c>
      <c r="X151">
        <v>16</v>
      </c>
      <c r="Y151">
        <v>1</v>
      </c>
      <c r="Z151">
        <v>0.220856</v>
      </c>
      <c r="AA151">
        <v>0.13680999999999999</v>
      </c>
      <c r="AB151">
        <v>0.106909</v>
      </c>
      <c r="AC151" s="4">
        <f t="shared" si="26"/>
        <v>0.78144141510123544</v>
      </c>
      <c r="AE151" s="5">
        <f t="shared" si="27"/>
        <v>0.61945339950012668</v>
      </c>
      <c r="AF151" s="5">
        <f t="shared" si="28"/>
        <v>0.48406654109464992</v>
      </c>
      <c r="AI151">
        <v>0.14263100000000001</v>
      </c>
      <c r="AJ151">
        <v>0.112237</v>
      </c>
      <c r="AK151" s="4">
        <f t="shared" si="29"/>
        <v>1.0425480593523866</v>
      </c>
      <c r="AL151" s="4">
        <f t="shared" si="30"/>
        <v>1.0498367770720893</v>
      </c>
      <c r="AN151">
        <v>0.104589</v>
      </c>
      <c r="AO151" s="4">
        <f t="shared" si="31"/>
        <v>0.93185847804200039</v>
      </c>
      <c r="AQ151" s="4"/>
    </row>
    <row r="152" spans="2:43" x14ac:dyDescent="0.25">
      <c r="B152">
        <v>8</v>
      </c>
      <c r="C152">
        <v>576</v>
      </c>
      <c r="D152">
        <v>2048</v>
      </c>
      <c r="E152">
        <v>16</v>
      </c>
      <c r="F152">
        <v>1</v>
      </c>
      <c r="H152">
        <v>0.27812799999999999</v>
      </c>
      <c r="I152">
        <v>0.24963099999999999</v>
      </c>
      <c r="J152" s="4">
        <f t="shared" si="23"/>
        <v>0.89753998159120985</v>
      </c>
      <c r="L152" s="4"/>
      <c r="M152" s="4"/>
      <c r="N152">
        <v>0.24653800000000001</v>
      </c>
      <c r="O152">
        <v>0.21349399999999999</v>
      </c>
      <c r="P152" s="4">
        <f t="shared" si="24"/>
        <v>0.88641920266927465</v>
      </c>
      <c r="Q152" s="4">
        <f t="shared" si="32"/>
        <v>0.85523833177770392</v>
      </c>
      <c r="R152">
        <v>0.18809000000000001</v>
      </c>
      <c r="S152" s="4">
        <f t="shared" si="25"/>
        <v>0.88100836557467666</v>
      </c>
      <c r="U152">
        <v>8</v>
      </c>
      <c r="V152">
        <v>128</v>
      </c>
      <c r="W152">
        <f>2048</f>
        <v>2048</v>
      </c>
      <c r="X152">
        <v>16</v>
      </c>
      <c r="Y152">
        <v>1</v>
      </c>
      <c r="Z152">
        <v>0.378884</v>
      </c>
      <c r="AA152">
        <v>0.14824799999999999</v>
      </c>
      <c r="AB152">
        <v>0.11856899999999999</v>
      </c>
      <c r="AC152" s="4">
        <f t="shared" si="26"/>
        <v>0.79980168366520965</v>
      </c>
      <c r="AE152" s="5">
        <f t="shared" si="27"/>
        <v>0.39127542994689668</v>
      </c>
      <c r="AF152" s="5">
        <f t="shared" si="28"/>
        <v>0.31294274764835672</v>
      </c>
      <c r="AI152">
        <v>0.14549300000000001</v>
      </c>
      <c r="AJ152">
        <v>0.113414</v>
      </c>
      <c r="AK152" s="4">
        <f t="shared" si="29"/>
        <v>0.98141627543036003</v>
      </c>
      <c r="AL152" s="4">
        <f t="shared" si="30"/>
        <v>0.95652320589698836</v>
      </c>
      <c r="AN152">
        <v>0.104922</v>
      </c>
      <c r="AO152" s="4">
        <f t="shared" si="31"/>
        <v>0.92512388241310595</v>
      </c>
      <c r="AQ152" s="4"/>
    </row>
    <row r="153" spans="2:43" x14ac:dyDescent="0.25">
      <c r="B153">
        <v>16</v>
      </c>
      <c r="C153">
        <v>576</v>
      </c>
      <c r="D153">
        <v>2048</v>
      </c>
      <c r="E153">
        <v>16</v>
      </c>
      <c r="F153">
        <v>1</v>
      </c>
      <c r="H153">
        <v>0.31218899999999999</v>
      </c>
      <c r="I153">
        <v>0.28425</v>
      </c>
      <c r="J153" s="4">
        <f t="shared" si="23"/>
        <v>0.91050613570625494</v>
      </c>
      <c r="L153" s="4"/>
      <c r="M153" s="4"/>
      <c r="N153">
        <v>0.25245200000000001</v>
      </c>
      <c r="O153">
        <v>0.214918</v>
      </c>
      <c r="P153" s="4">
        <f t="shared" si="24"/>
        <v>0.80865116964402983</v>
      </c>
      <c r="Q153" s="4">
        <f t="shared" si="32"/>
        <v>0.75608795074758139</v>
      </c>
      <c r="R153">
        <v>0.18828800000000001</v>
      </c>
      <c r="S153" s="4">
        <f t="shared" si="25"/>
        <v>0.87609227705450454</v>
      </c>
      <c r="U153">
        <v>16</v>
      </c>
      <c r="V153">
        <v>128</v>
      </c>
      <c r="W153">
        <f>2048</f>
        <v>2048</v>
      </c>
      <c r="X153">
        <v>16</v>
      </c>
      <c r="Y153">
        <v>1</v>
      </c>
      <c r="Z153">
        <v>0.71115300000000004</v>
      </c>
      <c r="AA153">
        <v>0.16030900000000001</v>
      </c>
      <c r="AB153">
        <v>0.13033600000000001</v>
      </c>
      <c r="AC153" s="4">
        <f t="shared" si="26"/>
        <v>0.81302983612897595</v>
      </c>
      <c r="AE153" s="5">
        <f t="shared" si="27"/>
        <v>0.2254212525293432</v>
      </c>
      <c r="AF153" s="5">
        <f t="shared" si="28"/>
        <v>0.18327420400392039</v>
      </c>
      <c r="AI153">
        <v>0.14494699999999999</v>
      </c>
      <c r="AJ153">
        <v>0.11456</v>
      </c>
      <c r="AK153" s="4">
        <f t="shared" si="29"/>
        <v>0.90417256673050161</v>
      </c>
      <c r="AL153" s="4">
        <f t="shared" si="30"/>
        <v>0.87895899828136503</v>
      </c>
      <c r="AN153">
        <v>0.10499799999999999</v>
      </c>
      <c r="AO153" s="4">
        <f t="shared" si="31"/>
        <v>0.91653282122905022</v>
      </c>
      <c r="AQ153" s="4"/>
    </row>
    <row r="154" spans="2:43" x14ac:dyDescent="0.25">
      <c r="B154">
        <v>32</v>
      </c>
      <c r="C154">
        <v>576</v>
      </c>
      <c r="D154">
        <v>2048</v>
      </c>
      <c r="E154">
        <v>16</v>
      </c>
      <c r="F154">
        <v>1</v>
      </c>
      <c r="H154">
        <v>0.46424500000000002</v>
      </c>
      <c r="I154">
        <v>0.49872300000000003</v>
      </c>
      <c r="J154" s="4">
        <f t="shared" si="23"/>
        <v>1.0742668203211667</v>
      </c>
      <c r="L154" s="4"/>
      <c r="M154" s="4"/>
      <c r="N154">
        <v>0.362678</v>
      </c>
      <c r="O154">
        <v>0.339397</v>
      </c>
      <c r="P154" s="4">
        <f t="shared" si="24"/>
        <v>0.78122112246766251</v>
      </c>
      <c r="Q154" s="4">
        <f t="shared" si="32"/>
        <v>0.68053207892958612</v>
      </c>
      <c r="R154">
        <v>0.30908799999999997</v>
      </c>
      <c r="S154" s="4">
        <f t="shared" si="25"/>
        <v>0.91069750174574304</v>
      </c>
      <c r="U154">
        <v>32</v>
      </c>
      <c r="V154">
        <v>128</v>
      </c>
      <c r="W154">
        <f>2048</f>
        <v>2048</v>
      </c>
      <c r="X154">
        <v>16</v>
      </c>
      <c r="Y154">
        <v>1</v>
      </c>
      <c r="Z154">
        <v>1.3422559999999999</v>
      </c>
      <c r="AA154">
        <v>0.223276</v>
      </c>
      <c r="AB154">
        <v>0.20066200000000001</v>
      </c>
      <c r="AC154" s="4">
        <f t="shared" si="26"/>
        <v>0.89871728264569417</v>
      </c>
      <c r="AE154" s="5">
        <f t="shared" si="27"/>
        <v>0.16634382710898668</v>
      </c>
      <c r="AF154" s="5">
        <f t="shared" si="28"/>
        <v>0.14949607228427367</v>
      </c>
      <c r="AI154">
        <v>0.20785300000000001</v>
      </c>
      <c r="AJ154">
        <v>0.16891500000000001</v>
      </c>
      <c r="AK154" s="4">
        <f t="shared" si="29"/>
        <v>0.93092405811641199</v>
      </c>
      <c r="AL154" s="4">
        <f t="shared" si="30"/>
        <v>0.84178867947095115</v>
      </c>
      <c r="AN154">
        <v>0.15457899999999999</v>
      </c>
      <c r="AO154" s="4">
        <f t="shared" si="31"/>
        <v>0.9151289109907349</v>
      </c>
      <c r="AQ154" s="4"/>
    </row>
    <row r="155" spans="2:43" x14ac:dyDescent="0.25">
      <c r="B155">
        <v>64</v>
      </c>
      <c r="C155">
        <v>576</v>
      </c>
      <c r="D155">
        <v>2048</v>
      </c>
      <c r="E155">
        <v>16</v>
      </c>
      <c r="F155">
        <v>1</v>
      </c>
      <c r="H155">
        <v>0.91181199999999996</v>
      </c>
      <c r="I155">
        <v>0.90407899999999997</v>
      </c>
      <c r="J155" s="4">
        <f t="shared" si="23"/>
        <v>0.99151908507455488</v>
      </c>
      <c r="L155" s="4"/>
      <c r="M155" s="4"/>
      <c r="N155">
        <v>0.71606700000000001</v>
      </c>
      <c r="O155">
        <v>0.729966</v>
      </c>
      <c r="P155" s="4">
        <f t="shared" si="24"/>
        <v>0.78532307098393095</v>
      </c>
      <c r="Q155" s="4">
        <f t="shared" si="32"/>
        <v>0.80741395386907566</v>
      </c>
      <c r="R155">
        <v>0.55265299999999995</v>
      </c>
      <c r="S155" s="4">
        <f t="shared" si="25"/>
        <v>0.75709416602965063</v>
      </c>
      <c r="U155">
        <v>64</v>
      </c>
      <c r="V155">
        <v>128</v>
      </c>
      <c r="W155">
        <f>2048</f>
        <v>2048</v>
      </c>
      <c r="X155">
        <v>16</v>
      </c>
      <c r="Y155">
        <v>1</v>
      </c>
      <c r="Z155">
        <v>2.6547329999999998</v>
      </c>
      <c r="AA155">
        <v>0.345113</v>
      </c>
      <c r="AB155">
        <v>0.33144899999999999</v>
      </c>
      <c r="AC155" s="4">
        <f t="shared" si="26"/>
        <v>0.96040717098457606</v>
      </c>
      <c r="AE155" s="5">
        <f t="shared" si="27"/>
        <v>0.12999913738971114</v>
      </c>
      <c r="AF155" s="5">
        <f t="shared" si="28"/>
        <v>0.12485210377088771</v>
      </c>
      <c r="AI155">
        <v>0.32969900000000002</v>
      </c>
      <c r="AJ155">
        <v>0.272698</v>
      </c>
      <c r="AK155" s="4">
        <f t="shared" si="29"/>
        <v>0.95533636808813349</v>
      </c>
      <c r="AL155" s="4">
        <f t="shared" si="30"/>
        <v>0.82274497735699914</v>
      </c>
      <c r="AN155">
        <v>0.25276799999999999</v>
      </c>
      <c r="AO155" s="4">
        <f t="shared" si="31"/>
        <v>0.9269154889291451</v>
      </c>
      <c r="AQ155" s="4"/>
    </row>
    <row r="156" spans="2:43" x14ac:dyDescent="0.25">
      <c r="B156">
        <v>128</v>
      </c>
      <c r="C156">
        <v>576</v>
      </c>
      <c r="D156">
        <v>2048</v>
      </c>
      <c r="E156">
        <v>16</v>
      </c>
      <c r="F156">
        <v>1</v>
      </c>
      <c r="H156">
        <v>1.818738</v>
      </c>
      <c r="I156">
        <v>1.685279</v>
      </c>
      <c r="J156" s="4">
        <f t="shared" si="23"/>
        <v>0.92661999694293518</v>
      </c>
      <c r="L156" s="4"/>
      <c r="M156" s="4"/>
      <c r="N156">
        <v>1.248942</v>
      </c>
      <c r="O156">
        <v>1.31996</v>
      </c>
      <c r="P156" s="4">
        <f t="shared" si="24"/>
        <v>0.68670803601178398</v>
      </c>
      <c r="Q156" s="4">
        <f t="shared" si="32"/>
        <v>0.78322936439604363</v>
      </c>
      <c r="R156">
        <v>0.97143699999999999</v>
      </c>
      <c r="S156" s="4">
        <f t="shared" si="25"/>
        <v>0.73595942301281858</v>
      </c>
      <c r="U156">
        <v>128</v>
      </c>
      <c r="V156">
        <v>128</v>
      </c>
      <c r="W156">
        <f>2048</f>
        <v>2048</v>
      </c>
      <c r="X156">
        <v>16</v>
      </c>
      <c r="Y156">
        <v>1</v>
      </c>
      <c r="Z156">
        <v>5.2713739999999998</v>
      </c>
      <c r="AA156">
        <v>0.60217799999999999</v>
      </c>
      <c r="AB156">
        <v>0.58024500000000001</v>
      </c>
      <c r="AC156" s="4">
        <f t="shared" si="26"/>
        <v>0.96357721471060054</v>
      </c>
      <c r="AE156" s="5">
        <f t="shared" si="27"/>
        <v>0.114235491543571</v>
      </c>
      <c r="AF156" s="5">
        <f t="shared" si="28"/>
        <v>0.1100747167626505</v>
      </c>
      <c r="AI156">
        <v>0.57857700000000001</v>
      </c>
      <c r="AJ156">
        <v>0.47476499999999999</v>
      </c>
      <c r="AK156" s="4">
        <f t="shared" si="29"/>
        <v>0.96080726961131102</v>
      </c>
      <c r="AL156" s="4">
        <f t="shared" si="30"/>
        <v>0.81821471964428816</v>
      </c>
      <c r="AN156">
        <v>0.44851200000000002</v>
      </c>
      <c r="AO156" s="4">
        <f t="shared" si="31"/>
        <v>0.94470316893621065</v>
      </c>
      <c r="AQ156" s="4"/>
    </row>
    <row r="157" spans="2:43" x14ac:dyDescent="0.25">
      <c r="B157">
        <v>256</v>
      </c>
      <c r="C157">
        <v>576</v>
      </c>
      <c r="D157">
        <v>2048</v>
      </c>
      <c r="E157">
        <v>16</v>
      </c>
      <c r="F157">
        <v>1</v>
      </c>
      <c r="H157">
        <v>3.708418</v>
      </c>
      <c r="I157">
        <v>3.268106</v>
      </c>
      <c r="J157" s="4">
        <f t="shared" si="23"/>
        <v>0.88126689062559826</v>
      </c>
      <c r="L157" s="4"/>
      <c r="M157" s="4"/>
      <c r="N157">
        <v>2.4228749999999999</v>
      </c>
      <c r="O157">
        <v>2.5828329999999999</v>
      </c>
      <c r="P157" s="4">
        <f t="shared" si="24"/>
        <v>0.65334463374948559</v>
      </c>
      <c r="Q157" s="4">
        <f t="shared" si="32"/>
        <v>0.79031494082505283</v>
      </c>
      <c r="R157">
        <v>1.9090819999999999</v>
      </c>
      <c r="S157" s="4">
        <f t="shared" si="25"/>
        <v>0.73914263910984568</v>
      </c>
      <c r="U157">
        <v>256</v>
      </c>
      <c r="V157">
        <v>128</v>
      </c>
      <c r="W157">
        <f>2048</f>
        <v>2048</v>
      </c>
      <c r="X157">
        <v>16</v>
      </c>
      <c r="Y157">
        <v>1</v>
      </c>
      <c r="Z157">
        <v>10.709396999999999</v>
      </c>
      <c r="AA157">
        <v>1.1091599999999999</v>
      </c>
      <c r="AB157">
        <v>1.0526960000000001</v>
      </c>
      <c r="AC157" s="4">
        <f t="shared" si="26"/>
        <v>0.94909300732085555</v>
      </c>
      <c r="AE157" s="5">
        <f t="shared" si="27"/>
        <v>0.10356885639779718</v>
      </c>
      <c r="AF157" s="5">
        <f t="shared" si="28"/>
        <v>9.8296477383367165E-2</v>
      </c>
      <c r="AI157">
        <v>1.072713</v>
      </c>
      <c r="AJ157">
        <v>0.82573399999999997</v>
      </c>
      <c r="AK157" s="4">
        <f t="shared" si="29"/>
        <v>0.96713999783620042</v>
      </c>
      <c r="AL157" s="4">
        <f t="shared" si="30"/>
        <v>0.78439929476316039</v>
      </c>
      <c r="AN157">
        <v>0.83807399999999999</v>
      </c>
      <c r="AO157" s="4">
        <f t="shared" si="31"/>
        <v>1.0149442798770549</v>
      </c>
      <c r="AQ157" s="4"/>
    </row>
    <row r="158" spans="2:43" x14ac:dyDescent="0.25">
      <c r="B158">
        <v>512</v>
      </c>
      <c r="C158">
        <v>576</v>
      </c>
      <c r="D158">
        <v>2048</v>
      </c>
      <c r="E158">
        <v>16</v>
      </c>
      <c r="F158">
        <v>1</v>
      </c>
      <c r="H158">
        <v>7.4540569999999997</v>
      </c>
      <c r="I158">
        <v>6.5004580000000001</v>
      </c>
      <c r="J158" s="4">
        <f t="shared" si="23"/>
        <v>0.87206980037850534</v>
      </c>
      <c r="L158" s="4"/>
      <c r="M158" s="4"/>
      <c r="N158">
        <v>4.8208880000000001</v>
      </c>
      <c r="O158">
        <v>5.1023209999999999</v>
      </c>
      <c r="P158" s="4">
        <f t="shared" si="24"/>
        <v>0.64674686549888205</v>
      </c>
      <c r="Q158" s="4">
        <f t="shared" si="32"/>
        <v>0.78491715506815052</v>
      </c>
      <c r="R158">
        <v>3.8423620000000001</v>
      </c>
      <c r="S158" s="4">
        <f t="shared" si="25"/>
        <v>0.75306159686934637</v>
      </c>
      <c r="U158">
        <v>512</v>
      </c>
      <c r="V158">
        <v>128</v>
      </c>
      <c r="W158">
        <f>2048</f>
        <v>2048</v>
      </c>
      <c r="X158">
        <v>16</v>
      </c>
      <c r="Y158">
        <v>1</v>
      </c>
      <c r="Z158">
        <v>21.205793</v>
      </c>
      <c r="AA158">
        <v>2.1119659999999998</v>
      </c>
      <c r="AB158">
        <v>1.983514</v>
      </c>
      <c r="AC158" s="4">
        <f t="shared" si="26"/>
        <v>0.93917894511559386</v>
      </c>
      <c r="AE158" s="5">
        <f t="shared" si="27"/>
        <v>9.9593823253862748E-2</v>
      </c>
      <c r="AF158" s="5">
        <f t="shared" si="28"/>
        <v>9.3536421863591707E-2</v>
      </c>
      <c r="AI158">
        <v>2.0650539999999999</v>
      </c>
      <c r="AJ158">
        <v>1.4852099999999999</v>
      </c>
      <c r="AK158" s="4">
        <f t="shared" si="29"/>
        <v>0.97778752120062551</v>
      </c>
      <c r="AL158" s="4">
        <f t="shared" si="30"/>
        <v>0.74877717021407453</v>
      </c>
      <c r="AN158">
        <v>1.6129340000000001</v>
      </c>
      <c r="AO158" s="4">
        <f t="shared" si="31"/>
        <v>1.0859972663798387</v>
      </c>
      <c r="AQ158" s="4"/>
    </row>
    <row r="159" spans="2:43" x14ac:dyDescent="0.25">
      <c r="B159">
        <v>1</v>
      </c>
      <c r="C159">
        <v>576</v>
      </c>
      <c r="D159">
        <v>4096</v>
      </c>
      <c r="E159">
        <v>16</v>
      </c>
      <c r="F159">
        <v>1</v>
      </c>
      <c r="H159">
        <v>0.28047499999999997</v>
      </c>
      <c r="I159">
        <v>0.22328899999999999</v>
      </c>
      <c r="J159" s="4">
        <f t="shared" si="23"/>
        <v>0.79611017024690256</v>
      </c>
      <c r="L159" s="4"/>
      <c r="M159" s="4"/>
      <c r="N159">
        <v>0.28138800000000003</v>
      </c>
      <c r="O159">
        <v>0.219052</v>
      </c>
      <c r="P159" s="4">
        <f t="shared" si="24"/>
        <v>1.0032551920848563</v>
      </c>
      <c r="Q159" s="4">
        <f t="shared" si="32"/>
        <v>0.98102459144875032</v>
      </c>
      <c r="R159">
        <v>0.22675799999999999</v>
      </c>
      <c r="S159" s="4">
        <f t="shared" si="25"/>
        <v>1.0351788616401585</v>
      </c>
      <c r="U159" s="8">
        <v>1</v>
      </c>
      <c r="V159" s="8">
        <v>128</v>
      </c>
      <c r="W159" s="8">
        <f>4096</f>
        <v>4096</v>
      </c>
      <c r="X159" s="8">
        <v>16</v>
      </c>
      <c r="Y159" s="8">
        <v>1</v>
      </c>
      <c r="Z159" s="8">
        <v>0.13872399999999999</v>
      </c>
      <c r="AA159" s="8">
        <v>0.19713600000000001</v>
      </c>
      <c r="AB159">
        <v>0.13686200000000001</v>
      </c>
      <c r="AC159" s="4">
        <f t="shared" si="26"/>
        <v>0.69425168411654903</v>
      </c>
      <c r="AE159" s="5">
        <f t="shared" si="27"/>
        <v>1.4210662898993687</v>
      </c>
      <c r="AF159" s="5">
        <f t="shared" si="28"/>
        <v>0.98657766500389277</v>
      </c>
      <c r="AI159">
        <v>0.19626299999999999</v>
      </c>
      <c r="AJ159">
        <v>0.132186</v>
      </c>
      <c r="AK159" s="4">
        <f t="shared" si="29"/>
        <v>0.9955715850986121</v>
      </c>
      <c r="AL159" s="4">
        <f t="shared" si="30"/>
        <v>0.96583419795122083</v>
      </c>
      <c r="AN159">
        <v>0.14116500000000001</v>
      </c>
      <c r="AO159" s="4">
        <f t="shared" si="31"/>
        <v>1.0679270119377242</v>
      </c>
      <c r="AQ159" s="4"/>
    </row>
    <row r="160" spans="2:43" x14ac:dyDescent="0.25">
      <c r="B160">
        <v>2</v>
      </c>
      <c r="C160">
        <v>576</v>
      </c>
      <c r="D160">
        <v>4096</v>
      </c>
      <c r="E160">
        <v>16</v>
      </c>
      <c r="F160">
        <v>1</v>
      </c>
      <c r="H160">
        <v>0.36057299999999998</v>
      </c>
      <c r="I160">
        <v>0.30187999999999998</v>
      </c>
      <c r="J160" s="4">
        <f t="shared" si="23"/>
        <v>0.83722297565264181</v>
      </c>
      <c r="L160" s="4"/>
      <c r="M160" s="4"/>
      <c r="N160">
        <v>0.30805199999999999</v>
      </c>
      <c r="O160">
        <v>0.245362</v>
      </c>
      <c r="P160" s="4">
        <f t="shared" si="24"/>
        <v>0.85434017522110639</v>
      </c>
      <c r="Q160" s="4">
        <f t="shared" si="32"/>
        <v>0.81277991254803239</v>
      </c>
      <c r="R160">
        <v>0.227379</v>
      </c>
      <c r="S160" s="4">
        <f t="shared" si="25"/>
        <v>0.92670829223759177</v>
      </c>
      <c r="U160" s="8">
        <v>2</v>
      </c>
      <c r="V160" s="8">
        <v>128</v>
      </c>
      <c r="W160" s="8">
        <f>4096</f>
        <v>4096</v>
      </c>
      <c r="X160" s="8">
        <v>16</v>
      </c>
      <c r="Y160" s="8">
        <v>1</v>
      </c>
      <c r="Z160" s="8">
        <v>0.21127799999999999</v>
      </c>
      <c r="AA160" s="8">
        <v>0.21485899999999999</v>
      </c>
      <c r="AB160">
        <v>0.15335599999999999</v>
      </c>
      <c r="AC160" s="4">
        <f t="shared" si="26"/>
        <v>0.71375180932611615</v>
      </c>
      <c r="AE160" s="5">
        <f t="shared" si="27"/>
        <v>1.0169492327644147</v>
      </c>
      <c r="AF160" s="5">
        <f t="shared" si="28"/>
        <v>0.72584935487840663</v>
      </c>
      <c r="AI160">
        <v>0.20153199999999999</v>
      </c>
      <c r="AJ160">
        <v>0.13828499999999999</v>
      </c>
      <c r="AK160" s="4">
        <f t="shared" si="29"/>
        <v>0.93797327549695375</v>
      </c>
      <c r="AL160" s="4">
        <f t="shared" si="30"/>
        <v>0.90172539711520905</v>
      </c>
      <c r="AN160">
        <v>0.14185600000000001</v>
      </c>
      <c r="AO160" s="4">
        <f t="shared" si="31"/>
        <v>1.0258234804931845</v>
      </c>
      <c r="AQ160" s="4"/>
    </row>
    <row r="161" spans="2:43" x14ac:dyDescent="0.25">
      <c r="B161">
        <v>4</v>
      </c>
      <c r="C161">
        <v>576</v>
      </c>
      <c r="D161">
        <v>4096</v>
      </c>
      <c r="E161">
        <v>16</v>
      </c>
      <c r="F161">
        <v>1</v>
      </c>
      <c r="H161">
        <v>0.37984800000000002</v>
      </c>
      <c r="I161">
        <v>0.32084499999999999</v>
      </c>
      <c r="J161" s="4">
        <f t="shared" si="23"/>
        <v>0.84466681409405864</v>
      </c>
      <c r="L161" s="4"/>
      <c r="M161" s="4"/>
      <c r="N161">
        <v>0.42100300000000002</v>
      </c>
      <c r="O161">
        <v>0.34997</v>
      </c>
      <c r="P161" s="4">
        <f t="shared" si="24"/>
        <v>1.108345969966934</v>
      </c>
      <c r="Q161" s="4">
        <f t="shared" si="32"/>
        <v>1.0907759198366813</v>
      </c>
      <c r="R161">
        <v>0.27466200000000002</v>
      </c>
      <c r="S161" s="4">
        <f t="shared" si="25"/>
        <v>0.78481584135783067</v>
      </c>
      <c r="U161">
        <v>4</v>
      </c>
      <c r="V161">
        <v>128</v>
      </c>
      <c r="W161">
        <f>4096</f>
        <v>4096</v>
      </c>
      <c r="X161">
        <v>16</v>
      </c>
      <c r="Y161">
        <v>1</v>
      </c>
      <c r="Z161">
        <v>0.37070500000000001</v>
      </c>
      <c r="AA161">
        <v>0.21811700000000001</v>
      </c>
      <c r="AB161">
        <v>0.156806</v>
      </c>
      <c r="AC161" s="4">
        <f t="shared" si="26"/>
        <v>0.71890774217507114</v>
      </c>
      <c r="AE161" s="5">
        <f t="shared" si="27"/>
        <v>0.58838429478965759</v>
      </c>
      <c r="AF161" s="5">
        <f t="shared" si="28"/>
        <v>0.42299402489850418</v>
      </c>
      <c r="AI161">
        <v>0.233427</v>
      </c>
      <c r="AJ161">
        <v>0.16606099999999999</v>
      </c>
      <c r="AK161" s="4">
        <f t="shared" si="29"/>
        <v>1.0701916861134162</v>
      </c>
      <c r="AL161" s="4">
        <f t="shared" si="30"/>
        <v>1.0590219761998902</v>
      </c>
      <c r="AN161">
        <v>0.14362900000000001</v>
      </c>
      <c r="AO161" s="4">
        <f t="shared" si="31"/>
        <v>0.86491710877328221</v>
      </c>
      <c r="AQ161" s="4"/>
    </row>
    <row r="162" spans="2:43" x14ac:dyDescent="0.25">
      <c r="B162">
        <v>8</v>
      </c>
      <c r="C162">
        <v>576</v>
      </c>
      <c r="D162">
        <v>4096</v>
      </c>
      <c r="E162">
        <v>16</v>
      </c>
      <c r="F162">
        <v>1</v>
      </c>
      <c r="H162">
        <v>0.49372700000000003</v>
      </c>
      <c r="I162">
        <v>0.42675200000000002</v>
      </c>
      <c r="J162" s="4">
        <f t="shared" si="23"/>
        <v>0.8643481114056959</v>
      </c>
      <c r="L162" s="4"/>
      <c r="M162" s="4"/>
      <c r="N162">
        <v>0.43148399999999998</v>
      </c>
      <c r="O162">
        <v>0.34672900000000001</v>
      </c>
      <c r="P162" s="4">
        <f t="shared" si="24"/>
        <v>0.87393235532996971</v>
      </c>
      <c r="Q162" s="4">
        <f t="shared" si="32"/>
        <v>0.81248359703059392</v>
      </c>
      <c r="R162">
        <v>0.27561000000000002</v>
      </c>
      <c r="S162" s="4">
        <f t="shared" si="25"/>
        <v>0.79488591955100385</v>
      </c>
      <c r="U162">
        <v>8</v>
      </c>
      <c r="V162">
        <v>128</v>
      </c>
      <c r="W162">
        <f>4096</f>
        <v>4096</v>
      </c>
      <c r="X162">
        <v>16</v>
      </c>
      <c r="Y162">
        <v>1</v>
      </c>
      <c r="Z162">
        <v>0.69421100000000002</v>
      </c>
      <c r="AA162">
        <v>0.24143700000000001</v>
      </c>
      <c r="AB162">
        <v>0.17826</v>
      </c>
      <c r="AC162" s="4">
        <f t="shared" si="26"/>
        <v>0.73832925359410528</v>
      </c>
      <c r="AE162" s="5">
        <f t="shared" si="27"/>
        <v>0.3477861918062376</v>
      </c>
      <c r="AF162" s="5">
        <f t="shared" si="28"/>
        <v>0.25678071940663572</v>
      </c>
      <c r="AI162">
        <v>0.23574899999999999</v>
      </c>
      <c r="AJ162">
        <v>0.168211</v>
      </c>
      <c r="AK162" s="4">
        <f t="shared" si="29"/>
        <v>0.9764410591582896</v>
      </c>
      <c r="AL162" s="4">
        <f t="shared" si="30"/>
        <v>0.94362728598676093</v>
      </c>
      <c r="AN162">
        <v>0.14433299999999999</v>
      </c>
      <c r="AO162" s="4">
        <f t="shared" si="31"/>
        <v>0.85804733340863548</v>
      </c>
      <c r="AQ162" s="4"/>
    </row>
    <row r="163" spans="2:43" x14ac:dyDescent="0.25">
      <c r="B163">
        <v>16</v>
      </c>
      <c r="C163">
        <v>576</v>
      </c>
      <c r="D163">
        <v>4096</v>
      </c>
      <c r="E163">
        <v>16</v>
      </c>
      <c r="F163">
        <v>1</v>
      </c>
      <c r="H163">
        <v>0.56413999999999997</v>
      </c>
      <c r="I163">
        <v>0.48446</v>
      </c>
      <c r="J163" s="4">
        <f t="shared" si="23"/>
        <v>0.85875846421101154</v>
      </c>
      <c r="L163" s="4"/>
      <c r="M163" s="4"/>
      <c r="N163">
        <v>0.42971900000000002</v>
      </c>
      <c r="O163">
        <v>0.33578999999999998</v>
      </c>
      <c r="P163" s="4">
        <f t="shared" si="24"/>
        <v>0.76172404013188222</v>
      </c>
      <c r="Q163" s="4">
        <f t="shared" si="32"/>
        <v>0.69312223919415428</v>
      </c>
      <c r="R163">
        <v>0.27644200000000002</v>
      </c>
      <c r="S163" s="4">
        <f t="shared" si="25"/>
        <v>0.82325858423419407</v>
      </c>
      <c r="U163">
        <v>16</v>
      </c>
      <c r="V163">
        <v>128</v>
      </c>
      <c r="W163">
        <f>4096</f>
        <v>4096</v>
      </c>
      <c r="X163">
        <v>16</v>
      </c>
      <c r="Y163">
        <v>1</v>
      </c>
      <c r="Z163">
        <v>1.378757</v>
      </c>
      <c r="AA163">
        <v>0.26584200000000002</v>
      </c>
      <c r="AB163">
        <v>0.20036300000000001</v>
      </c>
      <c r="AC163" s="4">
        <f t="shared" si="26"/>
        <v>0.75369204264186995</v>
      </c>
      <c r="AE163" s="5">
        <f t="shared" si="27"/>
        <v>0.19281280167571227</v>
      </c>
      <c r="AF163" s="5">
        <f t="shared" si="28"/>
        <v>0.14532147434246934</v>
      </c>
      <c r="AI163">
        <v>0.23402700000000001</v>
      </c>
      <c r="AJ163">
        <v>0.169651</v>
      </c>
      <c r="AK163" s="4">
        <f t="shared" si="29"/>
        <v>0.88032365089037845</v>
      </c>
      <c r="AL163" s="4">
        <f t="shared" si="30"/>
        <v>0.84671820645528362</v>
      </c>
      <c r="AN163">
        <v>0.144403</v>
      </c>
      <c r="AO163" s="4">
        <f t="shared" si="31"/>
        <v>0.85117682772279568</v>
      </c>
      <c r="AQ163" s="4"/>
    </row>
    <row r="164" spans="2:43" x14ac:dyDescent="0.25">
      <c r="B164">
        <v>32</v>
      </c>
      <c r="C164">
        <v>576</v>
      </c>
      <c r="D164">
        <v>4096</v>
      </c>
      <c r="E164">
        <v>16</v>
      </c>
      <c r="F164">
        <v>1</v>
      </c>
      <c r="H164">
        <v>1.0061249999999999</v>
      </c>
      <c r="I164">
        <v>0.89010999999999996</v>
      </c>
      <c r="J164" s="4">
        <f t="shared" si="23"/>
        <v>0.88469126599577586</v>
      </c>
      <c r="L164" s="4"/>
      <c r="M164" s="4"/>
      <c r="N164">
        <v>0.70280100000000001</v>
      </c>
      <c r="O164">
        <v>0.699013</v>
      </c>
      <c r="P164" s="4">
        <f t="shared" si="24"/>
        <v>0.69852254938501679</v>
      </c>
      <c r="Q164" s="4">
        <f t="shared" si="32"/>
        <v>0.78531080428261679</v>
      </c>
      <c r="R164">
        <v>0.47106599999999998</v>
      </c>
      <c r="S164" s="4">
        <f t="shared" si="25"/>
        <v>0.67390162986954461</v>
      </c>
      <c r="U164">
        <v>32</v>
      </c>
      <c r="V164">
        <v>128</v>
      </c>
      <c r="W164">
        <f>4096</f>
        <v>4096</v>
      </c>
      <c r="X164">
        <v>16</v>
      </c>
      <c r="Y164">
        <v>1</v>
      </c>
      <c r="Z164">
        <v>2.6558760000000001</v>
      </c>
      <c r="AA164">
        <v>0.39705400000000002</v>
      </c>
      <c r="AB164">
        <v>0.32887499999999997</v>
      </c>
      <c r="AC164" s="4">
        <f t="shared" si="26"/>
        <v>0.82828783994116661</v>
      </c>
      <c r="AE164" s="5">
        <f t="shared" si="27"/>
        <v>0.14950020256969829</v>
      </c>
      <c r="AF164" s="5">
        <f t="shared" si="28"/>
        <v>0.12382919985722224</v>
      </c>
      <c r="AI164">
        <v>0.35685</v>
      </c>
      <c r="AJ164">
        <v>0.273229</v>
      </c>
      <c r="AK164" s="4">
        <f t="shared" si="29"/>
        <v>0.89874425141164671</v>
      </c>
      <c r="AL164" s="4">
        <f t="shared" si="30"/>
        <v>0.83079893576586861</v>
      </c>
      <c r="AN164">
        <v>0.231936</v>
      </c>
      <c r="AO164" s="4">
        <f t="shared" si="31"/>
        <v>0.84887036149164252</v>
      </c>
      <c r="AQ164" s="4"/>
    </row>
    <row r="165" spans="2:43" x14ac:dyDescent="0.25">
      <c r="B165">
        <v>64</v>
      </c>
      <c r="C165">
        <v>576</v>
      </c>
      <c r="D165">
        <v>4096</v>
      </c>
      <c r="E165">
        <v>16</v>
      </c>
      <c r="F165">
        <v>1</v>
      </c>
      <c r="H165">
        <v>1.898255</v>
      </c>
      <c r="I165">
        <v>1.638166</v>
      </c>
      <c r="J165" s="4">
        <f t="shared" si="23"/>
        <v>0.86298521536885187</v>
      </c>
      <c r="L165" s="4"/>
      <c r="M165" s="4"/>
      <c r="N165">
        <v>1.275504</v>
      </c>
      <c r="O165">
        <v>1.2790539999999999</v>
      </c>
      <c r="P165" s="4">
        <f t="shared" si="24"/>
        <v>0.67193501399969968</v>
      </c>
      <c r="Q165" s="4">
        <f t="shared" si="32"/>
        <v>0.78078412077896864</v>
      </c>
      <c r="R165">
        <v>0.85754900000000001</v>
      </c>
      <c r="S165" s="4">
        <f t="shared" si="25"/>
        <v>0.67045566488983266</v>
      </c>
      <c r="U165">
        <v>64</v>
      </c>
      <c r="V165">
        <v>128</v>
      </c>
      <c r="W165">
        <f>4096</f>
        <v>4096</v>
      </c>
      <c r="X165">
        <v>16</v>
      </c>
      <c r="Y165">
        <v>1</v>
      </c>
      <c r="Z165">
        <v>5.2061489999999999</v>
      </c>
      <c r="AA165">
        <v>0.63829100000000005</v>
      </c>
      <c r="AB165">
        <v>0.57359800000000005</v>
      </c>
      <c r="AC165" s="4">
        <f t="shared" si="26"/>
        <v>0.89864654209443651</v>
      </c>
      <c r="AE165" s="5">
        <f t="shared" si="27"/>
        <v>0.1226032908393517</v>
      </c>
      <c r="AF165" s="5">
        <f t="shared" si="28"/>
        <v>0.11017702336218192</v>
      </c>
      <c r="AI165">
        <v>0.602329</v>
      </c>
      <c r="AJ165">
        <v>0.47691499999999998</v>
      </c>
      <c r="AK165" s="4">
        <f t="shared" si="29"/>
        <v>0.94365892672777774</v>
      </c>
      <c r="AL165" s="4">
        <f t="shared" si="30"/>
        <v>0.83144467030917113</v>
      </c>
      <c r="AN165">
        <v>0.408966</v>
      </c>
      <c r="AO165" s="4">
        <f t="shared" si="31"/>
        <v>0.85752387742050473</v>
      </c>
      <c r="AQ165" s="4"/>
    </row>
    <row r="166" spans="2:43" x14ac:dyDescent="0.25">
      <c r="B166">
        <v>128</v>
      </c>
      <c r="C166">
        <v>576</v>
      </c>
      <c r="D166">
        <v>4096</v>
      </c>
      <c r="E166">
        <v>16</v>
      </c>
      <c r="F166">
        <v>1</v>
      </c>
      <c r="H166">
        <v>3.730998</v>
      </c>
      <c r="I166">
        <v>3.1653859999999998</v>
      </c>
      <c r="J166" s="4">
        <f t="shared" si="23"/>
        <v>0.84840195572337473</v>
      </c>
      <c r="L166" s="4"/>
      <c r="M166" s="4"/>
      <c r="N166">
        <v>2.329742</v>
      </c>
      <c r="O166">
        <v>2.4121100000000002</v>
      </c>
      <c r="P166" s="4">
        <f t="shared" si="24"/>
        <v>0.62442863812845784</v>
      </c>
      <c r="Q166" s="4">
        <f t="shared" si="32"/>
        <v>0.7620271271813297</v>
      </c>
      <c r="R166">
        <v>1.5807040000000001</v>
      </c>
      <c r="S166" s="4">
        <f t="shared" si="25"/>
        <v>0.65532003101019443</v>
      </c>
      <c r="U166">
        <v>128</v>
      </c>
      <c r="V166">
        <v>128</v>
      </c>
      <c r="W166">
        <f>4096</f>
        <v>4096</v>
      </c>
      <c r="X166">
        <v>16</v>
      </c>
      <c r="Y166">
        <v>1</v>
      </c>
      <c r="Z166">
        <v>10.345483</v>
      </c>
      <c r="AA166">
        <v>1.133548</v>
      </c>
      <c r="AB166">
        <v>1.030902</v>
      </c>
      <c r="AC166" s="4">
        <f t="shared" si="26"/>
        <v>0.90944715177478141</v>
      </c>
      <c r="AE166" s="5">
        <f t="shared" si="27"/>
        <v>0.10956936471694942</v>
      </c>
      <c r="AF166" s="5">
        <f t="shared" si="28"/>
        <v>9.9647546663601885E-2</v>
      </c>
      <c r="AI166">
        <v>1.086622</v>
      </c>
      <c r="AJ166">
        <v>0.82667500000000005</v>
      </c>
      <c r="AK166" s="4">
        <f t="shared" si="29"/>
        <v>0.95860254704697112</v>
      </c>
      <c r="AL166" s="4">
        <f t="shared" si="30"/>
        <v>0.80189484548482792</v>
      </c>
      <c r="AN166">
        <v>0.76280300000000001</v>
      </c>
      <c r="AO166" s="4">
        <f t="shared" si="31"/>
        <v>0.92273626273928688</v>
      </c>
      <c r="AQ166" s="4"/>
    </row>
    <row r="167" spans="2:43" x14ac:dyDescent="0.25">
      <c r="B167">
        <v>256</v>
      </c>
      <c r="C167">
        <v>576</v>
      </c>
      <c r="D167">
        <v>4096</v>
      </c>
      <c r="E167">
        <v>16</v>
      </c>
      <c r="F167">
        <v>1</v>
      </c>
      <c r="H167">
        <v>7.4281740000000003</v>
      </c>
      <c r="I167">
        <v>6.2359210000000003</v>
      </c>
      <c r="J167" s="4">
        <f t="shared" si="23"/>
        <v>0.83949581687235653</v>
      </c>
      <c r="L167" s="4"/>
      <c r="M167" s="4"/>
      <c r="N167">
        <v>4.496181</v>
      </c>
      <c r="O167">
        <v>4.7173340000000001</v>
      </c>
      <c r="P167" s="4">
        <f t="shared" si="24"/>
        <v>0.6052875174975707</v>
      </c>
      <c r="Q167" s="4">
        <f t="shared" si="32"/>
        <v>0.75647751150150877</v>
      </c>
      <c r="R167">
        <v>3.1221139999999998</v>
      </c>
      <c r="S167" s="4">
        <f t="shared" si="25"/>
        <v>0.66183865717373414</v>
      </c>
      <c r="U167">
        <v>256</v>
      </c>
      <c r="V167">
        <v>128</v>
      </c>
      <c r="W167">
        <f>4096</f>
        <v>4096</v>
      </c>
      <c r="X167">
        <v>16</v>
      </c>
      <c r="Y167">
        <v>1</v>
      </c>
      <c r="Z167">
        <v>20.873943000000001</v>
      </c>
      <c r="AA167">
        <v>2.1151870000000002</v>
      </c>
      <c r="AB167">
        <v>1.9249510000000001</v>
      </c>
      <c r="AC167" s="4">
        <f t="shared" si="26"/>
        <v>0.91006185268725648</v>
      </c>
      <c r="AE167" s="5">
        <f t="shared" si="27"/>
        <v>0.10133145424417418</v>
      </c>
      <c r="AF167" s="5">
        <f t="shared" si="28"/>
        <v>9.2217890984947121E-2</v>
      </c>
      <c r="AI167">
        <v>2.0567160000000002</v>
      </c>
      <c r="AJ167">
        <v>1.503552</v>
      </c>
      <c r="AK167" s="4">
        <f t="shared" si="29"/>
        <v>0.97235658123844371</v>
      </c>
      <c r="AL167" s="4">
        <f t="shared" si="30"/>
        <v>0.78108585621140481</v>
      </c>
      <c r="AN167">
        <v>1.461222</v>
      </c>
      <c r="AO167" s="4">
        <f t="shared" si="31"/>
        <v>0.97184666709232537</v>
      </c>
      <c r="AQ167" s="4"/>
    </row>
    <row r="168" spans="2:43" x14ac:dyDescent="0.25">
      <c r="B168">
        <v>512</v>
      </c>
      <c r="C168">
        <v>576</v>
      </c>
      <c r="D168">
        <v>4096</v>
      </c>
      <c r="E168">
        <v>16</v>
      </c>
      <c r="F168">
        <v>1</v>
      </c>
      <c r="H168">
        <v>14.925025</v>
      </c>
      <c r="I168">
        <v>12.440372999999999</v>
      </c>
      <c r="J168" s="4">
        <f t="shared" si="23"/>
        <v>0.83352443295739864</v>
      </c>
      <c r="L168" s="4"/>
      <c r="M168" s="4"/>
      <c r="N168">
        <v>8.8536940000000008</v>
      </c>
      <c r="O168">
        <v>9.2802889999999998</v>
      </c>
      <c r="P168" s="4">
        <f t="shared" si="24"/>
        <v>0.59321133465438092</v>
      </c>
      <c r="Q168" s="4">
        <f t="shared" si="32"/>
        <v>0.74598157145288169</v>
      </c>
      <c r="R168">
        <v>6.2603780000000002</v>
      </c>
      <c r="S168" s="4">
        <f t="shared" si="25"/>
        <v>0.67458869007204414</v>
      </c>
      <c r="U168">
        <v>512</v>
      </c>
      <c r="V168">
        <v>128</v>
      </c>
      <c r="W168">
        <f>4096</f>
        <v>4096</v>
      </c>
      <c r="X168">
        <v>16</v>
      </c>
      <c r="Y168">
        <v>1</v>
      </c>
      <c r="Z168">
        <v>41.864407</v>
      </c>
      <c r="AA168">
        <v>4.0663809999999998</v>
      </c>
      <c r="AB168">
        <v>3.6757610000000001</v>
      </c>
      <c r="AC168" s="4">
        <f t="shared" si="26"/>
        <v>0.9039391537585878</v>
      </c>
      <c r="AE168" s="5">
        <f t="shared" si="27"/>
        <v>9.7132177221571539E-2</v>
      </c>
      <c r="AF168" s="5">
        <f t="shared" si="28"/>
        <v>8.7801578080396556E-2</v>
      </c>
      <c r="AI168">
        <v>4.0021829999999996</v>
      </c>
      <c r="AJ168">
        <v>2.7611509999999999</v>
      </c>
      <c r="AK168" s="4">
        <f t="shared" si="29"/>
        <v>0.98421249755003282</v>
      </c>
      <c r="AL168" s="4">
        <f t="shared" si="30"/>
        <v>0.75117805537411164</v>
      </c>
      <c r="AN168">
        <v>2.8605640000000001</v>
      </c>
      <c r="AO168" s="4">
        <f t="shared" si="31"/>
        <v>1.0360041881085098</v>
      </c>
      <c r="AQ168" s="4"/>
    </row>
    <row r="169" spans="2:43" x14ac:dyDescent="0.25">
      <c r="B169">
        <v>1</v>
      </c>
      <c r="C169">
        <v>576</v>
      </c>
      <c r="D169">
        <v>8192</v>
      </c>
      <c r="E169">
        <v>16</v>
      </c>
      <c r="F169">
        <v>1</v>
      </c>
      <c r="H169">
        <v>0.494834</v>
      </c>
      <c r="I169">
        <v>0.37697700000000001</v>
      </c>
      <c r="J169" s="4">
        <f t="shared" si="23"/>
        <v>0.76182517773637226</v>
      </c>
      <c r="L169" s="4"/>
      <c r="M169" s="4"/>
      <c r="N169">
        <v>0.49476900000000001</v>
      </c>
      <c r="O169">
        <v>0.36813400000000002</v>
      </c>
      <c r="P169" s="4">
        <f t="shared" si="24"/>
        <v>0.99986864281759136</v>
      </c>
      <c r="Q169" s="4">
        <f t="shared" si="32"/>
        <v>0.97654233547404756</v>
      </c>
      <c r="R169">
        <v>0.360877</v>
      </c>
      <c r="S169" s="4">
        <f t="shared" si="25"/>
        <v>0.98028706938234444</v>
      </c>
      <c r="U169" s="8">
        <v>1</v>
      </c>
      <c r="V169" s="8">
        <v>128</v>
      </c>
      <c r="W169" s="8">
        <f>8192</f>
        <v>8192</v>
      </c>
      <c r="X169" s="8">
        <v>16</v>
      </c>
      <c r="Y169" s="8">
        <v>1</v>
      </c>
      <c r="Z169" s="8">
        <v>0.22181000000000001</v>
      </c>
      <c r="AA169" s="8">
        <v>0.33755600000000002</v>
      </c>
      <c r="AB169">
        <v>0.21532799999999999</v>
      </c>
      <c r="AC169" s="4">
        <f t="shared" si="26"/>
        <v>0.63790304423562305</v>
      </c>
      <c r="AE169" s="5">
        <f t="shared" si="27"/>
        <v>1.5218249853478203</v>
      </c>
      <c r="AF169" s="5">
        <f t="shared" si="28"/>
        <v>0.97077679094720704</v>
      </c>
      <c r="AI169">
        <v>0.333893</v>
      </c>
      <c r="AJ169">
        <v>0.20465900000000001</v>
      </c>
      <c r="AK169" s="4">
        <f t="shared" si="29"/>
        <v>0.98914846721729133</v>
      </c>
      <c r="AL169" s="4">
        <f t="shared" si="30"/>
        <v>0.95045233318472289</v>
      </c>
      <c r="AN169">
        <v>0.22225300000000001</v>
      </c>
      <c r="AO169" s="4">
        <f t="shared" si="31"/>
        <v>1.0859673896579187</v>
      </c>
      <c r="AQ169" s="4"/>
    </row>
    <row r="170" spans="2:43" x14ac:dyDescent="0.25">
      <c r="B170">
        <v>2</v>
      </c>
      <c r="C170">
        <v>576</v>
      </c>
      <c r="D170">
        <v>8192</v>
      </c>
      <c r="E170">
        <v>16</v>
      </c>
      <c r="F170">
        <v>1</v>
      </c>
      <c r="H170">
        <v>0.65462500000000001</v>
      </c>
      <c r="I170">
        <v>0.53095199999999998</v>
      </c>
      <c r="J170" s="4">
        <f t="shared" si="23"/>
        <v>0.81107809814779452</v>
      </c>
      <c r="L170" s="4"/>
      <c r="M170" s="4"/>
      <c r="N170">
        <v>0.57749799999999996</v>
      </c>
      <c r="O170">
        <v>0.45682</v>
      </c>
      <c r="P170" s="4">
        <f t="shared" ref="P170:P188" si="33">N170/H170</f>
        <v>0.88218140156578184</v>
      </c>
      <c r="Q170" s="4">
        <f t="shared" si="32"/>
        <v>0.8603790926486764</v>
      </c>
      <c r="R170">
        <v>0.36022999999999999</v>
      </c>
      <c r="S170" s="4">
        <f t="shared" si="25"/>
        <v>0.78856004553215708</v>
      </c>
      <c r="U170" s="8">
        <v>2</v>
      </c>
      <c r="V170" s="8">
        <v>128</v>
      </c>
      <c r="W170" s="8">
        <f>8192</f>
        <v>8192</v>
      </c>
      <c r="X170" s="8">
        <v>16</v>
      </c>
      <c r="Y170" s="8">
        <v>1</v>
      </c>
      <c r="Z170" s="8">
        <v>0.36717499999999997</v>
      </c>
      <c r="AA170" s="8">
        <v>0.372778</v>
      </c>
      <c r="AB170">
        <v>0.246532</v>
      </c>
      <c r="AC170" s="4">
        <f t="shared" si="26"/>
        <v>0.66133731067820523</v>
      </c>
      <c r="AE170" s="5">
        <f t="shared" si="27"/>
        <v>1.0152597535235244</v>
      </c>
      <c r="AF170" s="5">
        <f t="shared" si="28"/>
        <v>0.67142915503506506</v>
      </c>
      <c r="AI170">
        <v>0.34530699999999998</v>
      </c>
      <c r="AJ170">
        <v>0.21859799999999999</v>
      </c>
      <c r="AK170" s="4">
        <f t="shared" si="29"/>
        <v>0.92630734646357882</v>
      </c>
      <c r="AL170" s="4">
        <f t="shared" si="30"/>
        <v>0.88669219411678801</v>
      </c>
      <c r="AN170">
        <v>0.22108800000000001</v>
      </c>
      <c r="AO170" s="4">
        <f t="shared" si="31"/>
        <v>1.0113907721022151</v>
      </c>
      <c r="AQ170" s="4"/>
    </row>
    <row r="171" spans="2:43" x14ac:dyDescent="0.25">
      <c r="B171">
        <v>4</v>
      </c>
      <c r="C171">
        <v>576</v>
      </c>
      <c r="D171">
        <v>8192</v>
      </c>
      <c r="E171">
        <v>16</v>
      </c>
      <c r="F171">
        <v>1</v>
      </c>
      <c r="H171">
        <v>0.69570399999999999</v>
      </c>
      <c r="I171">
        <v>0.56937300000000002</v>
      </c>
      <c r="J171" s="4">
        <f t="shared" si="23"/>
        <v>0.81841271575267649</v>
      </c>
      <c r="L171" s="4"/>
      <c r="M171" s="4"/>
      <c r="N171">
        <v>0.92517700000000003</v>
      </c>
      <c r="O171">
        <v>0.69266499999999998</v>
      </c>
      <c r="P171" s="4">
        <f t="shared" si="33"/>
        <v>1.3298428642066167</v>
      </c>
      <c r="Q171" s="4">
        <f t="shared" si="32"/>
        <v>1.2165399483291268</v>
      </c>
      <c r="R171">
        <v>0.43958999999999998</v>
      </c>
      <c r="S171" s="4">
        <f t="shared" si="25"/>
        <v>0.63463579075021836</v>
      </c>
      <c r="U171">
        <v>4</v>
      </c>
      <c r="V171">
        <v>128</v>
      </c>
      <c r="W171">
        <f>8192</f>
        <v>8192</v>
      </c>
      <c r="X171">
        <v>16</v>
      </c>
      <c r="Y171">
        <v>1</v>
      </c>
      <c r="Z171">
        <v>0.67916699999999997</v>
      </c>
      <c r="AA171">
        <v>0.37964799999999999</v>
      </c>
      <c r="AB171">
        <v>0.25464799999999999</v>
      </c>
      <c r="AC171" s="4">
        <f t="shared" si="26"/>
        <v>0.67074763991908293</v>
      </c>
      <c r="AE171" s="5">
        <f t="shared" si="27"/>
        <v>0.55899064589416159</v>
      </c>
      <c r="AF171" s="5">
        <f t="shared" si="28"/>
        <v>0.37494165647035266</v>
      </c>
      <c r="AI171">
        <v>0.40031499999999998</v>
      </c>
      <c r="AJ171">
        <v>0.299622</v>
      </c>
      <c r="AK171" s="4">
        <f t="shared" si="29"/>
        <v>1.0544372682063385</v>
      </c>
      <c r="AL171" s="4">
        <f t="shared" si="30"/>
        <v>1.1766124218529108</v>
      </c>
      <c r="AN171">
        <v>0.22085099999999999</v>
      </c>
      <c r="AO171" s="4">
        <f t="shared" si="31"/>
        <v>0.73709874441796663</v>
      </c>
      <c r="AQ171" s="4"/>
    </row>
    <row r="172" spans="2:43" x14ac:dyDescent="0.25">
      <c r="B172">
        <v>8</v>
      </c>
      <c r="C172">
        <v>576</v>
      </c>
      <c r="D172">
        <v>8192</v>
      </c>
      <c r="E172">
        <v>16</v>
      </c>
      <c r="F172">
        <v>1</v>
      </c>
      <c r="H172">
        <v>0.92732400000000004</v>
      </c>
      <c r="I172">
        <v>0.77815599999999996</v>
      </c>
      <c r="J172" s="4">
        <f t="shared" si="23"/>
        <v>0.83914144355155251</v>
      </c>
      <c r="L172" s="4"/>
      <c r="M172" s="4"/>
      <c r="N172">
        <v>0.94754000000000005</v>
      </c>
      <c r="O172">
        <v>0.68713000000000002</v>
      </c>
      <c r="P172" s="4">
        <f t="shared" si="33"/>
        <v>1.0218003631956036</v>
      </c>
      <c r="Q172" s="4">
        <f t="shared" si="32"/>
        <v>0.88302345545109218</v>
      </c>
      <c r="R172">
        <v>0.43960300000000002</v>
      </c>
      <c r="S172" s="4">
        <f t="shared" si="25"/>
        <v>0.63976685634450547</v>
      </c>
      <c r="U172">
        <v>8</v>
      </c>
      <c r="V172">
        <v>128</v>
      </c>
      <c r="W172">
        <f>8192</f>
        <v>8192</v>
      </c>
      <c r="X172">
        <v>16</v>
      </c>
      <c r="Y172">
        <v>1</v>
      </c>
      <c r="Z172">
        <v>1.3536539999999999</v>
      </c>
      <c r="AA172">
        <v>0.42774600000000002</v>
      </c>
      <c r="AB172">
        <v>0.29363499999999998</v>
      </c>
      <c r="AC172" s="4">
        <f t="shared" si="26"/>
        <v>0.68647047546908668</v>
      </c>
      <c r="AE172" s="5">
        <f t="shared" si="27"/>
        <v>0.31599359954611744</v>
      </c>
      <c r="AF172" s="5">
        <f t="shared" si="28"/>
        <v>0.21692027652561141</v>
      </c>
      <c r="AI172">
        <v>0.414271</v>
      </c>
      <c r="AJ172">
        <v>0.27139799999999997</v>
      </c>
      <c r="AK172" s="4">
        <f t="shared" si="29"/>
        <v>0.96849765982615843</v>
      </c>
      <c r="AL172" s="4">
        <f t="shared" si="30"/>
        <v>0.92426992695012511</v>
      </c>
      <c r="AN172">
        <v>0.221472</v>
      </c>
      <c r="AO172" s="4">
        <f t="shared" si="31"/>
        <v>0.81604138571397</v>
      </c>
      <c r="AQ172" s="4"/>
    </row>
    <row r="173" spans="2:43" x14ac:dyDescent="0.25">
      <c r="B173">
        <v>16</v>
      </c>
      <c r="C173">
        <v>576</v>
      </c>
      <c r="D173">
        <v>8192</v>
      </c>
      <c r="E173">
        <v>16</v>
      </c>
      <c r="F173">
        <v>1</v>
      </c>
      <c r="H173">
        <v>1.11528</v>
      </c>
      <c r="I173">
        <v>0.88453400000000004</v>
      </c>
      <c r="J173" s="4">
        <f t="shared" si="23"/>
        <v>0.79310487052578726</v>
      </c>
      <c r="L173" s="4"/>
      <c r="M173" s="4"/>
      <c r="N173">
        <v>0.93420599999999998</v>
      </c>
      <c r="O173">
        <v>0.67602600000000002</v>
      </c>
      <c r="P173" s="4">
        <f t="shared" si="33"/>
        <v>0.83764256509576063</v>
      </c>
      <c r="Q173" s="4">
        <f t="shared" ref="Q173:Q188" si="34">O173/I173</f>
        <v>0.76427361752063794</v>
      </c>
      <c r="R173">
        <v>0.43918099999999999</v>
      </c>
      <c r="S173" s="4">
        <f t="shared" si="25"/>
        <v>0.64965104892415382</v>
      </c>
      <c r="U173">
        <v>16</v>
      </c>
      <c r="V173">
        <v>128</v>
      </c>
      <c r="W173">
        <f>8192</f>
        <v>8192</v>
      </c>
      <c r="X173">
        <v>16</v>
      </c>
      <c r="Y173">
        <v>1</v>
      </c>
      <c r="Z173">
        <v>2.640326</v>
      </c>
      <c r="AA173">
        <v>0.47697000000000001</v>
      </c>
      <c r="AB173">
        <v>0.32696900000000001</v>
      </c>
      <c r="AC173" s="4">
        <f t="shared" si="26"/>
        <v>0.68551271568442462</v>
      </c>
      <c r="AE173" s="5">
        <f t="shared" si="27"/>
        <v>0.18064814723636399</v>
      </c>
      <c r="AF173" s="5">
        <f t="shared" si="28"/>
        <v>0.12383660199535967</v>
      </c>
      <c r="AI173">
        <v>0.40839500000000001</v>
      </c>
      <c r="AJ173">
        <v>0.26956200000000002</v>
      </c>
      <c r="AK173" s="4">
        <f t="shared" si="29"/>
        <v>0.85622785500136278</v>
      </c>
      <c r="AL173" s="4">
        <f t="shared" si="30"/>
        <v>0.82442678052047758</v>
      </c>
      <c r="AN173">
        <v>0.221581</v>
      </c>
      <c r="AO173" s="4">
        <f t="shared" si="31"/>
        <v>0.82200384327167764</v>
      </c>
      <c r="AQ173" s="4"/>
    </row>
    <row r="174" spans="2:43" x14ac:dyDescent="0.25">
      <c r="B174">
        <v>32</v>
      </c>
      <c r="C174">
        <v>576</v>
      </c>
      <c r="D174">
        <v>8192</v>
      </c>
      <c r="E174">
        <v>16</v>
      </c>
      <c r="F174">
        <v>1</v>
      </c>
      <c r="H174">
        <v>1.9653929999999999</v>
      </c>
      <c r="I174">
        <v>1.632541</v>
      </c>
      <c r="J174" s="4">
        <f t="shared" si="23"/>
        <v>0.8306435405030953</v>
      </c>
      <c r="L174" s="4"/>
      <c r="M174" s="4"/>
      <c r="N174">
        <v>1.388463</v>
      </c>
      <c r="O174">
        <v>1.2681560000000001</v>
      </c>
      <c r="P174" s="4">
        <f t="shared" si="33"/>
        <v>0.70645565543379873</v>
      </c>
      <c r="Q174" s="4">
        <f t="shared" si="34"/>
        <v>0.77679886753227023</v>
      </c>
      <c r="R174">
        <v>0.78486999999999996</v>
      </c>
      <c r="S174" s="4">
        <f t="shared" si="25"/>
        <v>0.61890650677046033</v>
      </c>
      <c r="U174">
        <v>32</v>
      </c>
      <c r="V174">
        <v>128</v>
      </c>
      <c r="W174">
        <f>8192</f>
        <v>8192</v>
      </c>
      <c r="X174">
        <v>16</v>
      </c>
      <c r="Y174">
        <v>1</v>
      </c>
      <c r="Z174">
        <v>5.2105629999999996</v>
      </c>
      <c r="AA174">
        <v>0.75192400000000004</v>
      </c>
      <c r="AB174">
        <v>0.56736299999999995</v>
      </c>
      <c r="AC174" s="4">
        <f t="shared" si="26"/>
        <v>0.75454833201227778</v>
      </c>
      <c r="AE174" s="5">
        <f t="shared" si="27"/>
        <v>0.14430763048062178</v>
      </c>
      <c r="AF174" s="5">
        <f t="shared" si="28"/>
        <v>0.10888708187579729</v>
      </c>
      <c r="AI174">
        <v>0.65761099999999995</v>
      </c>
      <c r="AJ174">
        <v>0.472941</v>
      </c>
      <c r="AK174" s="4">
        <f t="shared" si="29"/>
        <v>0.8745711002707719</v>
      </c>
      <c r="AL174" s="4">
        <f t="shared" si="30"/>
        <v>0.83357744512772258</v>
      </c>
      <c r="AN174">
        <v>0.39145600000000003</v>
      </c>
      <c r="AO174" s="4">
        <f t="shared" si="31"/>
        <v>0.82770578148225682</v>
      </c>
      <c r="AQ174" s="4"/>
    </row>
    <row r="175" spans="2:43" s="9" customFormat="1" x14ac:dyDescent="0.25">
      <c r="B175" s="9">
        <v>64</v>
      </c>
      <c r="C175" s="9">
        <v>576</v>
      </c>
      <c r="D175" s="9">
        <v>8192</v>
      </c>
      <c r="E175" s="9">
        <v>16</v>
      </c>
      <c r="F175" s="9">
        <v>1</v>
      </c>
      <c r="H175" s="9">
        <v>3.8263780000000001</v>
      </c>
      <c r="I175" s="9">
        <v>3.1185710000000002</v>
      </c>
      <c r="J175" s="61">
        <f t="shared" si="23"/>
        <v>0.81501905980015565</v>
      </c>
      <c r="L175" s="61"/>
      <c r="M175" s="61"/>
      <c r="N175" s="9">
        <v>2.4769019999999999</v>
      </c>
      <c r="O175" s="9">
        <v>2.364296</v>
      </c>
      <c r="P175" s="61">
        <f t="shared" si="33"/>
        <v>0.64732287296236801</v>
      </c>
      <c r="Q175" s="61">
        <f t="shared" si="34"/>
        <v>0.75813441476881549</v>
      </c>
      <c r="R175">
        <v>1.4560379999999999</v>
      </c>
      <c r="S175" s="4">
        <f t="shared" si="25"/>
        <v>0.61584420901612991</v>
      </c>
      <c r="U175" s="9">
        <v>64</v>
      </c>
      <c r="V175" s="9">
        <v>128</v>
      </c>
      <c r="W175" s="9">
        <f>8192</f>
        <v>8192</v>
      </c>
      <c r="X175" s="9">
        <v>16</v>
      </c>
      <c r="Y175" s="9">
        <v>1</v>
      </c>
      <c r="Z175" s="9">
        <v>10.354463000000001</v>
      </c>
      <c r="AA175" s="9">
        <v>1.2333890000000001</v>
      </c>
      <c r="AB175" s="9">
        <v>1.019587</v>
      </c>
      <c r="AC175" s="61">
        <f t="shared" si="26"/>
        <v>0.82665485098375291</v>
      </c>
      <c r="AE175" s="61">
        <f t="shared" si="27"/>
        <v>0.11911665530119717</v>
      </c>
      <c r="AF175" s="61">
        <f t="shared" si="28"/>
        <v>9.8468360937694205E-2</v>
      </c>
      <c r="AI175" s="9">
        <v>1.136647</v>
      </c>
      <c r="AJ175" s="9">
        <v>0.83914200000000005</v>
      </c>
      <c r="AK175" s="61">
        <f t="shared" si="29"/>
        <v>0.92156408075635499</v>
      </c>
      <c r="AL175" s="61">
        <f t="shared" si="30"/>
        <v>0.82302147830445072</v>
      </c>
      <c r="AN175">
        <v>0.71888600000000002</v>
      </c>
      <c r="AO175" s="4">
        <f t="shared" si="31"/>
        <v>0.85669171606235894</v>
      </c>
      <c r="AP175"/>
      <c r="AQ175" s="4"/>
    </row>
    <row r="176" spans="2:43" x14ac:dyDescent="0.25">
      <c r="B176">
        <v>128</v>
      </c>
      <c r="C176">
        <v>576</v>
      </c>
      <c r="D176">
        <v>8192</v>
      </c>
      <c r="E176">
        <v>16</v>
      </c>
      <c r="F176">
        <v>1</v>
      </c>
      <c r="H176">
        <v>7.54528</v>
      </c>
      <c r="I176">
        <v>6.1056340000000002</v>
      </c>
      <c r="J176" s="4">
        <f t="shared" si="23"/>
        <v>0.80919912846176689</v>
      </c>
      <c r="L176" s="4"/>
      <c r="M176" s="4"/>
      <c r="N176">
        <v>4.4627650000000001</v>
      </c>
      <c r="O176">
        <v>4.5589259999999996</v>
      </c>
      <c r="P176" s="4">
        <f t="shared" si="33"/>
        <v>0.59146446520208662</v>
      </c>
      <c r="Q176" s="4">
        <f t="shared" si="34"/>
        <v>0.74667528384439674</v>
      </c>
      <c r="R176">
        <v>2.7402169999999999</v>
      </c>
      <c r="S176" s="4">
        <f t="shared" si="25"/>
        <v>0.60106634764416011</v>
      </c>
      <c r="U176">
        <v>128</v>
      </c>
      <c r="V176">
        <v>128</v>
      </c>
      <c r="W176">
        <f>8192</f>
        <v>8192</v>
      </c>
      <c r="X176">
        <v>16</v>
      </c>
      <c r="Y176">
        <v>1</v>
      </c>
      <c r="Z176">
        <v>20.824300999999998</v>
      </c>
      <c r="AA176">
        <v>2.2064629999999998</v>
      </c>
      <c r="AB176">
        <v>1.900582</v>
      </c>
      <c r="AC176" s="4">
        <f t="shared" si="26"/>
        <v>0.8613704376642618</v>
      </c>
      <c r="AE176" s="5">
        <f t="shared" si="27"/>
        <v>0.10595616150573313</v>
      </c>
      <c r="AF176" s="5">
        <f t="shared" si="28"/>
        <v>9.1267505209418565E-2</v>
      </c>
      <c r="AI176">
        <v>2.102338</v>
      </c>
      <c r="AJ176">
        <v>1.4719739999999999</v>
      </c>
      <c r="AK176" s="4">
        <f t="shared" si="29"/>
        <v>0.95280908857297864</v>
      </c>
      <c r="AL176" s="4">
        <f t="shared" si="30"/>
        <v>0.77448592062852317</v>
      </c>
      <c r="AN176">
        <v>1.3775360000000001</v>
      </c>
      <c r="AO176" s="4">
        <f t="shared" si="31"/>
        <v>0.93584261678535097</v>
      </c>
      <c r="AQ176" s="4"/>
    </row>
    <row r="177" spans="2:43" x14ac:dyDescent="0.25">
      <c r="B177">
        <v>256</v>
      </c>
      <c r="C177">
        <v>576</v>
      </c>
      <c r="D177">
        <v>8192</v>
      </c>
      <c r="E177">
        <v>16</v>
      </c>
      <c r="F177">
        <v>1</v>
      </c>
      <c r="H177">
        <v>14.894682</v>
      </c>
      <c r="I177">
        <v>12.132483000000001</v>
      </c>
      <c r="J177" s="4">
        <f t="shared" si="23"/>
        <v>0.8145513277826274</v>
      </c>
      <c r="L177" s="4"/>
      <c r="M177" s="4"/>
      <c r="N177">
        <v>8.5676659999999991</v>
      </c>
      <c r="O177">
        <v>8.9816680000000009</v>
      </c>
      <c r="P177" s="4">
        <f t="shared" si="33"/>
        <v>0.57521644302308694</v>
      </c>
      <c r="Q177" s="4">
        <f t="shared" si="34"/>
        <v>0.74029924459815855</v>
      </c>
      <c r="R177">
        <v>5.4693250000000004</v>
      </c>
      <c r="S177" s="4">
        <f t="shared" si="25"/>
        <v>0.60894312726767452</v>
      </c>
      <c r="U177">
        <v>256</v>
      </c>
      <c r="V177">
        <v>128</v>
      </c>
      <c r="W177">
        <f>8192</f>
        <v>8192</v>
      </c>
      <c r="X177">
        <v>16</v>
      </c>
      <c r="Y177">
        <v>1</v>
      </c>
      <c r="Z177">
        <v>41.953594000000002</v>
      </c>
      <c r="AA177">
        <v>4.1428050000000001</v>
      </c>
      <c r="AB177">
        <v>3.6111629999999999</v>
      </c>
      <c r="AC177" s="4">
        <f t="shared" si="26"/>
        <v>0.8716710055143797</v>
      </c>
      <c r="AE177" s="5">
        <f t="shared" si="27"/>
        <v>9.8747320670548505E-2</v>
      </c>
      <c r="AF177" s="5">
        <f t="shared" si="28"/>
        <v>8.6075176300747916E-2</v>
      </c>
      <c r="AI177">
        <v>4.0258719999999997</v>
      </c>
      <c r="AJ177">
        <v>2.7597119999999999</v>
      </c>
      <c r="AK177" s="4">
        <f t="shared" si="29"/>
        <v>0.97177443785068318</v>
      </c>
      <c r="AL177" s="4">
        <f t="shared" si="30"/>
        <v>0.76421695725172201</v>
      </c>
      <c r="AN177">
        <v>2.6950590000000001</v>
      </c>
      <c r="AO177" s="4">
        <f t="shared" si="31"/>
        <v>0.97657255539708498</v>
      </c>
      <c r="AQ177" s="4"/>
    </row>
    <row r="178" spans="2:43" x14ac:dyDescent="0.25">
      <c r="B178">
        <v>512</v>
      </c>
      <c r="C178">
        <v>576</v>
      </c>
      <c r="D178">
        <v>8192</v>
      </c>
      <c r="E178">
        <v>16</v>
      </c>
      <c r="F178">
        <v>1</v>
      </c>
      <c r="H178">
        <v>29.801991000000001</v>
      </c>
      <c r="I178">
        <v>24.175184000000002</v>
      </c>
      <c r="J178" s="4">
        <f t="shared" si="23"/>
        <v>0.81119358770358663</v>
      </c>
      <c r="L178" s="4"/>
      <c r="M178" s="4"/>
      <c r="N178">
        <v>16.960467999999999</v>
      </c>
      <c r="O178">
        <v>17.830546999999999</v>
      </c>
      <c r="P178" s="4">
        <f t="shared" si="33"/>
        <v>0.56910519837416229</v>
      </c>
      <c r="Q178" s="4">
        <f t="shared" si="34"/>
        <v>0.73755579275011918</v>
      </c>
      <c r="R178">
        <v>10.996105999999999</v>
      </c>
      <c r="S178" s="4">
        <f t="shared" si="25"/>
        <v>0.61670042988585827</v>
      </c>
      <c r="U178">
        <v>512</v>
      </c>
      <c r="V178">
        <v>128</v>
      </c>
      <c r="W178">
        <f>8192</f>
        <v>8192</v>
      </c>
      <c r="X178">
        <v>16</v>
      </c>
      <c r="Y178">
        <v>1</v>
      </c>
      <c r="Z178">
        <v>84.445060999999995</v>
      </c>
      <c r="AA178">
        <v>7.9971370000000004</v>
      </c>
      <c r="AB178">
        <v>7.0099590000000003</v>
      </c>
      <c r="AC178" s="4">
        <f t="shared" si="26"/>
        <v>0.87655857339945531</v>
      </c>
      <c r="AE178" s="5">
        <f t="shared" si="27"/>
        <v>9.4702246706885568E-2</v>
      </c>
      <c r="AF178" s="5">
        <f t="shared" si="28"/>
        <v>8.3012066271110879E-2</v>
      </c>
      <c r="AI178">
        <v>7.8762119999999998</v>
      </c>
      <c r="AJ178">
        <v>5.2903500000000001</v>
      </c>
      <c r="AK178" s="4">
        <f t="shared" si="29"/>
        <v>0.98487896355908366</v>
      </c>
      <c r="AL178" s="4">
        <f t="shared" si="30"/>
        <v>0.75469057664959238</v>
      </c>
      <c r="AN178">
        <v>5.3312090000000003</v>
      </c>
      <c r="AO178" s="4">
        <f t="shared" si="31"/>
        <v>1.0077233075316379</v>
      </c>
      <c r="AQ178" s="4"/>
    </row>
    <row r="179" spans="2:43" x14ac:dyDescent="0.25">
      <c r="B179">
        <v>1</v>
      </c>
      <c r="C179">
        <v>576</v>
      </c>
      <c r="D179">
        <v>16384</v>
      </c>
      <c r="E179">
        <v>16</v>
      </c>
      <c r="F179">
        <v>1</v>
      </c>
      <c r="H179">
        <v>0.92367100000000002</v>
      </c>
      <c r="I179">
        <v>0.68441399999999997</v>
      </c>
      <c r="J179" s="4">
        <f t="shared" si="23"/>
        <v>0.74097162301295583</v>
      </c>
      <c r="L179" s="4"/>
      <c r="M179" s="4"/>
      <c r="N179">
        <v>0.93348200000000003</v>
      </c>
      <c r="O179">
        <v>0.677319</v>
      </c>
      <c r="P179" s="4">
        <f t="shared" si="33"/>
        <v>1.0106217473537655</v>
      </c>
      <c r="Q179" s="4">
        <f t="shared" si="34"/>
        <v>0.98963346746267611</v>
      </c>
      <c r="R179">
        <v>0.62084499999999998</v>
      </c>
      <c r="S179" s="4">
        <f t="shared" si="25"/>
        <v>0.9166212670838999</v>
      </c>
      <c r="U179" s="8">
        <v>1</v>
      </c>
      <c r="V179" s="8">
        <v>128</v>
      </c>
      <c r="W179" s="8">
        <f>16384</f>
        <v>16384</v>
      </c>
      <c r="X179" s="8">
        <v>16</v>
      </c>
      <c r="Y179" s="8">
        <v>1</v>
      </c>
      <c r="Z179" s="8">
        <v>0.39113799999999999</v>
      </c>
      <c r="AA179" s="8">
        <v>0.61861500000000003</v>
      </c>
      <c r="AB179">
        <v>0.37170599999999998</v>
      </c>
      <c r="AC179" s="4">
        <f t="shared" si="26"/>
        <v>0.6008680681845735</v>
      </c>
      <c r="AE179" s="5">
        <f t="shared" si="27"/>
        <v>1.5815773461029101</v>
      </c>
      <c r="AF179" s="5">
        <f t="shared" si="28"/>
        <v>0.95031932463734026</v>
      </c>
      <c r="AI179">
        <v>0.61044900000000002</v>
      </c>
      <c r="AJ179">
        <v>0.349408</v>
      </c>
      <c r="AK179" s="4">
        <f t="shared" si="29"/>
        <v>0.98679954414296456</v>
      </c>
      <c r="AL179" s="4">
        <f t="shared" si="30"/>
        <v>0.94001172970035463</v>
      </c>
      <c r="AN179">
        <v>0.376915</v>
      </c>
      <c r="AO179" s="4">
        <f t="shared" si="31"/>
        <v>1.0787245855847605</v>
      </c>
      <c r="AQ179" s="4"/>
    </row>
    <row r="180" spans="2:43" x14ac:dyDescent="0.25">
      <c r="B180">
        <v>2</v>
      </c>
      <c r="C180">
        <v>576</v>
      </c>
      <c r="D180">
        <v>16384</v>
      </c>
      <c r="E180">
        <v>16</v>
      </c>
      <c r="F180">
        <v>1</v>
      </c>
      <c r="H180">
        <v>1.243007</v>
      </c>
      <c r="I180">
        <v>0.98672899999999997</v>
      </c>
      <c r="J180" s="4">
        <f t="shared" si="23"/>
        <v>0.79382416993629157</v>
      </c>
      <c r="L180" s="4"/>
      <c r="M180" s="4"/>
      <c r="N180">
        <v>1.098481</v>
      </c>
      <c r="O180">
        <v>0.84333199999999997</v>
      </c>
      <c r="P180" s="4">
        <f t="shared" si="33"/>
        <v>0.88372873201840385</v>
      </c>
      <c r="Q180" s="4">
        <f t="shared" si="34"/>
        <v>0.85467438374670246</v>
      </c>
      <c r="R180">
        <v>0.61505900000000002</v>
      </c>
      <c r="S180" s="4">
        <f t="shared" si="25"/>
        <v>0.72932012540731295</v>
      </c>
      <c r="U180" s="8">
        <v>2</v>
      </c>
      <c r="V180" s="8">
        <v>128</v>
      </c>
      <c r="W180" s="8">
        <f>16384</f>
        <v>16384</v>
      </c>
      <c r="X180" s="8">
        <v>16</v>
      </c>
      <c r="Y180" s="8">
        <v>1</v>
      </c>
      <c r="Z180" s="8">
        <v>0.67436700000000005</v>
      </c>
      <c r="AA180" s="8">
        <v>0.68911999999999995</v>
      </c>
      <c r="AB180">
        <v>0.424929</v>
      </c>
      <c r="AC180" s="4">
        <f t="shared" si="26"/>
        <v>0.61662555142790809</v>
      </c>
      <c r="AE180" s="5">
        <f t="shared" si="27"/>
        <v>1.02187681188433</v>
      </c>
      <c r="AF180" s="5">
        <f t="shared" si="28"/>
        <v>0.63011535261956764</v>
      </c>
      <c r="AI180">
        <v>0.63445499999999999</v>
      </c>
      <c r="AJ180">
        <v>0.37860500000000002</v>
      </c>
      <c r="AK180" s="4">
        <f t="shared" si="29"/>
        <v>0.92067419317390298</v>
      </c>
      <c r="AL180" s="4">
        <f t="shared" si="30"/>
        <v>0.89098414088000588</v>
      </c>
      <c r="AN180">
        <v>0.37642199999999998</v>
      </c>
      <c r="AO180" s="4">
        <f t="shared" si="31"/>
        <v>0.99423409622165571</v>
      </c>
      <c r="AQ180" s="4"/>
    </row>
    <row r="181" spans="2:43" x14ac:dyDescent="0.25">
      <c r="B181">
        <v>4</v>
      </c>
      <c r="C181">
        <v>576</v>
      </c>
      <c r="D181">
        <v>16384</v>
      </c>
      <c r="E181">
        <v>16</v>
      </c>
      <c r="F181">
        <v>1</v>
      </c>
      <c r="H181">
        <v>1.328945</v>
      </c>
      <c r="I181">
        <v>1.0569770000000001</v>
      </c>
      <c r="J181" s="4">
        <f t="shared" si="23"/>
        <v>0.79535044715921277</v>
      </c>
      <c r="L181" s="4"/>
      <c r="M181" s="4"/>
      <c r="N181">
        <v>1.795382</v>
      </c>
      <c r="O181">
        <v>1.2617240000000001</v>
      </c>
      <c r="P181" s="4">
        <f t="shared" si="33"/>
        <v>1.3509829225438224</v>
      </c>
      <c r="Q181" s="4">
        <f t="shared" si="34"/>
        <v>1.1937099861207954</v>
      </c>
      <c r="R181">
        <v>0.74863400000000002</v>
      </c>
      <c r="S181" s="4">
        <f t="shared" si="25"/>
        <v>0.59334212553617116</v>
      </c>
      <c r="U181">
        <v>4</v>
      </c>
      <c r="V181">
        <v>128</v>
      </c>
      <c r="W181">
        <f>16384</f>
        <v>16384</v>
      </c>
      <c r="X181">
        <v>16</v>
      </c>
      <c r="Y181">
        <v>1</v>
      </c>
      <c r="Z181">
        <v>1.306937</v>
      </c>
      <c r="AA181">
        <v>0.70306599999999997</v>
      </c>
      <c r="AB181">
        <v>0.442131</v>
      </c>
      <c r="AC181" s="4">
        <f t="shared" si="26"/>
        <v>0.62886130178390087</v>
      </c>
      <c r="AE181" s="5">
        <f t="shared" si="27"/>
        <v>0.53794941913803029</v>
      </c>
      <c r="AF181" s="5">
        <f t="shared" si="28"/>
        <v>0.33829557201303506</v>
      </c>
      <c r="AI181">
        <v>0.75027600000000005</v>
      </c>
      <c r="AJ181">
        <v>0.46564499999999998</v>
      </c>
      <c r="AK181" s="4">
        <f t="shared" si="29"/>
        <v>1.0671487456369673</v>
      </c>
      <c r="AL181" s="4">
        <f t="shared" si="30"/>
        <v>1.0531833325417128</v>
      </c>
      <c r="AN181">
        <v>0.37673000000000001</v>
      </c>
      <c r="AO181" s="4">
        <f t="shared" si="31"/>
        <v>0.80904981262549802</v>
      </c>
      <c r="AQ181" s="4"/>
    </row>
    <row r="182" spans="2:43" x14ac:dyDescent="0.25">
      <c r="B182">
        <v>8</v>
      </c>
      <c r="C182">
        <v>576</v>
      </c>
      <c r="D182">
        <v>16384</v>
      </c>
      <c r="E182">
        <v>16</v>
      </c>
      <c r="F182">
        <v>1</v>
      </c>
      <c r="H182">
        <v>1.7718039999999999</v>
      </c>
      <c r="I182">
        <v>1.477171</v>
      </c>
      <c r="J182" s="4">
        <f t="shared" si="23"/>
        <v>0.8337101620721028</v>
      </c>
      <c r="L182" s="4"/>
      <c r="M182" s="4"/>
      <c r="N182">
        <v>1.8647560000000001</v>
      </c>
      <c r="O182">
        <v>1.2595270000000001</v>
      </c>
      <c r="P182" s="4">
        <f t="shared" si="33"/>
        <v>1.0524617847120787</v>
      </c>
      <c r="Q182" s="4">
        <f t="shared" si="34"/>
        <v>0.85266160789779932</v>
      </c>
      <c r="R182">
        <v>0.75242200000000004</v>
      </c>
      <c r="S182" s="4">
        <f t="shared" si="25"/>
        <v>0.59738457373283782</v>
      </c>
      <c r="U182">
        <v>8</v>
      </c>
      <c r="V182">
        <v>128</v>
      </c>
      <c r="W182">
        <f>16384</f>
        <v>16384</v>
      </c>
      <c r="X182">
        <v>16</v>
      </c>
      <c r="Y182">
        <v>1</v>
      </c>
      <c r="Z182">
        <v>2.5934469999999998</v>
      </c>
      <c r="AA182">
        <v>0.80169400000000002</v>
      </c>
      <c r="AB182">
        <v>0.50981600000000005</v>
      </c>
      <c r="AC182" s="4">
        <f t="shared" si="26"/>
        <v>0.63592343213245961</v>
      </c>
      <c r="AE182" s="5">
        <f t="shared" si="27"/>
        <v>0.30912295489362229</v>
      </c>
      <c r="AF182" s="5">
        <f t="shared" si="28"/>
        <v>0.19657853042687978</v>
      </c>
      <c r="AI182">
        <v>0.77161400000000002</v>
      </c>
      <c r="AJ182">
        <v>0.46935700000000002</v>
      </c>
      <c r="AK182" s="4">
        <f t="shared" si="29"/>
        <v>0.96247944976512234</v>
      </c>
      <c r="AL182" s="4">
        <f t="shared" si="30"/>
        <v>0.92063999560625787</v>
      </c>
      <c r="AN182">
        <v>0.37891799999999998</v>
      </c>
      <c r="AO182" s="4">
        <f t="shared" si="31"/>
        <v>0.80731298350722358</v>
      </c>
      <c r="AQ182" s="4"/>
    </row>
    <row r="183" spans="2:43" x14ac:dyDescent="0.25">
      <c r="B183">
        <v>16</v>
      </c>
      <c r="C183">
        <v>576</v>
      </c>
      <c r="D183">
        <v>16384</v>
      </c>
      <c r="E183">
        <v>16</v>
      </c>
      <c r="F183">
        <v>1</v>
      </c>
      <c r="H183">
        <v>2.1905990000000002</v>
      </c>
      <c r="I183">
        <v>1.627383</v>
      </c>
      <c r="J183" s="4">
        <f t="shared" si="23"/>
        <v>0.74289406687394632</v>
      </c>
      <c r="L183" s="4"/>
      <c r="M183" s="4"/>
      <c r="N183">
        <v>1.8516710000000001</v>
      </c>
      <c r="O183">
        <v>1.2567200000000001</v>
      </c>
      <c r="P183" s="4">
        <f t="shared" si="33"/>
        <v>0.84528067437262588</v>
      </c>
      <c r="Q183" s="4">
        <f t="shared" si="34"/>
        <v>0.77223370282226134</v>
      </c>
      <c r="R183">
        <v>0.75974399999999997</v>
      </c>
      <c r="S183" s="4">
        <f t="shared" si="25"/>
        <v>0.60454516519192814</v>
      </c>
      <c r="U183">
        <v>16</v>
      </c>
      <c r="V183">
        <v>128</v>
      </c>
      <c r="W183">
        <f>16384</f>
        <v>16384</v>
      </c>
      <c r="X183">
        <v>16</v>
      </c>
      <c r="Y183">
        <v>1</v>
      </c>
      <c r="Z183">
        <v>5.2137450000000003</v>
      </c>
      <c r="AA183">
        <v>0.902223</v>
      </c>
      <c r="AB183">
        <v>0.56533199999999995</v>
      </c>
      <c r="AC183" s="4">
        <f t="shared" si="26"/>
        <v>0.62659896721763908</v>
      </c>
      <c r="AE183" s="5">
        <f t="shared" si="27"/>
        <v>0.17304701323137206</v>
      </c>
      <c r="AF183" s="5">
        <f t="shared" si="28"/>
        <v>0.10843107977087485</v>
      </c>
      <c r="AI183">
        <v>0.76613200000000004</v>
      </c>
      <c r="AJ183">
        <v>0.47299200000000002</v>
      </c>
      <c r="AK183" s="4">
        <f t="shared" si="29"/>
        <v>0.84916035170905646</v>
      </c>
      <c r="AL183" s="4">
        <f t="shared" si="30"/>
        <v>0.8366623506187516</v>
      </c>
      <c r="AN183">
        <v>0.37899500000000003</v>
      </c>
      <c r="AO183" s="4">
        <f t="shared" si="31"/>
        <v>0.80127148027873618</v>
      </c>
      <c r="AQ183" s="4"/>
    </row>
    <row r="184" spans="2:43" x14ac:dyDescent="0.25">
      <c r="B184">
        <v>32</v>
      </c>
      <c r="C184">
        <v>576</v>
      </c>
      <c r="D184">
        <v>16384</v>
      </c>
      <c r="E184">
        <v>16</v>
      </c>
      <c r="F184">
        <v>1</v>
      </c>
      <c r="H184">
        <v>3.8674849999999998</v>
      </c>
      <c r="I184">
        <v>3.113823</v>
      </c>
      <c r="J184" s="4">
        <f t="shared" si="23"/>
        <v>0.80512865596117378</v>
      </c>
      <c r="N184">
        <v>2.7295199999999999</v>
      </c>
      <c r="O184">
        <v>2.3814869999999999</v>
      </c>
      <c r="P184" s="4">
        <f t="shared" si="33"/>
        <v>0.70576097903417856</v>
      </c>
      <c r="Q184" s="4">
        <f t="shared" si="34"/>
        <v>0.7648112946689648</v>
      </c>
      <c r="R184">
        <v>1.4038470000000001</v>
      </c>
      <c r="S184" s="4">
        <f t="shared" si="25"/>
        <v>0.58948337740243806</v>
      </c>
      <c r="U184">
        <v>32</v>
      </c>
      <c r="V184">
        <v>128</v>
      </c>
      <c r="W184">
        <f>16384</f>
        <v>16384</v>
      </c>
      <c r="X184">
        <v>16</v>
      </c>
      <c r="Y184">
        <v>1</v>
      </c>
      <c r="Z184">
        <v>10.440274</v>
      </c>
      <c r="AA184">
        <v>1.455519</v>
      </c>
      <c r="AB184">
        <v>1.0184200000000001</v>
      </c>
      <c r="AC184" s="4">
        <f t="shared" si="26"/>
        <v>0.69969543509909526</v>
      </c>
      <c r="AE184" s="5">
        <f t="shared" si="27"/>
        <v>0.13941386978924117</v>
      </c>
      <c r="AF184" s="5">
        <f t="shared" si="28"/>
        <v>9.7547248281031715E-2</v>
      </c>
      <c r="AI184">
        <v>1.260313</v>
      </c>
      <c r="AJ184">
        <v>0.84203499999999998</v>
      </c>
      <c r="AK184" s="4">
        <f t="shared" si="29"/>
        <v>0.86588563941796703</v>
      </c>
      <c r="AL184" s="4">
        <f t="shared" si="30"/>
        <v>0.8268052473439248</v>
      </c>
      <c r="AN184">
        <v>0.70670699999999997</v>
      </c>
      <c r="AO184" s="4">
        <f t="shared" si="31"/>
        <v>0.83928459030800384</v>
      </c>
      <c r="AQ184" s="4"/>
    </row>
    <row r="185" spans="2:43" x14ac:dyDescent="0.25">
      <c r="B185">
        <v>64</v>
      </c>
      <c r="C185">
        <v>576</v>
      </c>
      <c r="D185">
        <v>16384</v>
      </c>
      <c r="E185">
        <v>16</v>
      </c>
      <c r="F185">
        <v>1</v>
      </c>
      <c r="H185">
        <v>7.6328769999999997</v>
      </c>
      <c r="I185">
        <v>6.0532360000000001</v>
      </c>
      <c r="J185" s="4">
        <f t="shared" si="23"/>
        <v>0.79304775905598901</v>
      </c>
      <c r="N185">
        <v>4.8563299999999998</v>
      </c>
      <c r="O185">
        <v>4.6263610000000002</v>
      </c>
      <c r="P185" s="4">
        <f t="shared" si="33"/>
        <v>0.63623847207285011</v>
      </c>
      <c r="Q185" s="4">
        <f t="shared" si="34"/>
        <v>0.76427897408923096</v>
      </c>
      <c r="R185">
        <v>2.6657350000000002</v>
      </c>
      <c r="S185" s="4">
        <f t="shared" si="25"/>
        <v>0.57620557496485902</v>
      </c>
      <c r="U185">
        <v>64</v>
      </c>
      <c r="V185">
        <v>128</v>
      </c>
      <c r="W185">
        <f>16384</f>
        <v>16384</v>
      </c>
      <c r="X185">
        <v>16</v>
      </c>
      <c r="Y185">
        <v>1</v>
      </c>
      <c r="Z185">
        <v>20.889731999999999</v>
      </c>
      <c r="AA185">
        <v>2.411397</v>
      </c>
      <c r="AB185">
        <v>1.8884669999999999</v>
      </c>
      <c r="AC185" s="4">
        <f t="shared" si="26"/>
        <v>0.78314230298868248</v>
      </c>
      <c r="AE185" s="5">
        <f t="shared" si="27"/>
        <v>0.11543455894982282</v>
      </c>
      <c r="AF185" s="5">
        <f t="shared" si="28"/>
        <v>9.0401686340447068E-2</v>
      </c>
      <c r="AI185">
        <v>2.2175940000000001</v>
      </c>
      <c r="AJ185">
        <v>1.499296</v>
      </c>
      <c r="AK185" s="4">
        <f t="shared" si="29"/>
        <v>0.9196304051137163</v>
      </c>
      <c r="AL185" s="4">
        <f t="shared" si="30"/>
        <v>0.79392226604965832</v>
      </c>
      <c r="AN185">
        <v>1.3458749999999999</v>
      </c>
      <c r="AO185" s="4">
        <f t="shared" si="31"/>
        <v>0.89767130706678333</v>
      </c>
      <c r="AQ185" s="4"/>
    </row>
    <row r="186" spans="2:43" x14ac:dyDescent="0.25">
      <c r="B186">
        <v>128</v>
      </c>
      <c r="C186">
        <v>576</v>
      </c>
      <c r="D186">
        <v>16384</v>
      </c>
      <c r="E186">
        <v>16</v>
      </c>
      <c r="F186">
        <v>1</v>
      </c>
      <c r="H186">
        <v>15.121753</v>
      </c>
      <c r="I186">
        <v>11.989922999999999</v>
      </c>
      <c r="J186" s="4">
        <f t="shared" si="23"/>
        <v>0.79289239812341861</v>
      </c>
      <c r="N186">
        <v>8.7646499999999996</v>
      </c>
      <c r="O186">
        <v>8.8957029999999992</v>
      </c>
      <c r="P186" s="4">
        <f t="shared" si="33"/>
        <v>0.57960542008588556</v>
      </c>
      <c r="Q186" s="4">
        <f t="shared" si="34"/>
        <v>0.7419316204115739</v>
      </c>
      <c r="R186">
        <v>5.1330939999999998</v>
      </c>
      <c r="S186" s="4">
        <f t="shared" si="25"/>
        <v>0.57703073045491737</v>
      </c>
      <c r="U186">
        <v>128</v>
      </c>
      <c r="V186">
        <v>128</v>
      </c>
      <c r="W186">
        <f>16384</f>
        <v>16384</v>
      </c>
      <c r="X186">
        <v>16</v>
      </c>
      <c r="Y186">
        <v>1</v>
      </c>
      <c r="Z186">
        <v>42.323906000000001</v>
      </c>
      <c r="AA186">
        <v>4.3425989999999999</v>
      </c>
      <c r="AB186">
        <v>3.5855410000000001</v>
      </c>
      <c r="AC186" s="4">
        <f t="shared" si="26"/>
        <v>0.8256670717236384</v>
      </c>
      <c r="AE186" s="5">
        <f t="shared" si="27"/>
        <v>0.10260392790778809</v>
      </c>
      <c r="AF186" s="5">
        <f t="shared" si="28"/>
        <v>8.4716684702966685E-2</v>
      </c>
      <c r="AI186">
        <v>4.1347420000000001</v>
      </c>
      <c r="AJ186">
        <v>2.7733639999999999</v>
      </c>
      <c r="AK186" s="4">
        <f t="shared" si="29"/>
        <v>0.95213534567663283</v>
      </c>
      <c r="AL186" s="4">
        <f t="shared" si="30"/>
        <v>0.77348550748687572</v>
      </c>
      <c r="AN186">
        <v>2.6247929999999999</v>
      </c>
      <c r="AO186" s="4">
        <f t="shared" si="31"/>
        <v>0.94642931832965305</v>
      </c>
      <c r="AQ186" s="4"/>
    </row>
    <row r="187" spans="2:43" x14ac:dyDescent="0.25">
      <c r="B187">
        <v>256</v>
      </c>
      <c r="C187">
        <v>576</v>
      </c>
      <c r="D187">
        <v>16384</v>
      </c>
      <c r="E187">
        <v>16</v>
      </c>
      <c r="F187">
        <v>1</v>
      </c>
      <c r="H187">
        <v>30.014572000000001</v>
      </c>
      <c r="I187">
        <v>23.873218999999999</v>
      </c>
      <c r="J187" s="4">
        <f t="shared" si="23"/>
        <v>0.79538762038652422</v>
      </c>
      <c r="N187">
        <v>16.853973</v>
      </c>
      <c r="O187">
        <v>17.550813999999999</v>
      </c>
      <c r="P187" s="4">
        <f t="shared" si="33"/>
        <v>0.5615263479352629</v>
      </c>
      <c r="Q187" s="4">
        <f t="shared" si="34"/>
        <v>0.73516746945604616</v>
      </c>
      <c r="R187">
        <v>10.293340000000001</v>
      </c>
      <c r="S187" s="4">
        <f t="shared" si="25"/>
        <v>0.58648789737045826</v>
      </c>
      <c r="U187">
        <v>256</v>
      </c>
      <c r="V187">
        <v>128</v>
      </c>
      <c r="W187">
        <f>16384</f>
        <v>16384</v>
      </c>
      <c r="X187">
        <v>16</v>
      </c>
      <c r="Y187">
        <v>1</v>
      </c>
      <c r="Z187">
        <v>85.608215000000001</v>
      </c>
      <c r="AA187">
        <v>8.1776940000000007</v>
      </c>
      <c r="AB187">
        <v>6.9129670000000001</v>
      </c>
      <c r="AC187" s="4">
        <f t="shared" si="26"/>
        <v>0.84534429877175643</v>
      </c>
      <c r="AE187" s="5">
        <f t="shared" si="27"/>
        <v>9.5524640947133407E-2</v>
      </c>
      <c r="AF187" s="5">
        <f t="shared" si="28"/>
        <v>8.0751210616878302E-2</v>
      </c>
      <c r="AI187">
        <v>7.9634539999999996</v>
      </c>
      <c r="AJ187">
        <v>5.3458699999999997</v>
      </c>
      <c r="AK187" s="4">
        <f t="shared" si="29"/>
        <v>0.97380190552495594</v>
      </c>
      <c r="AL187" s="4">
        <f t="shared" si="30"/>
        <v>0.7733105047369675</v>
      </c>
      <c r="AN187">
        <v>5.1840619999999999</v>
      </c>
      <c r="AO187" s="4">
        <f t="shared" si="31"/>
        <v>0.96973214836874078</v>
      </c>
      <c r="AQ187" s="4"/>
    </row>
    <row r="188" spans="2:43" x14ac:dyDescent="0.25">
      <c r="B188">
        <v>512</v>
      </c>
      <c r="C188">
        <v>576</v>
      </c>
      <c r="D188">
        <v>16384</v>
      </c>
      <c r="E188">
        <v>16</v>
      </c>
      <c r="F188">
        <v>1</v>
      </c>
      <c r="H188">
        <v>55.773335000000003</v>
      </c>
      <c r="I188">
        <v>47.962569999999999</v>
      </c>
      <c r="J188" s="4">
        <f t="shared" si="23"/>
        <v>0.85995520977900997</v>
      </c>
      <c r="N188">
        <v>33.102074000000002</v>
      </c>
      <c r="O188">
        <v>34.854370000000003</v>
      </c>
      <c r="P188" s="4">
        <f t="shared" si="33"/>
        <v>0.5935107520466546</v>
      </c>
      <c r="Q188" s="4">
        <f t="shared" si="34"/>
        <v>0.72669938245594434</v>
      </c>
      <c r="R188">
        <v>20.899792000000001</v>
      </c>
      <c r="S188" s="4">
        <f t="shared" si="25"/>
        <v>0.59963189694721208</v>
      </c>
      <c r="U188">
        <v>512</v>
      </c>
      <c r="V188">
        <v>128</v>
      </c>
      <c r="W188">
        <f>16384</f>
        <v>16384</v>
      </c>
      <c r="X188">
        <v>16</v>
      </c>
      <c r="Y188">
        <v>1</v>
      </c>
      <c r="Z188">
        <v>171.925095</v>
      </c>
      <c r="AA188">
        <v>15.844125</v>
      </c>
      <c r="AB188">
        <v>13.520142999999999</v>
      </c>
      <c r="AC188" s="4">
        <f t="shared" si="26"/>
        <v>0.85332216200011035</v>
      </c>
      <c r="AE188" s="5">
        <f t="shared" si="27"/>
        <v>9.215713971250096E-2</v>
      </c>
      <c r="AF188" s="5">
        <f t="shared" si="28"/>
        <v>7.8639729703217545E-2</v>
      </c>
      <c r="AI188">
        <v>15.628216999999999</v>
      </c>
      <c r="AJ188">
        <v>10.39246</v>
      </c>
      <c r="AK188" s="4">
        <f t="shared" si="29"/>
        <v>0.9863729931441465</v>
      </c>
      <c r="AL188" s="4">
        <f t="shared" si="30"/>
        <v>0.76866494681306263</v>
      </c>
      <c r="AN188">
        <v>10.305728999999999</v>
      </c>
      <c r="AO188" s="4">
        <f t="shared" si="31"/>
        <v>0.9916544302311483</v>
      </c>
      <c r="AQ188" s="4"/>
    </row>
  </sheetData>
  <mergeCells count="6">
    <mergeCell ref="AI7:AJ7"/>
    <mergeCell ref="Z7:AB7"/>
    <mergeCell ref="N7:O7"/>
    <mergeCell ref="G7:I7"/>
    <mergeCell ref="B5:Q5"/>
    <mergeCell ref="U5:AL5"/>
  </mergeCells>
  <phoneticPr fontId="1" type="noConversion"/>
  <conditionalFormatting sqref="AC9:AC188">
    <cfRule type="expression" dxfId="14" priority="67">
      <formula>$J$9&lt;1</formula>
    </cfRule>
  </conditionalFormatting>
  <conditionalFormatting sqref="AC10">
    <cfRule type="cellIs" dxfId="13" priority="66" operator="lessThan">
      <formula>1</formula>
    </cfRule>
  </conditionalFormatting>
  <conditionalFormatting sqref="AC9:AC188">
    <cfRule type="cellIs" dxfId="12" priority="65" operator="lessThan">
      <formula>$J$7</formula>
    </cfRule>
  </conditionalFormatting>
  <conditionalFormatting sqref="AC9:AC188">
    <cfRule type="cellIs" dxfId="11" priority="64" operator="lessThan">
      <formula>$J$7</formula>
    </cfRule>
  </conditionalFormatting>
  <conditionalFormatting sqref="AE9:AE188">
    <cfRule type="cellIs" dxfId="10" priority="63" operator="greaterThan">
      <formula>$AE$7</formula>
    </cfRule>
  </conditionalFormatting>
  <conditionalFormatting sqref="AF9:AF188">
    <cfRule type="cellIs" dxfId="9" priority="62" operator="greaterThan">
      <formula>$AE$7</formula>
    </cfRule>
  </conditionalFormatting>
  <conditionalFormatting sqref="J9:J188">
    <cfRule type="expression" dxfId="8" priority="61">
      <formula>$J$9&lt;1</formula>
    </cfRule>
  </conditionalFormatting>
  <conditionalFormatting sqref="J9:J188">
    <cfRule type="cellIs" dxfId="7" priority="60" operator="lessThan">
      <formula>$J$7</formula>
    </cfRule>
  </conditionalFormatting>
  <conditionalFormatting sqref="J9:J188">
    <cfRule type="cellIs" dxfId="6" priority="59" operator="lessThan">
      <formula>$J$7</formula>
    </cfRule>
  </conditionalFormatting>
  <conditionalFormatting sqref="AL9:AL188">
    <cfRule type="cellIs" dxfId="5" priority="6" operator="greaterThan">
      <formula>$AL$7</formula>
    </cfRule>
  </conditionalFormatting>
  <conditionalFormatting sqref="AK9:AK188">
    <cfRule type="cellIs" dxfId="4" priority="5" operator="greaterThan">
      <formula>$AK$7</formula>
    </cfRule>
  </conditionalFormatting>
  <conditionalFormatting sqref="P9:P188">
    <cfRule type="cellIs" dxfId="3" priority="4" operator="greaterThan">
      <formula>$P$7</formula>
    </cfRule>
  </conditionalFormatting>
  <conditionalFormatting sqref="Q9:Q188 R9:R137 S9:S188">
    <cfRule type="cellIs" dxfId="2" priority="3" operator="greaterThan">
      <formula>$Q$7</formula>
    </cfRule>
  </conditionalFormatting>
  <conditionalFormatting sqref="AO9:AO188">
    <cfRule type="cellIs" dxfId="1" priority="2" operator="greaterThan">
      <formula>$AL$7</formula>
    </cfRule>
  </conditionalFormatting>
  <conditionalFormatting sqref="AQ9:AQ188">
    <cfRule type="cellIs" dxfId="0" priority="1" operator="greaterThan">
      <formula>$AL$7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X176"/>
  <sheetViews>
    <sheetView topLeftCell="A10" workbookViewId="0">
      <selection activeCell="H101" sqref="H101"/>
    </sheetView>
  </sheetViews>
  <sheetFormatPr defaultRowHeight="13.8" x14ac:dyDescent="0.25"/>
  <cols>
    <col min="2" max="2" width="4.33203125" customWidth="1"/>
    <col min="4" max="7" width="13.5546875" customWidth="1"/>
    <col min="8" max="8" width="32.21875" bestFit="1" customWidth="1"/>
    <col min="9" max="9" width="20.44140625" customWidth="1"/>
    <col min="10" max="10" width="10.21875" bestFit="1" customWidth="1"/>
    <col min="11" max="11" width="25.88671875" bestFit="1" customWidth="1"/>
    <col min="19" max="20" width="10.21875" bestFit="1" customWidth="1"/>
  </cols>
  <sheetData>
    <row r="3" spans="3:22" x14ac:dyDescent="0.25">
      <c r="C3" t="s">
        <v>20</v>
      </c>
      <c r="E3" s="3"/>
    </row>
    <row r="5" spans="3:22" x14ac:dyDescent="0.25">
      <c r="C5" s="6" t="s">
        <v>13</v>
      </c>
      <c r="D5" s="1"/>
      <c r="E5" s="3"/>
      <c r="U5">
        <v>7.0548E-2</v>
      </c>
      <c r="V5">
        <v>7.0548E-2</v>
      </c>
    </row>
    <row r="6" spans="3:22" x14ac:dyDescent="0.25">
      <c r="D6" t="s">
        <v>9</v>
      </c>
      <c r="E6" t="s">
        <v>7</v>
      </c>
      <c r="F6" t="s">
        <v>8</v>
      </c>
      <c r="G6" t="s">
        <v>10</v>
      </c>
      <c r="H6" t="s">
        <v>11</v>
      </c>
      <c r="I6" t="s">
        <v>12</v>
      </c>
      <c r="R6" s="3"/>
      <c r="U6">
        <v>7.4644000000000002E-2</v>
      </c>
      <c r="V6">
        <v>7.4644000000000002E-2</v>
      </c>
    </row>
    <row r="7" spans="3:22" x14ac:dyDescent="0.25">
      <c r="D7">
        <v>1</v>
      </c>
      <c r="E7">
        <v>8</v>
      </c>
      <c r="F7">
        <v>1</v>
      </c>
      <c r="G7">
        <v>5.2999999999999999E-2</v>
      </c>
      <c r="H7">
        <v>6.0434000000000002E-2</v>
      </c>
      <c r="I7" s="4">
        <f>H7/G7</f>
        <v>1.1402641509433964</v>
      </c>
      <c r="R7" s="1"/>
      <c r="U7">
        <v>6.8915000000000004E-2</v>
      </c>
      <c r="V7">
        <v>6.8915000000000004E-2</v>
      </c>
    </row>
    <row r="8" spans="3:22" x14ac:dyDescent="0.25">
      <c r="D8">
        <v>1</v>
      </c>
      <c r="E8">
        <v>16</v>
      </c>
      <c r="F8">
        <v>1</v>
      </c>
      <c r="G8">
        <v>7.1999999999999995E-2</v>
      </c>
      <c r="H8">
        <v>6.0533999999999998E-2</v>
      </c>
      <c r="I8" s="4">
        <f t="shared" ref="I8:I26" si="0">H8/G8</f>
        <v>0.84075</v>
      </c>
      <c r="R8" s="1"/>
      <c r="U8">
        <v>7.6747999999999997E-2</v>
      </c>
      <c r="V8">
        <v>7.6747999999999997E-2</v>
      </c>
    </row>
    <row r="9" spans="3:22" x14ac:dyDescent="0.25">
      <c r="D9">
        <v>2</v>
      </c>
      <c r="E9">
        <v>8</v>
      </c>
      <c r="F9">
        <v>1</v>
      </c>
      <c r="G9">
        <v>5.6000000000000001E-2</v>
      </c>
      <c r="H9">
        <v>6.5077999999999997E-2</v>
      </c>
      <c r="I9" s="4">
        <f t="shared" si="0"/>
        <v>1.1621071428571428</v>
      </c>
      <c r="R9" s="1"/>
      <c r="U9">
        <v>6.8151000000000003E-2</v>
      </c>
      <c r="V9">
        <v>6.8151000000000003E-2</v>
      </c>
    </row>
    <row r="10" spans="3:22" x14ac:dyDescent="0.25">
      <c r="D10">
        <v>2</v>
      </c>
      <c r="E10">
        <v>16</v>
      </c>
      <c r="F10">
        <v>1</v>
      </c>
      <c r="G10">
        <v>5.6000000000000001E-2</v>
      </c>
      <c r="H10">
        <v>5.9159000000000003E-2</v>
      </c>
      <c r="I10" s="4">
        <f t="shared" si="0"/>
        <v>1.0564107142857144</v>
      </c>
      <c r="R10" s="1"/>
      <c r="U10">
        <v>7.5291999999999998E-2</v>
      </c>
      <c r="V10">
        <v>7.5291999999999998E-2</v>
      </c>
    </row>
    <row r="11" spans="3:22" x14ac:dyDescent="0.25">
      <c r="D11">
        <v>4</v>
      </c>
      <c r="E11">
        <v>8</v>
      </c>
      <c r="F11">
        <v>1</v>
      </c>
      <c r="G11">
        <v>5.6000000000000001E-2</v>
      </c>
      <c r="H11">
        <v>5.9808E-2</v>
      </c>
      <c r="I11" s="4">
        <f t="shared" si="0"/>
        <v>1.0680000000000001</v>
      </c>
      <c r="R11" s="1"/>
      <c r="U11">
        <v>7.3956999999999995E-2</v>
      </c>
      <c r="V11">
        <v>7.3956999999999995E-2</v>
      </c>
    </row>
    <row r="12" spans="3:22" x14ac:dyDescent="0.25">
      <c r="D12">
        <v>4</v>
      </c>
      <c r="E12">
        <v>16</v>
      </c>
      <c r="F12">
        <v>1</v>
      </c>
      <c r="G12">
        <v>5.5E-2</v>
      </c>
      <c r="H12">
        <v>5.9330000000000001E-2</v>
      </c>
      <c r="I12" s="4">
        <f t="shared" si="0"/>
        <v>1.0787272727272728</v>
      </c>
      <c r="R12" s="1"/>
      <c r="U12">
        <v>7.4459999999999998E-2</v>
      </c>
      <c r="V12">
        <v>7.4459999999999998E-2</v>
      </c>
    </row>
    <row r="13" spans="3:22" x14ac:dyDescent="0.25">
      <c r="D13">
        <v>8</v>
      </c>
      <c r="E13">
        <v>8</v>
      </c>
      <c r="F13">
        <v>1</v>
      </c>
      <c r="G13">
        <v>5.7000000000000002E-2</v>
      </c>
      <c r="H13">
        <v>8.2059000000000007E-2</v>
      </c>
      <c r="I13" s="4">
        <f t="shared" si="0"/>
        <v>1.4396315789473686</v>
      </c>
      <c r="R13" s="1"/>
      <c r="U13">
        <v>7.1791999999999995E-2</v>
      </c>
      <c r="V13">
        <v>7.1791999999999995E-2</v>
      </c>
    </row>
    <row r="14" spans="3:22" x14ac:dyDescent="0.25">
      <c r="D14">
        <v>8</v>
      </c>
      <c r="E14">
        <v>16</v>
      </c>
      <c r="F14">
        <v>1</v>
      </c>
      <c r="G14">
        <v>5.7000000000000002E-2</v>
      </c>
      <c r="H14">
        <v>0.128111</v>
      </c>
      <c r="I14" s="4">
        <f t="shared" si="0"/>
        <v>2.2475614035087719</v>
      </c>
      <c r="R14" s="1"/>
      <c r="U14">
        <v>7.8088000000000005E-2</v>
      </c>
      <c r="V14">
        <v>7.8088000000000005E-2</v>
      </c>
    </row>
    <row r="15" spans="3:22" x14ac:dyDescent="0.25">
      <c r="D15">
        <v>16</v>
      </c>
      <c r="E15">
        <v>8</v>
      </c>
      <c r="F15">
        <v>1</v>
      </c>
      <c r="G15">
        <v>6.4000000000000001E-2</v>
      </c>
      <c r="H15">
        <v>8.9982000000000006E-2</v>
      </c>
      <c r="I15" s="4">
        <f t="shared" si="0"/>
        <v>1.40596875</v>
      </c>
      <c r="R15" s="1"/>
      <c r="U15">
        <v>9.2662999999999995E-2</v>
      </c>
      <c r="V15">
        <v>9.2662999999999995E-2</v>
      </c>
    </row>
    <row r="16" spans="3:22" x14ac:dyDescent="0.25">
      <c r="D16">
        <v>16</v>
      </c>
      <c r="E16">
        <v>16</v>
      </c>
      <c r="F16">
        <v>1</v>
      </c>
      <c r="G16">
        <v>6.2E-2</v>
      </c>
      <c r="H16">
        <v>6.3282000000000005E-2</v>
      </c>
      <c r="I16" s="4">
        <f t="shared" si="0"/>
        <v>1.0206774193548387</v>
      </c>
      <c r="R16" s="1"/>
      <c r="U16">
        <v>0.10231899999999999</v>
      </c>
      <c r="V16">
        <v>0.10231899999999999</v>
      </c>
    </row>
    <row r="17" spans="3:22" x14ac:dyDescent="0.25">
      <c r="D17">
        <v>32</v>
      </c>
      <c r="E17">
        <v>8</v>
      </c>
      <c r="F17">
        <v>1</v>
      </c>
      <c r="G17">
        <v>0.06</v>
      </c>
      <c r="H17">
        <v>7.2786000000000003E-2</v>
      </c>
      <c r="I17" s="4">
        <f t="shared" si="0"/>
        <v>1.2131000000000001</v>
      </c>
      <c r="R17" s="1"/>
      <c r="U17">
        <v>0.134489</v>
      </c>
      <c r="V17">
        <v>0.134489</v>
      </c>
    </row>
    <row r="18" spans="3:22" x14ac:dyDescent="0.25">
      <c r="D18">
        <v>32</v>
      </c>
      <c r="E18">
        <v>16</v>
      </c>
      <c r="F18">
        <v>1</v>
      </c>
      <c r="G18">
        <v>6.0999999999999999E-2</v>
      </c>
      <c r="H18">
        <v>6.1845999999999998E-2</v>
      </c>
      <c r="I18" s="4">
        <f t="shared" si="0"/>
        <v>1.0138688524590165</v>
      </c>
      <c r="R18" s="1"/>
      <c r="U18">
        <v>0.15645100000000001</v>
      </c>
      <c r="V18">
        <v>0.15645100000000001</v>
      </c>
    </row>
    <row r="19" spans="3:22" x14ac:dyDescent="0.25">
      <c r="D19">
        <v>64</v>
      </c>
      <c r="E19">
        <v>8</v>
      </c>
      <c r="F19">
        <v>1</v>
      </c>
      <c r="G19">
        <v>6.5000000000000002E-2</v>
      </c>
      <c r="H19">
        <v>9.7002000000000005E-2</v>
      </c>
      <c r="I19" s="4">
        <f t="shared" si="0"/>
        <v>1.4923384615384616</v>
      </c>
      <c r="R19" s="1"/>
      <c r="U19">
        <v>0.22971900000000001</v>
      </c>
      <c r="V19">
        <v>0.22971900000000001</v>
      </c>
    </row>
    <row r="20" spans="3:22" x14ac:dyDescent="0.25">
      <c r="D20">
        <v>64</v>
      </c>
      <c r="E20">
        <v>16</v>
      </c>
      <c r="F20">
        <v>1</v>
      </c>
      <c r="G20">
        <v>6.5000000000000002E-2</v>
      </c>
      <c r="H20">
        <v>8.6098999999999995E-2</v>
      </c>
      <c r="I20" s="4">
        <f t="shared" si="0"/>
        <v>1.3245999999999998</v>
      </c>
      <c r="R20" s="1"/>
      <c r="U20">
        <v>0.27191599999999999</v>
      </c>
      <c r="V20">
        <v>0.27191599999999999</v>
      </c>
    </row>
    <row r="21" spans="3:22" x14ac:dyDescent="0.25">
      <c r="D21">
        <v>128</v>
      </c>
      <c r="E21">
        <v>8</v>
      </c>
      <c r="F21">
        <v>1</v>
      </c>
      <c r="G21">
        <v>7.4999999999999997E-2</v>
      </c>
      <c r="H21">
        <v>8.5969000000000004E-2</v>
      </c>
      <c r="I21" s="4">
        <f t="shared" si="0"/>
        <v>1.1462533333333333</v>
      </c>
      <c r="R21" s="1"/>
      <c r="U21">
        <v>0.40230500000000002</v>
      </c>
      <c r="V21">
        <v>0.40230500000000002</v>
      </c>
    </row>
    <row r="22" spans="3:22" x14ac:dyDescent="0.25">
      <c r="D22">
        <v>128</v>
      </c>
      <c r="E22">
        <v>16</v>
      </c>
      <c r="F22">
        <v>1</v>
      </c>
      <c r="G22">
        <v>8.3000000000000004E-2</v>
      </c>
      <c r="H22">
        <v>6.9716E-2</v>
      </c>
      <c r="I22" s="4">
        <f t="shared" si="0"/>
        <v>0.8399518072289156</v>
      </c>
      <c r="R22" s="1"/>
      <c r="U22">
        <v>0.48702499999999999</v>
      </c>
      <c r="V22">
        <v>0.48702499999999999</v>
      </c>
    </row>
    <row r="23" spans="3:22" x14ac:dyDescent="0.25">
      <c r="D23">
        <v>256</v>
      </c>
      <c r="E23">
        <v>8</v>
      </c>
      <c r="F23">
        <v>1</v>
      </c>
      <c r="G23">
        <v>0.107</v>
      </c>
      <c r="H23">
        <v>6.4827999999999997E-2</v>
      </c>
      <c r="I23" s="4">
        <f t="shared" si="0"/>
        <v>0.60586915887850468</v>
      </c>
      <c r="R23" s="1"/>
      <c r="U23">
        <v>1.650935</v>
      </c>
      <c r="V23">
        <v>1.650935</v>
      </c>
    </row>
    <row r="24" spans="3:22" x14ac:dyDescent="0.25">
      <c r="D24">
        <v>256</v>
      </c>
      <c r="E24">
        <v>16</v>
      </c>
      <c r="F24">
        <v>1</v>
      </c>
      <c r="G24">
        <v>0.125</v>
      </c>
      <c r="H24">
        <v>6.4890000000000003E-2</v>
      </c>
      <c r="I24" s="4">
        <f t="shared" si="0"/>
        <v>0.51912000000000003</v>
      </c>
      <c r="R24" s="1"/>
      <c r="U24">
        <v>1.1686540000000001</v>
      </c>
      <c r="V24">
        <v>1.1686540000000001</v>
      </c>
    </row>
    <row r="25" spans="3:22" x14ac:dyDescent="0.25">
      <c r="D25">
        <v>512</v>
      </c>
      <c r="E25">
        <v>8</v>
      </c>
      <c r="F25">
        <v>1</v>
      </c>
      <c r="G25">
        <v>0.17799999999999999</v>
      </c>
      <c r="H25">
        <v>9.5454999999999998E-2</v>
      </c>
      <c r="I25" s="4">
        <f t="shared" si="0"/>
        <v>0.53626404494382029</v>
      </c>
      <c r="R25" s="1"/>
    </row>
    <row r="26" spans="3:22" x14ac:dyDescent="0.25">
      <c r="D26">
        <v>512</v>
      </c>
      <c r="E26">
        <v>16</v>
      </c>
      <c r="F26">
        <v>1</v>
      </c>
      <c r="G26">
        <v>0.16400000000000001</v>
      </c>
      <c r="H26">
        <v>8.4869E-2</v>
      </c>
      <c r="I26" s="4">
        <f t="shared" si="0"/>
        <v>0.51749390243902438</v>
      </c>
    </row>
    <row r="27" spans="3:22" x14ac:dyDescent="0.25">
      <c r="D27" s="1"/>
      <c r="E27" s="1"/>
    </row>
    <row r="28" spans="3:22" x14ac:dyDescent="0.25">
      <c r="C28" t="s">
        <v>21</v>
      </c>
      <c r="D28" s="1"/>
      <c r="E28" s="1"/>
    </row>
    <row r="29" spans="3:22" x14ac:dyDescent="0.25">
      <c r="C29" t="s">
        <v>22</v>
      </c>
      <c r="D29" s="1"/>
      <c r="E29" s="1"/>
    </row>
    <row r="30" spans="3:22" x14ac:dyDescent="0.25">
      <c r="C30" t="s">
        <v>23</v>
      </c>
      <c r="D30" s="1"/>
      <c r="E30" s="1"/>
    </row>
    <row r="31" spans="3:22" x14ac:dyDescent="0.25">
      <c r="D31" s="1"/>
      <c r="E31" s="1"/>
    </row>
    <row r="32" spans="3:22" x14ac:dyDescent="0.25">
      <c r="C32" s="7" t="s">
        <v>14</v>
      </c>
      <c r="D32" s="1"/>
      <c r="E32" s="1"/>
    </row>
    <row r="33" spans="4:12" x14ac:dyDescent="0.25">
      <c r="D33" t="s">
        <v>9</v>
      </c>
      <c r="E33" t="s">
        <v>7</v>
      </c>
      <c r="F33" t="s">
        <v>8</v>
      </c>
      <c r="G33" t="s">
        <v>10</v>
      </c>
      <c r="H33" t="s">
        <v>24</v>
      </c>
      <c r="I33" t="s">
        <v>12</v>
      </c>
    </row>
    <row r="34" spans="4:12" x14ac:dyDescent="0.25">
      <c r="D34">
        <v>1</v>
      </c>
      <c r="E34">
        <v>8</v>
      </c>
      <c r="F34">
        <v>1</v>
      </c>
      <c r="G34">
        <v>5.2999999999999999E-2</v>
      </c>
      <c r="H34">
        <v>6.1920999999999997E-2</v>
      </c>
      <c r="I34" s="4">
        <f>H34/G34</f>
        <v>1.1683207547169812</v>
      </c>
      <c r="L34" s="4"/>
    </row>
    <row r="35" spans="4:12" x14ac:dyDescent="0.25">
      <c r="D35">
        <v>1</v>
      </c>
      <c r="E35">
        <v>16</v>
      </c>
      <c r="F35">
        <v>1</v>
      </c>
      <c r="G35">
        <v>5.6000000000000001E-2</v>
      </c>
      <c r="H35">
        <v>6.2198000000000003E-2</v>
      </c>
      <c r="I35" s="4">
        <f t="shared" ref="I35:I53" si="1">H35/G35</f>
        <v>1.1106785714285714</v>
      </c>
      <c r="L35" s="4"/>
    </row>
    <row r="36" spans="4:12" x14ac:dyDescent="0.25">
      <c r="D36">
        <v>2</v>
      </c>
      <c r="E36">
        <v>8</v>
      </c>
      <c r="F36">
        <v>1</v>
      </c>
      <c r="G36">
        <v>5.2999999999999999E-2</v>
      </c>
      <c r="H36">
        <v>6.1718000000000002E-2</v>
      </c>
      <c r="I36" s="4">
        <f t="shared" si="1"/>
        <v>1.1644905660377358</v>
      </c>
      <c r="L36" s="4"/>
    </row>
    <row r="37" spans="4:12" x14ac:dyDescent="0.25">
      <c r="D37">
        <v>2</v>
      </c>
      <c r="E37">
        <v>16</v>
      </c>
      <c r="F37">
        <v>1</v>
      </c>
      <c r="G37">
        <v>5.6000000000000001E-2</v>
      </c>
      <c r="H37">
        <v>6.1726000000000003E-2</v>
      </c>
      <c r="I37" s="4">
        <f t="shared" si="1"/>
        <v>1.10225</v>
      </c>
      <c r="L37" s="4"/>
    </row>
    <row r="38" spans="4:12" x14ac:dyDescent="0.25">
      <c r="D38">
        <v>4</v>
      </c>
      <c r="E38">
        <v>8</v>
      </c>
      <c r="F38">
        <v>1</v>
      </c>
      <c r="G38">
        <v>5.6000000000000001E-2</v>
      </c>
      <c r="H38">
        <v>6.2037000000000002E-2</v>
      </c>
      <c r="I38" s="4">
        <f t="shared" si="1"/>
        <v>1.1078035714285714</v>
      </c>
      <c r="L38" s="4"/>
    </row>
    <row r="39" spans="4:12" x14ac:dyDescent="0.25">
      <c r="D39">
        <v>4</v>
      </c>
      <c r="E39">
        <v>16</v>
      </c>
      <c r="F39">
        <v>1</v>
      </c>
      <c r="G39">
        <v>5.1999999999999998E-2</v>
      </c>
      <c r="H39">
        <v>6.2226999999999998E-2</v>
      </c>
      <c r="I39" s="4">
        <f t="shared" si="1"/>
        <v>1.1966730769230769</v>
      </c>
      <c r="L39" s="4"/>
    </row>
    <row r="40" spans="4:12" x14ac:dyDescent="0.25">
      <c r="D40">
        <v>8</v>
      </c>
      <c r="E40">
        <v>8</v>
      </c>
      <c r="F40">
        <v>1</v>
      </c>
      <c r="G40">
        <v>5.3999999999999999E-2</v>
      </c>
      <c r="H40">
        <v>6.2497999999999998E-2</v>
      </c>
      <c r="I40" s="4">
        <f t="shared" si="1"/>
        <v>1.1573703703703704</v>
      </c>
      <c r="L40" s="4"/>
    </row>
    <row r="41" spans="4:12" x14ac:dyDescent="0.25">
      <c r="D41">
        <v>8</v>
      </c>
      <c r="E41">
        <v>16</v>
      </c>
      <c r="F41">
        <v>1</v>
      </c>
      <c r="G41">
        <v>5.5E-2</v>
      </c>
      <c r="H41">
        <v>6.2614000000000003E-2</v>
      </c>
      <c r="I41" s="4">
        <f t="shared" si="1"/>
        <v>1.1384363636363637</v>
      </c>
      <c r="L41" s="4"/>
    </row>
    <row r="42" spans="4:12" x14ac:dyDescent="0.25">
      <c r="D42">
        <v>16</v>
      </c>
      <c r="E42">
        <v>8</v>
      </c>
      <c r="F42">
        <v>1</v>
      </c>
      <c r="G42">
        <v>5.8000000000000003E-2</v>
      </c>
      <c r="H42">
        <v>6.4667000000000002E-2</v>
      </c>
      <c r="I42" s="4">
        <f t="shared" si="1"/>
        <v>1.114948275862069</v>
      </c>
      <c r="L42" s="4"/>
    </row>
    <row r="43" spans="4:12" x14ac:dyDescent="0.25">
      <c r="D43">
        <v>16</v>
      </c>
      <c r="E43">
        <v>16</v>
      </c>
      <c r="F43">
        <v>1</v>
      </c>
      <c r="G43">
        <v>7.0000000000000007E-2</v>
      </c>
      <c r="H43">
        <v>6.5044000000000005E-2</v>
      </c>
      <c r="I43" s="4">
        <f t="shared" si="1"/>
        <v>0.92920000000000003</v>
      </c>
      <c r="L43" s="4"/>
    </row>
    <row r="44" spans="4:12" x14ac:dyDescent="0.25">
      <c r="D44">
        <v>32</v>
      </c>
      <c r="E44">
        <v>8</v>
      </c>
      <c r="F44">
        <v>1</v>
      </c>
      <c r="G44">
        <v>7.9000000000000001E-2</v>
      </c>
      <c r="H44">
        <v>8.2454E-2</v>
      </c>
      <c r="I44" s="4">
        <f t="shared" si="1"/>
        <v>1.0437215189873417</v>
      </c>
      <c r="L44" s="4"/>
    </row>
    <row r="45" spans="4:12" x14ac:dyDescent="0.25">
      <c r="D45">
        <v>32</v>
      </c>
      <c r="E45">
        <v>16</v>
      </c>
      <c r="F45">
        <v>1</v>
      </c>
      <c r="G45">
        <v>0.111</v>
      </c>
      <c r="H45">
        <v>8.3215999999999998E-2</v>
      </c>
      <c r="I45" s="4">
        <f t="shared" si="1"/>
        <v>0.74969369369369365</v>
      </c>
      <c r="L45" s="4"/>
    </row>
    <row r="46" spans="4:12" x14ac:dyDescent="0.25">
      <c r="D46">
        <v>64</v>
      </c>
      <c r="E46">
        <v>8</v>
      </c>
      <c r="F46">
        <v>1</v>
      </c>
      <c r="G46">
        <v>0.11</v>
      </c>
      <c r="H46">
        <v>0.10487299999999999</v>
      </c>
      <c r="I46" s="4">
        <f t="shared" si="1"/>
        <v>0.95339090909090907</v>
      </c>
      <c r="L46" s="4"/>
    </row>
    <row r="47" spans="4:12" x14ac:dyDescent="0.25">
      <c r="D47">
        <v>64</v>
      </c>
      <c r="E47">
        <v>16</v>
      </c>
      <c r="F47">
        <v>1</v>
      </c>
      <c r="G47">
        <v>0.184</v>
      </c>
      <c r="H47">
        <v>0.16100700000000001</v>
      </c>
      <c r="I47" s="4">
        <f t="shared" si="1"/>
        <v>0.87503804347826097</v>
      </c>
      <c r="L47" s="4"/>
    </row>
    <row r="48" spans="4:12" x14ac:dyDescent="0.25">
      <c r="D48">
        <v>128</v>
      </c>
      <c r="E48">
        <v>8</v>
      </c>
      <c r="F48">
        <v>1</v>
      </c>
      <c r="G48">
        <v>0.186</v>
      </c>
      <c r="H48">
        <v>0.107044</v>
      </c>
      <c r="I48" s="4">
        <f t="shared" si="1"/>
        <v>0.57550537634408605</v>
      </c>
      <c r="L48" s="4"/>
    </row>
    <row r="49" spans="4:12" x14ac:dyDescent="0.25">
      <c r="D49">
        <v>128</v>
      </c>
      <c r="E49">
        <v>16</v>
      </c>
      <c r="F49">
        <v>1</v>
      </c>
      <c r="G49">
        <v>0.187</v>
      </c>
      <c r="H49">
        <v>0.16312699999999999</v>
      </c>
      <c r="I49" s="4">
        <f t="shared" si="1"/>
        <v>0.87233689839572193</v>
      </c>
      <c r="L49" s="4"/>
    </row>
    <row r="50" spans="4:12" x14ac:dyDescent="0.25">
      <c r="D50">
        <v>256</v>
      </c>
      <c r="E50">
        <v>8</v>
      </c>
      <c r="F50">
        <v>1</v>
      </c>
      <c r="G50">
        <v>0.19500000000000001</v>
      </c>
      <c r="H50">
        <v>0.10950799999999999</v>
      </c>
      <c r="I50" s="4">
        <f t="shared" si="1"/>
        <v>0.56157948717948714</v>
      </c>
      <c r="L50" s="4"/>
    </row>
    <row r="51" spans="4:12" x14ac:dyDescent="0.25">
      <c r="D51">
        <v>256</v>
      </c>
      <c r="E51">
        <v>16</v>
      </c>
      <c r="F51">
        <v>1</v>
      </c>
      <c r="G51">
        <v>0.27700000000000002</v>
      </c>
      <c r="H51">
        <v>0.16714999999999999</v>
      </c>
      <c r="I51" s="4">
        <f t="shared" si="1"/>
        <v>0.60342960288808656</v>
      </c>
      <c r="L51" s="4"/>
    </row>
    <row r="52" spans="4:12" x14ac:dyDescent="0.25">
      <c r="D52">
        <v>512</v>
      </c>
      <c r="E52">
        <v>8</v>
      </c>
      <c r="F52">
        <v>1</v>
      </c>
      <c r="G52">
        <v>0.27800000000000002</v>
      </c>
      <c r="H52">
        <v>0.173767</v>
      </c>
      <c r="I52" s="4">
        <f t="shared" si="1"/>
        <v>0.62506115107913662</v>
      </c>
      <c r="L52" s="4"/>
    </row>
    <row r="53" spans="4:12" x14ac:dyDescent="0.25">
      <c r="D53">
        <v>512</v>
      </c>
      <c r="E53">
        <v>16</v>
      </c>
      <c r="F53">
        <v>1</v>
      </c>
      <c r="G53">
        <v>0.45800000000000002</v>
      </c>
      <c r="H53">
        <v>0.29346899999999998</v>
      </c>
      <c r="I53" s="4">
        <f t="shared" si="1"/>
        <v>0.64076200873362443</v>
      </c>
      <c r="L53" s="4"/>
    </row>
    <row r="54" spans="4:12" x14ac:dyDescent="0.25">
      <c r="D54" s="1"/>
      <c r="E54" s="1"/>
      <c r="I54" s="4"/>
    </row>
    <row r="55" spans="4:12" x14ac:dyDescent="0.25">
      <c r="D55" s="1"/>
      <c r="E55" s="1"/>
      <c r="I55" s="4"/>
    </row>
    <row r="56" spans="4:12" x14ac:dyDescent="0.25">
      <c r="D56" s="1"/>
      <c r="E56" s="1"/>
      <c r="I56" s="4"/>
    </row>
    <row r="57" spans="4:12" x14ac:dyDescent="0.25">
      <c r="D57" s="1"/>
      <c r="E57" s="1"/>
      <c r="I57" s="4"/>
    </row>
    <row r="58" spans="4:12" x14ac:dyDescent="0.25">
      <c r="D58" s="1"/>
      <c r="E58" s="1"/>
      <c r="I58" s="4"/>
    </row>
    <row r="59" spans="4:12" x14ac:dyDescent="0.25">
      <c r="D59" s="1"/>
      <c r="E59" s="1"/>
      <c r="I59" s="4"/>
    </row>
    <row r="60" spans="4:12" x14ac:dyDescent="0.25">
      <c r="D60" s="1"/>
      <c r="E60" s="1"/>
      <c r="I60" s="4"/>
    </row>
    <row r="61" spans="4:12" x14ac:dyDescent="0.25">
      <c r="D61" s="1"/>
      <c r="E61" s="1"/>
      <c r="I61" s="4"/>
    </row>
    <row r="62" spans="4:12" x14ac:dyDescent="0.25">
      <c r="D62" s="1"/>
      <c r="E62" s="1"/>
      <c r="I62" s="4"/>
    </row>
    <row r="63" spans="4:12" x14ac:dyDescent="0.25">
      <c r="D63" s="1"/>
      <c r="E63" s="1"/>
      <c r="I63" s="4"/>
    </row>
    <row r="64" spans="4:12" x14ac:dyDescent="0.25">
      <c r="D64" s="1"/>
      <c r="E64" s="1"/>
      <c r="I64" s="4"/>
    </row>
    <row r="65" spans="4:24" x14ac:dyDescent="0.25">
      <c r="D65" s="1"/>
      <c r="E65" s="1"/>
      <c r="I65" s="4"/>
    </row>
    <row r="66" spans="4:24" x14ac:dyDescent="0.25">
      <c r="D66" s="1"/>
      <c r="E66" s="1"/>
      <c r="I66" s="4"/>
    </row>
    <row r="67" spans="4:24" x14ac:dyDescent="0.25">
      <c r="D67" s="1"/>
      <c r="E67" s="1"/>
      <c r="I67" s="4"/>
    </row>
    <row r="68" spans="4:24" x14ac:dyDescent="0.25">
      <c r="D68" s="1"/>
      <c r="E68" s="1"/>
      <c r="I68" s="4"/>
      <c r="X68">
        <v>5.4592000000000002E-2</v>
      </c>
    </row>
    <row r="69" spans="4:24" x14ac:dyDescent="0.25">
      <c r="D69" s="1"/>
      <c r="E69" s="1"/>
      <c r="I69" s="4"/>
      <c r="X69">
        <v>5.4783999999999999E-2</v>
      </c>
    </row>
    <row r="70" spans="4:24" x14ac:dyDescent="0.25">
      <c r="D70" s="1"/>
      <c r="E70" s="1"/>
      <c r="I70" s="4"/>
      <c r="X70">
        <v>5.6703999999999997E-2</v>
      </c>
    </row>
    <row r="71" spans="4:24" x14ac:dyDescent="0.25">
      <c r="D71" s="1"/>
      <c r="E71" s="1"/>
      <c r="I71" s="4"/>
      <c r="X71">
        <v>5.6703999999999997E-2</v>
      </c>
    </row>
    <row r="72" spans="4:24" x14ac:dyDescent="0.25">
      <c r="D72" s="1"/>
      <c r="E72" s="1"/>
      <c r="I72" s="4"/>
      <c r="X72">
        <v>5.6447999999999998E-2</v>
      </c>
    </row>
    <row r="73" spans="4:24" x14ac:dyDescent="0.25">
      <c r="D73" s="1"/>
      <c r="E73" s="1"/>
      <c r="I73" s="4"/>
      <c r="X73">
        <v>5.6703999999999997E-2</v>
      </c>
    </row>
    <row r="74" spans="4:24" x14ac:dyDescent="0.25">
      <c r="D74" s="1"/>
      <c r="E74" s="1"/>
      <c r="I74" s="4"/>
      <c r="X74">
        <v>5.5936E-2</v>
      </c>
    </row>
    <row r="75" spans="4:24" x14ac:dyDescent="0.25">
      <c r="D75" s="1"/>
      <c r="E75" s="1"/>
      <c r="I75" s="4"/>
      <c r="X75">
        <v>5.5488000000000003E-2</v>
      </c>
    </row>
    <row r="76" spans="4:24" x14ac:dyDescent="0.25">
      <c r="D76" s="1"/>
      <c r="E76" s="1"/>
      <c r="I76" s="4"/>
      <c r="X76">
        <v>5.6832000000000001E-2</v>
      </c>
    </row>
    <row r="77" spans="4:24" x14ac:dyDescent="0.25">
      <c r="D77" s="1"/>
      <c r="E77" s="1"/>
      <c r="I77" s="4"/>
      <c r="X77">
        <v>5.7088E-2</v>
      </c>
    </row>
    <row r="78" spans="4:24" x14ac:dyDescent="0.25">
      <c r="D78" s="1"/>
      <c r="E78" s="1"/>
      <c r="I78" s="4"/>
      <c r="X78">
        <v>5.6640000000000003E-2</v>
      </c>
    </row>
    <row r="79" spans="4:24" x14ac:dyDescent="0.25">
      <c r="D79" s="1"/>
      <c r="E79" s="1"/>
      <c r="I79" s="4"/>
      <c r="X79">
        <v>5.6576000000000001E-2</v>
      </c>
    </row>
    <row r="80" spans="4:24" x14ac:dyDescent="0.25">
      <c r="D80" s="1"/>
      <c r="E80" s="1"/>
      <c r="I80" s="4"/>
      <c r="X80">
        <v>5.8048000000000002E-2</v>
      </c>
    </row>
    <row r="81" spans="4:24" x14ac:dyDescent="0.25">
      <c r="D81" s="1"/>
      <c r="E81" s="1"/>
      <c r="X81">
        <v>5.7855999999999998E-2</v>
      </c>
    </row>
    <row r="82" spans="4:24" x14ac:dyDescent="0.25">
      <c r="D82" s="1"/>
      <c r="E82" s="1"/>
      <c r="X82">
        <v>5.8944000000000003E-2</v>
      </c>
    </row>
    <row r="83" spans="4:24" x14ac:dyDescent="0.25">
      <c r="D83" s="1"/>
      <c r="E83" s="1"/>
      <c r="X83">
        <v>5.8624000000000002E-2</v>
      </c>
    </row>
    <row r="84" spans="4:24" x14ac:dyDescent="0.25">
      <c r="D84" s="1"/>
      <c r="E84" s="1"/>
      <c r="X84">
        <v>6.2272000000000001E-2</v>
      </c>
    </row>
    <row r="85" spans="4:24" x14ac:dyDescent="0.25">
      <c r="D85" s="1"/>
      <c r="E85" s="1"/>
      <c r="X85">
        <v>6.2143999999999998E-2</v>
      </c>
    </row>
    <row r="86" spans="4:24" x14ac:dyDescent="0.25">
      <c r="D86" s="1"/>
      <c r="E86" s="1"/>
      <c r="X86">
        <v>7.8144000000000005E-2</v>
      </c>
    </row>
    <row r="87" spans="4:24" x14ac:dyDescent="0.25">
      <c r="D87" s="1"/>
      <c r="E87" s="1"/>
      <c r="X87">
        <v>7.7632000000000007E-2</v>
      </c>
    </row>
    <row r="88" spans="4:24" x14ac:dyDescent="0.25">
      <c r="D88" s="1"/>
      <c r="E88" s="1"/>
    </row>
    <row r="89" spans="4:24" x14ac:dyDescent="0.25">
      <c r="D89" s="1"/>
      <c r="E89" s="1"/>
    </row>
    <row r="90" spans="4:24" x14ac:dyDescent="0.25">
      <c r="D90" s="1"/>
      <c r="E90" s="1"/>
    </row>
    <row r="91" spans="4:24" x14ac:dyDescent="0.25">
      <c r="D91" s="1"/>
      <c r="E91" s="1"/>
    </row>
    <row r="92" spans="4:24" x14ac:dyDescent="0.25">
      <c r="D92" s="1"/>
      <c r="E92" s="1"/>
    </row>
    <row r="93" spans="4:24" x14ac:dyDescent="0.25">
      <c r="D93" s="1"/>
      <c r="E93" s="1"/>
    </row>
    <row r="94" spans="4:24" x14ac:dyDescent="0.25">
      <c r="D94" s="1"/>
      <c r="E94" s="1"/>
    </row>
    <row r="95" spans="4:24" x14ac:dyDescent="0.25">
      <c r="D95" s="1"/>
      <c r="E95" s="1"/>
    </row>
    <row r="96" spans="4:24" x14ac:dyDescent="0.25">
      <c r="D96" s="1"/>
      <c r="E96" s="1"/>
    </row>
    <row r="97" spans="4:5" x14ac:dyDescent="0.25">
      <c r="D97" s="1"/>
      <c r="E97" s="1"/>
    </row>
    <row r="98" spans="4:5" x14ac:dyDescent="0.25">
      <c r="D98" s="1"/>
      <c r="E98" s="1"/>
    </row>
    <row r="99" spans="4:5" x14ac:dyDescent="0.25">
      <c r="D99" s="1"/>
      <c r="E99" s="1"/>
    </row>
    <row r="100" spans="4:5" x14ac:dyDescent="0.25">
      <c r="D100" s="1"/>
      <c r="E100" s="1"/>
    </row>
    <row r="101" spans="4:5" x14ac:dyDescent="0.25">
      <c r="D101" s="1"/>
      <c r="E101" s="1"/>
    </row>
    <row r="102" spans="4:5" x14ac:dyDescent="0.25">
      <c r="D102" s="1"/>
      <c r="E102" s="1"/>
    </row>
    <row r="103" spans="4:5" x14ac:dyDescent="0.25">
      <c r="D103" s="1"/>
      <c r="E103" s="1"/>
    </row>
    <row r="104" spans="4:5" x14ac:dyDescent="0.25">
      <c r="D104" s="1"/>
      <c r="E104" s="1"/>
    </row>
    <row r="105" spans="4:5" x14ac:dyDescent="0.25">
      <c r="D105" s="1"/>
      <c r="E105" s="1"/>
    </row>
    <row r="106" spans="4:5" x14ac:dyDescent="0.25">
      <c r="D106" s="1"/>
      <c r="E106" s="1"/>
    </row>
    <row r="107" spans="4:5" x14ac:dyDescent="0.25">
      <c r="D107" s="1"/>
      <c r="E107" s="1"/>
    </row>
    <row r="108" spans="4:5" x14ac:dyDescent="0.25">
      <c r="D108" s="1"/>
      <c r="E108" s="1"/>
    </row>
    <row r="109" spans="4:5" x14ac:dyDescent="0.25">
      <c r="D109" s="1"/>
      <c r="E109" s="1"/>
    </row>
    <row r="110" spans="4:5" x14ac:dyDescent="0.25">
      <c r="D110" s="1"/>
      <c r="E110" s="1"/>
    </row>
    <row r="111" spans="4:5" x14ac:dyDescent="0.25">
      <c r="D111" s="1"/>
      <c r="E111" s="1"/>
    </row>
    <row r="112" spans="4:5" x14ac:dyDescent="0.25">
      <c r="D112" s="1"/>
      <c r="E112" s="1"/>
    </row>
    <row r="113" spans="4:5" x14ac:dyDescent="0.25">
      <c r="D113" s="1"/>
      <c r="E113" s="1"/>
    </row>
    <row r="114" spans="4:5" x14ac:dyDescent="0.25">
      <c r="D114" s="1"/>
      <c r="E114" s="1"/>
    </row>
    <row r="115" spans="4:5" x14ac:dyDescent="0.25">
      <c r="D115" s="1"/>
      <c r="E115" s="1"/>
    </row>
    <row r="116" spans="4:5" x14ac:dyDescent="0.25">
      <c r="D116" s="1"/>
      <c r="E116" s="1"/>
    </row>
    <row r="117" spans="4:5" x14ac:dyDescent="0.25">
      <c r="D117" s="1"/>
      <c r="E117" s="1"/>
    </row>
    <row r="118" spans="4:5" x14ac:dyDescent="0.25">
      <c r="D118" s="1"/>
      <c r="E118" s="1"/>
    </row>
    <row r="119" spans="4:5" x14ac:dyDescent="0.25">
      <c r="D119" s="1"/>
      <c r="E119" s="1"/>
    </row>
    <row r="120" spans="4:5" x14ac:dyDescent="0.25">
      <c r="D120" s="1"/>
      <c r="E120" s="1"/>
    </row>
    <row r="121" spans="4:5" x14ac:dyDescent="0.25">
      <c r="D121" s="1"/>
      <c r="E121" s="1"/>
    </row>
    <row r="122" spans="4:5" x14ac:dyDescent="0.25">
      <c r="D122" s="1"/>
      <c r="E122" s="1"/>
    </row>
    <row r="123" spans="4:5" x14ac:dyDescent="0.25">
      <c r="D123" s="1"/>
      <c r="E123" s="1"/>
    </row>
    <row r="124" spans="4:5" x14ac:dyDescent="0.25">
      <c r="D124" s="1"/>
      <c r="E124" s="1"/>
    </row>
    <row r="125" spans="4:5" x14ac:dyDescent="0.25">
      <c r="D125" s="1"/>
      <c r="E125" s="1"/>
    </row>
    <row r="126" spans="4:5" x14ac:dyDescent="0.25">
      <c r="D126" s="1"/>
      <c r="E126" s="1"/>
    </row>
    <row r="127" spans="4:5" x14ac:dyDescent="0.25">
      <c r="D127" s="1"/>
      <c r="E127" s="1"/>
    </row>
    <row r="128" spans="4:5" x14ac:dyDescent="0.25">
      <c r="D128" s="1"/>
      <c r="E128" s="1"/>
    </row>
    <row r="129" spans="4:5" x14ac:dyDescent="0.25">
      <c r="D129" s="1"/>
      <c r="E129" s="1"/>
    </row>
    <row r="130" spans="4:5" x14ac:dyDescent="0.25">
      <c r="D130" s="1"/>
      <c r="E130" s="1"/>
    </row>
    <row r="131" spans="4:5" x14ac:dyDescent="0.25">
      <c r="D131" s="1"/>
      <c r="E131" s="1"/>
    </row>
    <row r="132" spans="4:5" x14ac:dyDescent="0.25">
      <c r="D132" s="1"/>
      <c r="E132" s="1"/>
    </row>
    <row r="133" spans="4:5" x14ac:dyDescent="0.25">
      <c r="D133" s="1"/>
      <c r="E133" s="1"/>
    </row>
    <row r="134" spans="4:5" x14ac:dyDescent="0.25">
      <c r="D134" s="1"/>
      <c r="E134" s="1"/>
    </row>
    <row r="135" spans="4:5" x14ac:dyDescent="0.25">
      <c r="D135" s="1"/>
      <c r="E135" s="1"/>
    </row>
    <row r="136" spans="4:5" x14ac:dyDescent="0.25">
      <c r="D136" s="1"/>
      <c r="E136" s="1"/>
    </row>
    <row r="137" spans="4:5" x14ac:dyDescent="0.25">
      <c r="D137" s="1"/>
      <c r="E137" s="1"/>
    </row>
    <row r="138" spans="4:5" x14ac:dyDescent="0.25">
      <c r="D138" s="1"/>
      <c r="E138" s="1"/>
    </row>
    <row r="139" spans="4:5" x14ac:dyDescent="0.25">
      <c r="D139" s="1"/>
      <c r="E139" s="1"/>
    </row>
    <row r="140" spans="4:5" x14ac:dyDescent="0.25">
      <c r="D140" s="1"/>
      <c r="E140" s="1"/>
    </row>
    <row r="141" spans="4:5" x14ac:dyDescent="0.25">
      <c r="D141" s="1"/>
      <c r="E141" s="1"/>
    </row>
    <row r="142" spans="4:5" x14ac:dyDescent="0.25">
      <c r="D142" s="1"/>
      <c r="E142" s="1"/>
    </row>
    <row r="143" spans="4:5" x14ac:dyDescent="0.25">
      <c r="D143" s="1"/>
      <c r="E143" s="1"/>
    </row>
    <row r="144" spans="4:5" x14ac:dyDescent="0.25">
      <c r="D144" s="1"/>
      <c r="E144" s="1"/>
    </row>
    <row r="145" spans="4:5" x14ac:dyDescent="0.25">
      <c r="D145" s="1"/>
      <c r="E145" s="1"/>
    </row>
    <row r="146" spans="4:5" x14ac:dyDescent="0.25">
      <c r="D146" s="1"/>
      <c r="E146" s="1"/>
    </row>
    <row r="147" spans="4:5" x14ac:dyDescent="0.25">
      <c r="D147" s="1"/>
      <c r="E147" s="1"/>
    </row>
    <row r="148" spans="4:5" x14ac:dyDescent="0.25">
      <c r="D148" s="1"/>
      <c r="E148" s="1"/>
    </row>
    <row r="149" spans="4:5" x14ac:dyDescent="0.25">
      <c r="D149" s="1"/>
      <c r="E149" s="1"/>
    </row>
    <row r="150" spans="4:5" x14ac:dyDescent="0.25">
      <c r="D150" s="1"/>
      <c r="E150" s="1"/>
    </row>
    <row r="151" spans="4:5" x14ac:dyDescent="0.25">
      <c r="D151" s="1"/>
      <c r="E151" s="1"/>
    </row>
    <row r="152" spans="4:5" x14ac:dyDescent="0.25">
      <c r="D152" s="1"/>
      <c r="E152" s="1"/>
    </row>
    <row r="153" spans="4:5" x14ac:dyDescent="0.25">
      <c r="D153" s="1"/>
      <c r="E153" s="1"/>
    </row>
    <row r="154" spans="4:5" x14ac:dyDescent="0.25">
      <c r="D154" s="1"/>
      <c r="E154" s="1"/>
    </row>
    <row r="155" spans="4:5" x14ac:dyDescent="0.25">
      <c r="D155" s="1"/>
      <c r="E155" s="1"/>
    </row>
    <row r="156" spans="4:5" x14ac:dyDescent="0.25">
      <c r="D156" s="1"/>
      <c r="E156" s="1"/>
    </row>
    <row r="157" spans="4:5" x14ac:dyDescent="0.25">
      <c r="D157" s="1"/>
      <c r="E157" s="1"/>
    </row>
    <row r="158" spans="4:5" x14ac:dyDescent="0.25">
      <c r="D158" s="1"/>
      <c r="E158" s="1"/>
    </row>
    <row r="159" spans="4:5" x14ac:dyDescent="0.25">
      <c r="D159" s="1"/>
      <c r="E159" s="1"/>
    </row>
    <row r="160" spans="4:5" x14ac:dyDescent="0.25">
      <c r="D160" s="1"/>
      <c r="E160" s="1"/>
    </row>
    <row r="161" spans="4:5" x14ac:dyDescent="0.25">
      <c r="D161" s="1"/>
      <c r="E161" s="1"/>
    </row>
    <row r="162" spans="4:5" x14ac:dyDescent="0.25">
      <c r="D162" s="1"/>
      <c r="E162" s="1"/>
    </row>
    <row r="163" spans="4:5" x14ac:dyDescent="0.25">
      <c r="D163" s="1"/>
      <c r="E163" s="1"/>
    </row>
    <row r="164" spans="4:5" x14ac:dyDescent="0.25">
      <c r="D164" s="1"/>
      <c r="E164" s="1"/>
    </row>
    <row r="165" spans="4:5" x14ac:dyDescent="0.25">
      <c r="D165" s="1"/>
      <c r="E165" s="1"/>
    </row>
    <row r="166" spans="4:5" x14ac:dyDescent="0.25">
      <c r="D166" s="1"/>
      <c r="E166" s="1"/>
    </row>
    <row r="167" spans="4:5" x14ac:dyDescent="0.25">
      <c r="D167" s="1"/>
      <c r="E167" s="1"/>
    </row>
    <row r="168" spans="4:5" x14ac:dyDescent="0.25">
      <c r="D168" s="1"/>
      <c r="E168" s="1"/>
    </row>
    <row r="169" spans="4:5" x14ac:dyDescent="0.25">
      <c r="D169" s="1"/>
      <c r="E169" s="1"/>
    </row>
    <row r="170" spans="4:5" x14ac:dyDescent="0.25">
      <c r="D170" s="1"/>
      <c r="E170" s="1"/>
    </row>
    <row r="171" spans="4:5" x14ac:dyDescent="0.25">
      <c r="D171" s="1"/>
      <c r="E171" s="1"/>
    </row>
    <row r="172" spans="4:5" x14ac:dyDescent="0.25">
      <c r="D172" s="1"/>
      <c r="E172" s="1"/>
    </row>
    <row r="173" spans="4:5" x14ac:dyDescent="0.25">
      <c r="E173" s="1"/>
    </row>
    <row r="174" spans="4:5" x14ac:dyDescent="0.25">
      <c r="E174" s="1"/>
    </row>
    <row r="175" spans="4:5" x14ac:dyDescent="0.25">
      <c r="E175" s="1"/>
    </row>
    <row r="176" spans="4:5" x14ac:dyDescent="0.25">
      <c r="E17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152" activePane="bottomLeft" state="frozen"/>
      <selection activeCell="B1" sqref="B1"/>
      <selection pane="bottomLeft" activeCell="B1" sqref="A1:XFD1048576"/>
    </sheetView>
  </sheetViews>
  <sheetFormatPr defaultRowHeight="13.8" x14ac:dyDescent="0.25"/>
  <cols>
    <col min="1" max="1" width="14" customWidth="1"/>
    <col min="17" max="17" width="9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2:31" s="19" customFormat="1" x14ac:dyDescent="0.25">
      <c r="B1" s="19" t="s">
        <v>38</v>
      </c>
      <c r="C1" s="20" t="s">
        <v>39</v>
      </c>
      <c r="D1" s="20" t="s">
        <v>40</v>
      </c>
      <c r="E1" s="20" t="s">
        <v>41</v>
      </c>
      <c r="F1" s="20" t="s">
        <v>42</v>
      </c>
      <c r="G1" s="20" t="s">
        <v>43</v>
      </c>
      <c r="H1" s="20" t="s">
        <v>44</v>
      </c>
      <c r="I1" s="20" t="s">
        <v>45</v>
      </c>
      <c r="J1" s="20" t="s">
        <v>46</v>
      </c>
      <c r="K1" s="20" t="s">
        <v>47</v>
      </c>
      <c r="L1" s="20" t="s">
        <v>48</v>
      </c>
      <c r="M1" s="20" t="s">
        <v>49</v>
      </c>
      <c r="N1" s="20" t="s">
        <v>50</v>
      </c>
      <c r="O1" s="20" t="s">
        <v>51</v>
      </c>
      <c r="P1" s="20" t="s">
        <v>52</v>
      </c>
      <c r="Q1" s="21" t="s">
        <v>53</v>
      </c>
      <c r="R1" s="22" t="s">
        <v>54</v>
      </c>
      <c r="S1" s="22" t="s">
        <v>55</v>
      </c>
      <c r="T1" s="20" t="s">
        <v>52</v>
      </c>
      <c r="U1" s="21" t="s">
        <v>56</v>
      </c>
      <c r="V1" s="22" t="s">
        <v>57</v>
      </c>
      <c r="W1" s="20" t="s">
        <v>58</v>
      </c>
      <c r="X1" s="20" t="s">
        <v>59</v>
      </c>
      <c r="Y1" s="20" t="s">
        <v>60</v>
      </c>
    </row>
    <row r="2" spans="2:31" s="11" customFormat="1" x14ac:dyDescent="0.25">
      <c r="C2">
        <v>1</v>
      </c>
      <c r="D2">
        <v>8</v>
      </c>
      <c r="E2">
        <v>1</v>
      </c>
      <c r="F2" s="12">
        <v>16</v>
      </c>
      <c r="G2" s="12">
        <v>2</v>
      </c>
      <c r="H2" s="12">
        <v>2</v>
      </c>
      <c r="I2" s="12">
        <v>256</v>
      </c>
      <c r="J2" s="12">
        <v>30</v>
      </c>
      <c r="K2" s="14">
        <f>_xlfn.CEILING.MATH(C2*E2/F2)</f>
        <v>1</v>
      </c>
      <c r="L2">
        <v>64</v>
      </c>
      <c r="M2" s="12">
        <v>128</v>
      </c>
      <c r="N2" s="15">
        <f>G2*K2*64*M2/38</f>
        <v>431.15789473684208</v>
      </c>
      <c r="O2" s="15">
        <f>H2*K2*_xlfn.CEILING.MATH(L2/64)*64*M2/J2</f>
        <v>546.13333333333333</v>
      </c>
      <c r="P2" s="15">
        <f>64*M2*_xlfn.CEILING.MATH(L2/128)*128*K2/8192</f>
        <v>128</v>
      </c>
      <c r="Q2" s="15">
        <f>N2+O2</f>
        <v>977.29122807017541</v>
      </c>
      <c r="R2" s="15">
        <f>G2*K2*64*_xlfn.CEILING.MATH(L2/128)*128/I2</f>
        <v>64</v>
      </c>
      <c r="S2" s="15">
        <f t="shared" ref="S2:S5" si="0">H2*K2*_xlfn.CEILING.MATH(L2/128)*128*M2/J2</f>
        <v>1092.2666666666667</v>
      </c>
      <c r="T2" s="15">
        <f t="shared" ref="T2:T5" si="1">64*M2*_xlfn.CEILING.MATH(L2/128)*128*K2/8192</f>
        <v>128</v>
      </c>
      <c r="U2" s="15">
        <f>S2+R2</f>
        <v>1156.2666666666667</v>
      </c>
      <c r="V2" s="15">
        <f t="shared" ref="V2:V5" si="2">K2*8*128/30*10</f>
        <v>341.33333333333331</v>
      </c>
      <c r="W2" s="12">
        <f>K2*(_xlfn.CEILING.MATH(L2/32)*97+195)</f>
        <v>389</v>
      </c>
      <c r="X2" s="12">
        <v>20000</v>
      </c>
      <c r="Y2" s="16">
        <f>Q2+U2+W2+V2</f>
        <v>2863.8912280701757</v>
      </c>
      <c r="Z2" s="11">
        <f t="shared" ref="Z2:Z5" si="3">Y2/1000000</f>
        <v>2.8638912280701755E-3</v>
      </c>
      <c r="AA2" s="17"/>
      <c r="AB2">
        <v>5.8790000000000002E-2</v>
      </c>
      <c r="AC2">
        <v>6.0149000000000001E-2</v>
      </c>
      <c r="AD2" s="18">
        <f>Z2/AB2</f>
        <v>4.8713917810344877E-2</v>
      </c>
      <c r="AE2" s="18">
        <f>Z2/AC2</f>
        <v>4.7613280820465433E-2</v>
      </c>
    </row>
    <row r="3" spans="2:31" s="11" customFormat="1" x14ac:dyDescent="0.25">
      <c r="C3">
        <v>2</v>
      </c>
      <c r="D3">
        <v>8</v>
      </c>
      <c r="E3">
        <v>1</v>
      </c>
      <c r="F3" s="12">
        <v>16</v>
      </c>
      <c r="G3" s="12">
        <v>2</v>
      </c>
      <c r="H3" s="12">
        <v>2</v>
      </c>
      <c r="I3" s="12">
        <v>256</v>
      </c>
      <c r="J3" s="12">
        <v>30</v>
      </c>
      <c r="K3" s="14">
        <f>_xlfn.CEILING.MATH(C3*E3/F3)</f>
        <v>1</v>
      </c>
      <c r="L3">
        <v>64</v>
      </c>
      <c r="M3" s="12">
        <v>128</v>
      </c>
      <c r="N3" s="15">
        <f t="shared" ref="N3:N6" si="4">G3*K3*64*M3/38</f>
        <v>431.15789473684208</v>
      </c>
      <c r="O3" s="15">
        <f t="shared" ref="O3:O6" si="5">H3*K3*_xlfn.CEILING.MATH(L3/64)*64*M3/J3</f>
        <v>546.13333333333333</v>
      </c>
      <c r="P3" s="15">
        <f t="shared" ref="P3:P6" si="6">64*M3*_xlfn.CEILING.MATH(L3/128)*128*K3/8192</f>
        <v>128</v>
      </c>
      <c r="Q3" s="15">
        <f t="shared" ref="Q3:Q6" si="7">N3+O3</f>
        <v>977.29122807017541</v>
      </c>
      <c r="R3" s="15">
        <f t="shared" ref="R3:R5" si="8">G3*K3*64*_xlfn.CEILING.MATH(L3/128)*128/I3</f>
        <v>64</v>
      </c>
      <c r="S3" s="15">
        <f t="shared" si="0"/>
        <v>1092.2666666666667</v>
      </c>
      <c r="T3" s="15">
        <f t="shared" si="1"/>
        <v>128</v>
      </c>
      <c r="U3" s="15">
        <f t="shared" ref="U3:U66" si="9">S3+R3</f>
        <v>1156.2666666666667</v>
      </c>
      <c r="V3" s="15">
        <f t="shared" si="2"/>
        <v>341.33333333333331</v>
      </c>
      <c r="W3" s="12">
        <f t="shared" ref="W3:W66" si="10">K3*(_xlfn.CEILING.MATH(L3/32)*97+195)</f>
        <v>389</v>
      </c>
      <c r="X3" s="12">
        <v>20000</v>
      </c>
      <c r="Y3" s="16">
        <f t="shared" ref="Y3:Y6" si="11">Q3+U3+W3+V3</f>
        <v>2863.8912280701757</v>
      </c>
      <c r="Z3" s="11">
        <f t="shared" si="3"/>
        <v>2.8638912280701755E-3</v>
      </c>
      <c r="AA3" s="17"/>
      <c r="AB3">
        <v>5.8796000000000001E-2</v>
      </c>
      <c r="AC3">
        <v>6.0560000000000003E-2</v>
      </c>
      <c r="AD3" s="18">
        <f t="shared" ref="AD3:AD66" si="12">Z3/AB3</f>
        <v>4.8708946664231846E-2</v>
      </c>
      <c r="AE3" s="18">
        <f t="shared" ref="AE3:AE66" si="13">Z3/AC3</f>
        <v>4.7290145773946093E-2</v>
      </c>
    </row>
    <row r="4" spans="2:31" s="11" customFormat="1" x14ac:dyDescent="0.25">
      <c r="C4">
        <v>4</v>
      </c>
      <c r="D4">
        <v>8</v>
      </c>
      <c r="E4">
        <v>1</v>
      </c>
      <c r="F4" s="12">
        <v>16</v>
      </c>
      <c r="G4" s="12">
        <v>2</v>
      </c>
      <c r="H4" s="12">
        <v>2</v>
      </c>
      <c r="I4" s="12">
        <v>256</v>
      </c>
      <c r="J4" s="12">
        <v>30</v>
      </c>
      <c r="K4" s="14">
        <f>_xlfn.CEILING.MATH(C4*E4/F4)</f>
        <v>1</v>
      </c>
      <c r="L4">
        <v>64</v>
      </c>
      <c r="M4" s="12">
        <v>128</v>
      </c>
      <c r="N4" s="15">
        <f>G4*K4*64*M4/38</f>
        <v>431.15789473684208</v>
      </c>
      <c r="O4" s="15">
        <f t="shared" si="5"/>
        <v>546.13333333333333</v>
      </c>
      <c r="P4" s="15">
        <f t="shared" si="6"/>
        <v>128</v>
      </c>
      <c r="Q4" s="15">
        <f t="shared" si="7"/>
        <v>977.29122807017541</v>
      </c>
      <c r="R4" s="15">
        <f t="shared" si="8"/>
        <v>64</v>
      </c>
      <c r="S4" s="15">
        <f t="shared" si="0"/>
        <v>1092.2666666666667</v>
      </c>
      <c r="T4" s="15">
        <f t="shared" si="1"/>
        <v>128</v>
      </c>
      <c r="U4" s="15">
        <f t="shared" si="9"/>
        <v>1156.2666666666667</v>
      </c>
      <c r="V4" s="15">
        <f t="shared" si="2"/>
        <v>341.33333333333331</v>
      </c>
      <c r="W4" s="12">
        <f t="shared" si="10"/>
        <v>389</v>
      </c>
      <c r="X4" s="12">
        <v>20000</v>
      </c>
      <c r="Y4" s="16">
        <f t="shared" si="11"/>
        <v>2863.8912280701757</v>
      </c>
      <c r="Z4" s="11">
        <f t="shared" si="3"/>
        <v>2.8638912280701755E-3</v>
      </c>
      <c r="AA4" s="17"/>
      <c r="AB4">
        <v>5.8592999999999999E-2</v>
      </c>
      <c r="AC4">
        <v>6.0295000000000001E-2</v>
      </c>
      <c r="AD4" s="18">
        <f t="shared" si="12"/>
        <v>4.8877702593657528E-2</v>
      </c>
      <c r="AE4" s="18">
        <f t="shared" si="13"/>
        <v>4.7497988690109884E-2</v>
      </c>
    </row>
    <row r="5" spans="2:31" s="11" customFormat="1" x14ac:dyDescent="0.25">
      <c r="C5">
        <v>8</v>
      </c>
      <c r="D5">
        <v>8</v>
      </c>
      <c r="E5">
        <v>1</v>
      </c>
      <c r="F5" s="12">
        <v>16</v>
      </c>
      <c r="G5" s="12">
        <v>2</v>
      </c>
      <c r="H5" s="12">
        <v>2</v>
      </c>
      <c r="I5" s="12">
        <v>256</v>
      </c>
      <c r="J5" s="12">
        <v>30</v>
      </c>
      <c r="K5" s="14">
        <f>_xlfn.CEILING.MATH(C5*E5/F5)</f>
        <v>1</v>
      </c>
      <c r="L5">
        <v>64</v>
      </c>
      <c r="M5" s="12">
        <v>128</v>
      </c>
      <c r="N5" s="15">
        <f t="shared" si="4"/>
        <v>431.15789473684208</v>
      </c>
      <c r="O5" s="15">
        <f t="shared" si="5"/>
        <v>546.13333333333333</v>
      </c>
      <c r="P5" s="15">
        <f t="shared" si="6"/>
        <v>128</v>
      </c>
      <c r="Q5" s="15">
        <f t="shared" si="7"/>
        <v>977.29122807017541</v>
      </c>
      <c r="R5" s="15">
        <f t="shared" si="8"/>
        <v>64</v>
      </c>
      <c r="S5" s="15">
        <f t="shared" si="0"/>
        <v>1092.2666666666667</v>
      </c>
      <c r="T5" s="15">
        <f t="shared" si="1"/>
        <v>128</v>
      </c>
      <c r="U5" s="15">
        <f t="shared" si="9"/>
        <v>1156.2666666666667</v>
      </c>
      <c r="V5" s="15">
        <f t="shared" si="2"/>
        <v>341.33333333333331</v>
      </c>
      <c r="W5" s="12">
        <f t="shared" si="10"/>
        <v>389</v>
      </c>
      <c r="X5" s="12">
        <v>20000</v>
      </c>
      <c r="Y5" s="16">
        <f t="shared" si="11"/>
        <v>2863.8912280701757</v>
      </c>
      <c r="Z5" s="11">
        <f t="shared" si="3"/>
        <v>2.8638912280701755E-3</v>
      </c>
      <c r="AA5" s="17"/>
      <c r="AB5">
        <v>5.9480999999999999E-2</v>
      </c>
      <c r="AC5">
        <v>6.0997000000000003E-2</v>
      </c>
      <c r="AD5" s="18">
        <f t="shared" si="12"/>
        <v>4.8148000673663448E-2</v>
      </c>
      <c r="AE5" s="18">
        <f t="shared" si="13"/>
        <v>4.6951345608311483E-2</v>
      </c>
    </row>
    <row r="6" spans="2:31" x14ac:dyDescent="0.25">
      <c r="C6">
        <v>16</v>
      </c>
      <c r="D6">
        <v>8</v>
      </c>
      <c r="E6">
        <v>1</v>
      </c>
      <c r="F6" s="12">
        <v>16</v>
      </c>
      <c r="G6" s="12">
        <v>2</v>
      </c>
      <c r="H6" s="12">
        <v>2</v>
      </c>
      <c r="I6" s="12">
        <v>256</v>
      </c>
      <c r="J6" s="12">
        <v>30</v>
      </c>
      <c r="K6" s="14">
        <f t="shared" ref="K6:K26" si="14">_xlfn.CEILING.MATH(C6*E6/F6)</f>
        <v>1</v>
      </c>
      <c r="L6">
        <v>64</v>
      </c>
      <c r="M6" s="12">
        <v>128</v>
      </c>
      <c r="N6" s="15">
        <f t="shared" si="4"/>
        <v>431.15789473684208</v>
      </c>
      <c r="O6" s="15">
        <f t="shared" si="5"/>
        <v>546.13333333333333</v>
      </c>
      <c r="P6" s="15">
        <f t="shared" si="6"/>
        <v>128</v>
      </c>
      <c r="Q6" s="15">
        <f t="shared" si="7"/>
        <v>977.29122807017541</v>
      </c>
      <c r="R6" s="15">
        <f t="shared" ref="R6:R69" si="15">G6*K6*64*_xlfn.CEILING.MATH(L6/128)*128/I6</f>
        <v>64</v>
      </c>
      <c r="S6" s="15">
        <f t="shared" ref="S6:S69" si="16">H6*K6*_xlfn.CEILING.MATH(L6/128)*128*M6/J6</f>
        <v>1092.2666666666667</v>
      </c>
      <c r="T6" s="15">
        <f t="shared" ref="T6:T69" si="17">64*M6*_xlfn.CEILING.MATH(L6/128)*128*K6/8192</f>
        <v>128</v>
      </c>
      <c r="U6" s="15">
        <f t="shared" si="9"/>
        <v>1156.2666666666667</v>
      </c>
      <c r="V6" s="15">
        <f t="shared" ref="V6:V69" si="18">K6*8*128/30*10</f>
        <v>341.33333333333331</v>
      </c>
      <c r="W6" s="12">
        <f t="shared" si="10"/>
        <v>389</v>
      </c>
      <c r="X6" s="12">
        <v>20000</v>
      </c>
      <c r="Y6" s="16">
        <f t="shared" si="11"/>
        <v>2863.8912280701757</v>
      </c>
      <c r="Z6" s="11">
        <f t="shared" ref="Z6:Z69" si="19">Y6/1000000</f>
        <v>2.8638912280701755E-3</v>
      </c>
      <c r="AB6">
        <v>5.9803000000000002E-2</v>
      </c>
      <c r="AC6">
        <v>6.1635000000000002E-2</v>
      </c>
      <c r="AD6" s="18">
        <f t="shared" si="12"/>
        <v>4.7888755214122627E-2</v>
      </c>
      <c r="AE6" s="18">
        <f t="shared" si="13"/>
        <v>4.6465339954087373E-2</v>
      </c>
    </row>
    <row r="7" spans="2:31" x14ac:dyDescent="0.25">
      <c r="C7">
        <v>32</v>
      </c>
      <c r="D7">
        <v>8</v>
      </c>
      <c r="E7">
        <v>1</v>
      </c>
      <c r="F7" s="12">
        <v>16</v>
      </c>
      <c r="G7" s="12">
        <v>2</v>
      </c>
      <c r="H7" s="12">
        <v>2</v>
      </c>
      <c r="I7" s="12">
        <v>256</v>
      </c>
      <c r="J7" s="12">
        <v>30</v>
      </c>
      <c r="K7" s="14">
        <f t="shared" si="14"/>
        <v>2</v>
      </c>
      <c r="L7">
        <v>64</v>
      </c>
      <c r="M7" s="12">
        <v>128</v>
      </c>
      <c r="N7" s="15">
        <f t="shared" ref="N7:N70" si="20">G7*K7*64*M7/38</f>
        <v>862.31578947368416</v>
      </c>
      <c r="O7" s="15">
        <f t="shared" ref="O7:O70" si="21">H7*K7*_xlfn.CEILING.MATH(L7/64)*64*M7/J7</f>
        <v>1092.2666666666667</v>
      </c>
      <c r="P7" s="15">
        <f t="shared" ref="P7:P70" si="22">64*M7*_xlfn.CEILING.MATH(L7/128)*128*K7/8192</f>
        <v>256</v>
      </c>
      <c r="Q7" s="15">
        <f t="shared" ref="Q7:Q70" si="23">N7+O7</f>
        <v>1954.5824561403508</v>
      </c>
      <c r="R7" s="15">
        <f t="shared" si="15"/>
        <v>128</v>
      </c>
      <c r="S7" s="15">
        <f t="shared" si="16"/>
        <v>2184.5333333333333</v>
      </c>
      <c r="T7" s="15">
        <f t="shared" si="17"/>
        <v>256</v>
      </c>
      <c r="U7" s="15">
        <f t="shared" si="9"/>
        <v>2312.5333333333333</v>
      </c>
      <c r="V7" s="15">
        <f t="shared" si="18"/>
        <v>682.66666666666663</v>
      </c>
      <c r="W7" s="12">
        <f t="shared" si="10"/>
        <v>778</v>
      </c>
      <c r="X7" s="12">
        <v>20000</v>
      </c>
      <c r="Y7" s="16">
        <f t="shared" ref="Y7:Y70" si="24">Q7+U7+W7+V7</f>
        <v>5727.7824561403513</v>
      </c>
      <c r="Z7" s="11">
        <f t="shared" si="19"/>
        <v>5.727782456140351E-3</v>
      </c>
      <c r="AB7">
        <v>6.4438999999999996E-2</v>
      </c>
      <c r="AC7">
        <v>7.0463999999999999E-2</v>
      </c>
      <c r="AD7" s="18">
        <f t="shared" si="12"/>
        <v>8.8886892349979846E-2</v>
      </c>
      <c r="AE7" s="18">
        <f t="shared" si="13"/>
        <v>8.1286649298086266E-2</v>
      </c>
    </row>
    <row r="8" spans="2:31" x14ac:dyDescent="0.25">
      <c r="C8">
        <v>64</v>
      </c>
      <c r="D8">
        <v>8</v>
      </c>
      <c r="E8">
        <v>1</v>
      </c>
      <c r="F8" s="12">
        <v>16</v>
      </c>
      <c r="G8" s="12">
        <v>2</v>
      </c>
      <c r="H8" s="12">
        <v>2</v>
      </c>
      <c r="I8" s="12">
        <v>256</v>
      </c>
      <c r="J8" s="12">
        <v>30</v>
      </c>
      <c r="K8" s="14">
        <f t="shared" si="14"/>
        <v>4</v>
      </c>
      <c r="L8">
        <v>64</v>
      </c>
      <c r="M8" s="12">
        <v>128</v>
      </c>
      <c r="N8" s="15">
        <f t="shared" si="20"/>
        <v>1724.6315789473683</v>
      </c>
      <c r="O8" s="15">
        <f t="shared" si="21"/>
        <v>2184.5333333333333</v>
      </c>
      <c r="P8" s="15">
        <f t="shared" si="22"/>
        <v>512</v>
      </c>
      <c r="Q8" s="15">
        <f t="shared" si="23"/>
        <v>3909.1649122807016</v>
      </c>
      <c r="R8" s="15">
        <f t="shared" si="15"/>
        <v>256</v>
      </c>
      <c r="S8" s="15">
        <f t="shared" si="16"/>
        <v>4369.0666666666666</v>
      </c>
      <c r="T8" s="15">
        <f t="shared" si="17"/>
        <v>512</v>
      </c>
      <c r="U8" s="15">
        <f t="shared" si="9"/>
        <v>4625.0666666666666</v>
      </c>
      <c r="V8" s="15">
        <f t="shared" si="18"/>
        <v>1365.3333333333333</v>
      </c>
      <c r="W8" s="12">
        <f t="shared" si="10"/>
        <v>1556</v>
      </c>
      <c r="X8" s="12">
        <v>20000</v>
      </c>
      <c r="Y8" s="16">
        <f t="shared" si="24"/>
        <v>11455.564912280703</v>
      </c>
      <c r="Z8" s="11">
        <f t="shared" si="19"/>
        <v>1.1455564912280702E-2</v>
      </c>
      <c r="AB8">
        <v>7.2598999999999997E-2</v>
      </c>
      <c r="AC8">
        <v>8.4833000000000006E-2</v>
      </c>
      <c r="AD8" s="18">
        <f t="shared" si="12"/>
        <v>0.15779232375488234</v>
      </c>
      <c r="AE8" s="18">
        <f t="shared" si="13"/>
        <v>0.13503665922790306</v>
      </c>
    </row>
    <row r="9" spans="2:31" x14ac:dyDescent="0.25">
      <c r="C9">
        <v>128</v>
      </c>
      <c r="D9">
        <v>8</v>
      </c>
      <c r="E9">
        <v>1</v>
      </c>
      <c r="F9" s="12">
        <v>16</v>
      </c>
      <c r="G9" s="12">
        <v>2</v>
      </c>
      <c r="H9" s="12">
        <v>2</v>
      </c>
      <c r="I9" s="12">
        <v>256</v>
      </c>
      <c r="J9" s="12">
        <v>30</v>
      </c>
      <c r="K9" s="14">
        <f t="shared" si="14"/>
        <v>8</v>
      </c>
      <c r="L9">
        <v>64</v>
      </c>
      <c r="M9" s="12">
        <v>128</v>
      </c>
      <c r="N9" s="15">
        <f t="shared" si="20"/>
        <v>3449.2631578947367</v>
      </c>
      <c r="O9" s="15">
        <f t="shared" si="21"/>
        <v>4369.0666666666666</v>
      </c>
      <c r="P9" s="15">
        <f t="shared" si="22"/>
        <v>1024</v>
      </c>
      <c r="Q9" s="15">
        <f t="shared" si="23"/>
        <v>7818.3298245614033</v>
      </c>
      <c r="R9" s="15">
        <f t="shared" si="15"/>
        <v>512</v>
      </c>
      <c r="S9" s="15">
        <f t="shared" si="16"/>
        <v>8738.1333333333332</v>
      </c>
      <c r="T9" s="15">
        <f t="shared" si="17"/>
        <v>1024</v>
      </c>
      <c r="U9" s="15">
        <f t="shared" si="9"/>
        <v>9250.1333333333332</v>
      </c>
      <c r="V9" s="15">
        <f t="shared" si="18"/>
        <v>2730.6666666666665</v>
      </c>
      <c r="W9" s="12">
        <f t="shared" si="10"/>
        <v>3112</v>
      </c>
      <c r="X9" s="12">
        <v>20000</v>
      </c>
      <c r="Y9" s="16">
        <f t="shared" si="24"/>
        <v>22911.129824561405</v>
      </c>
      <c r="Z9" s="11">
        <f t="shared" si="19"/>
        <v>2.2911129824561404E-2</v>
      </c>
      <c r="AB9">
        <v>9.0978000000000003E-2</v>
      </c>
      <c r="AC9">
        <v>0.116843</v>
      </c>
      <c r="AD9" s="18">
        <f t="shared" si="12"/>
        <v>0.25183153976303507</v>
      </c>
      <c r="AE9" s="18">
        <f t="shared" si="13"/>
        <v>0.19608474469639947</v>
      </c>
    </row>
    <row r="10" spans="2:31" x14ac:dyDescent="0.25">
      <c r="C10">
        <v>256</v>
      </c>
      <c r="D10">
        <v>8</v>
      </c>
      <c r="E10">
        <v>1</v>
      </c>
      <c r="F10" s="12">
        <v>16</v>
      </c>
      <c r="G10" s="12">
        <v>2</v>
      </c>
      <c r="H10" s="12">
        <v>2</v>
      </c>
      <c r="I10" s="12">
        <v>256</v>
      </c>
      <c r="J10" s="12">
        <v>30</v>
      </c>
      <c r="K10" s="14">
        <f t="shared" si="14"/>
        <v>16</v>
      </c>
      <c r="L10">
        <v>64</v>
      </c>
      <c r="M10" s="12">
        <v>128</v>
      </c>
      <c r="N10" s="15">
        <f t="shared" si="20"/>
        <v>6898.5263157894733</v>
      </c>
      <c r="O10" s="15">
        <f t="shared" si="21"/>
        <v>8738.1333333333332</v>
      </c>
      <c r="P10" s="15">
        <f t="shared" si="22"/>
        <v>2048</v>
      </c>
      <c r="Q10" s="15">
        <f t="shared" si="23"/>
        <v>15636.659649122807</v>
      </c>
      <c r="R10" s="15">
        <f t="shared" si="15"/>
        <v>1024</v>
      </c>
      <c r="S10" s="15">
        <f t="shared" si="16"/>
        <v>17476.266666666666</v>
      </c>
      <c r="T10" s="15">
        <f t="shared" si="17"/>
        <v>2048</v>
      </c>
      <c r="U10" s="15">
        <f t="shared" si="9"/>
        <v>18500.266666666666</v>
      </c>
      <c r="V10" s="15">
        <f t="shared" si="18"/>
        <v>5461.333333333333</v>
      </c>
      <c r="W10" s="12">
        <f t="shared" si="10"/>
        <v>6224</v>
      </c>
      <c r="X10" s="12">
        <v>20000</v>
      </c>
      <c r="Y10" s="16">
        <f t="shared" si="24"/>
        <v>45822.259649122811</v>
      </c>
      <c r="Z10" s="11">
        <f t="shared" si="19"/>
        <v>4.5822259649122808E-2</v>
      </c>
      <c r="AB10">
        <v>0.12657399999999999</v>
      </c>
      <c r="AC10">
        <v>0.17730099999999999</v>
      </c>
      <c r="AD10" s="18">
        <f t="shared" si="12"/>
        <v>0.36201952730515596</v>
      </c>
      <c r="AE10" s="18">
        <f t="shared" si="13"/>
        <v>0.25844332321375973</v>
      </c>
    </row>
    <row r="11" spans="2:31" x14ac:dyDescent="0.25">
      <c r="C11">
        <v>512</v>
      </c>
      <c r="D11">
        <v>8</v>
      </c>
      <c r="E11">
        <v>1</v>
      </c>
      <c r="F11" s="12">
        <v>16</v>
      </c>
      <c r="G11" s="12">
        <v>2</v>
      </c>
      <c r="H11" s="12">
        <v>2</v>
      </c>
      <c r="I11" s="12">
        <v>256</v>
      </c>
      <c r="J11" s="12">
        <v>30</v>
      </c>
      <c r="K11" s="14">
        <f t="shared" si="14"/>
        <v>32</v>
      </c>
      <c r="L11">
        <v>64</v>
      </c>
      <c r="M11" s="12">
        <v>128</v>
      </c>
      <c r="N11" s="15">
        <f t="shared" si="20"/>
        <v>13797.052631578947</v>
      </c>
      <c r="O11" s="15">
        <f t="shared" si="21"/>
        <v>17476.266666666666</v>
      </c>
      <c r="P11" s="15">
        <f t="shared" si="22"/>
        <v>4096</v>
      </c>
      <c r="Q11" s="15">
        <f t="shared" si="23"/>
        <v>31273.319298245613</v>
      </c>
      <c r="R11" s="15">
        <f t="shared" si="15"/>
        <v>2048</v>
      </c>
      <c r="S11" s="15">
        <f t="shared" si="16"/>
        <v>34952.533333333333</v>
      </c>
      <c r="T11" s="15">
        <f t="shared" si="17"/>
        <v>4096</v>
      </c>
      <c r="U11" s="15">
        <f t="shared" si="9"/>
        <v>37000.533333333333</v>
      </c>
      <c r="V11" s="15">
        <f t="shared" si="18"/>
        <v>10922.666666666666</v>
      </c>
      <c r="W11" s="12">
        <f t="shared" si="10"/>
        <v>12448</v>
      </c>
      <c r="X11" s="12">
        <v>20000</v>
      </c>
      <c r="Y11" s="16">
        <f t="shared" si="24"/>
        <v>91644.519298245621</v>
      </c>
      <c r="Z11" s="11">
        <f t="shared" si="19"/>
        <v>9.1644519298245616E-2</v>
      </c>
      <c r="AB11">
        <v>0.19614999999999999</v>
      </c>
      <c r="AC11">
        <v>0.30003999999999997</v>
      </c>
      <c r="AD11" s="18">
        <f t="shared" si="12"/>
        <v>0.46721651439329909</v>
      </c>
      <c r="AE11" s="18">
        <f t="shared" si="13"/>
        <v>0.30544100552674852</v>
      </c>
    </row>
    <row r="12" spans="2:31" x14ac:dyDescent="0.25">
      <c r="C12" s="8">
        <v>1</v>
      </c>
      <c r="D12" s="8">
        <v>8</v>
      </c>
      <c r="E12" s="8">
        <v>1</v>
      </c>
      <c r="F12" s="12">
        <v>16</v>
      </c>
      <c r="G12" s="12">
        <v>2</v>
      </c>
      <c r="H12" s="12">
        <v>2</v>
      </c>
      <c r="I12" s="12">
        <v>256</v>
      </c>
      <c r="J12" s="12">
        <v>30</v>
      </c>
      <c r="K12" s="14">
        <f t="shared" si="14"/>
        <v>1</v>
      </c>
      <c r="L12" s="8">
        <v>128</v>
      </c>
      <c r="M12" s="12">
        <v>128</v>
      </c>
      <c r="N12" s="15">
        <f t="shared" si="20"/>
        <v>431.15789473684208</v>
      </c>
      <c r="O12" s="15">
        <f t="shared" si="21"/>
        <v>1092.2666666666667</v>
      </c>
      <c r="P12" s="15">
        <f t="shared" si="22"/>
        <v>128</v>
      </c>
      <c r="Q12" s="15">
        <f t="shared" si="23"/>
        <v>1523.4245614035087</v>
      </c>
      <c r="R12" s="15">
        <f t="shared" si="15"/>
        <v>64</v>
      </c>
      <c r="S12" s="15">
        <f t="shared" si="16"/>
        <v>1092.2666666666667</v>
      </c>
      <c r="T12" s="15">
        <f t="shared" si="17"/>
        <v>128</v>
      </c>
      <c r="U12" s="15">
        <f t="shared" si="9"/>
        <v>1156.2666666666667</v>
      </c>
      <c r="V12" s="15">
        <f t="shared" si="18"/>
        <v>341.33333333333331</v>
      </c>
      <c r="W12" s="12">
        <f t="shared" si="10"/>
        <v>583</v>
      </c>
      <c r="X12" s="12">
        <v>20000</v>
      </c>
      <c r="Y12" s="16">
        <f t="shared" si="24"/>
        <v>3604.0245614035089</v>
      </c>
      <c r="Z12" s="11">
        <f t="shared" si="19"/>
        <v>3.6040245614035087E-3</v>
      </c>
      <c r="AB12" s="8">
        <v>6.1110999999999999E-2</v>
      </c>
      <c r="AC12">
        <v>6.1251E-2</v>
      </c>
      <c r="AD12" s="18">
        <f t="shared" si="12"/>
        <v>5.8975054595793046E-2</v>
      </c>
      <c r="AE12" s="18">
        <f t="shared" si="13"/>
        <v>5.8840256671785093E-2</v>
      </c>
    </row>
    <row r="13" spans="2:31" x14ac:dyDescent="0.25">
      <c r="C13">
        <v>2</v>
      </c>
      <c r="D13">
        <v>8</v>
      </c>
      <c r="E13">
        <v>1</v>
      </c>
      <c r="F13" s="12">
        <v>16</v>
      </c>
      <c r="G13" s="12">
        <v>2</v>
      </c>
      <c r="H13" s="12">
        <v>2</v>
      </c>
      <c r="I13" s="12">
        <v>256</v>
      </c>
      <c r="J13" s="12">
        <v>30</v>
      </c>
      <c r="K13" s="14">
        <f t="shared" si="14"/>
        <v>1</v>
      </c>
      <c r="L13">
        <v>128</v>
      </c>
      <c r="M13" s="12">
        <v>128</v>
      </c>
      <c r="N13" s="15">
        <f t="shared" si="20"/>
        <v>431.15789473684208</v>
      </c>
      <c r="O13" s="15">
        <f t="shared" si="21"/>
        <v>1092.2666666666667</v>
      </c>
      <c r="P13" s="15">
        <f t="shared" si="22"/>
        <v>128</v>
      </c>
      <c r="Q13" s="15">
        <f t="shared" si="23"/>
        <v>1523.4245614035087</v>
      </c>
      <c r="R13" s="15">
        <f t="shared" si="15"/>
        <v>64</v>
      </c>
      <c r="S13" s="15">
        <f t="shared" si="16"/>
        <v>1092.2666666666667</v>
      </c>
      <c r="T13" s="15">
        <f t="shared" si="17"/>
        <v>128</v>
      </c>
      <c r="U13" s="15">
        <f t="shared" si="9"/>
        <v>1156.2666666666667</v>
      </c>
      <c r="V13" s="15">
        <f t="shared" si="18"/>
        <v>341.33333333333331</v>
      </c>
      <c r="W13" s="12">
        <f t="shared" si="10"/>
        <v>583</v>
      </c>
      <c r="X13" s="12">
        <v>20000</v>
      </c>
      <c r="Y13" s="16">
        <f t="shared" si="24"/>
        <v>3604.0245614035089</v>
      </c>
      <c r="Z13" s="11">
        <f t="shared" si="19"/>
        <v>3.6040245614035087E-3</v>
      </c>
      <c r="AB13">
        <v>6.1074000000000003E-2</v>
      </c>
      <c r="AC13">
        <v>6.2001000000000001E-2</v>
      </c>
      <c r="AD13" s="18">
        <f t="shared" si="12"/>
        <v>5.9010783007556543E-2</v>
      </c>
      <c r="AE13" s="18">
        <f t="shared" si="13"/>
        <v>5.8128490853429922E-2</v>
      </c>
    </row>
    <row r="14" spans="2:31" x14ac:dyDescent="0.25">
      <c r="C14">
        <v>4</v>
      </c>
      <c r="D14">
        <v>8</v>
      </c>
      <c r="E14">
        <v>1</v>
      </c>
      <c r="F14" s="12">
        <v>16</v>
      </c>
      <c r="G14" s="12">
        <v>2</v>
      </c>
      <c r="H14" s="12">
        <v>2</v>
      </c>
      <c r="I14" s="12">
        <v>256</v>
      </c>
      <c r="J14" s="12">
        <v>30</v>
      </c>
      <c r="K14" s="14">
        <f t="shared" si="14"/>
        <v>1</v>
      </c>
      <c r="L14">
        <v>128</v>
      </c>
      <c r="M14" s="12">
        <v>128</v>
      </c>
      <c r="N14" s="15">
        <f t="shared" si="20"/>
        <v>431.15789473684208</v>
      </c>
      <c r="O14" s="15">
        <f t="shared" si="21"/>
        <v>1092.2666666666667</v>
      </c>
      <c r="P14" s="15">
        <f t="shared" si="22"/>
        <v>128</v>
      </c>
      <c r="Q14" s="15">
        <f t="shared" si="23"/>
        <v>1523.4245614035087</v>
      </c>
      <c r="R14" s="15">
        <f t="shared" si="15"/>
        <v>64</v>
      </c>
      <c r="S14" s="15">
        <f t="shared" si="16"/>
        <v>1092.2666666666667</v>
      </c>
      <c r="T14" s="15">
        <f t="shared" si="17"/>
        <v>128</v>
      </c>
      <c r="U14" s="15">
        <f t="shared" si="9"/>
        <v>1156.2666666666667</v>
      </c>
      <c r="V14" s="15">
        <f t="shared" si="18"/>
        <v>341.33333333333331</v>
      </c>
      <c r="W14" s="12">
        <f t="shared" si="10"/>
        <v>583</v>
      </c>
      <c r="X14" s="12">
        <v>20000</v>
      </c>
      <c r="Y14" s="16">
        <f t="shared" si="24"/>
        <v>3604.0245614035089</v>
      </c>
      <c r="Z14" s="11">
        <f t="shared" si="19"/>
        <v>3.6040245614035087E-3</v>
      </c>
      <c r="AB14">
        <v>6.0717E-2</v>
      </c>
      <c r="AC14">
        <v>6.1580999999999997E-2</v>
      </c>
      <c r="AD14" s="18">
        <f t="shared" si="12"/>
        <v>5.9357750900135196E-2</v>
      </c>
      <c r="AE14" s="18">
        <f t="shared" si="13"/>
        <v>5.8524943755436071E-2</v>
      </c>
    </row>
    <row r="15" spans="2:31" x14ac:dyDescent="0.25">
      <c r="C15">
        <v>8</v>
      </c>
      <c r="D15">
        <v>8</v>
      </c>
      <c r="E15">
        <v>1</v>
      </c>
      <c r="F15" s="12">
        <v>16</v>
      </c>
      <c r="G15" s="12">
        <v>2</v>
      </c>
      <c r="H15" s="12">
        <v>2</v>
      </c>
      <c r="I15" s="12">
        <v>256</v>
      </c>
      <c r="J15" s="12">
        <v>30</v>
      </c>
      <c r="K15" s="14">
        <f t="shared" si="14"/>
        <v>1</v>
      </c>
      <c r="L15">
        <v>128</v>
      </c>
      <c r="M15" s="12">
        <v>128</v>
      </c>
      <c r="N15" s="15">
        <f t="shared" si="20"/>
        <v>431.15789473684208</v>
      </c>
      <c r="O15" s="15">
        <f t="shared" si="21"/>
        <v>1092.2666666666667</v>
      </c>
      <c r="P15" s="15">
        <f t="shared" si="22"/>
        <v>128</v>
      </c>
      <c r="Q15" s="15">
        <f t="shared" si="23"/>
        <v>1523.4245614035087</v>
      </c>
      <c r="R15" s="15">
        <f t="shared" si="15"/>
        <v>64</v>
      </c>
      <c r="S15" s="15">
        <f t="shared" si="16"/>
        <v>1092.2666666666667</v>
      </c>
      <c r="T15" s="15">
        <f t="shared" si="17"/>
        <v>128</v>
      </c>
      <c r="U15" s="15">
        <f t="shared" si="9"/>
        <v>1156.2666666666667</v>
      </c>
      <c r="V15" s="15">
        <f t="shared" si="18"/>
        <v>341.33333333333331</v>
      </c>
      <c r="W15" s="12">
        <f t="shared" si="10"/>
        <v>583</v>
      </c>
      <c r="X15" s="12">
        <v>20000</v>
      </c>
      <c r="Y15" s="16">
        <f t="shared" si="24"/>
        <v>3604.0245614035089</v>
      </c>
      <c r="Z15" s="11">
        <f t="shared" si="19"/>
        <v>3.6040245614035087E-3</v>
      </c>
      <c r="AB15">
        <v>6.1892000000000003E-2</v>
      </c>
      <c r="AC15">
        <v>6.2633999999999995E-2</v>
      </c>
      <c r="AD15" s="18">
        <f t="shared" si="12"/>
        <v>5.8230862815929499E-2</v>
      </c>
      <c r="AE15" s="18">
        <f t="shared" si="13"/>
        <v>5.7541025024802968E-2</v>
      </c>
    </row>
    <row r="16" spans="2:31" x14ac:dyDescent="0.25">
      <c r="C16">
        <v>16</v>
      </c>
      <c r="D16">
        <v>8</v>
      </c>
      <c r="E16">
        <v>1</v>
      </c>
      <c r="F16" s="12">
        <v>16</v>
      </c>
      <c r="G16" s="12">
        <v>2</v>
      </c>
      <c r="H16" s="12">
        <v>2</v>
      </c>
      <c r="I16" s="12">
        <v>256</v>
      </c>
      <c r="J16" s="12">
        <v>30</v>
      </c>
      <c r="K16" s="14">
        <f t="shared" si="14"/>
        <v>1</v>
      </c>
      <c r="L16">
        <v>128</v>
      </c>
      <c r="M16" s="12">
        <v>128</v>
      </c>
      <c r="N16" s="15">
        <f t="shared" si="20"/>
        <v>431.15789473684208</v>
      </c>
      <c r="O16" s="15">
        <f t="shared" si="21"/>
        <v>1092.2666666666667</v>
      </c>
      <c r="P16" s="15">
        <f t="shared" si="22"/>
        <v>128</v>
      </c>
      <c r="Q16" s="15">
        <f t="shared" si="23"/>
        <v>1523.4245614035087</v>
      </c>
      <c r="R16" s="15">
        <f t="shared" si="15"/>
        <v>64</v>
      </c>
      <c r="S16" s="15">
        <f t="shared" si="16"/>
        <v>1092.2666666666667</v>
      </c>
      <c r="T16" s="15">
        <f t="shared" si="17"/>
        <v>128</v>
      </c>
      <c r="U16" s="15">
        <f t="shared" si="9"/>
        <v>1156.2666666666667</v>
      </c>
      <c r="V16" s="15">
        <f t="shared" si="18"/>
        <v>341.33333333333331</v>
      </c>
      <c r="W16" s="12">
        <f t="shared" si="10"/>
        <v>583</v>
      </c>
      <c r="X16" s="12">
        <v>20000</v>
      </c>
      <c r="Y16" s="16">
        <f t="shared" si="24"/>
        <v>3604.0245614035089</v>
      </c>
      <c r="Z16" s="11">
        <f t="shared" si="19"/>
        <v>3.6040245614035087E-3</v>
      </c>
      <c r="AB16">
        <v>6.2019999999999999E-2</v>
      </c>
      <c r="AC16">
        <v>6.2658000000000005E-2</v>
      </c>
      <c r="AD16" s="18">
        <f t="shared" si="12"/>
        <v>5.8110683028112044E-2</v>
      </c>
      <c r="AE16" s="18">
        <f t="shared" si="13"/>
        <v>5.7518984988405443E-2</v>
      </c>
    </row>
    <row r="17" spans="3:31" x14ac:dyDescent="0.25">
      <c r="C17">
        <v>32</v>
      </c>
      <c r="D17">
        <v>8</v>
      </c>
      <c r="E17">
        <v>1</v>
      </c>
      <c r="F17" s="12">
        <v>16</v>
      </c>
      <c r="G17" s="12">
        <v>2</v>
      </c>
      <c r="H17" s="12">
        <v>2</v>
      </c>
      <c r="I17" s="12">
        <v>256</v>
      </c>
      <c r="J17" s="12">
        <v>30</v>
      </c>
      <c r="K17" s="14">
        <f t="shared" si="14"/>
        <v>2</v>
      </c>
      <c r="L17">
        <v>128</v>
      </c>
      <c r="M17" s="12">
        <v>128</v>
      </c>
      <c r="N17" s="15">
        <f t="shared" si="20"/>
        <v>862.31578947368416</v>
      </c>
      <c r="O17" s="15">
        <f t="shared" si="21"/>
        <v>2184.5333333333333</v>
      </c>
      <c r="P17" s="15">
        <f t="shared" si="22"/>
        <v>256</v>
      </c>
      <c r="Q17" s="15">
        <f t="shared" si="23"/>
        <v>3046.8491228070175</v>
      </c>
      <c r="R17" s="15">
        <f t="shared" si="15"/>
        <v>128</v>
      </c>
      <c r="S17" s="15">
        <f t="shared" si="16"/>
        <v>2184.5333333333333</v>
      </c>
      <c r="T17" s="15">
        <f t="shared" si="17"/>
        <v>256</v>
      </c>
      <c r="U17" s="15">
        <f t="shared" si="9"/>
        <v>2312.5333333333333</v>
      </c>
      <c r="V17" s="15">
        <f t="shared" si="18"/>
        <v>682.66666666666663</v>
      </c>
      <c r="W17" s="12">
        <f t="shared" si="10"/>
        <v>1166</v>
      </c>
      <c r="X17" s="12">
        <v>20000</v>
      </c>
      <c r="Y17" s="16">
        <f t="shared" si="24"/>
        <v>7208.0491228070177</v>
      </c>
      <c r="Z17" s="11">
        <f t="shared" si="19"/>
        <v>7.2080491228070174E-3</v>
      </c>
      <c r="AB17">
        <v>6.8636000000000003E-2</v>
      </c>
      <c r="AC17">
        <v>7.2549000000000002E-2</v>
      </c>
      <c r="AD17" s="18">
        <f t="shared" si="12"/>
        <v>0.10501849062892676</v>
      </c>
      <c r="AE17" s="18">
        <f t="shared" si="13"/>
        <v>9.93542174641555E-2</v>
      </c>
    </row>
    <row r="18" spans="3:31" x14ac:dyDescent="0.25">
      <c r="C18">
        <v>64</v>
      </c>
      <c r="D18">
        <v>8</v>
      </c>
      <c r="E18">
        <v>1</v>
      </c>
      <c r="F18" s="12">
        <v>16</v>
      </c>
      <c r="G18" s="12">
        <v>2</v>
      </c>
      <c r="H18" s="12">
        <v>2</v>
      </c>
      <c r="I18" s="12">
        <v>256</v>
      </c>
      <c r="J18" s="12">
        <v>30</v>
      </c>
      <c r="K18" s="14">
        <f t="shared" si="14"/>
        <v>4</v>
      </c>
      <c r="L18">
        <v>128</v>
      </c>
      <c r="M18" s="12">
        <v>128</v>
      </c>
      <c r="N18" s="15">
        <f t="shared" si="20"/>
        <v>1724.6315789473683</v>
      </c>
      <c r="O18" s="15">
        <f t="shared" si="21"/>
        <v>4369.0666666666666</v>
      </c>
      <c r="P18" s="15">
        <f t="shared" si="22"/>
        <v>512</v>
      </c>
      <c r="Q18" s="15">
        <f t="shared" si="23"/>
        <v>6093.6982456140349</v>
      </c>
      <c r="R18" s="15">
        <f t="shared" si="15"/>
        <v>256</v>
      </c>
      <c r="S18" s="15">
        <f t="shared" si="16"/>
        <v>4369.0666666666666</v>
      </c>
      <c r="T18" s="15">
        <f t="shared" si="17"/>
        <v>512</v>
      </c>
      <c r="U18" s="15">
        <f t="shared" si="9"/>
        <v>4625.0666666666666</v>
      </c>
      <c r="V18" s="15">
        <f t="shared" si="18"/>
        <v>1365.3333333333333</v>
      </c>
      <c r="W18" s="12">
        <f t="shared" si="10"/>
        <v>2332</v>
      </c>
      <c r="X18" s="12">
        <v>20000</v>
      </c>
      <c r="Y18" s="16">
        <f t="shared" si="24"/>
        <v>14416.098245614035</v>
      </c>
      <c r="Z18" s="11">
        <f t="shared" si="19"/>
        <v>1.4416098245614035E-2</v>
      </c>
      <c r="AB18">
        <v>8.2680000000000003E-2</v>
      </c>
      <c r="AC18">
        <v>9.0193999999999996E-2</v>
      </c>
      <c r="AD18" s="18">
        <f t="shared" si="12"/>
        <v>0.17436016262232745</v>
      </c>
      <c r="AE18" s="18">
        <f t="shared" si="13"/>
        <v>0.15983433760132643</v>
      </c>
    </row>
    <row r="19" spans="3:31" x14ac:dyDescent="0.25">
      <c r="C19">
        <v>128</v>
      </c>
      <c r="D19">
        <v>8</v>
      </c>
      <c r="E19">
        <v>1</v>
      </c>
      <c r="F19" s="12">
        <v>16</v>
      </c>
      <c r="G19" s="12">
        <v>2</v>
      </c>
      <c r="H19" s="12">
        <v>2</v>
      </c>
      <c r="I19" s="12">
        <v>256</v>
      </c>
      <c r="J19" s="12">
        <v>30</v>
      </c>
      <c r="K19" s="14">
        <f t="shared" si="14"/>
        <v>8</v>
      </c>
      <c r="L19">
        <v>128</v>
      </c>
      <c r="M19" s="12">
        <v>128</v>
      </c>
      <c r="N19" s="15">
        <f t="shared" si="20"/>
        <v>3449.2631578947367</v>
      </c>
      <c r="O19" s="15">
        <f t="shared" si="21"/>
        <v>8738.1333333333332</v>
      </c>
      <c r="P19" s="15">
        <f t="shared" si="22"/>
        <v>1024</v>
      </c>
      <c r="Q19" s="15">
        <f t="shared" si="23"/>
        <v>12187.39649122807</v>
      </c>
      <c r="R19" s="15">
        <f t="shared" si="15"/>
        <v>512</v>
      </c>
      <c r="S19" s="15">
        <f t="shared" si="16"/>
        <v>8738.1333333333332</v>
      </c>
      <c r="T19" s="15">
        <f t="shared" si="17"/>
        <v>1024</v>
      </c>
      <c r="U19" s="15">
        <f t="shared" si="9"/>
        <v>9250.1333333333332</v>
      </c>
      <c r="V19" s="15">
        <f t="shared" si="18"/>
        <v>2730.6666666666665</v>
      </c>
      <c r="W19" s="12">
        <f t="shared" si="10"/>
        <v>4664</v>
      </c>
      <c r="X19" s="12">
        <v>20000</v>
      </c>
      <c r="Y19" s="16">
        <f t="shared" si="24"/>
        <v>28832.196491228071</v>
      </c>
      <c r="Z19" s="11">
        <f t="shared" si="19"/>
        <v>2.883219649122807E-2</v>
      </c>
      <c r="AB19">
        <v>0.10267900000000001</v>
      </c>
      <c r="AC19">
        <v>0.12578300000000001</v>
      </c>
      <c r="AD19" s="18">
        <f t="shared" si="12"/>
        <v>0.2807993503172807</v>
      </c>
      <c r="AE19" s="18">
        <f t="shared" si="13"/>
        <v>0.22922172703169799</v>
      </c>
    </row>
    <row r="20" spans="3:31" x14ac:dyDescent="0.25">
      <c r="C20">
        <v>256</v>
      </c>
      <c r="D20">
        <v>8</v>
      </c>
      <c r="E20">
        <v>1</v>
      </c>
      <c r="F20" s="12">
        <v>16</v>
      </c>
      <c r="G20" s="12">
        <v>2</v>
      </c>
      <c r="H20" s="12">
        <v>2</v>
      </c>
      <c r="I20" s="12">
        <v>256</v>
      </c>
      <c r="J20" s="12">
        <v>30</v>
      </c>
      <c r="K20" s="14">
        <f t="shared" si="14"/>
        <v>16</v>
      </c>
      <c r="L20">
        <v>128</v>
      </c>
      <c r="M20" s="12">
        <v>128</v>
      </c>
      <c r="N20" s="15">
        <f t="shared" si="20"/>
        <v>6898.5263157894733</v>
      </c>
      <c r="O20" s="15">
        <f t="shared" si="21"/>
        <v>17476.266666666666</v>
      </c>
      <c r="P20" s="15">
        <f t="shared" si="22"/>
        <v>2048</v>
      </c>
      <c r="Q20" s="15">
        <f t="shared" si="23"/>
        <v>24374.79298245614</v>
      </c>
      <c r="R20" s="15">
        <f t="shared" si="15"/>
        <v>1024</v>
      </c>
      <c r="S20" s="15">
        <f t="shared" si="16"/>
        <v>17476.266666666666</v>
      </c>
      <c r="T20" s="15">
        <f t="shared" si="17"/>
        <v>2048</v>
      </c>
      <c r="U20" s="15">
        <f t="shared" si="9"/>
        <v>18500.266666666666</v>
      </c>
      <c r="V20" s="15">
        <f t="shared" si="18"/>
        <v>5461.333333333333</v>
      </c>
      <c r="W20" s="12">
        <f t="shared" si="10"/>
        <v>9328</v>
      </c>
      <c r="X20" s="12">
        <v>20000</v>
      </c>
      <c r="Y20" s="16">
        <f t="shared" si="24"/>
        <v>57664.392982456142</v>
      </c>
      <c r="Z20" s="11">
        <f t="shared" si="19"/>
        <v>5.7664392982456139E-2</v>
      </c>
      <c r="AB20">
        <v>0.14857000000000001</v>
      </c>
      <c r="AC20">
        <v>0.193415</v>
      </c>
      <c r="AD20" s="18">
        <f t="shared" si="12"/>
        <v>0.38812945401128179</v>
      </c>
      <c r="AE20" s="18">
        <f t="shared" si="13"/>
        <v>0.29813816396068626</v>
      </c>
    </row>
    <row r="21" spans="3:31" x14ac:dyDescent="0.25">
      <c r="C21">
        <v>512</v>
      </c>
      <c r="D21">
        <v>8</v>
      </c>
      <c r="E21">
        <v>1</v>
      </c>
      <c r="F21" s="12">
        <v>16</v>
      </c>
      <c r="G21" s="12">
        <v>2</v>
      </c>
      <c r="H21" s="12">
        <v>2</v>
      </c>
      <c r="I21" s="12">
        <v>256</v>
      </c>
      <c r="J21" s="12">
        <v>30</v>
      </c>
      <c r="K21" s="14">
        <f t="shared" si="14"/>
        <v>32</v>
      </c>
      <c r="L21">
        <v>128</v>
      </c>
      <c r="M21" s="12">
        <v>128</v>
      </c>
      <c r="N21" s="15">
        <f t="shared" si="20"/>
        <v>13797.052631578947</v>
      </c>
      <c r="O21" s="15">
        <f t="shared" si="21"/>
        <v>34952.533333333333</v>
      </c>
      <c r="P21" s="15">
        <f t="shared" si="22"/>
        <v>4096</v>
      </c>
      <c r="Q21" s="15">
        <f t="shared" si="23"/>
        <v>48749.585964912279</v>
      </c>
      <c r="R21" s="15">
        <f t="shared" si="15"/>
        <v>2048</v>
      </c>
      <c r="S21" s="15">
        <f t="shared" si="16"/>
        <v>34952.533333333333</v>
      </c>
      <c r="T21" s="15">
        <f t="shared" si="17"/>
        <v>4096</v>
      </c>
      <c r="U21" s="15">
        <f t="shared" si="9"/>
        <v>37000.533333333333</v>
      </c>
      <c r="V21" s="15">
        <f t="shared" si="18"/>
        <v>10922.666666666666</v>
      </c>
      <c r="W21" s="12">
        <f t="shared" si="10"/>
        <v>18656</v>
      </c>
      <c r="X21" s="12">
        <v>20000</v>
      </c>
      <c r="Y21" s="16">
        <f t="shared" si="24"/>
        <v>115328.78596491228</v>
      </c>
      <c r="Z21" s="11">
        <f t="shared" si="19"/>
        <v>0.11532878596491228</v>
      </c>
      <c r="AB21">
        <v>0.243006</v>
      </c>
      <c r="AC21">
        <v>0.33340399999999998</v>
      </c>
      <c r="AD21" s="18">
        <f t="shared" si="12"/>
        <v>0.47459233913941334</v>
      </c>
      <c r="AE21" s="18">
        <f t="shared" si="13"/>
        <v>0.34591302433357812</v>
      </c>
    </row>
    <row r="22" spans="3:31" x14ac:dyDescent="0.25">
      <c r="C22" s="8">
        <v>1</v>
      </c>
      <c r="D22" s="8">
        <v>8</v>
      </c>
      <c r="E22" s="8">
        <v>1</v>
      </c>
      <c r="F22" s="12">
        <v>16</v>
      </c>
      <c r="G22" s="12">
        <v>2</v>
      </c>
      <c r="H22" s="12">
        <v>2</v>
      </c>
      <c r="I22" s="12">
        <v>256</v>
      </c>
      <c r="J22" s="12">
        <v>30</v>
      </c>
      <c r="K22" s="14">
        <f t="shared" si="14"/>
        <v>1</v>
      </c>
      <c r="L22" s="8">
        <v>256</v>
      </c>
      <c r="M22" s="12">
        <v>128</v>
      </c>
      <c r="N22" s="15">
        <f t="shared" si="20"/>
        <v>431.15789473684208</v>
      </c>
      <c r="O22" s="15">
        <f t="shared" si="21"/>
        <v>2184.5333333333333</v>
      </c>
      <c r="P22" s="15">
        <f t="shared" si="22"/>
        <v>256</v>
      </c>
      <c r="Q22" s="15">
        <f t="shared" si="23"/>
        <v>2615.6912280701754</v>
      </c>
      <c r="R22" s="15">
        <f t="shared" si="15"/>
        <v>128</v>
      </c>
      <c r="S22" s="15">
        <f t="shared" si="16"/>
        <v>2184.5333333333333</v>
      </c>
      <c r="T22" s="15">
        <f t="shared" si="17"/>
        <v>256</v>
      </c>
      <c r="U22" s="15">
        <f t="shared" si="9"/>
        <v>2312.5333333333333</v>
      </c>
      <c r="V22" s="15">
        <f t="shared" si="18"/>
        <v>341.33333333333331</v>
      </c>
      <c r="W22" s="12">
        <f t="shared" si="10"/>
        <v>971</v>
      </c>
      <c r="X22" s="12">
        <v>20000</v>
      </c>
      <c r="Y22" s="16">
        <f t="shared" si="24"/>
        <v>6240.5578947368422</v>
      </c>
      <c r="Z22" s="11">
        <f t="shared" si="19"/>
        <v>6.2405578947368418E-3</v>
      </c>
      <c r="AB22" s="8">
        <v>6.5279000000000004E-2</v>
      </c>
      <c r="AC22">
        <v>6.3228999999999994E-2</v>
      </c>
      <c r="AD22" s="18">
        <f t="shared" si="12"/>
        <v>9.5598245909662247E-2</v>
      </c>
      <c r="AE22" s="18">
        <f t="shared" si="13"/>
        <v>9.8697716154562659E-2</v>
      </c>
    </row>
    <row r="23" spans="3:31" x14ac:dyDescent="0.25">
      <c r="C23" s="8">
        <v>2</v>
      </c>
      <c r="D23" s="8">
        <v>8</v>
      </c>
      <c r="E23" s="8">
        <v>1</v>
      </c>
      <c r="F23" s="12">
        <v>16</v>
      </c>
      <c r="G23" s="12">
        <v>2</v>
      </c>
      <c r="H23" s="12">
        <v>2</v>
      </c>
      <c r="I23" s="12">
        <v>256</v>
      </c>
      <c r="J23" s="12">
        <v>30</v>
      </c>
      <c r="K23" s="14">
        <f t="shared" si="14"/>
        <v>1</v>
      </c>
      <c r="L23" s="8">
        <v>256</v>
      </c>
      <c r="M23" s="12">
        <v>128</v>
      </c>
      <c r="N23" s="15">
        <f t="shared" si="20"/>
        <v>431.15789473684208</v>
      </c>
      <c r="O23" s="15">
        <f t="shared" si="21"/>
        <v>2184.5333333333333</v>
      </c>
      <c r="P23" s="15">
        <f t="shared" si="22"/>
        <v>256</v>
      </c>
      <c r="Q23" s="15">
        <f t="shared" si="23"/>
        <v>2615.6912280701754</v>
      </c>
      <c r="R23" s="15">
        <f t="shared" si="15"/>
        <v>128</v>
      </c>
      <c r="S23" s="15">
        <f t="shared" si="16"/>
        <v>2184.5333333333333</v>
      </c>
      <c r="T23" s="15">
        <f t="shared" si="17"/>
        <v>256</v>
      </c>
      <c r="U23" s="15">
        <f t="shared" si="9"/>
        <v>2312.5333333333333</v>
      </c>
      <c r="V23" s="15">
        <f t="shared" si="18"/>
        <v>341.33333333333331</v>
      </c>
      <c r="W23" s="12">
        <f t="shared" si="10"/>
        <v>971</v>
      </c>
      <c r="X23" s="12">
        <v>20000</v>
      </c>
      <c r="Y23" s="16">
        <f t="shared" si="24"/>
        <v>6240.5578947368422</v>
      </c>
      <c r="Z23" s="11">
        <f t="shared" si="19"/>
        <v>6.2405578947368418E-3</v>
      </c>
      <c r="AB23" s="8">
        <v>6.5935999999999995E-2</v>
      </c>
      <c r="AC23">
        <v>6.4759999999999998E-2</v>
      </c>
      <c r="AD23" s="18">
        <f t="shared" si="12"/>
        <v>9.4645685130078289E-2</v>
      </c>
      <c r="AE23" s="18">
        <f t="shared" si="13"/>
        <v>9.6364389974318135E-2</v>
      </c>
    </row>
    <row r="24" spans="3:31" x14ac:dyDescent="0.25">
      <c r="C24">
        <v>4</v>
      </c>
      <c r="D24">
        <v>8</v>
      </c>
      <c r="E24">
        <v>1</v>
      </c>
      <c r="F24" s="12">
        <v>16</v>
      </c>
      <c r="G24" s="12">
        <v>2</v>
      </c>
      <c r="H24" s="12">
        <v>2</v>
      </c>
      <c r="I24" s="12">
        <v>256</v>
      </c>
      <c r="J24" s="12">
        <v>30</v>
      </c>
      <c r="K24" s="14">
        <f t="shared" si="14"/>
        <v>1</v>
      </c>
      <c r="L24">
        <v>256</v>
      </c>
      <c r="M24" s="12">
        <v>128</v>
      </c>
      <c r="N24" s="15">
        <f t="shared" si="20"/>
        <v>431.15789473684208</v>
      </c>
      <c r="O24" s="15">
        <f t="shared" si="21"/>
        <v>2184.5333333333333</v>
      </c>
      <c r="P24" s="15">
        <f t="shared" si="22"/>
        <v>256</v>
      </c>
      <c r="Q24" s="15">
        <f t="shared" si="23"/>
        <v>2615.6912280701754</v>
      </c>
      <c r="R24" s="15">
        <f t="shared" si="15"/>
        <v>128</v>
      </c>
      <c r="S24" s="15">
        <f t="shared" si="16"/>
        <v>2184.5333333333333</v>
      </c>
      <c r="T24" s="15">
        <f t="shared" si="17"/>
        <v>256</v>
      </c>
      <c r="U24" s="15">
        <f t="shared" si="9"/>
        <v>2312.5333333333333</v>
      </c>
      <c r="V24" s="15">
        <f t="shared" si="18"/>
        <v>341.33333333333331</v>
      </c>
      <c r="W24" s="12">
        <f t="shared" si="10"/>
        <v>971</v>
      </c>
      <c r="X24" s="12">
        <v>20000</v>
      </c>
      <c r="Y24" s="16">
        <f t="shared" si="24"/>
        <v>6240.5578947368422</v>
      </c>
      <c r="Z24" s="11">
        <f t="shared" si="19"/>
        <v>6.2405578947368418E-3</v>
      </c>
      <c r="AB24">
        <v>6.5768999999999994E-2</v>
      </c>
      <c r="AC24">
        <v>6.4320000000000002E-2</v>
      </c>
      <c r="AD24" s="18">
        <f t="shared" si="12"/>
        <v>9.4886008525853244E-2</v>
      </c>
      <c r="AE24" s="18">
        <f t="shared" si="13"/>
        <v>9.7023599109714573E-2</v>
      </c>
    </row>
    <row r="25" spans="3:31" x14ac:dyDescent="0.25">
      <c r="C25">
        <v>8</v>
      </c>
      <c r="D25">
        <v>8</v>
      </c>
      <c r="E25">
        <v>1</v>
      </c>
      <c r="F25" s="12">
        <v>16</v>
      </c>
      <c r="G25" s="12">
        <v>2</v>
      </c>
      <c r="H25" s="12">
        <v>2</v>
      </c>
      <c r="I25" s="12">
        <v>256</v>
      </c>
      <c r="J25" s="12">
        <v>30</v>
      </c>
      <c r="K25" s="14">
        <f t="shared" si="14"/>
        <v>1</v>
      </c>
      <c r="L25">
        <v>256</v>
      </c>
      <c r="M25" s="12">
        <v>128</v>
      </c>
      <c r="N25" s="15">
        <f t="shared" si="20"/>
        <v>431.15789473684208</v>
      </c>
      <c r="O25" s="15">
        <f t="shared" si="21"/>
        <v>2184.5333333333333</v>
      </c>
      <c r="P25" s="15">
        <f t="shared" si="22"/>
        <v>256</v>
      </c>
      <c r="Q25" s="15">
        <f t="shared" si="23"/>
        <v>2615.6912280701754</v>
      </c>
      <c r="R25" s="15">
        <f t="shared" si="15"/>
        <v>128</v>
      </c>
      <c r="S25" s="15">
        <f t="shared" si="16"/>
        <v>2184.5333333333333</v>
      </c>
      <c r="T25" s="15">
        <f t="shared" si="17"/>
        <v>256</v>
      </c>
      <c r="U25" s="15">
        <f t="shared" si="9"/>
        <v>2312.5333333333333</v>
      </c>
      <c r="V25" s="15">
        <f t="shared" si="18"/>
        <v>341.33333333333331</v>
      </c>
      <c r="W25" s="12">
        <f t="shared" si="10"/>
        <v>971</v>
      </c>
      <c r="X25" s="12">
        <v>20000</v>
      </c>
      <c r="Y25" s="16">
        <f t="shared" si="24"/>
        <v>6240.5578947368422</v>
      </c>
      <c r="Z25" s="11">
        <f t="shared" si="19"/>
        <v>6.2405578947368418E-3</v>
      </c>
      <c r="AB25">
        <v>6.7302000000000001E-2</v>
      </c>
      <c r="AC25">
        <v>6.5947000000000006E-2</v>
      </c>
      <c r="AD25" s="18">
        <f t="shared" si="12"/>
        <v>9.2724702010888851E-2</v>
      </c>
      <c r="AE25" s="18">
        <f t="shared" si="13"/>
        <v>9.4629898171817384E-2</v>
      </c>
    </row>
    <row r="26" spans="3:31" x14ac:dyDescent="0.25">
      <c r="C26">
        <v>16</v>
      </c>
      <c r="D26">
        <v>8</v>
      </c>
      <c r="E26">
        <v>1</v>
      </c>
      <c r="F26" s="12">
        <v>16</v>
      </c>
      <c r="G26" s="12">
        <v>2</v>
      </c>
      <c r="H26" s="12">
        <v>2</v>
      </c>
      <c r="I26" s="12">
        <v>256</v>
      </c>
      <c r="J26" s="12">
        <v>30</v>
      </c>
      <c r="K26" s="14">
        <f t="shared" si="14"/>
        <v>1</v>
      </c>
      <c r="L26">
        <v>256</v>
      </c>
      <c r="M26" s="12">
        <v>128</v>
      </c>
      <c r="N26" s="15">
        <f t="shared" si="20"/>
        <v>431.15789473684208</v>
      </c>
      <c r="O26" s="15">
        <f t="shared" si="21"/>
        <v>2184.5333333333333</v>
      </c>
      <c r="P26" s="15">
        <f t="shared" si="22"/>
        <v>256</v>
      </c>
      <c r="Q26" s="15">
        <f t="shared" si="23"/>
        <v>2615.6912280701754</v>
      </c>
      <c r="R26" s="15">
        <f t="shared" si="15"/>
        <v>128</v>
      </c>
      <c r="S26" s="15">
        <f t="shared" si="16"/>
        <v>2184.5333333333333</v>
      </c>
      <c r="T26" s="15">
        <f t="shared" si="17"/>
        <v>256</v>
      </c>
      <c r="U26" s="15">
        <f t="shared" si="9"/>
        <v>2312.5333333333333</v>
      </c>
      <c r="V26" s="15">
        <f t="shared" si="18"/>
        <v>341.33333333333331</v>
      </c>
      <c r="W26" s="12">
        <f t="shared" si="10"/>
        <v>971</v>
      </c>
      <c r="X26" s="12">
        <v>20000</v>
      </c>
      <c r="Y26" s="16">
        <f t="shared" si="24"/>
        <v>6240.5578947368422</v>
      </c>
      <c r="Z26" s="11">
        <f t="shared" si="19"/>
        <v>6.2405578947368418E-3</v>
      </c>
      <c r="AB26">
        <v>6.8060999999999997E-2</v>
      </c>
      <c r="AC26">
        <v>6.6416000000000003E-2</v>
      </c>
      <c r="AD26" s="18">
        <f t="shared" si="12"/>
        <v>9.1690658302652647E-2</v>
      </c>
      <c r="AE26" s="18">
        <f t="shared" si="13"/>
        <v>9.3961664278740684E-2</v>
      </c>
    </row>
    <row r="27" spans="3:31" x14ac:dyDescent="0.25">
      <c r="C27">
        <v>32</v>
      </c>
      <c r="D27">
        <v>8</v>
      </c>
      <c r="E27">
        <v>1</v>
      </c>
      <c r="F27" s="12">
        <v>16</v>
      </c>
      <c r="G27" s="12">
        <v>2</v>
      </c>
      <c r="H27" s="12">
        <v>2</v>
      </c>
      <c r="I27" s="12">
        <v>256</v>
      </c>
      <c r="J27" s="12">
        <v>30</v>
      </c>
      <c r="K27" s="14">
        <f t="shared" ref="K27:K90" si="25">_xlfn.CEILING.MATH(C27*E27/F27)</f>
        <v>2</v>
      </c>
      <c r="L27">
        <v>256</v>
      </c>
      <c r="M27" s="12">
        <v>128</v>
      </c>
      <c r="N27" s="15">
        <f t="shared" si="20"/>
        <v>862.31578947368416</v>
      </c>
      <c r="O27" s="15">
        <f t="shared" si="21"/>
        <v>4369.0666666666666</v>
      </c>
      <c r="P27" s="15">
        <f t="shared" si="22"/>
        <v>512</v>
      </c>
      <c r="Q27" s="15">
        <f t="shared" si="23"/>
        <v>5231.3824561403508</v>
      </c>
      <c r="R27" s="15">
        <f t="shared" si="15"/>
        <v>256</v>
      </c>
      <c r="S27" s="15">
        <f t="shared" si="16"/>
        <v>4369.0666666666666</v>
      </c>
      <c r="T27" s="15">
        <f t="shared" si="17"/>
        <v>512</v>
      </c>
      <c r="U27" s="15">
        <f t="shared" si="9"/>
        <v>4625.0666666666666</v>
      </c>
      <c r="V27" s="15">
        <f t="shared" si="18"/>
        <v>682.66666666666663</v>
      </c>
      <c r="W27" s="12">
        <f t="shared" si="10"/>
        <v>1942</v>
      </c>
      <c r="X27" s="12">
        <v>20000</v>
      </c>
      <c r="Y27" s="16">
        <f t="shared" si="24"/>
        <v>12481.115789473684</v>
      </c>
      <c r="Z27" s="11">
        <f t="shared" si="19"/>
        <v>1.2481115789473684E-2</v>
      </c>
      <c r="AB27">
        <v>7.6894000000000004E-2</v>
      </c>
      <c r="AC27">
        <v>7.9856999999999997E-2</v>
      </c>
      <c r="AD27" s="18">
        <f t="shared" si="12"/>
        <v>0.1623158606584868</v>
      </c>
      <c r="AE27" s="18">
        <f t="shared" si="13"/>
        <v>0.15629332168092572</v>
      </c>
    </row>
    <row r="28" spans="3:31" x14ac:dyDescent="0.25">
      <c r="C28">
        <v>64</v>
      </c>
      <c r="D28">
        <v>8</v>
      </c>
      <c r="E28">
        <v>1</v>
      </c>
      <c r="F28" s="12">
        <v>16</v>
      </c>
      <c r="G28" s="12">
        <v>2</v>
      </c>
      <c r="H28" s="12">
        <v>2</v>
      </c>
      <c r="I28" s="12">
        <v>256</v>
      </c>
      <c r="J28" s="12">
        <v>30</v>
      </c>
      <c r="K28" s="14">
        <f t="shared" si="25"/>
        <v>4</v>
      </c>
      <c r="L28">
        <v>256</v>
      </c>
      <c r="M28" s="12">
        <v>128</v>
      </c>
      <c r="N28" s="15">
        <f t="shared" si="20"/>
        <v>1724.6315789473683</v>
      </c>
      <c r="O28" s="15">
        <f t="shared" si="21"/>
        <v>8738.1333333333332</v>
      </c>
      <c r="P28" s="15">
        <f t="shared" si="22"/>
        <v>1024</v>
      </c>
      <c r="Q28" s="15">
        <f t="shared" si="23"/>
        <v>10462.764912280702</v>
      </c>
      <c r="R28" s="15">
        <f t="shared" si="15"/>
        <v>512</v>
      </c>
      <c r="S28" s="15">
        <f t="shared" si="16"/>
        <v>8738.1333333333332</v>
      </c>
      <c r="T28" s="15">
        <f t="shared" si="17"/>
        <v>1024</v>
      </c>
      <c r="U28" s="15">
        <f t="shared" si="9"/>
        <v>9250.1333333333332</v>
      </c>
      <c r="V28" s="15">
        <f t="shared" si="18"/>
        <v>1365.3333333333333</v>
      </c>
      <c r="W28" s="12">
        <f t="shared" si="10"/>
        <v>3884</v>
      </c>
      <c r="X28" s="12">
        <v>20000</v>
      </c>
      <c r="Y28" s="16">
        <f t="shared" si="24"/>
        <v>24962.231578947369</v>
      </c>
      <c r="Z28" s="11">
        <f t="shared" si="19"/>
        <v>2.4962231578947367E-2</v>
      </c>
      <c r="AB28">
        <v>9.7001000000000004E-2</v>
      </c>
      <c r="AC28">
        <v>0.104116</v>
      </c>
      <c r="AD28" s="18">
        <f t="shared" si="12"/>
        <v>0.25733994060831711</v>
      </c>
      <c r="AE28" s="18">
        <f t="shared" si="13"/>
        <v>0.23975403952271857</v>
      </c>
    </row>
    <row r="29" spans="3:31" x14ac:dyDescent="0.25">
      <c r="C29">
        <v>128</v>
      </c>
      <c r="D29">
        <v>8</v>
      </c>
      <c r="E29">
        <v>1</v>
      </c>
      <c r="F29" s="12">
        <v>16</v>
      </c>
      <c r="G29" s="12">
        <v>2</v>
      </c>
      <c r="H29" s="12">
        <v>2</v>
      </c>
      <c r="I29" s="12">
        <v>256</v>
      </c>
      <c r="J29" s="12">
        <v>30</v>
      </c>
      <c r="K29" s="14">
        <f t="shared" si="25"/>
        <v>8</v>
      </c>
      <c r="L29">
        <v>256</v>
      </c>
      <c r="M29" s="12">
        <v>128</v>
      </c>
      <c r="N29" s="15">
        <f t="shared" si="20"/>
        <v>3449.2631578947367</v>
      </c>
      <c r="O29" s="15">
        <f t="shared" si="21"/>
        <v>17476.266666666666</v>
      </c>
      <c r="P29" s="15">
        <f t="shared" si="22"/>
        <v>2048</v>
      </c>
      <c r="Q29" s="15">
        <f t="shared" si="23"/>
        <v>20925.529824561403</v>
      </c>
      <c r="R29" s="15">
        <f t="shared" si="15"/>
        <v>1024</v>
      </c>
      <c r="S29" s="15">
        <f t="shared" si="16"/>
        <v>17476.266666666666</v>
      </c>
      <c r="T29" s="15">
        <f t="shared" si="17"/>
        <v>2048</v>
      </c>
      <c r="U29" s="15">
        <f t="shared" si="9"/>
        <v>18500.266666666666</v>
      </c>
      <c r="V29" s="15">
        <f t="shared" si="18"/>
        <v>2730.6666666666665</v>
      </c>
      <c r="W29" s="12">
        <f t="shared" si="10"/>
        <v>7768</v>
      </c>
      <c r="X29" s="12">
        <v>20000</v>
      </c>
      <c r="Y29" s="16">
        <f t="shared" si="24"/>
        <v>49924.463157894737</v>
      </c>
      <c r="Z29" s="11">
        <f t="shared" si="19"/>
        <v>4.9924463157894734E-2</v>
      </c>
      <c r="AB29">
        <v>0.135659</v>
      </c>
      <c r="AC29">
        <v>0.151919</v>
      </c>
      <c r="AD29" s="18">
        <f t="shared" si="12"/>
        <v>0.36801438281201199</v>
      </c>
      <c r="AE29" s="18">
        <f t="shared" si="13"/>
        <v>0.32862553833223451</v>
      </c>
    </row>
    <row r="30" spans="3:31" x14ac:dyDescent="0.25">
      <c r="C30">
        <v>256</v>
      </c>
      <c r="D30">
        <v>8</v>
      </c>
      <c r="E30">
        <v>1</v>
      </c>
      <c r="F30" s="12">
        <v>16</v>
      </c>
      <c r="G30" s="12">
        <v>2</v>
      </c>
      <c r="H30" s="12">
        <v>2</v>
      </c>
      <c r="I30" s="12">
        <v>256</v>
      </c>
      <c r="J30" s="12">
        <v>30</v>
      </c>
      <c r="K30" s="14">
        <f t="shared" si="25"/>
        <v>16</v>
      </c>
      <c r="L30">
        <v>256</v>
      </c>
      <c r="M30" s="12">
        <v>128</v>
      </c>
      <c r="N30" s="15">
        <f t="shared" si="20"/>
        <v>6898.5263157894733</v>
      </c>
      <c r="O30" s="15">
        <f t="shared" si="21"/>
        <v>34952.533333333333</v>
      </c>
      <c r="P30" s="15">
        <f t="shared" si="22"/>
        <v>4096</v>
      </c>
      <c r="Q30" s="15">
        <f t="shared" si="23"/>
        <v>41851.059649122806</v>
      </c>
      <c r="R30" s="15">
        <f t="shared" si="15"/>
        <v>2048</v>
      </c>
      <c r="S30" s="15">
        <f t="shared" si="16"/>
        <v>34952.533333333333</v>
      </c>
      <c r="T30" s="15">
        <f t="shared" si="17"/>
        <v>4096</v>
      </c>
      <c r="U30" s="15">
        <f t="shared" si="9"/>
        <v>37000.533333333333</v>
      </c>
      <c r="V30" s="15">
        <f t="shared" si="18"/>
        <v>5461.333333333333</v>
      </c>
      <c r="W30" s="12">
        <f t="shared" si="10"/>
        <v>15536</v>
      </c>
      <c r="X30" s="12">
        <v>20000</v>
      </c>
      <c r="Y30" s="16">
        <f t="shared" si="24"/>
        <v>99848.926315789475</v>
      </c>
      <c r="Z30" s="11">
        <f t="shared" si="19"/>
        <v>9.9848926315789469E-2</v>
      </c>
      <c r="AB30">
        <v>0.214535</v>
      </c>
      <c r="AC30">
        <v>0.24712700000000001</v>
      </c>
      <c r="AD30" s="18">
        <f t="shared" si="12"/>
        <v>0.46542021728757299</v>
      </c>
      <c r="AE30" s="18">
        <f t="shared" si="13"/>
        <v>0.4040389205379803</v>
      </c>
    </row>
    <row r="31" spans="3:31" x14ac:dyDescent="0.25">
      <c r="C31">
        <v>512</v>
      </c>
      <c r="D31">
        <v>8</v>
      </c>
      <c r="E31">
        <v>1</v>
      </c>
      <c r="F31" s="12">
        <v>16</v>
      </c>
      <c r="G31" s="12">
        <v>2</v>
      </c>
      <c r="H31" s="12">
        <v>2</v>
      </c>
      <c r="I31" s="12">
        <v>256</v>
      </c>
      <c r="J31" s="12">
        <v>30</v>
      </c>
      <c r="K31" s="14">
        <f t="shared" si="25"/>
        <v>32</v>
      </c>
      <c r="L31">
        <v>256</v>
      </c>
      <c r="M31" s="12">
        <v>128</v>
      </c>
      <c r="N31" s="15">
        <f t="shared" si="20"/>
        <v>13797.052631578947</v>
      </c>
      <c r="O31" s="15">
        <f t="shared" si="21"/>
        <v>69905.066666666666</v>
      </c>
      <c r="P31" s="15">
        <f t="shared" si="22"/>
        <v>8192</v>
      </c>
      <c r="Q31" s="15">
        <f t="shared" si="23"/>
        <v>83702.119298245612</v>
      </c>
      <c r="R31" s="15">
        <f t="shared" si="15"/>
        <v>4096</v>
      </c>
      <c r="S31" s="15">
        <f t="shared" si="16"/>
        <v>69905.066666666666</v>
      </c>
      <c r="T31" s="15">
        <f t="shared" si="17"/>
        <v>8192</v>
      </c>
      <c r="U31" s="15">
        <f t="shared" si="9"/>
        <v>74001.066666666666</v>
      </c>
      <c r="V31" s="15">
        <f t="shared" si="18"/>
        <v>10922.666666666666</v>
      </c>
      <c r="W31" s="12">
        <f t="shared" si="10"/>
        <v>31072</v>
      </c>
      <c r="X31" s="12">
        <v>20000</v>
      </c>
      <c r="Y31" s="16">
        <f t="shared" si="24"/>
        <v>199697.85263157895</v>
      </c>
      <c r="Z31" s="11">
        <f t="shared" si="19"/>
        <v>0.19969785263157894</v>
      </c>
      <c r="AB31">
        <v>0.37137799999999999</v>
      </c>
      <c r="AC31">
        <v>0.44086399999999998</v>
      </c>
      <c r="AD31" s="18">
        <f t="shared" si="12"/>
        <v>0.5377212775974316</v>
      </c>
      <c r="AE31" s="18">
        <f t="shared" si="13"/>
        <v>0.45296928901334416</v>
      </c>
    </row>
    <row r="32" spans="3:31" x14ac:dyDescent="0.25">
      <c r="C32" s="8">
        <v>1</v>
      </c>
      <c r="D32" s="8">
        <v>8</v>
      </c>
      <c r="E32" s="8">
        <v>1</v>
      </c>
      <c r="F32" s="12">
        <v>16</v>
      </c>
      <c r="G32" s="12">
        <v>2</v>
      </c>
      <c r="H32" s="12">
        <v>2</v>
      </c>
      <c r="I32" s="12">
        <v>256</v>
      </c>
      <c r="J32" s="12">
        <v>30</v>
      </c>
      <c r="K32" s="14">
        <f t="shared" si="25"/>
        <v>1</v>
      </c>
      <c r="L32" s="8">
        <v>512</v>
      </c>
      <c r="M32" s="12">
        <v>128</v>
      </c>
      <c r="N32" s="15">
        <f t="shared" si="20"/>
        <v>431.15789473684208</v>
      </c>
      <c r="O32" s="15">
        <f t="shared" si="21"/>
        <v>4369.0666666666666</v>
      </c>
      <c r="P32" s="15">
        <f t="shared" si="22"/>
        <v>512</v>
      </c>
      <c r="Q32" s="15">
        <f t="shared" si="23"/>
        <v>4800.2245614035091</v>
      </c>
      <c r="R32" s="15">
        <f t="shared" si="15"/>
        <v>256</v>
      </c>
      <c r="S32" s="15">
        <f t="shared" si="16"/>
        <v>4369.0666666666666</v>
      </c>
      <c r="T32" s="15">
        <f t="shared" si="17"/>
        <v>512</v>
      </c>
      <c r="U32" s="15">
        <f t="shared" si="9"/>
        <v>4625.0666666666666</v>
      </c>
      <c r="V32" s="15">
        <f t="shared" si="18"/>
        <v>341.33333333333331</v>
      </c>
      <c r="W32" s="12">
        <f t="shared" si="10"/>
        <v>1747</v>
      </c>
      <c r="X32" s="12">
        <v>20000</v>
      </c>
      <c r="Y32" s="16">
        <f t="shared" si="24"/>
        <v>11513.624561403509</v>
      </c>
      <c r="Z32" s="11">
        <f t="shared" si="19"/>
        <v>1.1513624561403509E-2</v>
      </c>
      <c r="AB32" s="8">
        <v>7.3385000000000006E-2</v>
      </c>
      <c r="AC32">
        <v>6.7854999999999999E-2</v>
      </c>
      <c r="AD32" s="18">
        <f t="shared" si="12"/>
        <v>0.15689343273698314</v>
      </c>
      <c r="AE32" s="18">
        <f t="shared" si="13"/>
        <v>0.16967982553096322</v>
      </c>
    </row>
    <row r="33" spans="3:31" x14ac:dyDescent="0.25">
      <c r="C33" s="8">
        <v>2</v>
      </c>
      <c r="D33" s="8">
        <v>8</v>
      </c>
      <c r="E33" s="8">
        <v>1</v>
      </c>
      <c r="F33" s="12">
        <v>16</v>
      </c>
      <c r="G33" s="12">
        <v>2</v>
      </c>
      <c r="H33" s="12">
        <v>2</v>
      </c>
      <c r="I33" s="12">
        <v>256</v>
      </c>
      <c r="J33" s="12">
        <v>30</v>
      </c>
      <c r="K33" s="14">
        <f t="shared" si="25"/>
        <v>1</v>
      </c>
      <c r="L33" s="8">
        <v>512</v>
      </c>
      <c r="M33" s="12">
        <v>128</v>
      </c>
      <c r="N33" s="15">
        <f t="shared" si="20"/>
        <v>431.15789473684208</v>
      </c>
      <c r="O33" s="15">
        <f t="shared" si="21"/>
        <v>4369.0666666666666</v>
      </c>
      <c r="P33" s="15">
        <f t="shared" si="22"/>
        <v>512</v>
      </c>
      <c r="Q33" s="15">
        <f t="shared" si="23"/>
        <v>4800.2245614035091</v>
      </c>
      <c r="R33" s="15">
        <f t="shared" si="15"/>
        <v>256</v>
      </c>
      <c r="S33" s="15">
        <f t="shared" si="16"/>
        <v>4369.0666666666666</v>
      </c>
      <c r="T33" s="15">
        <f t="shared" si="17"/>
        <v>512</v>
      </c>
      <c r="U33" s="15">
        <f t="shared" si="9"/>
        <v>4625.0666666666666</v>
      </c>
      <c r="V33" s="15">
        <f t="shared" si="18"/>
        <v>341.33333333333331</v>
      </c>
      <c r="W33" s="12">
        <f t="shared" si="10"/>
        <v>1747</v>
      </c>
      <c r="X33" s="12">
        <v>20000</v>
      </c>
      <c r="Y33" s="16">
        <f t="shared" si="24"/>
        <v>11513.624561403509</v>
      </c>
      <c r="Z33" s="11">
        <f t="shared" si="19"/>
        <v>1.1513624561403509E-2</v>
      </c>
      <c r="AB33" s="8">
        <v>7.5555999999999998E-2</v>
      </c>
      <c r="AC33">
        <v>7.0281999999999997E-2</v>
      </c>
      <c r="AD33" s="18">
        <f t="shared" si="12"/>
        <v>0.15238531104615793</v>
      </c>
      <c r="AE33" s="18">
        <f t="shared" si="13"/>
        <v>0.16382038873969879</v>
      </c>
    </row>
    <row r="34" spans="3:31" x14ac:dyDescent="0.25">
      <c r="C34">
        <v>4</v>
      </c>
      <c r="D34">
        <v>8</v>
      </c>
      <c r="E34">
        <v>1</v>
      </c>
      <c r="F34" s="12">
        <v>16</v>
      </c>
      <c r="G34" s="12">
        <v>2</v>
      </c>
      <c r="H34" s="12">
        <v>2</v>
      </c>
      <c r="I34" s="12">
        <v>256</v>
      </c>
      <c r="J34" s="12">
        <v>30</v>
      </c>
      <c r="K34" s="14">
        <f t="shared" si="25"/>
        <v>1</v>
      </c>
      <c r="L34">
        <v>512</v>
      </c>
      <c r="M34" s="12">
        <v>128</v>
      </c>
      <c r="N34" s="15">
        <f t="shared" si="20"/>
        <v>431.15789473684208</v>
      </c>
      <c r="O34" s="15">
        <f t="shared" si="21"/>
        <v>4369.0666666666666</v>
      </c>
      <c r="P34" s="15">
        <f t="shared" si="22"/>
        <v>512</v>
      </c>
      <c r="Q34" s="15">
        <f t="shared" si="23"/>
        <v>4800.2245614035091</v>
      </c>
      <c r="R34" s="15">
        <f t="shared" si="15"/>
        <v>256</v>
      </c>
      <c r="S34" s="15">
        <f t="shared" si="16"/>
        <v>4369.0666666666666</v>
      </c>
      <c r="T34" s="15">
        <f t="shared" si="17"/>
        <v>512</v>
      </c>
      <c r="U34" s="15">
        <f t="shared" si="9"/>
        <v>4625.0666666666666</v>
      </c>
      <c r="V34" s="15">
        <f t="shared" si="18"/>
        <v>341.33333333333331</v>
      </c>
      <c r="W34" s="12">
        <f t="shared" si="10"/>
        <v>1747</v>
      </c>
      <c r="X34" s="12">
        <v>20000</v>
      </c>
      <c r="Y34" s="16">
        <f t="shared" si="24"/>
        <v>11513.624561403509</v>
      </c>
      <c r="Z34" s="11">
        <f t="shared" si="19"/>
        <v>1.1513624561403509E-2</v>
      </c>
      <c r="AB34">
        <v>7.5967000000000007E-2</v>
      </c>
      <c r="AC34">
        <v>7.0193000000000005E-2</v>
      </c>
      <c r="AD34" s="18">
        <f t="shared" si="12"/>
        <v>0.15156086934331364</v>
      </c>
      <c r="AE34" s="18">
        <f t="shared" si="13"/>
        <v>0.16402810196748263</v>
      </c>
    </row>
    <row r="35" spans="3:31" x14ac:dyDescent="0.25">
      <c r="C35">
        <v>8</v>
      </c>
      <c r="D35">
        <v>8</v>
      </c>
      <c r="E35">
        <v>1</v>
      </c>
      <c r="F35" s="12">
        <v>16</v>
      </c>
      <c r="G35" s="12">
        <v>2</v>
      </c>
      <c r="H35" s="12">
        <v>2</v>
      </c>
      <c r="I35" s="12">
        <v>256</v>
      </c>
      <c r="J35" s="12">
        <v>30</v>
      </c>
      <c r="K35" s="14">
        <f t="shared" si="25"/>
        <v>1</v>
      </c>
      <c r="L35">
        <v>512</v>
      </c>
      <c r="M35" s="12">
        <v>128</v>
      </c>
      <c r="N35" s="15">
        <f t="shared" si="20"/>
        <v>431.15789473684208</v>
      </c>
      <c r="O35" s="15">
        <f t="shared" si="21"/>
        <v>4369.0666666666666</v>
      </c>
      <c r="P35" s="15">
        <f t="shared" si="22"/>
        <v>512</v>
      </c>
      <c r="Q35" s="15">
        <f t="shared" si="23"/>
        <v>4800.2245614035091</v>
      </c>
      <c r="R35" s="15">
        <f t="shared" si="15"/>
        <v>256</v>
      </c>
      <c r="S35" s="15">
        <f t="shared" si="16"/>
        <v>4369.0666666666666</v>
      </c>
      <c r="T35" s="15">
        <f t="shared" si="17"/>
        <v>512</v>
      </c>
      <c r="U35" s="15">
        <f t="shared" si="9"/>
        <v>4625.0666666666666</v>
      </c>
      <c r="V35" s="15">
        <f t="shared" si="18"/>
        <v>341.33333333333331</v>
      </c>
      <c r="W35" s="12">
        <f t="shared" si="10"/>
        <v>1747</v>
      </c>
      <c r="X35" s="12">
        <v>20000</v>
      </c>
      <c r="Y35" s="16">
        <f t="shared" si="24"/>
        <v>11513.624561403509</v>
      </c>
      <c r="Z35" s="11">
        <f t="shared" si="19"/>
        <v>1.1513624561403509E-2</v>
      </c>
      <c r="AB35">
        <v>7.8756999999999994E-2</v>
      </c>
      <c r="AC35">
        <v>7.3665999999999995E-2</v>
      </c>
      <c r="AD35" s="18">
        <f t="shared" si="12"/>
        <v>0.14619176151203714</v>
      </c>
      <c r="AE35" s="18">
        <f t="shared" si="13"/>
        <v>0.15629496051643241</v>
      </c>
    </row>
    <row r="36" spans="3:31" x14ac:dyDescent="0.25">
      <c r="C36">
        <v>16</v>
      </c>
      <c r="D36">
        <v>8</v>
      </c>
      <c r="E36">
        <v>1</v>
      </c>
      <c r="F36" s="12">
        <v>16</v>
      </c>
      <c r="G36" s="12">
        <v>2</v>
      </c>
      <c r="H36" s="12">
        <v>2</v>
      </c>
      <c r="I36" s="12">
        <v>256</v>
      </c>
      <c r="J36" s="12">
        <v>30</v>
      </c>
      <c r="K36" s="14">
        <f t="shared" si="25"/>
        <v>1</v>
      </c>
      <c r="L36">
        <v>512</v>
      </c>
      <c r="M36" s="12">
        <v>128</v>
      </c>
      <c r="N36" s="15">
        <f t="shared" si="20"/>
        <v>431.15789473684208</v>
      </c>
      <c r="O36" s="15">
        <f t="shared" si="21"/>
        <v>4369.0666666666666</v>
      </c>
      <c r="P36" s="15">
        <f t="shared" si="22"/>
        <v>512</v>
      </c>
      <c r="Q36" s="15">
        <f t="shared" si="23"/>
        <v>4800.2245614035091</v>
      </c>
      <c r="R36" s="15">
        <f t="shared" si="15"/>
        <v>256</v>
      </c>
      <c r="S36" s="15">
        <f t="shared" si="16"/>
        <v>4369.0666666666666</v>
      </c>
      <c r="T36" s="15">
        <f t="shared" si="17"/>
        <v>512</v>
      </c>
      <c r="U36" s="15">
        <f t="shared" si="9"/>
        <v>4625.0666666666666</v>
      </c>
      <c r="V36" s="15">
        <f t="shared" si="18"/>
        <v>341.33333333333331</v>
      </c>
      <c r="W36" s="12">
        <f t="shared" si="10"/>
        <v>1747</v>
      </c>
      <c r="X36" s="12">
        <v>20000</v>
      </c>
      <c r="Y36" s="16">
        <f t="shared" si="24"/>
        <v>11513.624561403509</v>
      </c>
      <c r="Z36" s="11">
        <f t="shared" si="19"/>
        <v>1.1513624561403509E-2</v>
      </c>
      <c r="AB36">
        <v>7.9536999999999997E-2</v>
      </c>
      <c r="AC36">
        <v>7.4436000000000002E-2</v>
      </c>
      <c r="AD36" s="18">
        <f t="shared" si="12"/>
        <v>0.14475809448940127</v>
      </c>
      <c r="AE36" s="18">
        <f t="shared" si="13"/>
        <v>0.15467817402068232</v>
      </c>
    </row>
    <row r="37" spans="3:31" x14ac:dyDescent="0.25">
      <c r="C37">
        <v>32</v>
      </c>
      <c r="D37">
        <v>8</v>
      </c>
      <c r="E37">
        <v>1</v>
      </c>
      <c r="F37" s="12">
        <v>16</v>
      </c>
      <c r="G37" s="12">
        <v>2</v>
      </c>
      <c r="H37" s="12">
        <v>2</v>
      </c>
      <c r="I37" s="12">
        <v>256</v>
      </c>
      <c r="J37" s="12">
        <v>30</v>
      </c>
      <c r="K37" s="14">
        <f t="shared" si="25"/>
        <v>2</v>
      </c>
      <c r="L37">
        <v>512</v>
      </c>
      <c r="M37" s="12">
        <v>128</v>
      </c>
      <c r="N37" s="15">
        <f t="shared" si="20"/>
        <v>862.31578947368416</v>
      </c>
      <c r="O37" s="15">
        <f t="shared" si="21"/>
        <v>8738.1333333333332</v>
      </c>
      <c r="P37" s="15">
        <f t="shared" si="22"/>
        <v>1024</v>
      </c>
      <c r="Q37" s="15">
        <f t="shared" si="23"/>
        <v>9600.4491228070183</v>
      </c>
      <c r="R37" s="15">
        <f t="shared" si="15"/>
        <v>512</v>
      </c>
      <c r="S37" s="15">
        <f t="shared" si="16"/>
        <v>8738.1333333333332</v>
      </c>
      <c r="T37" s="15">
        <f t="shared" si="17"/>
        <v>1024</v>
      </c>
      <c r="U37" s="15">
        <f t="shared" si="9"/>
        <v>9250.1333333333332</v>
      </c>
      <c r="V37" s="15">
        <f t="shared" si="18"/>
        <v>682.66666666666663</v>
      </c>
      <c r="W37" s="12">
        <f t="shared" si="10"/>
        <v>3494</v>
      </c>
      <c r="X37" s="12">
        <v>20000</v>
      </c>
      <c r="Y37" s="16">
        <f t="shared" si="24"/>
        <v>23027.249122807018</v>
      </c>
      <c r="Z37" s="11">
        <f t="shared" si="19"/>
        <v>2.3027249122807018E-2</v>
      </c>
      <c r="AB37">
        <v>9.6170000000000005E-2</v>
      </c>
      <c r="AC37">
        <v>9.7199999999999995E-2</v>
      </c>
      <c r="AD37" s="18">
        <f t="shared" si="12"/>
        <v>0.23944316442556948</v>
      </c>
      <c r="AE37" s="18">
        <f t="shared" si="13"/>
        <v>0.23690585517291171</v>
      </c>
    </row>
    <row r="38" spans="3:31" x14ac:dyDescent="0.25">
      <c r="C38">
        <v>64</v>
      </c>
      <c r="D38">
        <v>8</v>
      </c>
      <c r="E38">
        <v>1</v>
      </c>
      <c r="F38" s="12">
        <v>16</v>
      </c>
      <c r="G38" s="12">
        <v>2</v>
      </c>
      <c r="H38" s="12">
        <v>2</v>
      </c>
      <c r="I38" s="12">
        <v>256</v>
      </c>
      <c r="J38" s="12">
        <v>30</v>
      </c>
      <c r="K38" s="14">
        <f t="shared" si="25"/>
        <v>4</v>
      </c>
      <c r="L38">
        <v>512</v>
      </c>
      <c r="M38" s="12">
        <v>128</v>
      </c>
      <c r="N38" s="15">
        <f t="shared" si="20"/>
        <v>1724.6315789473683</v>
      </c>
      <c r="O38" s="15">
        <f t="shared" si="21"/>
        <v>17476.266666666666</v>
      </c>
      <c r="P38" s="15">
        <f t="shared" si="22"/>
        <v>2048</v>
      </c>
      <c r="Q38" s="15">
        <f t="shared" si="23"/>
        <v>19200.898245614037</v>
      </c>
      <c r="R38" s="15">
        <f t="shared" si="15"/>
        <v>1024</v>
      </c>
      <c r="S38" s="15">
        <f t="shared" si="16"/>
        <v>17476.266666666666</v>
      </c>
      <c r="T38" s="15">
        <f t="shared" si="17"/>
        <v>2048</v>
      </c>
      <c r="U38" s="15">
        <f t="shared" si="9"/>
        <v>18500.266666666666</v>
      </c>
      <c r="V38" s="15">
        <f t="shared" si="18"/>
        <v>1365.3333333333333</v>
      </c>
      <c r="W38" s="12">
        <f t="shared" si="10"/>
        <v>6988</v>
      </c>
      <c r="X38" s="12">
        <v>20000</v>
      </c>
      <c r="Y38" s="16">
        <f t="shared" si="24"/>
        <v>46054.498245614035</v>
      </c>
      <c r="Z38" s="11">
        <f t="shared" si="19"/>
        <v>4.6054498245614035E-2</v>
      </c>
      <c r="AB38">
        <v>0.13566500000000001</v>
      </c>
      <c r="AC38">
        <v>0.13470699999999999</v>
      </c>
      <c r="AD38" s="18">
        <f t="shared" si="12"/>
        <v>0.33947221645681669</v>
      </c>
      <c r="AE38" s="18">
        <f t="shared" si="13"/>
        <v>0.3418864516737366</v>
      </c>
    </row>
    <row r="39" spans="3:31" x14ac:dyDescent="0.25">
      <c r="C39">
        <v>128</v>
      </c>
      <c r="D39">
        <v>8</v>
      </c>
      <c r="E39">
        <v>1</v>
      </c>
      <c r="F39" s="12">
        <v>16</v>
      </c>
      <c r="G39" s="12">
        <v>2</v>
      </c>
      <c r="H39" s="12">
        <v>2</v>
      </c>
      <c r="I39" s="12">
        <v>256</v>
      </c>
      <c r="J39" s="12">
        <v>30</v>
      </c>
      <c r="K39" s="14">
        <f t="shared" si="25"/>
        <v>8</v>
      </c>
      <c r="L39">
        <v>512</v>
      </c>
      <c r="M39" s="12">
        <v>128</v>
      </c>
      <c r="N39" s="15">
        <f t="shared" si="20"/>
        <v>3449.2631578947367</v>
      </c>
      <c r="O39" s="15">
        <f t="shared" si="21"/>
        <v>34952.533333333333</v>
      </c>
      <c r="P39" s="15">
        <f t="shared" si="22"/>
        <v>4096</v>
      </c>
      <c r="Q39" s="15">
        <f t="shared" si="23"/>
        <v>38401.796491228073</v>
      </c>
      <c r="R39" s="15">
        <f t="shared" si="15"/>
        <v>2048</v>
      </c>
      <c r="S39" s="15">
        <f t="shared" si="16"/>
        <v>34952.533333333333</v>
      </c>
      <c r="T39" s="15">
        <f t="shared" si="17"/>
        <v>4096</v>
      </c>
      <c r="U39" s="15">
        <f t="shared" si="9"/>
        <v>37000.533333333333</v>
      </c>
      <c r="V39" s="15">
        <f t="shared" si="18"/>
        <v>2730.6666666666665</v>
      </c>
      <c r="W39" s="12">
        <f t="shared" si="10"/>
        <v>13976</v>
      </c>
      <c r="X39" s="12">
        <v>20000</v>
      </c>
      <c r="Y39" s="16">
        <f t="shared" si="24"/>
        <v>92108.99649122807</v>
      </c>
      <c r="Z39" s="11">
        <f t="shared" si="19"/>
        <v>9.2108996491228071E-2</v>
      </c>
      <c r="AB39">
        <v>0.208178</v>
      </c>
      <c r="AC39">
        <v>0.212557</v>
      </c>
      <c r="AD39" s="18">
        <f t="shared" si="12"/>
        <v>0.44245307617148821</v>
      </c>
      <c r="AE39" s="18">
        <f t="shared" si="13"/>
        <v>0.43333786462562074</v>
      </c>
    </row>
    <row r="40" spans="3:31" x14ac:dyDescent="0.25">
      <c r="C40">
        <v>256</v>
      </c>
      <c r="D40">
        <v>8</v>
      </c>
      <c r="E40">
        <v>1</v>
      </c>
      <c r="F40" s="12">
        <v>16</v>
      </c>
      <c r="G40" s="12">
        <v>2</v>
      </c>
      <c r="H40" s="12">
        <v>2</v>
      </c>
      <c r="I40" s="12">
        <v>256</v>
      </c>
      <c r="J40" s="12">
        <v>30</v>
      </c>
      <c r="K40" s="14">
        <f t="shared" si="25"/>
        <v>16</v>
      </c>
      <c r="L40">
        <v>512</v>
      </c>
      <c r="M40" s="12">
        <v>128</v>
      </c>
      <c r="N40" s="15">
        <f t="shared" si="20"/>
        <v>6898.5263157894733</v>
      </c>
      <c r="O40" s="15">
        <f t="shared" si="21"/>
        <v>69905.066666666666</v>
      </c>
      <c r="P40" s="15">
        <f t="shared" si="22"/>
        <v>8192</v>
      </c>
      <c r="Q40" s="15">
        <f t="shared" si="23"/>
        <v>76803.592982456146</v>
      </c>
      <c r="R40" s="15">
        <f t="shared" si="15"/>
        <v>4096</v>
      </c>
      <c r="S40" s="15">
        <f t="shared" si="16"/>
        <v>69905.066666666666</v>
      </c>
      <c r="T40" s="15">
        <f t="shared" si="17"/>
        <v>8192</v>
      </c>
      <c r="U40" s="15">
        <f t="shared" si="9"/>
        <v>74001.066666666666</v>
      </c>
      <c r="V40" s="15">
        <f t="shared" si="18"/>
        <v>5461.333333333333</v>
      </c>
      <c r="W40" s="12">
        <f t="shared" si="10"/>
        <v>27952</v>
      </c>
      <c r="X40" s="12">
        <v>20000</v>
      </c>
      <c r="Y40" s="16">
        <f t="shared" si="24"/>
        <v>184217.99298245614</v>
      </c>
      <c r="Z40" s="11">
        <f t="shared" si="19"/>
        <v>0.18421799298245614</v>
      </c>
      <c r="AB40">
        <v>0.35464699999999999</v>
      </c>
      <c r="AC40">
        <v>0.36369099999999999</v>
      </c>
      <c r="AD40" s="18">
        <f t="shared" si="12"/>
        <v>0.51944043790714756</v>
      </c>
      <c r="AE40" s="18">
        <f t="shared" si="13"/>
        <v>0.50652337556457583</v>
      </c>
    </row>
    <row r="41" spans="3:31" x14ac:dyDescent="0.25">
      <c r="C41">
        <v>512</v>
      </c>
      <c r="D41">
        <v>8</v>
      </c>
      <c r="E41">
        <v>1</v>
      </c>
      <c r="F41" s="12">
        <v>16</v>
      </c>
      <c r="G41" s="12">
        <v>2</v>
      </c>
      <c r="H41" s="12">
        <v>2</v>
      </c>
      <c r="I41" s="12">
        <v>256</v>
      </c>
      <c r="J41" s="12">
        <v>30</v>
      </c>
      <c r="K41" s="14">
        <f t="shared" si="25"/>
        <v>32</v>
      </c>
      <c r="L41">
        <v>512</v>
      </c>
      <c r="M41" s="12">
        <v>128</v>
      </c>
      <c r="N41" s="15">
        <f t="shared" si="20"/>
        <v>13797.052631578947</v>
      </c>
      <c r="O41" s="15">
        <f t="shared" si="21"/>
        <v>139810.13333333333</v>
      </c>
      <c r="P41" s="15">
        <f t="shared" si="22"/>
        <v>16384</v>
      </c>
      <c r="Q41" s="15">
        <f t="shared" si="23"/>
        <v>153607.18596491229</v>
      </c>
      <c r="R41" s="15">
        <f t="shared" si="15"/>
        <v>8192</v>
      </c>
      <c r="S41" s="15">
        <f t="shared" si="16"/>
        <v>139810.13333333333</v>
      </c>
      <c r="T41" s="15">
        <f t="shared" si="17"/>
        <v>16384</v>
      </c>
      <c r="U41" s="15">
        <f t="shared" si="9"/>
        <v>148002.13333333333</v>
      </c>
      <c r="V41" s="15">
        <f t="shared" si="18"/>
        <v>10922.666666666666</v>
      </c>
      <c r="W41" s="12">
        <f t="shared" si="10"/>
        <v>55904</v>
      </c>
      <c r="X41" s="12">
        <v>20000</v>
      </c>
      <c r="Y41" s="16">
        <f t="shared" si="24"/>
        <v>368435.98596491228</v>
      </c>
      <c r="Z41" s="11">
        <f t="shared" si="19"/>
        <v>0.36843598596491228</v>
      </c>
      <c r="AB41">
        <v>0.63420500000000002</v>
      </c>
      <c r="AC41">
        <v>0.65984200000000004</v>
      </c>
      <c r="AD41" s="18">
        <f t="shared" si="12"/>
        <v>0.58094147155085862</v>
      </c>
      <c r="AE41" s="18">
        <f t="shared" si="13"/>
        <v>0.55837001276807519</v>
      </c>
    </row>
    <row r="42" spans="3:31" x14ac:dyDescent="0.25">
      <c r="C42" s="8">
        <v>1</v>
      </c>
      <c r="D42" s="8">
        <v>8</v>
      </c>
      <c r="E42" s="8">
        <v>1</v>
      </c>
      <c r="F42" s="12">
        <v>16</v>
      </c>
      <c r="G42" s="12">
        <v>2</v>
      </c>
      <c r="H42" s="12">
        <v>2</v>
      </c>
      <c r="I42" s="12">
        <v>256</v>
      </c>
      <c r="J42" s="12">
        <v>30</v>
      </c>
      <c r="K42" s="14">
        <f t="shared" si="25"/>
        <v>1</v>
      </c>
      <c r="L42" s="8">
        <f>1024</f>
        <v>1024</v>
      </c>
      <c r="M42" s="12">
        <v>128</v>
      </c>
      <c r="N42" s="15">
        <f t="shared" si="20"/>
        <v>431.15789473684208</v>
      </c>
      <c r="O42" s="15">
        <f t="shared" si="21"/>
        <v>8738.1333333333332</v>
      </c>
      <c r="P42" s="15">
        <f>64*M42*_xlfn.CEILING.MATH(L42/128)*128*K42/8192</f>
        <v>1024</v>
      </c>
      <c r="Q42" s="15">
        <f t="shared" si="23"/>
        <v>9169.2912280701748</v>
      </c>
      <c r="R42" s="15">
        <f t="shared" si="15"/>
        <v>512</v>
      </c>
      <c r="S42" s="15">
        <f t="shared" si="16"/>
        <v>8738.1333333333332</v>
      </c>
      <c r="T42" s="15">
        <f t="shared" si="17"/>
        <v>1024</v>
      </c>
      <c r="U42" s="15">
        <f t="shared" si="9"/>
        <v>9250.1333333333332</v>
      </c>
      <c r="V42" s="15">
        <f t="shared" si="18"/>
        <v>341.33333333333331</v>
      </c>
      <c r="W42" s="12">
        <f t="shared" si="10"/>
        <v>3299</v>
      </c>
      <c r="X42" s="12">
        <v>20000</v>
      </c>
      <c r="Y42" s="16">
        <f t="shared" si="24"/>
        <v>22059.757894736842</v>
      </c>
      <c r="Z42" s="11">
        <f t="shared" si="19"/>
        <v>2.2059757894736843E-2</v>
      </c>
      <c r="AB42" s="8">
        <v>9.1335E-2</v>
      </c>
      <c r="AC42">
        <v>7.7041999999999999E-2</v>
      </c>
      <c r="AD42" s="18">
        <f t="shared" si="12"/>
        <v>0.2415257885228756</v>
      </c>
      <c r="AE42" s="18">
        <f t="shared" si="13"/>
        <v>0.28633417998931548</v>
      </c>
    </row>
    <row r="43" spans="3:31" x14ac:dyDescent="0.25">
      <c r="C43" s="8">
        <v>2</v>
      </c>
      <c r="D43" s="8">
        <v>8</v>
      </c>
      <c r="E43" s="8">
        <v>1</v>
      </c>
      <c r="F43" s="12">
        <v>16</v>
      </c>
      <c r="G43" s="12">
        <v>2</v>
      </c>
      <c r="H43" s="12">
        <v>2</v>
      </c>
      <c r="I43" s="12">
        <v>256</v>
      </c>
      <c r="J43" s="12">
        <v>30</v>
      </c>
      <c r="K43" s="14">
        <f t="shared" si="25"/>
        <v>1</v>
      </c>
      <c r="L43" s="8">
        <f>1024</f>
        <v>1024</v>
      </c>
      <c r="M43" s="12">
        <v>128</v>
      </c>
      <c r="N43" s="15">
        <f t="shared" si="20"/>
        <v>431.15789473684208</v>
      </c>
      <c r="O43" s="15">
        <f t="shared" si="21"/>
        <v>8738.1333333333332</v>
      </c>
      <c r="P43" s="15">
        <f t="shared" si="22"/>
        <v>1024</v>
      </c>
      <c r="Q43" s="15">
        <f t="shared" si="23"/>
        <v>9169.2912280701748</v>
      </c>
      <c r="R43" s="15">
        <f t="shared" si="15"/>
        <v>512</v>
      </c>
      <c r="S43" s="15">
        <f t="shared" si="16"/>
        <v>8738.1333333333332</v>
      </c>
      <c r="T43" s="15">
        <f t="shared" si="17"/>
        <v>1024</v>
      </c>
      <c r="U43" s="15">
        <f t="shared" si="9"/>
        <v>9250.1333333333332</v>
      </c>
      <c r="V43" s="15">
        <f t="shared" si="18"/>
        <v>341.33333333333331</v>
      </c>
      <c r="W43" s="12">
        <f t="shared" si="10"/>
        <v>3299</v>
      </c>
      <c r="X43" s="12">
        <v>20000</v>
      </c>
      <c r="Y43" s="16">
        <f t="shared" si="24"/>
        <v>22059.757894736842</v>
      </c>
      <c r="Z43" s="11">
        <f t="shared" si="19"/>
        <v>2.2059757894736843E-2</v>
      </c>
      <c r="AB43" s="8">
        <v>9.5576999999999995E-2</v>
      </c>
      <c r="AC43">
        <v>8.1587999999999994E-2</v>
      </c>
      <c r="AD43" s="18">
        <f t="shared" si="12"/>
        <v>0.23080613426595148</v>
      </c>
      <c r="AE43" s="18">
        <f t="shared" si="13"/>
        <v>0.27037993203334859</v>
      </c>
    </row>
    <row r="44" spans="3:31" x14ac:dyDescent="0.25">
      <c r="C44" s="8">
        <v>4</v>
      </c>
      <c r="D44" s="8">
        <v>8</v>
      </c>
      <c r="E44" s="8">
        <v>1</v>
      </c>
      <c r="F44" s="12">
        <v>16</v>
      </c>
      <c r="G44" s="12">
        <v>2</v>
      </c>
      <c r="H44" s="12">
        <v>2</v>
      </c>
      <c r="I44" s="12">
        <v>256</v>
      </c>
      <c r="J44" s="12">
        <v>30</v>
      </c>
      <c r="K44" s="14">
        <f t="shared" si="25"/>
        <v>1</v>
      </c>
      <c r="L44" s="8">
        <f>1024</f>
        <v>1024</v>
      </c>
      <c r="M44" s="12">
        <v>128</v>
      </c>
      <c r="N44" s="15">
        <f t="shared" si="20"/>
        <v>431.15789473684208</v>
      </c>
      <c r="O44" s="15">
        <f t="shared" si="21"/>
        <v>8738.1333333333332</v>
      </c>
      <c r="P44" s="15">
        <f t="shared" si="22"/>
        <v>1024</v>
      </c>
      <c r="Q44" s="15">
        <f t="shared" si="23"/>
        <v>9169.2912280701748</v>
      </c>
      <c r="R44" s="15">
        <f t="shared" si="15"/>
        <v>512</v>
      </c>
      <c r="S44" s="15">
        <f t="shared" si="16"/>
        <v>8738.1333333333332</v>
      </c>
      <c r="T44" s="15">
        <f t="shared" si="17"/>
        <v>1024</v>
      </c>
      <c r="U44" s="15">
        <f t="shared" si="9"/>
        <v>9250.1333333333332</v>
      </c>
      <c r="V44" s="15">
        <f t="shared" si="18"/>
        <v>341.33333333333331</v>
      </c>
      <c r="W44" s="12">
        <f t="shared" si="10"/>
        <v>3299</v>
      </c>
      <c r="X44" s="12">
        <v>20000</v>
      </c>
      <c r="Y44" s="16">
        <f t="shared" si="24"/>
        <v>22059.757894736842</v>
      </c>
      <c r="Z44" s="11">
        <f t="shared" si="19"/>
        <v>2.2059757894736843E-2</v>
      </c>
      <c r="AB44" s="8">
        <v>9.5688999999999996E-2</v>
      </c>
      <c r="AC44">
        <v>8.1925999999999999E-2</v>
      </c>
      <c r="AD44" s="18">
        <f t="shared" si="12"/>
        <v>0.23053598527246438</v>
      </c>
      <c r="AE44" s="18">
        <f t="shared" si="13"/>
        <v>0.26926443247243664</v>
      </c>
    </row>
    <row r="45" spans="3:31" x14ac:dyDescent="0.25">
      <c r="C45">
        <v>8</v>
      </c>
      <c r="D45">
        <v>8</v>
      </c>
      <c r="E45">
        <v>1</v>
      </c>
      <c r="F45" s="12">
        <v>16</v>
      </c>
      <c r="G45" s="12">
        <v>2</v>
      </c>
      <c r="H45" s="12">
        <v>2</v>
      </c>
      <c r="I45" s="12">
        <v>256</v>
      </c>
      <c r="J45" s="12">
        <v>30</v>
      </c>
      <c r="K45" s="14">
        <f t="shared" si="25"/>
        <v>1</v>
      </c>
      <c r="L45">
        <f>1024</f>
        <v>1024</v>
      </c>
      <c r="M45" s="12">
        <v>128</v>
      </c>
      <c r="N45" s="15">
        <f t="shared" si="20"/>
        <v>431.15789473684208</v>
      </c>
      <c r="O45" s="15">
        <f t="shared" si="21"/>
        <v>8738.1333333333332</v>
      </c>
      <c r="P45" s="15">
        <f t="shared" si="22"/>
        <v>1024</v>
      </c>
      <c r="Q45" s="15">
        <f t="shared" si="23"/>
        <v>9169.2912280701748</v>
      </c>
      <c r="R45" s="15">
        <f t="shared" si="15"/>
        <v>512</v>
      </c>
      <c r="S45" s="15">
        <f t="shared" si="16"/>
        <v>8738.1333333333332</v>
      </c>
      <c r="T45" s="15">
        <f t="shared" si="17"/>
        <v>1024</v>
      </c>
      <c r="U45" s="15">
        <f t="shared" si="9"/>
        <v>9250.1333333333332</v>
      </c>
      <c r="V45" s="15">
        <f t="shared" si="18"/>
        <v>341.33333333333331</v>
      </c>
      <c r="W45" s="12">
        <f t="shared" si="10"/>
        <v>3299</v>
      </c>
      <c r="X45" s="12">
        <v>20000</v>
      </c>
      <c r="Y45" s="16">
        <f t="shared" si="24"/>
        <v>22059.757894736842</v>
      </c>
      <c r="Z45" s="11">
        <f t="shared" si="19"/>
        <v>2.2059757894736843E-2</v>
      </c>
      <c r="AB45">
        <v>0.101011</v>
      </c>
      <c r="AC45">
        <v>8.7368000000000001E-2</v>
      </c>
      <c r="AD45" s="18">
        <f t="shared" si="12"/>
        <v>0.21838965948992528</v>
      </c>
      <c r="AE45" s="18">
        <f t="shared" si="13"/>
        <v>0.25249242165022484</v>
      </c>
    </row>
    <row r="46" spans="3:31" x14ac:dyDescent="0.25">
      <c r="C46">
        <v>16</v>
      </c>
      <c r="D46">
        <v>8</v>
      </c>
      <c r="E46">
        <v>1</v>
      </c>
      <c r="F46" s="12">
        <v>16</v>
      </c>
      <c r="G46" s="12">
        <v>2</v>
      </c>
      <c r="H46" s="12">
        <v>2</v>
      </c>
      <c r="I46" s="12">
        <v>256</v>
      </c>
      <c r="J46" s="12">
        <v>30</v>
      </c>
      <c r="K46" s="14">
        <f t="shared" si="25"/>
        <v>1</v>
      </c>
      <c r="L46">
        <f>1024</f>
        <v>1024</v>
      </c>
      <c r="M46" s="12">
        <v>128</v>
      </c>
      <c r="N46" s="15">
        <f t="shared" si="20"/>
        <v>431.15789473684208</v>
      </c>
      <c r="O46" s="15">
        <f t="shared" si="21"/>
        <v>8738.1333333333332</v>
      </c>
      <c r="P46" s="15">
        <f t="shared" si="22"/>
        <v>1024</v>
      </c>
      <c r="Q46" s="15">
        <f t="shared" si="23"/>
        <v>9169.2912280701748</v>
      </c>
      <c r="R46" s="15">
        <f t="shared" si="15"/>
        <v>512</v>
      </c>
      <c r="S46" s="15">
        <f t="shared" si="16"/>
        <v>8738.1333333333332</v>
      </c>
      <c r="T46" s="15">
        <f t="shared" si="17"/>
        <v>1024</v>
      </c>
      <c r="U46" s="15">
        <f t="shared" si="9"/>
        <v>9250.1333333333332</v>
      </c>
      <c r="V46" s="15">
        <f t="shared" si="18"/>
        <v>341.33333333333331</v>
      </c>
      <c r="W46" s="12">
        <f t="shared" si="10"/>
        <v>3299</v>
      </c>
      <c r="X46" s="12">
        <v>20000</v>
      </c>
      <c r="Y46" s="16">
        <f t="shared" si="24"/>
        <v>22059.757894736842</v>
      </c>
      <c r="Z46" s="11">
        <f t="shared" si="19"/>
        <v>2.2059757894736843E-2</v>
      </c>
      <c r="AB46">
        <v>0.10489900000000001</v>
      </c>
      <c r="AC46">
        <v>9.1359999999999997E-2</v>
      </c>
      <c r="AD46" s="18">
        <f t="shared" si="12"/>
        <v>0.21029521630079259</v>
      </c>
      <c r="AE46" s="18">
        <f t="shared" si="13"/>
        <v>0.2414596967462439</v>
      </c>
    </row>
    <row r="47" spans="3:31" x14ac:dyDescent="0.25">
      <c r="C47">
        <v>32</v>
      </c>
      <c r="D47">
        <v>8</v>
      </c>
      <c r="E47">
        <v>1</v>
      </c>
      <c r="F47" s="12">
        <v>16</v>
      </c>
      <c r="G47" s="12">
        <v>2</v>
      </c>
      <c r="H47" s="12">
        <v>2</v>
      </c>
      <c r="I47" s="12">
        <v>256</v>
      </c>
      <c r="J47" s="12">
        <v>30</v>
      </c>
      <c r="K47" s="14">
        <f t="shared" si="25"/>
        <v>2</v>
      </c>
      <c r="L47">
        <f>1024</f>
        <v>1024</v>
      </c>
      <c r="M47" s="12">
        <v>128</v>
      </c>
      <c r="N47" s="15">
        <f t="shared" si="20"/>
        <v>862.31578947368416</v>
      </c>
      <c r="O47" s="15">
        <f t="shared" si="21"/>
        <v>17476.266666666666</v>
      </c>
      <c r="P47" s="15">
        <f t="shared" si="22"/>
        <v>2048</v>
      </c>
      <c r="Q47" s="15">
        <f t="shared" si="23"/>
        <v>18338.58245614035</v>
      </c>
      <c r="R47" s="15">
        <f t="shared" si="15"/>
        <v>1024</v>
      </c>
      <c r="S47" s="15">
        <f t="shared" si="16"/>
        <v>17476.266666666666</v>
      </c>
      <c r="T47" s="15">
        <f t="shared" si="17"/>
        <v>2048</v>
      </c>
      <c r="U47" s="15">
        <f t="shared" si="9"/>
        <v>18500.266666666666</v>
      </c>
      <c r="V47" s="15">
        <f t="shared" si="18"/>
        <v>682.66666666666663</v>
      </c>
      <c r="W47" s="12">
        <f t="shared" si="10"/>
        <v>6598</v>
      </c>
      <c r="X47" s="12">
        <v>20000</v>
      </c>
      <c r="Y47" s="16">
        <f t="shared" si="24"/>
        <v>44119.515789473684</v>
      </c>
      <c r="Z47" s="11">
        <f t="shared" si="19"/>
        <v>4.4119515789473686E-2</v>
      </c>
      <c r="AB47">
        <v>0.135875</v>
      </c>
      <c r="AC47">
        <v>0.127475</v>
      </c>
      <c r="AD47" s="18">
        <f t="shared" si="12"/>
        <v>0.32470664794460857</v>
      </c>
      <c r="AE47" s="18">
        <f t="shared" si="13"/>
        <v>0.34610328134515539</v>
      </c>
    </row>
    <row r="48" spans="3:31" x14ac:dyDescent="0.25">
      <c r="C48">
        <v>64</v>
      </c>
      <c r="D48">
        <v>8</v>
      </c>
      <c r="E48">
        <v>1</v>
      </c>
      <c r="F48" s="12">
        <v>16</v>
      </c>
      <c r="G48" s="12">
        <v>2</v>
      </c>
      <c r="H48" s="12">
        <v>2</v>
      </c>
      <c r="I48" s="12">
        <v>256</v>
      </c>
      <c r="J48" s="12">
        <v>30</v>
      </c>
      <c r="K48" s="14">
        <f t="shared" si="25"/>
        <v>4</v>
      </c>
      <c r="L48">
        <f>1024</f>
        <v>1024</v>
      </c>
      <c r="M48" s="12">
        <v>128</v>
      </c>
      <c r="N48" s="15">
        <f t="shared" si="20"/>
        <v>1724.6315789473683</v>
      </c>
      <c r="O48" s="15">
        <f t="shared" si="21"/>
        <v>34952.533333333333</v>
      </c>
      <c r="P48" s="15">
        <f t="shared" si="22"/>
        <v>4096</v>
      </c>
      <c r="Q48" s="15">
        <f t="shared" si="23"/>
        <v>36677.164912280699</v>
      </c>
      <c r="R48" s="15">
        <f t="shared" si="15"/>
        <v>2048</v>
      </c>
      <c r="S48" s="15">
        <f t="shared" si="16"/>
        <v>34952.533333333333</v>
      </c>
      <c r="T48" s="15">
        <f t="shared" si="17"/>
        <v>4096</v>
      </c>
      <c r="U48" s="15">
        <f t="shared" si="9"/>
        <v>37000.533333333333</v>
      </c>
      <c r="V48" s="15">
        <f t="shared" si="18"/>
        <v>1365.3333333333333</v>
      </c>
      <c r="W48" s="12">
        <f t="shared" si="10"/>
        <v>13196</v>
      </c>
      <c r="X48" s="12">
        <v>20000</v>
      </c>
      <c r="Y48" s="16">
        <f t="shared" si="24"/>
        <v>88239.031578947368</v>
      </c>
      <c r="Z48" s="11">
        <f t="shared" si="19"/>
        <v>8.8239031578947372E-2</v>
      </c>
      <c r="AB48">
        <v>0.20402799999999999</v>
      </c>
      <c r="AC48">
        <v>0.19656899999999999</v>
      </c>
      <c r="AD48" s="18">
        <f t="shared" si="12"/>
        <v>0.43248491177165577</v>
      </c>
      <c r="AE48" s="18">
        <f t="shared" si="13"/>
        <v>0.44889596822971767</v>
      </c>
    </row>
    <row r="49" spans="2:31" x14ac:dyDescent="0.25">
      <c r="C49">
        <v>128</v>
      </c>
      <c r="D49">
        <v>8</v>
      </c>
      <c r="E49">
        <v>1</v>
      </c>
      <c r="F49" s="12">
        <v>16</v>
      </c>
      <c r="G49" s="12">
        <v>2</v>
      </c>
      <c r="H49" s="12">
        <v>2</v>
      </c>
      <c r="I49" s="12">
        <v>256</v>
      </c>
      <c r="J49" s="12">
        <v>30</v>
      </c>
      <c r="K49" s="14">
        <f t="shared" si="25"/>
        <v>8</v>
      </c>
      <c r="L49">
        <f>1024</f>
        <v>1024</v>
      </c>
      <c r="M49" s="12">
        <v>128</v>
      </c>
      <c r="N49" s="15">
        <f t="shared" si="20"/>
        <v>3449.2631578947367</v>
      </c>
      <c r="O49" s="15">
        <f t="shared" si="21"/>
        <v>69905.066666666666</v>
      </c>
      <c r="P49" s="15">
        <f t="shared" si="22"/>
        <v>8192</v>
      </c>
      <c r="Q49" s="15">
        <f t="shared" si="23"/>
        <v>73354.329824561399</v>
      </c>
      <c r="R49" s="15">
        <f t="shared" si="15"/>
        <v>4096</v>
      </c>
      <c r="S49" s="15">
        <f t="shared" si="16"/>
        <v>69905.066666666666</v>
      </c>
      <c r="T49" s="15">
        <f t="shared" si="17"/>
        <v>8192</v>
      </c>
      <c r="U49" s="15">
        <f t="shared" si="9"/>
        <v>74001.066666666666</v>
      </c>
      <c r="V49" s="15">
        <f t="shared" si="18"/>
        <v>2730.6666666666665</v>
      </c>
      <c r="W49" s="12">
        <f t="shared" si="10"/>
        <v>26392</v>
      </c>
      <c r="X49" s="12">
        <v>20000</v>
      </c>
      <c r="Y49" s="16">
        <f t="shared" si="24"/>
        <v>176478.06315789474</v>
      </c>
      <c r="Z49" s="11">
        <f t="shared" si="19"/>
        <v>0.17647806315789474</v>
      </c>
      <c r="AB49">
        <v>0.34551900000000002</v>
      </c>
      <c r="AC49">
        <v>0.323019</v>
      </c>
      <c r="AD49" s="18">
        <f t="shared" si="12"/>
        <v>0.51076225376287476</v>
      </c>
      <c r="AE49" s="18">
        <f t="shared" si="13"/>
        <v>0.54633957494108631</v>
      </c>
    </row>
    <row r="50" spans="2:31" x14ac:dyDescent="0.25">
      <c r="C50">
        <v>256</v>
      </c>
      <c r="D50">
        <v>8</v>
      </c>
      <c r="E50">
        <v>1</v>
      </c>
      <c r="F50" s="12">
        <v>16</v>
      </c>
      <c r="G50" s="12">
        <v>2</v>
      </c>
      <c r="H50" s="12">
        <v>2</v>
      </c>
      <c r="I50" s="12">
        <v>256</v>
      </c>
      <c r="J50" s="12">
        <v>30</v>
      </c>
      <c r="K50" s="14">
        <f t="shared" si="25"/>
        <v>16</v>
      </c>
      <c r="L50">
        <f>1024</f>
        <v>1024</v>
      </c>
      <c r="M50" s="12">
        <v>128</v>
      </c>
      <c r="N50" s="15">
        <f t="shared" si="20"/>
        <v>6898.5263157894733</v>
      </c>
      <c r="O50" s="15">
        <f t="shared" si="21"/>
        <v>139810.13333333333</v>
      </c>
      <c r="P50" s="15">
        <f t="shared" si="22"/>
        <v>16384</v>
      </c>
      <c r="Q50" s="15">
        <f t="shared" si="23"/>
        <v>146708.6596491228</v>
      </c>
      <c r="R50" s="15">
        <f t="shared" si="15"/>
        <v>8192</v>
      </c>
      <c r="S50" s="15">
        <f t="shared" si="16"/>
        <v>139810.13333333333</v>
      </c>
      <c r="T50" s="15">
        <f t="shared" si="17"/>
        <v>16384</v>
      </c>
      <c r="U50" s="15">
        <f t="shared" si="9"/>
        <v>148002.13333333333</v>
      </c>
      <c r="V50" s="15">
        <f t="shared" si="18"/>
        <v>5461.333333333333</v>
      </c>
      <c r="W50" s="12">
        <f t="shared" si="10"/>
        <v>52784</v>
      </c>
      <c r="X50" s="12">
        <v>20000</v>
      </c>
      <c r="Y50" s="16">
        <f t="shared" si="24"/>
        <v>352956.12631578947</v>
      </c>
      <c r="Z50" s="11">
        <f t="shared" si="19"/>
        <v>0.35295612631578949</v>
      </c>
      <c r="AB50">
        <v>0.61458100000000004</v>
      </c>
      <c r="AC50">
        <v>0.566195</v>
      </c>
      <c r="AD50" s="18">
        <f t="shared" si="12"/>
        <v>0.57430367407353866</v>
      </c>
      <c r="AE50" s="18">
        <f t="shared" si="13"/>
        <v>0.62338262668478084</v>
      </c>
    </row>
    <row r="51" spans="2:31" x14ac:dyDescent="0.25">
      <c r="C51">
        <v>512</v>
      </c>
      <c r="D51">
        <v>8</v>
      </c>
      <c r="E51">
        <v>1</v>
      </c>
      <c r="F51" s="12">
        <v>16</v>
      </c>
      <c r="G51" s="12">
        <v>2</v>
      </c>
      <c r="H51" s="12">
        <v>2</v>
      </c>
      <c r="I51" s="12">
        <v>256</v>
      </c>
      <c r="J51" s="12">
        <v>30</v>
      </c>
      <c r="K51" s="14">
        <f t="shared" si="25"/>
        <v>32</v>
      </c>
      <c r="L51">
        <f>1024</f>
        <v>1024</v>
      </c>
      <c r="M51" s="12">
        <v>128</v>
      </c>
      <c r="N51" s="15">
        <f t="shared" si="20"/>
        <v>13797.052631578947</v>
      </c>
      <c r="O51" s="15">
        <f t="shared" si="21"/>
        <v>279620.26666666666</v>
      </c>
      <c r="P51" s="15">
        <f t="shared" si="22"/>
        <v>32768</v>
      </c>
      <c r="Q51" s="15">
        <f t="shared" si="23"/>
        <v>293417.31929824559</v>
      </c>
      <c r="R51" s="15">
        <f t="shared" si="15"/>
        <v>16384</v>
      </c>
      <c r="S51" s="15">
        <f t="shared" si="16"/>
        <v>279620.26666666666</v>
      </c>
      <c r="T51" s="15">
        <f t="shared" si="17"/>
        <v>32768</v>
      </c>
      <c r="U51" s="15">
        <f t="shared" si="9"/>
        <v>296004.26666666666</v>
      </c>
      <c r="V51" s="15">
        <f t="shared" si="18"/>
        <v>10922.666666666666</v>
      </c>
      <c r="W51" s="12">
        <f t="shared" si="10"/>
        <v>105568</v>
      </c>
      <c r="X51" s="12">
        <v>20000</v>
      </c>
      <c r="Y51" s="16">
        <f t="shared" si="24"/>
        <v>705912.25263157894</v>
      </c>
      <c r="Z51" s="11">
        <f t="shared" si="19"/>
        <v>0.70591225263157897</v>
      </c>
      <c r="AB51">
        <v>1.1362239999999999</v>
      </c>
      <c r="AC51">
        <v>1.0374760000000001</v>
      </c>
      <c r="AD51" s="18">
        <f t="shared" si="12"/>
        <v>0.62127912509468119</v>
      </c>
      <c r="AE51" s="18">
        <f t="shared" si="13"/>
        <v>0.68041309161038799</v>
      </c>
    </row>
    <row r="52" spans="2:31" x14ac:dyDescent="0.25">
      <c r="C52" s="8">
        <v>1</v>
      </c>
      <c r="D52" s="8">
        <v>8</v>
      </c>
      <c r="E52" s="8">
        <v>1</v>
      </c>
      <c r="F52" s="12">
        <v>16</v>
      </c>
      <c r="G52" s="12">
        <v>2</v>
      </c>
      <c r="H52" s="12">
        <v>2</v>
      </c>
      <c r="I52" s="12">
        <v>256</v>
      </c>
      <c r="J52" s="12">
        <v>30</v>
      </c>
      <c r="K52" s="14">
        <f t="shared" si="25"/>
        <v>1</v>
      </c>
      <c r="L52" s="8">
        <f>2048</f>
        <v>2048</v>
      </c>
      <c r="M52" s="12">
        <v>128</v>
      </c>
      <c r="N52" s="15">
        <f t="shared" si="20"/>
        <v>431.15789473684208</v>
      </c>
      <c r="O52" s="15">
        <f t="shared" si="21"/>
        <v>17476.266666666666</v>
      </c>
      <c r="P52" s="15">
        <f t="shared" si="22"/>
        <v>2048</v>
      </c>
      <c r="Q52" s="15">
        <f t="shared" si="23"/>
        <v>17907.42456140351</v>
      </c>
      <c r="R52" s="15">
        <f t="shared" si="15"/>
        <v>1024</v>
      </c>
      <c r="S52" s="15">
        <f t="shared" si="16"/>
        <v>17476.266666666666</v>
      </c>
      <c r="T52" s="15">
        <f t="shared" si="17"/>
        <v>2048</v>
      </c>
      <c r="U52" s="15">
        <f t="shared" si="9"/>
        <v>18500.266666666666</v>
      </c>
      <c r="V52" s="15">
        <f t="shared" si="18"/>
        <v>341.33333333333331</v>
      </c>
      <c r="W52" s="12">
        <f t="shared" si="10"/>
        <v>6403</v>
      </c>
      <c r="X52" s="12">
        <v>20000</v>
      </c>
      <c r="Y52" s="16">
        <f t="shared" si="24"/>
        <v>43152.024561403516</v>
      </c>
      <c r="Z52" s="11">
        <f t="shared" si="19"/>
        <v>4.3152024561403518E-2</v>
      </c>
      <c r="AB52" s="8">
        <v>0.125837</v>
      </c>
      <c r="AC52">
        <v>9.6602999999999994E-2</v>
      </c>
      <c r="AD52" s="18">
        <f t="shared" si="12"/>
        <v>0.34292000414348339</v>
      </c>
      <c r="AE52" s="18">
        <f t="shared" si="13"/>
        <v>0.44669445629435445</v>
      </c>
    </row>
    <row r="53" spans="2:31" x14ac:dyDescent="0.25">
      <c r="C53" s="8">
        <v>2</v>
      </c>
      <c r="D53" s="8">
        <v>8</v>
      </c>
      <c r="E53" s="8">
        <v>1</v>
      </c>
      <c r="F53" s="12">
        <v>16</v>
      </c>
      <c r="G53" s="12">
        <v>2</v>
      </c>
      <c r="H53" s="12">
        <v>2</v>
      </c>
      <c r="I53" s="12">
        <v>256</v>
      </c>
      <c r="J53" s="12">
        <v>30</v>
      </c>
      <c r="K53" s="14">
        <f t="shared" si="25"/>
        <v>1</v>
      </c>
      <c r="L53" s="8">
        <f>2048</f>
        <v>2048</v>
      </c>
      <c r="M53" s="12">
        <v>128</v>
      </c>
      <c r="N53" s="15">
        <f t="shared" si="20"/>
        <v>431.15789473684208</v>
      </c>
      <c r="O53" s="15">
        <f t="shared" si="21"/>
        <v>17476.266666666666</v>
      </c>
      <c r="P53" s="15">
        <f t="shared" si="22"/>
        <v>2048</v>
      </c>
      <c r="Q53" s="15">
        <f t="shared" si="23"/>
        <v>17907.42456140351</v>
      </c>
      <c r="R53" s="15">
        <f t="shared" si="15"/>
        <v>1024</v>
      </c>
      <c r="S53" s="15">
        <f t="shared" si="16"/>
        <v>17476.266666666666</v>
      </c>
      <c r="T53" s="15">
        <f t="shared" si="17"/>
        <v>2048</v>
      </c>
      <c r="U53" s="15">
        <f t="shared" si="9"/>
        <v>18500.266666666666</v>
      </c>
      <c r="V53" s="15">
        <f t="shared" si="18"/>
        <v>341.33333333333331</v>
      </c>
      <c r="W53" s="12">
        <f t="shared" si="10"/>
        <v>6403</v>
      </c>
      <c r="X53" s="12">
        <v>20000</v>
      </c>
      <c r="Y53" s="16">
        <f t="shared" si="24"/>
        <v>43152.024561403516</v>
      </c>
      <c r="Z53" s="11">
        <f t="shared" si="19"/>
        <v>4.3152024561403518E-2</v>
      </c>
      <c r="AB53" s="8">
        <v>0.134188</v>
      </c>
      <c r="AC53">
        <v>0.104584</v>
      </c>
      <c r="AD53" s="18">
        <f t="shared" si="12"/>
        <v>0.32157886369424626</v>
      </c>
      <c r="AE53" s="18">
        <f t="shared" si="13"/>
        <v>0.41260636963018743</v>
      </c>
    </row>
    <row r="54" spans="2:31" x14ac:dyDescent="0.25">
      <c r="C54" s="8">
        <v>4</v>
      </c>
      <c r="D54" s="8">
        <v>8</v>
      </c>
      <c r="E54" s="8">
        <v>1</v>
      </c>
      <c r="F54" s="12">
        <v>16</v>
      </c>
      <c r="G54" s="12">
        <v>2</v>
      </c>
      <c r="H54" s="12">
        <v>2</v>
      </c>
      <c r="I54" s="12">
        <v>256</v>
      </c>
      <c r="J54" s="12">
        <v>30</v>
      </c>
      <c r="K54" s="14">
        <f t="shared" si="25"/>
        <v>1</v>
      </c>
      <c r="L54" s="8">
        <f>2048</f>
        <v>2048</v>
      </c>
      <c r="M54" s="12">
        <v>128</v>
      </c>
      <c r="N54" s="15">
        <f t="shared" si="20"/>
        <v>431.15789473684208</v>
      </c>
      <c r="O54" s="15">
        <f t="shared" si="21"/>
        <v>17476.266666666666</v>
      </c>
      <c r="P54" s="15">
        <f t="shared" si="22"/>
        <v>2048</v>
      </c>
      <c r="Q54" s="15">
        <f t="shared" si="23"/>
        <v>17907.42456140351</v>
      </c>
      <c r="R54" s="15">
        <f t="shared" si="15"/>
        <v>1024</v>
      </c>
      <c r="S54" s="15">
        <f t="shared" si="16"/>
        <v>17476.266666666666</v>
      </c>
      <c r="T54" s="15">
        <f t="shared" si="17"/>
        <v>2048</v>
      </c>
      <c r="U54" s="15">
        <f t="shared" si="9"/>
        <v>18500.266666666666</v>
      </c>
      <c r="V54" s="15">
        <f t="shared" si="18"/>
        <v>341.33333333333331</v>
      </c>
      <c r="W54" s="12">
        <f t="shared" si="10"/>
        <v>6403</v>
      </c>
      <c r="X54" s="12">
        <v>20000</v>
      </c>
      <c r="Y54" s="16">
        <f t="shared" si="24"/>
        <v>43152.024561403516</v>
      </c>
      <c r="Z54" s="11">
        <f t="shared" si="19"/>
        <v>4.3152024561403518E-2</v>
      </c>
      <c r="AB54" s="8">
        <v>0.13600100000000001</v>
      </c>
      <c r="AC54">
        <v>0.106113</v>
      </c>
      <c r="AD54" s="18">
        <f t="shared" si="12"/>
        <v>0.31729196521645808</v>
      </c>
      <c r="AE54" s="18">
        <f t="shared" si="13"/>
        <v>0.4066610553033419</v>
      </c>
    </row>
    <row r="55" spans="2:31" x14ac:dyDescent="0.25">
      <c r="C55">
        <v>8</v>
      </c>
      <c r="D55">
        <v>8</v>
      </c>
      <c r="E55">
        <v>1</v>
      </c>
      <c r="F55" s="12">
        <v>16</v>
      </c>
      <c r="G55" s="12">
        <v>2</v>
      </c>
      <c r="H55" s="12">
        <v>2</v>
      </c>
      <c r="I55" s="12">
        <v>256</v>
      </c>
      <c r="J55" s="12">
        <v>30</v>
      </c>
      <c r="K55" s="14">
        <f t="shared" si="25"/>
        <v>1</v>
      </c>
      <c r="L55">
        <f>2048</f>
        <v>2048</v>
      </c>
      <c r="M55" s="12">
        <v>128</v>
      </c>
      <c r="N55" s="15">
        <f t="shared" si="20"/>
        <v>431.15789473684208</v>
      </c>
      <c r="O55" s="15">
        <f t="shared" si="21"/>
        <v>17476.266666666666</v>
      </c>
      <c r="P55" s="15">
        <f t="shared" si="22"/>
        <v>2048</v>
      </c>
      <c r="Q55" s="15">
        <f t="shared" si="23"/>
        <v>17907.42456140351</v>
      </c>
      <c r="R55" s="15">
        <f t="shared" si="15"/>
        <v>1024</v>
      </c>
      <c r="S55" s="15">
        <f t="shared" si="16"/>
        <v>17476.266666666666</v>
      </c>
      <c r="T55" s="15">
        <f t="shared" si="17"/>
        <v>2048</v>
      </c>
      <c r="U55" s="15">
        <f t="shared" si="9"/>
        <v>18500.266666666666</v>
      </c>
      <c r="V55" s="15">
        <f t="shared" si="18"/>
        <v>341.33333333333331</v>
      </c>
      <c r="W55" s="12">
        <f t="shared" si="10"/>
        <v>6403</v>
      </c>
      <c r="X55" s="12">
        <v>20000</v>
      </c>
      <c r="Y55" s="16">
        <f t="shared" si="24"/>
        <v>43152.024561403516</v>
      </c>
      <c r="Z55" s="11">
        <f t="shared" si="19"/>
        <v>4.3152024561403518E-2</v>
      </c>
      <c r="AB55">
        <v>0.14746999999999999</v>
      </c>
      <c r="AC55">
        <v>0.117908</v>
      </c>
      <c r="AD55" s="18">
        <f t="shared" si="12"/>
        <v>0.29261561376146689</v>
      </c>
      <c r="AE55" s="18">
        <f t="shared" si="13"/>
        <v>0.36598046410255047</v>
      </c>
    </row>
    <row r="56" spans="2:31" x14ac:dyDescent="0.25">
      <c r="C56">
        <v>16</v>
      </c>
      <c r="D56">
        <v>8</v>
      </c>
      <c r="E56">
        <v>1</v>
      </c>
      <c r="F56" s="12">
        <v>16</v>
      </c>
      <c r="G56" s="12">
        <v>2</v>
      </c>
      <c r="H56" s="12">
        <v>2</v>
      </c>
      <c r="I56" s="12">
        <v>256</v>
      </c>
      <c r="J56" s="12">
        <v>30</v>
      </c>
      <c r="K56" s="14">
        <f t="shared" si="25"/>
        <v>1</v>
      </c>
      <c r="L56">
        <f>2048</f>
        <v>2048</v>
      </c>
      <c r="M56" s="12">
        <v>128</v>
      </c>
      <c r="N56" s="15">
        <f t="shared" si="20"/>
        <v>431.15789473684208</v>
      </c>
      <c r="O56" s="15">
        <f t="shared" si="21"/>
        <v>17476.266666666666</v>
      </c>
      <c r="P56" s="15">
        <f t="shared" si="22"/>
        <v>2048</v>
      </c>
      <c r="Q56" s="15">
        <f t="shared" si="23"/>
        <v>17907.42456140351</v>
      </c>
      <c r="R56" s="15">
        <f t="shared" si="15"/>
        <v>1024</v>
      </c>
      <c r="S56" s="15">
        <f t="shared" si="16"/>
        <v>17476.266666666666</v>
      </c>
      <c r="T56" s="15">
        <f t="shared" si="17"/>
        <v>2048</v>
      </c>
      <c r="U56" s="15">
        <f t="shared" si="9"/>
        <v>18500.266666666666</v>
      </c>
      <c r="V56" s="15">
        <f t="shared" si="18"/>
        <v>341.33333333333331</v>
      </c>
      <c r="W56" s="12">
        <f t="shared" si="10"/>
        <v>6403</v>
      </c>
      <c r="X56" s="12">
        <v>20000</v>
      </c>
      <c r="Y56" s="16">
        <f t="shared" si="24"/>
        <v>43152.024561403516</v>
      </c>
      <c r="Z56" s="11">
        <f t="shared" si="19"/>
        <v>4.3152024561403518E-2</v>
      </c>
      <c r="AB56">
        <v>0.15895899999999999</v>
      </c>
      <c r="AC56">
        <v>0.12926499999999999</v>
      </c>
      <c r="AD56" s="18">
        <f t="shared" si="12"/>
        <v>0.271466381654411</v>
      </c>
      <c r="AE56" s="18">
        <f t="shared" si="13"/>
        <v>0.33382605161028522</v>
      </c>
    </row>
    <row r="57" spans="2:31" x14ac:dyDescent="0.25">
      <c r="C57">
        <v>32</v>
      </c>
      <c r="D57">
        <v>8</v>
      </c>
      <c r="E57">
        <v>1</v>
      </c>
      <c r="F57" s="12">
        <v>16</v>
      </c>
      <c r="G57" s="12">
        <v>2</v>
      </c>
      <c r="H57" s="12">
        <v>2</v>
      </c>
      <c r="I57" s="12">
        <v>256</v>
      </c>
      <c r="J57" s="12">
        <v>30</v>
      </c>
      <c r="K57" s="14">
        <f t="shared" si="25"/>
        <v>2</v>
      </c>
      <c r="L57">
        <f>2048</f>
        <v>2048</v>
      </c>
      <c r="M57" s="12">
        <v>128</v>
      </c>
      <c r="N57" s="15">
        <f t="shared" si="20"/>
        <v>862.31578947368416</v>
      </c>
      <c r="O57" s="15">
        <f t="shared" si="21"/>
        <v>34952.533333333333</v>
      </c>
      <c r="P57" s="15">
        <f t="shared" si="22"/>
        <v>4096</v>
      </c>
      <c r="Q57" s="15">
        <f t="shared" si="23"/>
        <v>35814.84912280702</v>
      </c>
      <c r="R57" s="15">
        <f t="shared" si="15"/>
        <v>2048</v>
      </c>
      <c r="S57" s="15">
        <f t="shared" si="16"/>
        <v>34952.533333333333</v>
      </c>
      <c r="T57" s="15">
        <f t="shared" si="17"/>
        <v>4096</v>
      </c>
      <c r="U57" s="15">
        <f t="shared" si="9"/>
        <v>37000.533333333333</v>
      </c>
      <c r="V57" s="15">
        <f t="shared" si="18"/>
        <v>682.66666666666663</v>
      </c>
      <c r="W57" s="12">
        <f t="shared" si="10"/>
        <v>12806</v>
      </c>
      <c r="X57" s="12">
        <v>20000</v>
      </c>
      <c r="Y57" s="16">
        <f t="shared" si="24"/>
        <v>86304.049122807031</v>
      </c>
      <c r="Z57" s="11">
        <f t="shared" si="19"/>
        <v>8.6304049122807036E-2</v>
      </c>
      <c r="AB57">
        <v>0.222498</v>
      </c>
      <c r="AC57">
        <v>0.19988500000000001</v>
      </c>
      <c r="AD57" s="18">
        <f t="shared" si="12"/>
        <v>0.38788685346747853</v>
      </c>
      <c r="AE57" s="18">
        <f t="shared" si="13"/>
        <v>0.43176851250872766</v>
      </c>
    </row>
    <row r="58" spans="2:31" x14ac:dyDescent="0.25">
      <c r="B58" s="2"/>
      <c r="C58">
        <v>64</v>
      </c>
      <c r="D58">
        <v>8</v>
      </c>
      <c r="E58">
        <v>1</v>
      </c>
      <c r="F58" s="12">
        <v>16</v>
      </c>
      <c r="G58" s="12">
        <v>2</v>
      </c>
      <c r="H58" s="12">
        <v>2</v>
      </c>
      <c r="I58" s="12">
        <v>256</v>
      </c>
      <c r="J58" s="12">
        <v>30</v>
      </c>
      <c r="K58" s="14">
        <f t="shared" si="25"/>
        <v>4</v>
      </c>
      <c r="L58">
        <f>2048</f>
        <v>2048</v>
      </c>
      <c r="M58" s="12">
        <v>128</v>
      </c>
      <c r="N58" s="15">
        <f t="shared" si="20"/>
        <v>1724.6315789473683</v>
      </c>
      <c r="O58" s="15">
        <f t="shared" si="21"/>
        <v>69905.066666666666</v>
      </c>
      <c r="P58" s="15">
        <f t="shared" si="22"/>
        <v>8192</v>
      </c>
      <c r="Q58" s="15">
        <f t="shared" si="23"/>
        <v>71629.698245614039</v>
      </c>
      <c r="R58" s="15">
        <f t="shared" si="15"/>
        <v>4096</v>
      </c>
      <c r="S58" s="15">
        <f t="shared" si="16"/>
        <v>69905.066666666666</v>
      </c>
      <c r="T58" s="15">
        <f t="shared" si="17"/>
        <v>8192</v>
      </c>
      <c r="U58" s="15">
        <f t="shared" si="9"/>
        <v>74001.066666666666</v>
      </c>
      <c r="V58" s="15">
        <f t="shared" si="18"/>
        <v>1365.3333333333333</v>
      </c>
      <c r="W58" s="12">
        <f t="shared" si="10"/>
        <v>25612</v>
      </c>
      <c r="X58" s="12">
        <v>20000</v>
      </c>
      <c r="Y58" s="16">
        <f t="shared" si="24"/>
        <v>172608.09824561406</v>
      </c>
      <c r="Z58" s="11">
        <f t="shared" si="19"/>
        <v>0.17260809824561407</v>
      </c>
      <c r="AB58">
        <v>0.34425800000000001</v>
      </c>
      <c r="AC58">
        <v>0.33194800000000002</v>
      </c>
      <c r="AD58" s="18">
        <f t="shared" si="12"/>
        <v>0.50139168369540887</v>
      </c>
      <c r="AE58" s="18">
        <f t="shared" si="13"/>
        <v>0.51998535386751554</v>
      </c>
    </row>
    <row r="59" spans="2:31" x14ac:dyDescent="0.25">
      <c r="C59">
        <v>128</v>
      </c>
      <c r="D59">
        <v>8</v>
      </c>
      <c r="E59">
        <v>1</v>
      </c>
      <c r="F59" s="12">
        <v>16</v>
      </c>
      <c r="G59" s="12">
        <v>2</v>
      </c>
      <c r="H59" s="12">
        <v>2</v>
      </c>
      <c r="I59" s="12">
        <v>256</v>
      </c>
      <c r="J59" s="12">
        <v>30</v>
      </c>
      <c r="K59" s="14">
        <f t="shared" si="25"/>
        <v>8</v>
      </c>
      <c r="L59">
        <f>2048</f>
        <v>2048</v>
      </c>
      <c r="M59" s="12">
        <v>128</v>
      </c>
      <c r="N59" s="15">
        <f t="shared" si="20"/>
        <v>3449.2631578947367</v>
      </c>
      <c r="O59" s="15">
        <f t="shared" si="21"/>
        <v>139810.13333333333</v>
      </c>
      <c r="P59" s="15">
        <f t="shared" si="22"/>
        <v>16384</v>
      </c>
      <c r="Q59" s="15">
        <f t="shared" si="23"/>
        <v>143259.39649122808</v>
      </c>
      <c r="R59" s="15">
        <f t="shared" si="15"/>
        <v>8192</v>
      </c>
      <c r="S59" s="15">
        <f t="shared" si="16"/>
        <v>139810.13333333333</v>
      </c>
      <c r="T59" s="15">
        <f t="shared" si="17"/>
        <v>16384</v>
      </c>
      <c r="U59" s="15">
        <f t="shared" si="9"/>
        <v>148002.13333333333</v>
      </c>
      <c r="V59" s="15">
        <f t="shared" si="18"/>
        <v>2730.6666666666665</v>
      </c>
      <c r="W59" s="12">
        <f t="shared" si="10"/>
        <v>51224</v>
      </c>
      <c r="X59" s="12">
        <v>20000</v>
      </c>
      <c r="Y59" s="16">
        <f t="shared" si="24"/>
        <v>345216.19649122813</v>
      </c>
      <c r="Z59" s="11">
        <f t="shared" si="19"/>
        <v>0.34521619649122814</v>
      </c>
      <c r="AB59">
        <v>0.60201899999999997</v>
      </c>
      <c r="AC59">
        <v>0.57773300000000005</v>
      </c>
      <c r="AD59" s="18">
        <f t="shared" si="12"/>
        <v>0.57343073306860437</v>
      </c>
      <c r="AE59" s="18">
        <f t="shared" si="13"/>
        <v>0.59753587988089329</v>
      </c>
    </row>
    <row r="60" spans="2:31" x14ac:dyDescent="0.25">
      <c r="C60">
        <v>256</v>
      </c>
      <c r="D60">
        <v>8</v>
      </c>
      <c r="E60">
        <v>1</v>
      </c>
      <c r="F60" s="12">
        <v>16</v>
      </c>
      <c r="G60" s="12">
        <v>2</v>
      </c>
      <c r="H60" s="12">
        <v>2</v>
      </c>
      <c r="I60" s="12">
        <v>256</v>
      </c>
      <c r="J60" s="12">
        <v>30</v>
      </c>
      <c r="K60" s="14">
        <f t="shared" si="25"/>
        <v>16</v>
      </c>
      <c r="L60">
        <f>2048</f>
        <v>2048</v>
      </c>
      <c r="M60" s="12">
        <v>128</v>
      </c>
      <c r="N60" s="15">
        <f t="shared" si="20"/>
        <v>6898.5263157894733</v>
      </c>
      <c r="O60" s="15">
        <f t="shared" si="21"/>
        <v>279620.26666666666</v>
      </c>
      <c r="P60" s="15">
        <f t="shared" si="22"/>
        <v>32768</v>
      </c>
      <c r="Q60" s="15">
        <f t="shared" si="23"/>
        <v>286518.79298245616</v>
      </c>
      <c r="R60" s="15">
        <f t="shared" si="15"/>
        <v>16384</v>
      </c>
      <c r="S60" s="15">
        <f t="shared" si="16"/>
        <v>279620.26666666666</v>
      </c>
      <c r="T60" s="15">
        <f t="shared" si="17"/>
        <v>32768</v>
      </c>
      <c r="U60" s="15">
        <f t="shared" si="9"/>
        <v>296004.26666666666</v>
      </c>
      <c r="V60" s="15">
        <f t="shared" si="18"/>
        <v>5461.333333333333</v>
      </c>
      <c r="W60" s="12">
        <f t="shared" si="10"/>
        <v>102448</v>
      </c>
      <c r="X60" s="12">
        <v>20000</v>
      </c>
      <c r="Y60" s="16">
        <f t="shared" si="24"/>
        <v>690432.39298245625</v>
      </c>
      <c r="Z60" s="11">
        <f t="shared" si="19"/>
        <v>0.69043239298245629</v>
      </c>
      <c r="AB60">
        <v>1.111612</v>
      </c>
      <c r="AC60">
        <v>1.0398259999999999</v>
      </c>
      <c r="AD60" s="18">
        <f t="shared" si="12"/>
        <v>0.62110915767593033</v>
      </c>
      <c r="AE60" s="18">
        <f t="shared" si="13"/>
        <v>0.66398839131013876</v>
      </c>
    </row>
    <row r="61" spans="2:31" x14ac:dyDescent="0.25">
      <c r="C61">
        <v>512</v>
      </c>
      <c r="D61">
        <v>8</v>
      </c>
      <c r="E61">
        <v>1</v>
      </c>
      <c r="F61" s="12">
        <v>16</v>
      </c>
      <c r="G61" s="12">
        <v>2</v>
      </c>
      <c r="H61" s="12">
        <v>2</v>
      </c>
      <c r="I61" s="12">
        <v>256</v>
      </c>
      <c r="J61" s="12">
        <v>30</v>
      </c>
      <c r="K61" s="14">
        <f t="shared" si="25"/>
        <v>32</v>
      </c>
      <c r="L61">
        <f>2048</f>
        <v>2048</v>
      </c>
      <c r="M61" s="12">
        <v>128</v>
      </c>
      <c r="N61" s="15">
        <f t="shared" si="20"/>
        <v>13797.052631578947</v>
      </c>
      <c r="O61" s="15">
        <f t="shared" si="21"/>
        <v>559240.53333333333</v>
      </c>
      <c r="P61" s="15">
        <f t="shared" si="22"/>
        <v>65536</v>
      </c>
      <c r="Q61" s="15">
        <f t="shared" si="23"/>
        <v>573037.58596491232</v>
      </c>
      <c r="R61" s="15">
        <f t="shared" si="15"/>
        <v>32768</v>
      </c>
      <c r="S61" s="15">
        <f t="shared" si="16"/>
        <v>559240.53333333333</v>
      </c>
      <c r="T61" s="15">
        <f t="shared" si="17"/>
        <v>65536</v>
      </c>
      <c r="U61" s="15">
        <f t="shared" si="9"/>
        <v>592008.53333333333</v>
      </c>
      <c r="V61" s="15">
        <f t="shared" si="18"/>
        <v>10922.666666666666</v>
      </c>
      <c r="W61" s="12">
        <f t="shared" si="10"/>
        <v>204896</v>
      </c>
      <c r="X61" s="12">
        <v>20000</v>
      </c>
      <c r="Y61" s="16">
        <f t="shared" si="24"/>
        <v>1380864.7859649125</v>
      </c>
      <c r="Z61" s="11">
        <f t="shared" si="19"/>
        <v>1.3808647859649126</v>
      </c>
      <c r="AB61">
        <v>2.1102400000000001</v>
      </c>
      <c r="AC61">
        <v>1.959997</v>
      </c>
      <c r="AD61" s="18">
        <f t="shared" si="12"/>
        <v>0.65436385717497181</v>
      </c>
      <c r="AE61" s="18">
        <f t="shared" si="13"/>
        <v>0.70452392833504984</v>
      </c>
    </row>
    <row r="62" spans="2:31" x14ac:dyDescent="0.25">
      <c r="C62" s="8">
        <v>1</v>
      </c>
      <c r="D62" s="8">
        <v>8</v>
      </c>
      <c r="E62" s="8">
        <v>1</v>
      </c>
      <c r="F62" s="12">
        <v>16</v>
      </c>
      <c r="G62" s="12">
        <v>2</v>
      </c>
      <c r="H62" s="12">
        <v>2</v>
      </c>
      <c r="I62" s="12">
        <v>256</v>
      </c>
      <c r="J62" s="12">
        <v>30</v>
      </c>
      <c r="K62" s="14">
        <f t="shared" si="25"/>
        <v>1</v>
      </c>
      <c r="L62" s="8">
        <f>4096</f>
        <v>4096</v>
      </c>
      <c r="M62" s="12">
        <v>128</v>
      </c>
      <c r="N62" s="15">
        <f t="shared" si="20"/>
        <v>431.15789473684208</v>
      </c>
      <c r="O62" s="15">
        <f t="shared" si="21"/>
        <v>34952.533333333333</v>
      </c>
      <c r="P62" s="15">
        <f t="shared" si="22"/>
        <v>4096</v>
      </c>
      <c r="Q62" s="15">
        <f t="shared" si="23"/>
        <v>35383.691228070173</v>
      </c>
      <c r="R62" s="15">
        <f t="shared" si="15"/>
        <v>2048</v>
      </c>
      <c r="S62" s="15">
        <f t="shared" si="16"/>
        <v>34952.533333333333</v>
      </c>
      <c r="T62" s="15">
        <f t="shared" si="17"/>
        <v>4096</v>
      </c>
      <c r="U62" s="15">
        <f t="shared" si="9"/>
        <v>37000.533333333333</v>
      </c>
      <c r="V62" s="15">
        <f t="shared" si="18"/>
        <v>341.33333333333331</v>
      </c>
      <c r="W62" s="12">
        <f t="shared" si="10"/>
        <v>12611</v>
      </c>
      <c r="X62" s="12">
        <v>20000</v>
      </c>
      <c r="Y62" s="16">
        <f t="shared" si="24"/>
        <v>85336.557894736834</v>
      </c>
      <c r="Z62" s="11">
        <f t="shared" si="19"/>
        <v>8.5336557894736834E-2</v>
      </c>
      <c r="AB62" s="8">
        <v>0.19586700000000001</v>
      </c>
      <c r="AC62">
        <v>0.13563600000000001</v>
      </c>
      <c r="AD62" s="18">
        <f t="shared" si="12"/>
        <v>0.43568624574194137</v>
      </c>
      <c r="AE62" s="18">
        <f t="shared" si="13"/>
        <v>0.62915861493067349</v>
      </c>
    </row>
    <row r="63" spans="2:31" x14ac:dyDescent="0.25">
      <c r="C63" s="8">
        <v>2</v>
      </c>
      <c r="D63" s="8">
        <v>8</v>
      </c>
      <c r="E63" s="8">
        <v>1</v>
      </c>
      <c r="F63" s="12">
        <v>16</v>
      </c>
      <c r="G63" s="12">
        <v>2</v>
      </c>
      <c r="H63" s="12">
        <v>2</v>
      </c>
      <c r="I63" s="12">
        <v>256</v>
      </c>
      <c r="J63" s="12">
        <v>30</v>
      </c>
      <c r="K63" s="14">
        <f t="shared" si="25"/>
        <v>1</v>
      </c>
      <c r="L63" s="8">
        <f>4096</f>
        <v>4096</v>
      </c>
      <c r="M63" s="12">
        <v>128</v>
      </c>
      <c r="N63" s="15">
        <f t="shared" si="20"/>
        <v>431.15789473684208</v>
      </c>
      <c r="O63" s="15">
        <f t="shared" si="21"/>
        <v>34952.533333333333</v>
      </c>
      <c r="P63" s="15">
        <f t="shared" si="22"/>
        <v>4096</v>
      </c>
      <c r="Q63" s="15">
        <f t="shared" si="23"/>
        <v>35383.691228070173</v>
      </c>
      <c r="R63" s="15">
        <f t="shared" si="15"/>
        <v>2048</v>
      </c>
      <c r="S63" s="15">
        <f t="shared" si="16"/>
        <v>34952.533333333333</v>
      </c>
      <c r="T63" s="15">
        <f t="shared" si="17"/>
        <v>4096</v>
      </c>
      <c r="U63" s="15">
        <f t="shared" si="9"/>
        <v>37000.533333333333</v>
      </c>
      <c r="V63" s="15">
        <f t="shared" si="18"/>
        <v>341.33333333333331</v>
      </c>
      <c r="W63" s="12">
        <f t="shared" si="10"/>
        <v>12611</v>
      </c>
      <c r="X63" s="12">
        <v>20000</v>
      </c>
      <c r="Y63" s="16">
        <f t="shared" si="24"/>
        <v>85336.557894736834</v>
      </c>
      <c r="Z63" s="11">
        <f t="shared" si="19"/>
        <v>8.5336557894736834E-2</v>
      </c>
      <c r="AB63" s="8">
        <v>0.21348700000000001</v>
      </c>
      <c r="AC63">
        <v>0.15212300000000001</v>
      </c>
      <c r="AD63" s="18">
        <f t="shared" si="12"/>
        <v>0.39972718664245049</v>
      </c>
      <c r="AE63" s="18">
        <f t="shared" si="13"/>
        <v>0.56097077953193686</v>
      </c>
    </row>
    <row r="64" spans="2:31" x14ac:dyDescent="0.25">
      <c r="C64" s="8">
        <v>4</v>
      </c>
      <c r="D64" s="8">
        <v>8</v>
      </c>
      <c r="E64" s="8">
        <v>1</v>
      </c>
      <c r="F64" s="12">
        <v>16</v>
      </c>
      <c r="G64" s="12">
        <v>2</v>
      </c>
      <c r="H64" s="12">
        <v>2</v>
      </c>
      <c r="I64" s="12">
        <v>256</v>
      </c>
      <c r="J64" s="12">
        <v>30</v>
      </c>
      <c r="K64" s="14">
        <f t="shared" si="25"/>
        <v>1</v>
      </c>
      <c r="L64" s="8">
        <f>4096</f>
        <v>4096</v>
      </c>
      <c r="M64" s="12">
        <v>128</v>
      </c>
      <c r="N64" s="15">
        <f t="shared" si="20"/>
        <v>431.15789473684208</v>
      </c>
      <c r="O64" s="15">
        <f t="shared" si="21"/>
        <v>34952.533333333333</v>
      </c>
      <c r="P64" s="15">
        <f t="shared" si="22"/>
        <v>4096</v>
      </c>
      <c r="Q64" s="15">
        <f t="shared" si="23"/>
        <v>35383.691228070173</v>
      </c>
      <c r="R64" s="15">
        <f t="shared" si="15"/>
        <v>2048</v>
      </c>
      <c r="S64" s="15">
        <f t="shared" si="16"/>
        <v>34952.533333333333</v>
      </c>
      <c r="T64" s="15">
        <f t="shared" si="17"/>
        <v>4096</v>
      </c>
      <c r="U64" s="15">
        <f t="shared" si="9"/>
        <v>37000.533333333333</v>
      </c>
      <c r="V64" s="15">
        <f t="shared" si="18"/>
        <v>341.33333333333331</v>
      </c>
      <c r="W64" s="12">
        <f t="shared" si="10"/>
        <v>12611</v>
      </c>
      <c r="X64" s="12">
        <v>20000</v>
      </c>
      <c r="Y64" s="16">
        <f t="shared" si="24"/>
        <v>85336.557894736834</v>
      </c>
      <c r="Z64" s="11">
        <f t="shared" si="19"/>
        <v>8.5336557894736834E-2</v>
      </c>
      <c r="AB64" s="8">
        <v>0.217143</v>
      </c>
      <c r="AC64">
        <v>0.155834</v>
      </c>
      <c r="AD64" s="18">
        <f t="shared" si="12"/>
        <v>0.39299704754349363</v>
      </c>
      <c r="AE64" s="18">
        <f t="shared" si="13"/>
        <v>0.54761193253549822</v>
      </c>
    </row>
    <row r="65" spans="3:31" x14ac:dyDescent="0.25">
      <c r="C65">
        <v>8</v>
      </c>
      <c r="D65">
        <v>8</v>
      </c>
      <c r="E65">
        <v>1</v>
      </c>
      <c r="F65" s="12">
        <v>16</v>
      </c>
      <c r="G65" s="12">
        <v>2</v>
      </c>
      <c r="H65" s="12">
        <v>2</v>
      </c>
      <c r="I65" s="12">
        <v>256</v>
      </c>
      <c r="J65" s="12">
        <v>30</v>
      </c>
      <c r="K65" s="14">
        <f t="shared" si="25"/>
        <v>1</v>
      </c>
      <c r="L65">
        <f>4096</f>
        <v>4096</v>
      </c>
      <c r="M65" s="12">
        <v>128</v>
      </c>
      <c r="N65" s="15">
        <f t="shared" si="20"/>
        <v>431.15789473684208</v>
      </c>
      <c r="O65" s="15">
        <f t="shared" si="21"/>
        <v>34952.533333333333</v>
      </c>
      <c r="P65" s="15">
        <f t="shared" si="22"/>
        <v>4096</v>
      </c>
      <c r="Q65" s="15">
        <f t="shared" si="23"/>
        <v>35383.691228070173</v>
      </c>
      <c r="R65" s="15">
        <f t="shared" si="15"/>
        <v>2048</v>
      </c>
      <c r="S65" s="15">
        <f t="shared" si="16"/>
        <v>34952.533333333333</v>
      </c>
      <c r="T65" s="15">
        <f t="shared" si="17"/>
        <v>4096</v>
      </c>
      <c r="U65" s="15">
        <f t="shared" si="9"/>
        <v>37000.533333333333</v>
      </c>
      <c r="V65" s="15">
        <f t="shared" si="18"/>
        <v>341.33333333333331</v>
      </c>
      <c r="W65" s="12">
        <f t="shared" si="10"/>
        <v>12611</v>
      </c>
      <c r="X65" s="12">
        <v>20000</v>
      </c>
      <c r="Y65" s="16">
        <f t="shared" si="24"/>
        <v>85336.557894736834</v>
      </c>
      <c r="Z65" s="11">
        <f t="shared" si="19"/>
        <v>8.5336557894736834E-2</v>
      </c>
      <c r="AB65">
        <v>0.24057100000000001</v>
      </c>
      <c r="AC65">
        <v>0.17739099999999999</v>
      </c>
      <c r="AD65" s="18">
        <f t="shared" si="12"/>
        <v>0.3547250412341339</v>
      </c>
      <c r="AE65" s="18">
        <f t="shared" si="13"/>
        <v>0.48106475466476223</v>
      </c>
    </row>
    <row r="66" spans="3:31" x14ac:dyDescent="0.25">
      <c r="C66">
        <v>16</v>
      </c>
      <c r="D66">
        <v>8</v>
      </c>
      <c r="E66">
        <v>1</v>
      </c>
      <c r="F66" s="12">
        <v>16</v>
      </c>
      <c r="G66" s="12">
        <v>2</v>
      </c>
      <c r="H66" s="12">
        <v>2</v>
      </c>
      <c r="I66" s="12">
        <v>256</v>
      </c>
      <c r="J66" s="12">
        <v>30</v>
      </c>
      <c r="K66" s="14">
        <f t="shared" si="25"/>
        <v>1</v>
      </c>
      <c r="L66">
        <f>4096</f>
        <v>4096</v>
      </c>
      <c r="M66" s="12">
        <v>128</v>
      </c>
      <c r="N66" s="15">
        <f t="shared" si="20"/>
        <v>431.15789473684208</v>
      </c>
      <c r="O66" s="15">
        <f t="shared" si="21"/>
        <v>34952.533333333333</v>
      </c>
      <c r="P66" s="15">
        <f t="shared" si="22"/>
        <v>4096</v>
      </c>
      <c r="Q66" s="15">
        <f t="shared" si="23"/>
        <v>35383.691228070173</v>
      </c>
      <c r="R66" s="15">
        <f t="shared" si="15"/>
        <v>2048</v>
      </c>
      <c r="S66" s="15">
        <f t="shared" si="16"/>
        <v>34952.533333333333</v>
      </c>
      <c r="T66" s="15">
        <f t="shared" si="17"/>
        <v>4096</v>
      </c>
      <c r="U66" s="15">
        <f t="shared" si="9"/>
        <v>37000.533333333333</v>
      </c>
      <c r="V66" s="15">
        <f t="shared" si="18"/>
        <v>341.33333333333331</v>
      </c>
      <c r="W66" s="12">
        <f t="shared" si="10"/>
        <v>12611</v>
      </c>
      <c r="X66" s="12">
        <v>20000</v>
      </c>
      <c r="Y66" s="16">
        <f t="shared" si="24"/>
        <v>85336.557894736834</v>
      </c>
      <c r="Z66" s="11">
        <f t="shared" si="19"/>
        <v>8.5336557894736834E-2</v>
      </c>
      <c r="AB66">
        <v>0.265461</v>
      </c>
      <c r="AC66">
        <v>0.199881</v>
      </c>
      <c r="AD66" s="18">
        <f t="shared" si="12"/>
        <v>0.32146551807887724</v>
      </c>
      <c r="AE66" s="18">
        <f t="shared" si="13"/>
        <v>0.42693681687972762</v>
      </c>
    </row>
    <row r="67" spans="3:31" s="9" customFormat="1" x14ac:dyDescent="0.25">
      <c r="C67" s="9">
        <v>32</v>
      </c>
      <c r="D67" s="9">
        <v>8</v>
      </c>
      <c r="E67" s="9">
        <v>1</v>
      </c>
      <c r="F67" s="23">
        <v>16</v>
      </c>
      <c r="G67" s="23">
        <v>2</v>
      </c>
      <c r="H67" s="23">
        <v>2</v>
      </c>
      <c r="I67" s="23">
        <v>256</v>
      </c>
      <c r="J67" s="23">
        <v>30</v>
      </c>
      <c r="K67" s="24">
        <f t="shared" si="25"/>
        <v>2</v>
      </c>
      <c r="L67" s="9">
        <f>4096</f>
        <v>4096</v>
      </c>
      <c r="M67" s="23">
        <v>128</v>
      </c>
      <c r="N67" s="16">
        <f t="shared" si="20"/>
        <v>862.31578947368416</v>
      </c>
      <c r="O67" s="16">
        <f t="shared" si="21"/>
        <v>69905.066666666666</v>
      </c>
      <c r="P67" s="16">
        <f t="shared" si="22"/>
        <v>8192</v>
      </c>
      <c r="Q67" s="16">
        <f t="shared" si="23"/>
        <v>70767.382456140345</v>
      </c>
      <c r="R67" s="16">
        <f t="shared" si="15"/>
        <v>4096</v>
      </c>
      <c r="S67" s="16">
        <f t="shared" si="16"/>
        <v>69905.066666666666</v>
      </c>
      <c r="T67" s="16">
        <f t="shared" si="17"/>
        <v>8192</v>
      </c>
      <c r="U67" s="15">
        <f t="shared" ref="U67:U130" si="26">S67+R67</f>
        <v>74001.066666666666</v>
      </c>
      <c r="V67" s="16">
        <f t="shared" si="18"/>
        <v>682.66666666666663</v>
      </c>
      <c r="W67" s="23">
        <f t="shared" ref="W67:W130" si="27">K67*(_xlfn.CEILING.MATH(L67/32)*97+195)</f>
        <v>25222</v>
      </c>
      <c r="X67" s="23">
        <v>20000</v>
      </c>
      <c r="Y67" s="16">
        <f t="shared" si="24"/>
        <v>170673.11578947367</v>
      </c>
      <c r="Z67" s="25">
        <f t="shared" si="19"/>
        <v>0.17067311578947367</v>
      </c>
      <c r="AB67" s="9">
        <v>0.39693299999999998</v>
      </c>
      <c r="AC67" s="9">
        <v>0.32766400000000001</v>
      </c>
      <c r="AD67" s="26">
        <f t="shared" ref="AD67:AD130" si="28">Z67/AB67</f>
        <v>0.42997965850527337</v>
      </c>
      <c r="AE67" s="26">
        <f t="shared" ref="AE67:AE130" si="29">Z67/AC67</f>
        <v>0.52087844801221272</v>
      </c>
    </row>
    <row r="68" spans="3:31" x14ac:dyDescent="0.25">
      <c r="C68">
        <v>64</v>
      </c>
      <c r="D68">
        <v>8</v>
      </c>
      <c r="E68">
        <v>1</v>
      </c>
      <c r="F68" s="12">
        <v>16</v>
      </c>
      <c r="G68" s="12">
        <v>2</v>
      </c>
      <c r="H68" s="12">
        <v>2</v>
      </c>
      <c r="I68" s="12">
        <v>256</v>
      </c>
      <c r="J68" s="12">
        <v>30</v>
      </c>
      <c r="K68" s="14">
        <f t="shared" si="25"/>
        <v>4</v>
      </c>
      <c r="L68">
        <f>4096</f>
        <v>4096</v>
      </c>
      <c r="M68" s="12">
        <v>128</v>
      </c>
      <c r="N68" s="15">
        <f t="shared" si="20"/>
        <v>1724.6315789473683</v>
      </c>
      <c r="O68" s="15">
        <f t="shared" si="21"/>
        <v>139810.13333333333</v>
      </c>
      <c r="P68" s="15">
        <f t="shared" si="22"/>
        <v>16384</v>
      </c>
      <c r="Q68" s="15">
        <f t="shared" si="23"/>
        <v>141534.76491228069</v>
      </c>
      <c r="R68" s="15">
        <f t="shared" si="15"/>
        <v>8192</v>
      </c>
      <c r="S68" s="15">
        <f t="shared" si="16"/>
        <v>139810.13333333333</v>
      </c>
      <c r="T68" s="15">
        <f t="shared" si="17"/>
        <v>16384</v>
      </c>
      <c r="U68" s="15">
        <f t="shared" si="26"/>
        <v>148002.13333333333</v>
      </c>
      <c r="V68" s="15">
        <f t="shared" si="18"/>
        <v>1365.3333333333333</v>
      </c>
      <c r="W68" s="12">
        <f t="shared" si="27"/>
        <v>50444</v>
      </c>
      <c r="X68" s="12">
        <v>20000</v>
      </c>
      <c r="Y68" s="16">
        <f t="shared" si="24"/>
        <v>341346.23157894734</v>
      </c>
      <c r="Z68" s="11">
        <f t="shared" si="19"/>
        <v>0.34134623157894733</v>
      </c>
      <c r="AB68">
        <v>0.63598500000000002</v>
      </c>
      <c r="AC68">
        <v>0.56909200000000004</v>
      </c>
      <c r="AD68" s="18">
        <f t="shared" si="28"/>
        <v>0.5367205697916575</v>
      </c>
      <c r="AE68" s="18">
        <f t="shared" si="29"/>
        <v>0.59980852231088699</v>
      </c>
    </row>
    <row r="69" spans="3:31" x14ac:dyDescent="0.25">
      <c r="C69">
        <v>128</v>
      </c>
      <c r="D69">
        <v>8</v>
      </c>
      <c r="E69">
        <v>1</v>
      </c>
      <c r="F69" s="12">
        <v>16</v>
      </c>
      <c r="G69" s="12">
        <v>2</v>
      </c>
      <c r="H69" s="12">
        <v>2</v>
      </c>
      <c r="I69" s="12">
        <v>256</v>
      </c>
      <c r="J69" s="12">
        <v>30</v>
      </c>
      <c r="K69" s="14">
        <f t="shared" si="25"/>
        <v>8</v>
      </c>
      <c r="L69">
        <f>4096</f>
        <v>4096</v>
      </c>
      <c r="M69" s="12">
        <v>128</v>
      </c>
      <c r="N69" s="15">
        <f t="shared" si="20"/>
        <v>3449.2631578947367</v>
      </c>
      <c r="O69" s="15">
        <f t="shared" si="21"/>
        <v>279620.26666666666</v>
      </c>
      <c r="P69" s="15">
        <f t="shared" si="22"/>
        <v>32768</v>
      </c>
      <c r="Q69" s="15">
        <f t="shared" si="23"/>
        <v>283069.52982456138</v>
      </c>
      <c r="R69" s="15">
        <f t="shared" si="15"/>
        <v>16384</v>
      </c>
      <c r="S69" s="15">
        <f t="shared" si="16"/>
        <v>279620.26666666666</v>
      </c>
      <c r="T69" s="15">
        <f t="shared" si="17"/>
        <v>32768</v>
      </c>
      <c r="U69" s="15">
        <f t="shared" si="26"/>
        <v>296004.26666666666</v>
      </c>
      <c r="V69" s="15">
        <f t="shared" si="18"/>
        <v>2730.6666666666665</v>
      </c>
      <c r="W69" s="12">
        <f t="shared" si="27"/>
        <v>100888</v>
      </c>
      <c r="X69" s="12">
        <v>20000</v>
      </c>
      <c r="Y69" s="16">
        <f t="shared" si="24"/>
        <v>682692.46315789467</v>
      </c>
      <c r="Z69" s="11">
        <f t="shared" si="19"/>
        <v>0.68269246315789467</v>
      </c>
      <c r="AB69">
        <v>1.1312359999999999</v>
      </c>
      <c r="AC69">
        <v>1.026491</v>
      </c>
      <c r="AD69" s="18">
        <f t="shared" si="28"/>
        <v>0.60349251894201983</v>
      </c>
      <c r="AE69" s="18">
        <f t="shared" si="29"/>
        <v>0.66507398813812746</v>
      </c>
    </row>
    <row r="70" spans="3:31" x14ac:dyDescent="0.25">
      <c r="C70">
        <v>256</v>
      </c>
      <c r="D70">
        <v>8</v>
      </c>
      <c r="E70">
        <v>1</v>
      </c>
      <c r="F70" s="12">
        <v>16</v>
      </c>
      <c r="G70" s="12">
        <v>2</v>
      </c>
      <c r="H70" s="12">
        <v>2</v>
      </c>
      <c r="I70" s="12">
        <v>256</v>
      </c>
      <c r="J70" s="12">
        <v>30</v>
      </c>
      <c r="K70" s="14">
        <f t="shared" si="25"/>
        <v>16</v>
      </c>
      <c r="L70">
        <f>4096</f>
        <v>4096</v>
      </c>
      <c r="M70" s="12">
        <v>128</v>
      </c>
      <c r="N70" s="15">
        <f t="shared" si="20"/>
        <v>6898.5263157894733</v>
      </c>
      <c r="O70" s="15">
        <f t="shared" si="21"/>
        <v>559240.53333333333</v>
      </c>
      <c r="P70" s="15">
        <f t="shared" si="22"/>
        <v>65536</v>
      </c>
      <c r="Q70" s="15">
        <f t="shared" si="23"/>
        <v>566139.05964912276</v>
      </c>
      <c r="R70" s="15">
        <f t="shared" ref="R70:R133" si="30">G70*K70*64*_xlfn.CEILING.MATH(L70/128)*128/I70</f>
        <v>32768</v>
      </c>
      <c r="S70" s="15">
        <f t="shared" ref="S70:S133" si="31">H70*K70*_xlfn.CEILING.MATH(L70/128)*128*M70/J70</f>
        <v>559240.53333333333</v>
      </c>
      <c r="T70" s="15">
        <f t="shared" ref="T70:T133" si="32">64*M70*_xlfn.CEILING.MATH(L70/128)*128*K70/8192</f>
        <v>65536</v>
      </c>
      <c r="U70" s="15">
        <f t="shared" si="26"/>
        <v>592008.53333333333</v>
      </c>
      <c r="V70" s="15">
        <f t="shared" ref="V70:V133" si="33">K70*8*128/30*10</f>
        <v>5461.333333333333</v>
      </c>
      <c r="W70" s="12">
        <f t="shared" si="27"/>
        <v>201776</v>
      </c>
      <c r="X70" s="12">
        <v>20000</v>
      </c>
      <c r="Y70" s="16">
        <f t="shared" si="24"/>
        <v>1365384.9263157893</v>
      </c>
      <c r="Z70" s="11">
        <f t="shared" ref="Z70:Z133" si="34">Y70/1000000</f>
        <v>1.3653849263157893</v>
      </c>
      <c r="AB70">
        <v>2.113318</v>
      </c>
      <c r="AC70">
        <v>1.911281</v>
      </c>
      <c r="AD70" s="18">
        <f t="shared" si="28"/>
        <v>0.6460858831069386</v>
      </c>
      <c r="AE70" s="18">
        <f t="shared" si="29"/>
        <v>0.7143820957335888</v>
      </c>
    </row>
    <row r="71" spans="3:31" x14ac:dyDescent="0.25">
      <c r="C71">
        <v>512</v>
      </c>
      <c r="D71">
        <v>8</v>
      </c>
      <c r="E71">
        <v>1</v>
      </c>
      <c r="F71" s="12">
        <v>16</v>
      </c>
      <c r="G71" s="12">
        <v>2</v>
      </c>
      <c r="H71" s="12">
        <v>2</v>
      </c>
      <c r="I71" s="12">
        <v>256</v>
      </c>
      <c r="J71" s="12">
        <v>30</v>
      </c>
      <c r="K71" s="14">
        <f t="shared" si="25"/>
        <v>32</v>
      </c>
      <c r="L71">
        <f>4096</f>
        <v>4096</v>
      </c>
      <c r="M71" s="12">
        <v>128</v>
      </c>
      <c r="N71" s="15">
        <f t="shared" ref="N71:N134" si="35">G71*K71*64*M71/38</f>
        <v>13797.052631578947</v>
      </c>
      <c r="O71" s="15">
        <f t="shared" ref="O71:O134" si="36">H71*K71*_xlfn.CEILING.MATH(L71/64)*64*M71/J71</f>
        <v>1118481.0666666667</v>
      </c>
      <c r="P71" s="15">
        <f t="shared" ref="P71:P134" si="37">64*M71*_xlfn.CEILING.MATH(L71/128)*128*K71/8192</f>
        <v>131072</v>
      </c>
      <c r="Q71" s="15">
        <f t="shared" ref="Q71:Q134" si="38">N71+O71</f>
        <v>1132278.1192982455</v>
      </c>
      <c r="R71" s="15">
        <f t="shared" si="30"/>
        <v>65536</v>
      </c>
      <c r="S71" s="15">
        <f t="shared" si="31"/>
        <v>1118481.0666666667</v>
      </c>
      <c r="T71" s="15">
        <f t="shared" si="32"/>
        <v>131072</v>
      </c>
      <c r="U71" s="15">
        <f t="shared" si="26"/>
        <v>1184017.0666666667</v>
      </c>
      <c r="V71" s="15">
        <f t="shared" si="33"/>
        <v>10922.666666666666</v>
      </c>
      <c r="W71" s="12">
        <f t="shared" si="27"/>
        <v>403552</v>
      </c>
      <c r="X71" s="12">
        <v>20000</v>
      </c>
      <c r="Y71" s="16">
        <f t="shared" ref="Y71:Y134" si="39">Q71+U71+W71+V71</f>
        <v>2730769.8526315787</v>
      </c>
      <c r="Z71" s="11">
        <f t="shared" si="34"/>
        <v>2.7307698526315787</v>
      </c>
      <c r="AB71">
        <v>4.0626150000000001</v>
      </c>
      <c r="AC71">
        <v>3.6560049999999999</v>
      </c>
      <c r="AD71" s="18">
        <f t="shared" si="28"/>
        <v>0.67217047459126167</v>
      </c>
      <c r="AE71" s="18">
        <f t="shared" si="29"/>
        <v>0.74692727516280166</v>
      </c>
    </row>
    <row r="72" spans="3:31" x14ac:dyDescent="0.25">
      <c r="C72" s="8">
        <v>1</v>
      </c>
      <c r="D72" s="8">
        <v>8</v>
      </c>
      <c r="E72" s="8">
        <v>1</v>
      </c>
      <c r="F72" s="12">
        <v>16</v>
      </c>
      <c r="G72" s="12">
        <v>2</v>
      </c>
      <c r="H72" s="12">
        <v>2</v>
      </c>
      <c r="I72" s="12">
        <v>256</v>
      </c>
      <c r="J72" s="12">
        <v>30</v>
      </c>
      <c r="K72" s="14">
        <f t="shared" si="25"/>
        <v>1</v>
      </c>
      <c r="L72" s="8">
        <f>8192</f>
        <v>8192</v>
      </c>
      <c r="M72" s="12">
        <v>128</v>
      </c>
      <c r="N72" s="15">
        <f t="shared" si="35"/>
        <v>431.15789473684208</v>
      </c>
      <c r="O72" s="15">
        <f t="shared" si="36"/>
        <v>69905.066666666666</v>
      </c>
      <c r="P72" s="15">
        <f t="shared" si="37"/>
        <v>8192</v>
      </c>
      <c r="Q72" s="15">
        <f t="shared" si="38"/>
        <v>70336.224561403506</v>
      </c>
      <c r="R72" s="15">
        <f t="shared" si="30"/>
        <v>4096</v>
      </c>
      <c r="S72" s="15">
        <f t="shared" si="31"/>
        <v>69905.066666666666</v>
      </c>
      <c r="T72" s="15">
        <f t="shared" si="32"/>
        <v>8192</v>
      </c>
      <c r="U72" s="15">
        <f t="shared" si="26"/>
        <v>74001.066666666666</v>
      </c>
      <c r="V72" s="15">
        <f t="shared" si="33"/>
        <v>341.33333333333331</v>
      </c>
      <c r="W72" s="12">
        <f t="shared" si="27"/>
        <v>25027</v>
      </c>
      <c r="X72" s="12">
        <v>20000</v>
      </c>
      <c r="Y72" s="16">
        <f t="shared" si="39"/>
        <v>169705.6245614035</v>
      </c>
      <c r="Z72" s="11">
        <f t="shared" si="34"/>
        <v>0.16970562456140351</v>
      </c>
      <c r="AB72" s="8">
        <v>0.336256</v>
      </c>
      <c r="AC72">
        <v>0.213862</v>
      </c>
      <c r="AD72" s="18">
        <f t="shared" si="28"/>
        <v>0.50469173653824317</v>
      </c>
      <c r="AE72" s="18">
        <f t="shared" si="29"/>
        <v>0.79352865194098765</v>
      </c>
    </row>
    <row r="73" spans="3:31" x14ac:dyDescent="0.25">
      <c r="C73" s="8">
        <v>2</v>
      </c>
      <c r="D73" s="8">
        <v>8</v>
      </c>
      <c r="E73" s="8">
        <v>1</v>
      </c>
      <c r="F73" s="12">
        <v>16</v>
      </c>
      <c r="G73" s="12">
        <v>2</v>
      </c>
      <c r="H73" s="12">
        <v>2</v>
      </c>
      <c r="I73" s="12">
        <v>256</v>
      </c>
      <c r="J73" s="12">
        <v>30</v>
      </c>
      <c r="K73" s="14">
        <f t="shared" si="25"/>
        <v>1</v>
      </c>
      <c r="L73" s="8">
        <f>8192</f>
        <v>8192</v>
      </c>
      <c r="M73" s="12">
        <v>128</v>
      </c>
      <c r="N73" s="15">
        <f t="shared" si="35"/>
        <v>431.15789473684208</v>
      </c>
      <c r="O73" s="15">
        <f t="shared" si="36"/>
        <v>69905.066666666666</v>
      </c>
      <c r="P73" s="15">
        <f t="shared" si="37"/>
        <v>8192</v>
      </c>
      <c r="Q73" s="15">
        <f t="shared" si="38"/>
        <v>70336.224561403506</v>
      </c>
      <c r="R73" s="15">
        <f t="shared" si="30"/>
        <v>4096</v>
      </c>
      <c r="S73" s="15">
        <f t="shared" si="31"/>
        <v>69905.066666666666</v>
      </c>
      <c r="T73" s="15">
        <f t="shared" si="32"/>
        <v>8192</v>
      </c>
      <c r="U73" s="15">
        <f t="shared" si="26"/>
        <v>74001.066666666666</v>
      </c>
      <c r="V73" s="15">
        <f t="shared" si="33"/>
        <v>341.33333333333331</v>
      </c>
      <c r="W73" s="12">
        <f t="shared" si="27"/>
        <v>25027</v>
      </c>
      <c r="X73" s="12">
        <v>20000</v>
      </c>
      <c r="Y73" s="16">
        <f t="shared" si="39"/>
        <v>169705.6245614035</v>
      </c>
      <c r="Z73" s="11">
        <f t="shared" si="34"/>
        <v>0.16970562456140351</v>
      </c>
      <c r="AB73" s="8">
        <v>0.37155700000000003</v>
      </c>
      <c r="AC73">
        <v>0.24545900000000001</v>
      </c>
      <c r="AD73" s="18">
        <f t="shared" si="28"/>
        <v>0.45674183116292655</v>
      </c>
      <c r="AE73" s="18">
        <f t="shared" si="29"/>
        <v>0.69138073797010291</v>
      </c>
    </row>
    <row r="74" spans="3:31" x14ac:dyDescent="0.25">
      <c r="C74" s="8">
        <v>4</v>
      </c>
      <c r="D74" s="8">
        <v>8</v>
      </c>
      <c r="E74" s="8">
        <v>1</v>
      </c>
      <c r="F74" s="12">
        <v>16</v>
      </c>
      <c r="G74" s="12">
        <v>2</v>
      </c>
      <c r="H74" s="12">
        <v>2</v>
      </c>
      <c r="I74" s="12">
        <v>256</v>
      </c>
      <c r="J74" s="12">
        <v>30</v>
      </c>
      <c r="K74" s="14">
        <f t="shared" si="25"/>
        <v>1</v>
      </c>
      <c r="L74" s="8">
        <f>8192</f>
        <v>8192</v>
      </c>
      <c r="M74" s="12">
        <v>128</v>
      </c>
      <c r="N74" s="15">
        <f t="shared" si="35"/>
        <v>431.15789473684208</v>
      </c>
      <c r="O74" s="15">
        <f t="shared" si="36"/>
        <v>69905.066666666666</v>
      </c>
      <c r="P74" s="15">
        <f t="shared" si="37"/>
        <v>8192</v>
      </c>
      <c r="Q74" s="15">
        <f t="shared" si="38"/>
        <v>70336.224561403506</v>
      </c>
      <c r="R74" s="15">
        <f t="shared" si="30"/>
        <v>4096</v>
      </c>
      <c r="S74" s="15">
        <f t="shared" si="31"/>
        <v>69905.066666666666</v>
      </c>
      <c r="T74" s="15">
        <f t="shared" si="32"/>
        <v>8192</v>
      </c>
      <c r="U74" s="15">
        <f t="shared" si="26"/>
        <v>74001.066666666666</v>
      </c>
      <c r="V74" s="15">
        <f t="shared" si="33"/>
        <v>341.33333333333331</v>
      </c>
      <c r="W74" s="12">
        <f t="shared" si="27"/>
        <v>25027</v>
      </c>
      <c r="X74" s="12">
        <v>20000</v>
      </c>
      <c r="Y74" s="16">
        <f t="shared" si="39"/>
        <v>169705.6245614035</v>
      </c>
      <c r="Z74" s="11">
        <f t="shared" si="34"/>
        <v>0.16970562456140351</v>
      </c>
      <c r="AB74" s="8">
        <v>0.37873099999999998</v>
      </c>
      <c r="AC74">
        <v>0.25369900000000001</v>
      </c>
      <c r="AD74" s="18">
        <f t="shared" si="28"/>
        <v>0.44809013405663523</v>
      </c>
      <c r="AE74" s="18">
        <f t="shared" si="29"/>
        <v>0.66892508272166429</v>
      </c>
    </row>
    <row r="75" spans="3:31" x14ac:dyDescent="0.25">
      <c r="C75">
        <v>8</v>
      </c>
      <c r="D75">
        <v>8</v>
      </c>
      <c r="E75">
        <v>1</v>
      </c>
      <c r="F75" s="12">
        <v>16</v>
      </c>
      <c r="G75" s="12">
        <v>2</v>
      </c>
      <c r="H75" s="12">
        <v>2</v>
      </c>
      <c r="I75" s="12">
        <v>256</v>
      </c>
      <c r="J75" s="12">
        <v>30</v>
      </c>
      <c r="K75" s="14">
        <f t="shared" si="25"/>
        <v>1</v>
      </c>
      <c r="L75">
        <f>8192</f>
        <v>8192</v>
      </c>
      <c r="M75" s="12">
        <v>128</v>
      </c>
      <c r="N75" s="15">
        <f t="shared" si="35"/>
        <v>431.15789473684208</v>
      </c>
      <c r="O75" s="15">
        <f t="shared" si="36"/>
        <v>69905.066666666666</v>
      </c>
      <c r="P75" s="15">
        <f t="shared" si="37"/>
        <v>8192</v>
      </c>
      <c r="Q75" s="15">
        <f t="shared" si="38"/>
        <v>70336.224561403506</v>
      </c>
      <c r="R75" s="15">
        <f t="shared" si="30"/>
        <v>4096</v>
      </c>
      <c r="S75" s="15">
        <f t="shared" si="31"/>
        <v>69905.066666666666</v>
      </c>
      <c r="T75" s="15">
        <f t="shared" si="32"/>
        <v>8192</v>
      </c>
      <c r="U75" s="15">
        <f t="shared" si="26"/>
        <v>74001.066666666666</v>
      </c>
      <c r="V75" s="15">
        <f t="shared" si="33"/>
        <v>341.33333333333331</v>
      </c>
      <c r="W75" s="12">
        <f t="shared" si="27"/>
        <v>25027</v>
      </c>
      <c r="X75" s="12">
        <v>20000</v>
      </c>
      <c r="Y75" s="16">
        <f t="shared" si="39"/>
        <v>169705.6245614035</v>
      </c>
      <c r="Z75" s="11">
        <f t="shared" si="34"/>
        <v>0.16970562456140351</v>
      </c>
      <c r="AB75">
        <v>0.42692000000000002</v>
      </c>
      <c r="AC75">
        <v>0.29230699999999998</v>
      </c>
      <c r="AD75" s="18">
        <f t="shared" si="28"/>
        <v>0.39751153509182868</v>
      </c>
      <c r="AE75" s="18">
        <f t="shared" si="29"/>
        <v>0.58057324854144277</v>
      </c>
    </row>
    <row r="76" spans="3:31" x14ac:dyDescent="0.25">
      <c r="C76">
        <v>16</v>
      </c>
      <c r="D76">
        <v>8</v>
      </c>
      <c r="E76">
        <v>1</v>
      </c>
      <c r="F76" s="12">
        <v>16</v>
      </c>
      <c r="G76" s="12">
        <v>2</v>
      </c>
      <c r="H76" s="12">
        <v>2</v>
      </c>
      <c r="I76" s="12">
        <v>256</v>
      </c>
      <c r="J76" s="12">
        <v>30</v>
      </c>
      <c r="K76" s="14">
        <f t="shared" si="25"/>
        <v>1</v>
      </c>
      <c r="L76">
        <f>8192</f>
        <v>8192</v>
      </c>
      <c r="M76" s="12">
        <v>128</v>
      </c>
      <c r="N76" s="15">
        <f t="shared" si="35"/>
        <v>431.15789473684208</v>
      </c>
      <c r="O76" s="15">
        <f t="shared" si="36"/>
        <v>69905.066666666666</v>
      </c>
      <c r="P76" s="15">
        <f t="shared" si="37"/>
        <v>8192</v>
      </c>
      <c r="Q76" s="15">
        <f t="shared" si="38"/>
        <v>70336.224561403506</v>
      </c>
      <c r="R76" s="15">
        <f t="shared" si="30"/>
        <v>4096</v>
      </c>
      <c r="S76" s="15">
        <f t="shared" si="31"/>
        <v>69905.066666666666</v>
      </c>
      <c r="T76" s="15">
        <f t="shared" si="32"/>
        <v>8192</v>
      </c>
      <c r="U76" s="15">
        <f t="shared" si="26"/>
        <v>74001.066666666666</v>
      </c>
      <c r="V76" s="15">
        <f t="shared" si="33"/>
        <v>341.33333333333331</v>
      </c>
      <c r="W76" s="12">
        <f t="shared" si="27"/>
        <v>25027</v>
      </c>
      <c r="X76" s="12">
        <v>20000</v>
      </c>
      <c r="Y76" s="16">
        <f t="shared" si="39"/>
        <v>169705.6245614035</v>
      </c>
      <c r="Z76" s="11">
        <f t="shared" si="34"/>
        <v>0.16970562456140351</v>
      </c>
      <c r="AB76">
        <v>0.47640399999999999</v>
      </c>
      <c r="AC76">
        <v>0.32756200000000002</v>
      </c>
      <c r="AD76" s="18">
        <f t="shared" si="28"/>
        <v>0.35622208159755903</v>
      </c>
      <c r="AE76" s="18">
        <f t="shared" si="29"/>
        <v>0.51808703256605926</v>
      </c>
    </row>
    <row r="77" spans="3:31" x14ac:dyDescent="0.25">
      <c r="C77">
        <v>32</v>
      </c>
      <c r="D77">
        <v>8</v>
      </c>
      <c r="E77">
        <v>1</v>
      </c>
      <c r="F77" s="12">
        <v>16</v>
      </c>
      <c r="G77" s="12">
        <v>2</v>
      </c>
      <c r="H77" s="12">
        <v>2</v>
      </c>
      <c r="I77" s="12">
        <v>256</v>
      </c>
      <c r="J77" s="12">
        <v>30</v>
      </c>
      <c r="K77" s="14">
        <f t="shared" si="25"/>
        <v>2</v>
      </c>
      <c r="L77">
        <f>8192</f>
        <v>8192</v>
      </c>
      <c r="M77" s="12">
        <v>128</v>
      </c>
      <c r="N77" s="15">
        <f t="shared" si="35"/>
        <v>862.31578947368416</v>
      </c>
      <c r="O77" s="15">
        <f t="shared" si="36"/>
        <v>139810.13333333333</v>
      </c>
      <c r="P77" s="15">
        <f t="shared" si="37"/>
        <v>16384</v>
      </c>
      <c r="Q77" s="15">
        <f t="shared" si="38"/>
        <v>140672.44912280701</v>
      </c>
      <c r="R77" s="15">
        <f t="shared" si="30"/>
        <v>8192</v>
      </c>
      <c r="S77" s="15">
        <f t="shared" si="31"/>
        <v>139810.13333333333</v>
      </c>
      <c r="T77" s="15">
        <f t="shared" si="32"/>
        <v>16384</v>
      </c>
      <c r="U77" s="15">
        <f t="shared" si="26"/>
        <v>148002.13333333333</v>
      </c>
      <c r="V77" s="15">
        <f t="shared" si="33"/>
        <v>682.66666666666663</v>
      </c>
      <c r="W77" s="12">
        <f t="shared" si="27"/>
        <v>50054</v>
      </c>
      <c r="X77" s="12">
        <v>20000</v>
      </c>
      <c r="Y77" s="16">
        <f t="shared" si="39"/>
        <v>339411.249122807</v>
      </c>
      <c r="Z77" s="11">
        <f t="shared" si="34"/>
        <v>0.33941124912280701</v>
      </c>
      <c r="AB77">
        <v>0.74941000000000002</v>
      </c>
      <c r="AC77">
        <v>0.56617799999999996</v>
      </c>
      <c r="AD77" s="18">
        <f t="shared" si="28"/>
        <v>0.45290461712921765</v>
      </c>
      <c r="AE77" s="18">
        <f t="shared" si="29"/>
        <v>0.59947798947116815</v>
      </c>
    </row>
    <row r="78" spans="3:31" x14ac:dyDescent="0.25">
      <c r="C78">
        <v>64</v>
      </c>
      <c r="D78">
        <v>8</v>
      </c>
      <c r="E78">
        <v>1</v>
      </c>
      <c r="F78" s="12">
        <v>16</v>
      </c>
      <c r="G78" s="12">
        <v>2</v>
      </c>
      <c r="H78" s="12">
        <v>2</v>
      </c>
      <c r="I78" s="12">
        <v>256</v>
      </c>
      <c r="J78" s="12">
        <v>30</v>
      </c>
      <c r="K78" s="14">
        <f t="shared" si="25"/>
        <v>4</v>
      </c>
      <c r="L78">
        <f>8192</f>
        <v>8192</v>
      </c>
      <c r="M78" s="12">
        <v>128</v>
      </c>
      <c r="N78" s="15">
        <f t="shared" si="35"/>
        <v>1724.6315789473683</v>
      </c>
      <c r="O78" s="15">
        <f t="shared" si="36"/>
        <v>279620.26666666666</v>
      </c>
      <c r="P78" s="15">
        <f t="shared" si="37"/>
        <v>32768</v>
      </c>
      <c r="Q78" s="15">
        <f t="shared" si="38"/>
        <v>281344.89824561402</v>
      </c>
      <c r="R78" s="15">
        <f t="shared" si="30"/>
        <v>16384</v>
      </c>
      <c r="S78" s="15">
        <f t="shared" si="31"/>
        <v>279620.26666666666</v>
      </c>
      <c r="T78" s="15">
        <f t="shared" si="32"/>
        <v>32768</v>
      </c>
      <c r="U78" s="15">
        <f t="shared" si="26"/>
        <v>296004.26666666666</v>
      </c>
      <c r="V78" s="15">
        <f t="shared" si="33"/>
        <v>1365.3333333333333</v>
      </c>
      <c r="W78" s="12">
        <f t="shared" si="27"/>
        <v>100108</v>
      </c>
      <c r="X78" s="12">
        <v>20000</v>
      </c>
      <c r="Y78" s="16">
        <f t="shared" si="39"/>
        <v>678822.498245614</v>
      </c>
      <c r="Z78" s="11">
        <f t="shared" si="34"/>
        <v>0.67882249824561403</v>
      </c>
      <c r="AB78">
        <v>1.2287589999999999</v>
      </c>
      <c r="AC78">
        <v>1.015714</v>
      </c>
      <c r="AD78" s="18">
        <f t="shared" si="28"/>
        <v>0.55244559612227784</v>
      </c>
      <c r="AE78" s="18">
        <f t="shared" si="29"/>
        <v>0.66832050975531898</v>
      </c>
    </row>
    <row r="79" spans="3:31" x14ac:dyDescent="0.25">
      <c r="C79">
        <v>128</v>
      </c>
      <c r="D79">
        <v>8</v>
      </c>
      <c r="E79">
        <v>1</v>
      </c>
      <c r="F79" s="12">
        <v>16</v>
      </c>
      <c r="G79" s="12">
        <v>2</v>
      </c>
      <c r="H79" s="12">
        <v>2</v>
      </c>
      <c r="I79" s="12">
        <v>256</v>
      </c>
      <c r="J79" s="12">
        <v>30</v>
      </c>
      <c r="K79" s="14">
        <f t="shared" si="25"/>
        <v>8</v>
      </c>
      <c r="L79">
        <f>8192</f>
        <v>8192</v>
      </c>
      <c r="M79" s="12">
        <v>128</v>
      </c>
      <c r="N79" s="15">
        <f t="shared" si="35"/>
        <v>3449.2631578947367</v>
      </c>
      <c r="O79" s="15">
        <f t="shared" si="36"/>
        <v>559240.53333333333</v>
      </c>
      <c r="P79" s="15">
        <f t="shared" si="37"/>
        <v>65536</v>
      </c>
      <c r="Q79" s="15">
        <f t="shared" si="38"/>
        <v>562689.79649122804</v>
      </c>
      <c r="R79" s="15">
        <f t="shared" si="30"/>
        <v>32768</v>
      </c>
      <c r="S79" s="15">
        <f t="shared" si="31"/>
        <v>559240.53333333333</v>
      </c>
      <c r="T79" s="15">
        <f t="shared" si="32"/>
        <v>65536</v>
      </c>
      <c r="U79" s="15">
        <f t="shared" si="26"/>
        <v>592008.53333333333</v>
      </c>
      <c r="V79" s="15">
        <f t="shared" si="33"/>
        <v>2730.6666666666665</v>
      </c>
      <c r="W79" s="12">
        <f t="shared" si="27"/>
        <v>200216</v>
      </c>
      <c r="X79" s="12">
        <v>20000</v>
      </c>
      <c r="Y79" s="16">
        <f t="shared" si="39"/>
        <v>1357644.996491228</v>
      </c>
      <c r="Z79" s="11">
        <f t="shared" si="34"/>
        <v>1.3576449964912281</v>
      </c>
      <c r="AB79">
        <v>2.2033879999999999</v>
      </c>
      <c r="AC79">
        <v>1.897138</v>
      </c>
      <c r="AD79" s="18">
        <f t="shared" si="28"/>
        <v>0.61616247183484163</v>
      </c>
      <c r="AE79" s="18">
        <f t="shared" si="29"/>
        <v>0.71562795984858674</v>
      </c>
    </row>
    <row r="80" spans="3:31" x14ac:dyDescent="0.25">
      <c r="C80">
        <v>256</v>
      </c>
      <c r="D80">
        <v>8</v>
      </c>
      <c r="E80">
        <v>1</v>
      </c>
      <c r="F80" s="12">
        <v>16</v>
      </c>
      <c r="G80" s="12">
        <v>2</v>
      </c>
      <c r="H80" s="12">
        <v>2</v>
      </c>
      <c r="I80" s="12">
        <v>256</v>
      </c>
      <c r="J80" s="12">
        <v>30</v>
      </c>
      <c r="K80" s="14">
        <f t="shared" si="25"/>
        <v>16</v>
      </c>
      <c r="L80">
        <f>8192</f>
        <v>8192</v>
      </c>
      <c r="M80" s="12">
        <v>128</v>
      </c>
      <c r="N80" s="15">
        <f>G80*K80*64*M80/38</f>
        <v>6898.5263157894733</v>
      </c>
      <c r="O80" s="15">
        <f t="shared" si="36"/>
        <v>1118481.0666666667</v>
      </c>
      <c r="P80" s="15">
        <f t="shared" si="37"/>
        <v>131072</v>
      </c>
      <c r="Q80" s="15">
        <f>N80+O80</f>
        <v>1125379.5929824561</v>
      </c>
      <c r="R80" s="15">
        <f t="shared" si="30"/>
        <v>65536</v>
      </c>
      <c r="S80" s="15">
        <f t="shared" si="31"/>
        <v>1118481.0666666667</v>
      </c>
      <c r="T80" s="15">
        <f t="shared" si="32"/>
        <v>131072</v>
      </c>
      <c r="U80" s="15">
        <f t="shared" si="26"/>
        <v>1184017.0666666667</v>
      </c>
      <c r="V80" s="15">
        <f t="shared" si="33"/>
        <v>5461.333333333333</v>
      </c>
      <c r="W80" s="12">
        <f t="shared" si="27"/>
        <v>400432</v>
      </c>
      <c r="X80" s="12">
        <v>20000</v>
      </c>
      <c r="Y80" s="16">
        <f t="shared" si="39"/>
        <v>2715289.992982456</v>
      </c>
      <c r="Z80" s="11">
        <f t="shared" si="34"/>
        <v>2.7152899929824561</v>
      </c>
      <c r="AB80">
        <v>4.1369300000000004</v>
      </c>
      <c r="AC80">
        <v>3.607132</v>
      </c>
      <c r="AD80" s="18">
        <f t="shared" si="28"/>
        <v>0.65635386457649891</v>
      </c>
      <c r="AE80" s="18">
        <f t="shared" si="29"/>
        <v>0.75275592714168937</v>
      </c>
    </row>
    <row r="81" spans="1:31" x14ac:dyDescent="0.25">
      <c r="C81">
        <v>512</v>
      </c>
      <c r="D81">
        <v>8</v>
      </c>
      <c r="E81">
        <v>1</v>
      </c>
      <c r="F81" s="12">
        <v>16</v>
      </c>
      <c r="G81" s="12">
        <v>2</v>
      </c>
      <c r="H81" s="12">
        <v>2</v>
      </c>
      <c r="I81" s="12">
        <v>256</v>
      </c>
      <c r="J81" s="12">
        <v>30</v>
      </c>
      <c r="K81" s="14">
        <f t="shared" si="25"/>
        <v>32</v>
      </c>
      <c r="L81">
        <f>8192</f>
        <v>8192</v>
      </c>
      <c r="M81" s="12">
        <v>128</v>
      </c>
      <c r="N81" s="15">
        <f t="shared" si="35"/>
        <v>13797.052631578947</v>
      </c>
      <c r="O81" s="15">
        <f t="shared" si="36"/>
        <v>2236962.1333333333</v>
      </c>
      <c r="P81" s="15">
        <f t="shared" si="37"/>
        <v>262144</v>
      </c>
      <c r="Q81" s="15">
        <f t="shared" si="38"/>
        <v>2250759.1859649122</v>
      </c>
      <c r="R81" s="15">
        <f t="shared" si="30"/>
        <v>131072</v>
      </c>
      <c r="S81" s="15">
        <f t="shared" si="31"/>
        <v>2236962.1333333333</v>
      </c>
      <c r="T81" s="15">
        <f t="shared" si="32"/>
        <v>262144</v>
      </c>
      <c r="U81" s="15">
        <f t="shared" si="26"/>
        <v>2368034.1333333333</v>
      </c>
      <c r="V81" s="15">
        <f t="shared" si="33"/>
        <v>10922.666666666666</v>
      </c>
      <c r="W81" s="12">
        <f t="shared" si="27"/>
        <v>800864</v>
      </c>
      <c r="X81" s="12">
        <v>20000</v>
      </c>
      <c r="Y81" s="16">
        <f t="shared" si="39"/>
        <v>5430579.985964912</v>
      </c>
      <c r="Z81" s="11">
        <f t="shared" si="34"/>
        <v>5.4305799859649122</v>
      </c>
      <c r="AB81">
        <v>7.985322</v>
      </c>
      <c r="AC81">
        <v>6.9685050000000004</v>
      </c>
      <c r="AD81" s="18">
        <f t="shared" si="28"/>
        <v>0.68007025714991987</v>
      </c>
      <c r="AE81" s="18">
        <f t="shared" si="29"/>
        <v>0.77930344973059673</v>
      </c>
    </row>
    <row r="82" spans="1:31" x14ac:dyDescent="0.25">
      <c r="C82" s="8">
        <v>1</v>
      </c>
      <c r="D82" s="8">
        <v>8</v>
      </c>
      <c r="E82" s="8">
        <v>1</v>
      </c>
      <c r="F82" s="12">
        <v>16</v>
      </c>
      <c r="G82" s="12">
        <v>2</v>
      </c>
      <c r="H82" s="12">
        <v>2</v>
      </c>
      <c r="I82" s="12">
        <v>256</v>
      </c>
      <c r="J82" s="12">
        <v>30</v>
      </c>
      <c r="K82" s="14">
        <f t="shared" si="25"/>
        <v>1</v>
      </c>
      <c r="L82" s="8">
        <f>16384</f>
        <v>16384</v>
      </c>
      <c r="M82" s="12">
        <v>128</v>
      </c>
      <c r="N82" s="15">
        <f t="shared" si="35"/>
        <v>431.15789473684208</v>
      </c>
      <c r="O82" s="15">
        <f t="shared" si="36"/>
        <v>139810.13333333333</v>
      </c>
      <c r="P82" s="15">
        <f t="shared" si="37"/>
        <v>16384</v>
      </c>
      <c r="Q82" s="15">
        <f t="shared" si="38"/>
        <v>140241.29122807019</v>
      </c>
      <c r="R82" s="15">
        <f t="shared" si="30"/>
        <v>8192</v>
      </c>
      <c r="S82" s="15">
        <f t="shared" si="31"/>
        <v>139810.13333333333</v>
      </c>
      <c r="T82" s="15">
        <f t="shared" si="32"/>
        <v>16384</v>
      </c>
      <c r="U82" s="15">
        <f t="shared" si="26"/>
        <v>148002.13333333333</v>
      </c>
      <c r="V82" s="15">
        <f t="shared" si="33"/>
        <v>341.33333333333331</v>
      </c>
      <c r="W82" s="12">
        <f t="shared" si="27"/>
        <v>49859</v>
      </c>
      <c r="X82" s="12">
        <v>20000</v>
      </c>
      <c r="Y82" s="16">
        <f t="shared" si="39"/>
        <v>338443.75789473683</v>
      </c>
      <c r="Z82" s="11">
        <f t="shared" si="34"/>
        <v>0.33844375789473685</v>
      </c>
      <c r="AB82" s="8">
        <v>0.61742399999999997</v>
      </c>
      <c r="AC82">
        <v>0.37048900000000001</v>
      </c>
      <c r="AD82" s="18">
        <f t="shared" si="28"/>
        <v>0.54815452249141083</v>
      </c>
      <c r="AE82" s="18">
        <f t="shared" si="29"/>
        <v>0.91350555048796822</v>
      </c>
    </row>
    <row r="83" spans="1:31" x14ac:dyDescent="0.25">
      <c r="C83" s="8">
        <v>2</v>
      </c>
      <c r="D83" s="8">
        <v>8</v>
      </c>
      <c r="E83" s="8">
        <v>1</v>
      </c>
      <c r="F83" s="12">
        <v>16</v>
      </c>
      <c r="G83" s="12">
        <v>2</v>
      </c>
      <c r="H83" s="12">
        <v>2</v>
      </c>
      <c r="I83" s="12">
        <v>256</v>
      </c>
      <c r="J83" s="12">
        <v>30</v>
      </c>
      <c r="K83" s="14">
        <f t="shared" si="25"/>
        <v>1</v>
      </c>
      <c r="L83" s="8">
        <f>16384</f>
        <v>16384</v>
      </c>
      <c r="M83" s="12">
        <v>128</v>
      </c>
      <c r="N83" s="15">
        <f t="shared" si="35"/>
        <v>431.15789473684208</v>
      </c>
      <c r="O83" s="15">
        <f t="shared" si="36"/>
        <v>139810.13333333333</v>
      </c>
      <c r="P83" s="15">
        <f t="shared" si="37"/>
        <v>16384</v>
      </c>
      <c r="Q83" s="15">
        <f t="shared" si="38"/>
        <v>140241.29122807019</v>
      </c>
      <c r="R83" s="15">
        <f t="shared" si="30"/>
        <v>8192</v>
      </c>
      <c r="S83" s="15">
        <f t="shared" si="31"/>
        <v>139810.13333333333</v>
      </c>
      <c r="T83" s="15">
        <f t="shared" si="32"/>
        <v>16384</v>
      </c>
      <c r="U83" s="15">
        <f t="shared" si="26"/>
        <v>148002.13333333333</v>
      </c>
      <c r="V83" s="15">
        <f t="shared" si="33"/>
        <v>341.33333333333331</v>
      </c>
      <c r="W83" s="12">
        <f t="shared" si="27"/>
        <v>49859</v>
      </c>
      <c r="X83" s="12">
        <v>20000</v>
      </c>
      <c r="Y83" s="16">
        <f t="shared" si="39"/>
        <v>338443.75789473683</v>
      </c>
      <c r="Z83" s="11">
        <f t="shared" si="34"/>
        <v>0.33844375789473685</v>
      </c>
      <c r="AB83" s="8">
        <v>0.687809</v>
      </c>
      <c r="AC83">
        <v>0.423184</v>
      </c>
      <c r="AD83" s="18">
        <f t="shared" si="28"/>
        <v>0.4920606707599593</v>
      </c>
      <c r="AE83" s="18">
        <f t="shared" si="29"/>
        <v>0.7997555623434176</v>
      </c>
    </row>
    <row r="84" spans="1:31" x14ac:dyDescent="0.25">
      <c r="C84" s="8">
        <v>4</v>
      </c>
      <c r="D84" s="8">
        <v>8</v>
      </c>
      <c r="E84" s="8">
        <v>1</v>
      </c>
      <c r="F84" s="12">
        <v>16</v>
      </c>
      <c r="G84" s="12">
        <v>2</v>
      </c>
      <c r="H84" s="12">
        <v>2</v>
      </c>
      <c r="I84" s="12">
        <v>256</v>
      </c>
      <c r="J84" s="12">
        <v>30</v>
      </c>
      <c r="K84" s="14">
        <f t="shared" si="25"/>
        <v>1</v>
      </c>
      <c r="L84" s="8">
        <f>16384</f>
        <v>16384</v>
      </c>
      <c r="M84" s="12">
        <v>128</v>
      </c>
      <c r="N84" s="15">
        <f t="shared" si="35"/>
        <v>431.15789473684208</v>
      </c>
      <c r="O84" s="15">
        <f t="shared" si="36"/>
        <v>139810.13333333333</v>
      </c>
      <c r="P84" s="15">
        <f t="shared" si="37"/>
        <v>16384</v>
      </c>
      <c r="Q84" s="15">
        <f t="shared" si="38"/>
        <v>140241.29122807019</v>
      </c>
      <c r="R84" s="15">
        <f t="shared" si="30"/>
        <v>8192</v>
      </c>
      <c r="S84" s="15">
        <f t="shared" si="31"/>
        <v>139810.13333333333</v>
      </c>
      <c r="T84" s="15">
        <f t="shared" si="32"/>
        <v>16384</v>
      </c>
      <c r="U84" s="15">
        <f t="shared" si="26"/>
        <v>148002.13333333333</v>
      </c>
      <c r="V84" s="15">
        <f t="shared" si="33"/>
        <v>341.33333333333331</v>
      </c>
      <c r="W84" s="12">
        <f t="shared" si="27"/>
        <v>49859</v>
      </c>
      <c r="X84" s="12">
        <v>20000</v>
      </c>
      <c r="Y84" s="16">
        <f t="shared" si="39"/>
        <v>338443.75789473683</v>
      </c>
      <c r="Z84" s="11">
        <f t="shared" si="34"/>
        <v>0.33844375789473685</v>
      </c>
      <c r="AB84" s="8">
        <v>0.70228400000000002</v>
      </c>
      <c r="AC84">
        <v>0.44124799999999997</v>
      </c>
      <c r="AD84" s="18">
        <f t="shared" si="28"/>
        <v>0.48191865099409475</v>
      </c>
      <c r="AE84" s="18">
        <f t="shared" si="29"/>
        <v>0.76701482589096581</v>
      </c>
    </row>
    <row r="85" spans="1:31" x14ac:dyDescent="0.25">
      <c r="C85">
        <v>8</v>
      </c>
      <c r="D85">
        <v>8</v>
      </c>
      <c r="E85">
        <v>1</v>
      </c>
      <c r="F85" s="12">
        <v>16</v>
      </c>
      <c r="G85" s="12">
        <v>2</v>
      </c>
      <c r="H85" s="12">
        <v>2</v>
      </c>
      <c r="I85" s="12">
        <v>256</v>
      </c>
      <c r="J85" s="12">
        <v>30</v>
      </c>
      <c r="K85" s="14">
        <f t="shared" si="25"/>
        <v>1</v>
      </c>
      <c r="L85">
        <f>16384</f>
        <v>16384</v>
      </c>
      <c r="M85" s="12">
        <v>128</v>
      </c>
      <c r="N85" s="15">
        <f t="shared" si="35"/>
        <v>431.15789473684208</v>
      </c>
      <c r="O85" s="15">
        <f t="shared" si="36"/>
        <v>139810.13333333333</v>
      </c>
      <c r="P85" s="15">
        <f t="shared" si="37"/>
        <v>16384</v>
      </c>
      <c r="Q85" s="15">
        <f t="shared" si="38"/>
        <v>140241.29122807019</v>
      </c>
      <c r="R85" s="15">
        <f t="shared" si="30"/>
        <v>8192</v>
      </c>
      <c r="S85" s="15">
        <f t="shared" si="31"/>
        <v>139810.13333333333</v>
      </c>
      <c r="T85" s="15">
        <f t="shared" si="32"/>
        <v>16384</v>
      </c>
      <c r="U85" s="15">
        <f t="shared" si="26"/>
        <v>148002.13333333333</v>
      </c>
      <c r="V85" s="15">
        <f t="shared" si="33"/>
        <v>341.33333333333331</v>
      </c>
      <c r="W85" s="12">
        <f t="shared" si="27"/>
        <v>49859</v>
      </c>
      <c r="X85" s="12">
        <v>20000</v>
      </c>
      <c r="Y85" s="16">
        <f t="shared" si="39"/>
        <v>338443.75789473683</v>
      </c>
      <c r="Z85" s="11">
        <f t="shared" si="34"/>
        <v>0.33844375789473685</v>
      </c>
      <c r="AB85">
        <v>0.800535</v>
      </c>
      <c r="AC85">
        <v>0.50888900000000004</v>
      </c>
      <c r="AD85" s="18">
        <f t="shared" si="28"/>
        <v>0.42277196861441019</v>
      </c>
      <c r="AE85" s="18">
        <f t="shared" si="29"/>
        <v>0.66506400785777808</v>
      </c>
    </row>
    <row r="86" spans="1:31" x14ac:dyDescent="0.25">
      <c r="C86">
        <v>16</v>
      </c>
      <c r="D86">
        <v>8</v>
      </c>
      <c r="E86">
        <v>1</v>
      </c>
      <c r="F86" s="12">
        <v>16</v>
      </c>
      <c r="G86" s="12">
        <v>2</v>
      </c>
      <c r="H86" s="12">
        <v>2</v>
      </c>
      <c r="I86" s="12">
        <v>256</v>
      </c>
      <c r="J86" s="12">
        <v>30</v>
      </c>
      <c r="K86" s="14">
        <f t="shared" si="25"/>
        <v>1</v>
      </c>
      <c r="L86">
        <f>16384</f>
        <v>16384</v>
      </c>
      <c r="M86" s="12">
        <v>128</v>
      </c>
      <c r="N86" s="15">
        <f t="shared" si="35"/>
        <v>431.15789473684208</v>
      </c>
      <c r="O86" s="15">
        <f t="shared" si="36"/>
        <v>139810.13333333333</v>
      </c>
      <c r="P86" s="15">
        <f t="shared" si="37"/>
        <v>16384</v>
      </c>
      <c r="Q86" s="15">
        <f t="shared" si="38"/>
        <v>140241.29122807019</v>
      </c>
      <c r="R86" s="15">
        <f t="shared" si="30"/>
        <v>8192</v>
      </c>
      <c r="S86" s="15">
        <f t="shared" si="31"/>
        <v>139810.13333333333</v>
      </c>
      <c r="T86" s="15">
        <f t="shared" si="32"/>
        <v>16384</v>
      </c>
      <c r="U86" s="15">
        <f t="shared" si="26"/>
        <v>148002.13333333333</v>
      </c>
      <c r="V86" s="15">
        <f t="shared" si="33"/>
        <v>341.33333333333331</v>
      </c>
      <c r="W86" s="12">
        <f t="shared" si="27"/>
        <v>49859</v>
      </c>
      <c r="X86" s="12">
        <v>20000</v>
      </c>
      <c r="Y86" s="16">
        <f t="shared" si="39"/>
        <v>338443.75789473683</v>
      </c>
      <c r="Z86" s="11">
        <f t="shared" si="34"/>
        <v>0.33844375789473685</v>
      </c>
      <c r="AB86">
        <v>0.901864</v>
      </c>
      <c r="AC86">
        <v>0.56691100000000005</v>
      </c>
      <c r="AD86" s="18">
        <f t="shared" si="28"/>
        <v>0.37527139113517877</v>
      </c>
      <c r="AE86" s="18">
        <f t="shared" si="29"/>
        <v>0.59699627965366142</v>
      </c>
    </row>
    <row r="87" spans="1:31" x14ac:dyDescent="0.25">
      <c r="C87">
        <v>32</v>
      </c>
      <c r="D87">
        <v>8</v>
      </c>
      <c r="E87">
        <v>1</v>
      </c>
      <c r="F87" s="12">
        <v>16</v>
      </c>
      <c r="G87" s="12">
        <v>2</v>
      </c>
      <c r="H87" s="12">
        <v>2</v>
      </c>
      <c r="I87" s="12">
        <v>256</v>
      </c>
      <c r="J87" s="12">
        <v>30</v>
      </c>
      <c r="K87" s="14">
        <f t="shared" si="25"/>
        <v>2</v>
      </c>
      <c r="L87">
        <f>16384</f>
        <v>16384</v>
      </c>
      <c r="M87" s="12">
        <v>128</v>
      </c>
      <c r="N87" s="15">
        <f t="shared" si="35"/>
        <v>862.31578947368416</v>
      </c>
      <c r="O87" s="15">
        <f t="shared" si="36"/>
        <v>279620.26666666666</v>
      </c>
      <c r="P87" s="15">
        <f t="shared" si="37"/>
        <v>32768</v>
      </c>
      <c r="Q87" s="15">
        <f t="shared" si="38"/>
        <v>280482.58245614037</v>
      </c>
      <c r="R87" s="15">
        <f t="shared" si="30"/>
        <v>16384</v>
      </c>
      <c r="S87" s="15">
        <f t="shared" si="31"/>
        <v>279620.26666666666</v>
      </c>
      <c r="T87" s="15">
        <f t="shared" si="32"/>
        <v>32768</v>
      </c>
      <c r="U87" s="15">
        <f t="shared" si="26"/>
        <v>296004.26666666666</v>
      </c>
      <c r="V87" s="15">
        <f t="shared" si="33"/>
        <v>682.66666666666663</v>
      </c>
      <c r="W87" s="12">
        <f t="shared" si="27"/>
        <v>99718</v>
      </c>
      <c r="X87" s="12">
        <v>20000</v>
      </c>
      <c r="Y87" s="16">
        <f t="shared" si="39"/>
        <v>676887.51578947366</v>
      </c>
      <c r="Z87" s="11">
        <f t="shared" si="34"/>
        <v>0.6768875157894737</v>
      </c>
      <c r="AB87">
        <v>1.451038</v>
      </c>
      <c r="AC87">
        <v>1.0140530000000001</v>
      </c>
      <c r="AD87" s="18">
        <f t="shared" si="28"/>
        <v>0.46648503746247422</v>
      </c>
      <c r="AE87" s="18">
        <f t="shared" si="29"/>
        <v>0.66750703936527345</v>
      </c>
    </row>
    <row r="88" spans="1:31" x14ac:dyDescent="0.25">
      <c r="C88">
        <v>64</v>
      </c>
      <c r="D88">
        <v>8</v>
      </c>
      <c r="E88">
        <v>1</v>
      </c>
      <c r="F88" s="12">
        <v>16</v>
      </c>
      <c r="G88" s="12">
        <v>2</v>
      </c>
      <c r="H88" s="12">
        <v>2</v>
      </c>
      <c r="I88" s="12">
        <v>256</v>
      </c>
      <c r="J88" s="12">
        <v>30</v>
      </c>
      <c r="K88" s="14">
        <f t="shared" si="25"/>
        <v>4</v>
      </c>
      <c r="L88">
        <f>16384</f>
        <v>16384</v>
      </c>
      <c r="M88" s="12">
        <v>128</v>
      </c>
      <c r="N88" s="15">
        <f t="shared" si="35"/>
        <v>1724.6315789473683</v>
      </c>
      <c r="O88" s="15">
        <f t="shared" si="36"/>
        <v>559240.53333333333</v>
      </c>
      <c r="P88" s="15">
        <f t="shared" si="37"/>
        <v>65536</v>
      </c>
      <c r="Q88" s="15">
        <f t="shared" si="38"/>
        <v>560965.16491228074</v>
      </c>
      <c r="R88" s="15">
        <f t="shared" si="30"/>
        <v>32768</v>
      </c>
      <c r="S88" s="15">
        <f t="shared" si="31"/>
        <v>559240.53333333333</v>
      </c>
      <c r="T88" s="15">
        <f t="shared" si="32"/>
        <v>65536</v>
      </c>
      <c r="U88" s="15">
        <f t="shared" si="26"/>
        <v>592008.53333333333</v>
      </c>
      <c r="V88" s="15">
        <f t="shared" si="33"/>
        <v>1365.3333333333333</v>
      </c>
      <c r="W88" s="12">
        <f t="shared" si="27"/>
        <v>199436</v>
      </c>
      <c r="X88" s="12">
        <v>20000</v>
      </c>
      <c r="Y88" s="16">
        <f t="shared" si="39"/>
        <v>1353775.0315789473</v>
      </c>
      <c r="Z88" s="11">
        <f t="shared" si="34"/>
        <v>1.3537750315789474</v>
      </c>
      <c r="AB88">
        <v>2.4109479999999999</v>
      </c>
      <c r="AC88">
        <v>1.8830769999999999</v>
      </c>
      <c r="AD88" s="18">
        <f t="shared" si="28"/>
        <v>0.56151150152510443</v>
      </c>
      <c r="AE88" s="18">
        <f t="shared" si="29"/>
        <v>0.71891644982066449</v>
      </c>
    </row>
    <row r="89" spans="1:31" x14ac:dyDescent="0.25">
      <c r="C89">
        <v>128</v>
      </c>
      <c r="D89">
        <v>8</v>
      </c>
      <c r="E89">
        <v>1</v>
      </c>
      <c r="F89" s="12">
        <v>16</v>
      </c>
      <c r="G89" s="12">
        <v>2</v>
      </c>
      <c r="H89" s="12">
        <v>2</v>
      </c>
      <c r="I89" s="12">
        <v>256</v>
      </c>
      <c r="J89" s="12">
        <v>30</v>
      </c>
      <c r="K89" s="14">
        <f t="shared" si="25"/>
        <v>8</v>
      </c>
      <c r="L89">
        <f>16384</f>
        <v>16384</v>
      </c>
      <c r="M89" s="12">
        <v>128</v>
      </c>
      <c r="N89" s="15">
        <f t="shared" si="35"/>
        <v>3449.2631578947367</v>
      </c>
      <c r="O89" s="15">
        <f t="shared" si="36"/>
        <v>1118481.0666666667</v>
      </c>
      <c r="P89" s="15">
        <f t="shared" si="37"/>
        <v>131072</v>
      </c>
      <c r="Q89" s="15">
        <f t="shared" si="38"/>
        <v>1121930.3298245615</v>
      </c>
      <c r="R89" s="15">
        <f t="shared" si="30"/>
        <v>65536</v>
      </c>
      <c r="S89" s="15">
        <f t="shared" si="31"/>
        <v>1118481.0666666667</v>
      </c>
      <c r="T89" s="15">
        <f t="shared" si="32"/>
        <v>131072</v>
      </c>
      <c r="U89" s="15">
        <f t="shared" si="26"/>
        <v>1184017.0666666667</v>
      </c>
      <c r="V89" s="15">
        <f t="shared" si="33"/>
        <v>2730.6666666666665</v>
      </c>
      <c r="W89" s="12">
        <f t="shared" si="27"/>
        <v>398872</v>
      </c>
      <c r="X89" s="12">
        <v>20000</v>
      </c>
      <c r="Y89" s="16">
        <f t="shared" si="39"/>
        <v>2707550.0631578946</v>
      </c>
      <c r="Z89" s="11">
        <f t="shared" si="34"/>
        <v>2.7075500631578948</v>
      </c>
      <c r="AB89">
        <v>4.3366959999999999</v>
      </c>
      <c r="AC89">
        <v>3.577169</v>
      </c>
      <c r="AD89" s="18">
        <f t="shared" si="28"/>
        <v>0.62433476156915191</v>
      </c>
      <c r="AE89" s="18">
        <f t="shared" si="29"/>
        <v>0.75689744128887815</v>
      </c>
    </row>
    <row r="90" spans="1:31" x14ac:dyDescent="0.25">
      <c r="C90">
        <v>256</v>
      </c>
      <c r="D90">
        <v>8</v>
      </c>
      <c r="E90">
        <v>1</v>
      </c>
      <c r="F90" s="12">
        <v>16</v>
      </c>
      <c r="G90" s="12">
        <v>2</v>
      </c>
      <c r="H90" s="12">
        <v>2</v>
      </c>
      <c r="I90" s="12">
        <v>256</v>
      </c>
      <c r="J90" s="12">
        <v>30</v>
      </c>
      <c r="K90" s="14">
        <f t="shared" si="25"/>
        <v>16</v>
      </c>
      <c r="L90">
        <f>16384</f>
        <v>16384</v>
      </c>
      <c r="M90" s="12">
        <v>128</v>
      </c>
      <c r="N90" s="15">
        <f t="shared" si="35"/>
        <v>6898.5263157894733</v>
      </c>
      <c r="O90" s="15">
        <f t="shared" si="36"/>
        <v>2236962.1333333333</v>
      </c>
      <c r="P90" s="15">
        <f t="shared" si="37"/>
        <v>262144</v>
      </c>
      <c r="Q90" s="15">
        <f t="shared" si="38"/>
        <v>2243860.659649123</v>
      </c>
      <c r="R90" s="15">
        <f t="shared" si="30"/>
        <v>131072</v>
      </c>
      <c r="S90" s="15">
        <f t="shared" si="31"/>
        <v>2236962.1333333333</v>
      </c>
      <c r="T90" s="15">
        <f t="shared" si="32"/>
        <v>262144</v>
      </c>
      <c r="U90" s="15">
        <f t="shared" si="26"/>
        <v>2368034.1333333333</v>
      </c>
      <c r="V90" s="15">
        <f t="shared" si="33"/>
        <v>5461.333333333333</v>
      </c>
      <c r="W90" s="12">
        <f t="shared" si="27"/>
        <v>797744</v>
      </c>
      <c r="X90" s="12">
        <v>20000</v>
      </c>
      <c r="Y90" s="16">
        <f t="shared" si="39"/>
        <v>5415100.1263157893</v>
      </c>
      <c r="Z90" s="11">
        <f t="shared" si="34"/>
        <v>5.4151001263157896</v>
      </c>
      <c r="AB90">
        <v>8.1710279999999997</v>
      </c>
      <c r="AC90">
        <v>6.892277</v>
      </c>
      <c r="AD90" s="18">
        <f t="shared" si="28"/>
        <v>0.6627195655572089</v>
      </c>
      <c r="AE90" s="18">
        <f t="shared" si="29"/>
        <v>0.78567650811419643</v>
      </c>
    </row>
    <row r="91" spans="1:31" x14ac:dyDescent="0.25">
      <c r="C91">
        <v>512</v>
      </c>
      <c r="D91">
        <v>8</v>
      </c>
      <c r="E91">
        <v>1</v>
      </c>
      <c r="F91" s="12">
        <v>16</v>
      </c>
      <c r="G91" s="12">
        <v>2</v>
      </c>
      <c r="H91" s="12">
        <v>2</v>
      </c>
      <c r="I91" s="12">
        <v>256</v>
      </c>
      <c r="J91" s="12">
        <v>30</v>
      </c>
      <c r="K91" s="14">
        <f t="shared" ref="K91:K154" si="40">_xlfn.CEILING.MATH(C91*E91/F91)</f>
        <v>32</v>
      </c>
      <c r="L91">
        <f>16384</f>
        <v>16384</v>
      </c>
      <c r="M91" s="12">
        <v>128</v>
      </c>
      <c r="N91" s="15">
        <f t="shared" si="35"/>
        <v>13797.052631578947</v>
      </c>
      <c r="O91" s="15">
        <f t="shared" si="36"/>
        <v>4473924.2666666666</v>
      </c>
      <c r="P91" s="15">
        <f t="shared" si="37"/>
        <v>524288</v>
      </c>
      <c r="Q91" s="15">
        <f>N91+O91</f>
        <v>4487721.3192982459</v>
      </c>
      <c r="R91" s="15">
        <f t="shared" si="30"/>
        <v>262144</v>
      </c>
      <c r="S91" s="15">
        <f t="shared" si="31"/>
        <v>4473924.2666666666</v>
      </c>
      <c r="T91" s="15">
        <f t="shared" si="32"/>
        <v>524288</v>
      </c>
      <c r="U91" s="15">
        <f t="shared" si="26"/>
        <v>4736068.2666666666</v>
      </c>
      <c r="V91" s="15">
        <f t="shared" si="33"/>
        <v>10922.666666666666</v>
      </c>
      <c r="W91" s="12">
        <f t="shared" si="27"/>
        <v>1595488</v>
      </c>
      <c r="X91" s="12">
        <v>20000</v>
      </c>
      <c r="Y91" s="16">
        <f t="shared" si="39"/>
        <v>10830200.252631579</v>
      </c>
      <c r="Z91" s="11">
        <f t="shared" si="34"/>
        <v>10.830200252631579</v>
      </c>
      <c r="AB91">
        <v>15.832815</v>
      </c>
      <c r="AC91">
        <v>13.469061999999999</v>
      </c>
      <c r="AD91" s="18">
        <f t="shared" si="28"/>
        <v>0.68403504068174736</v>
      </c>
      <c r="AE91" s="18">
        <f t="shared" si="29"/>
        <v>0.8040797683336508</v>
      </c>
    </row>
    <row r="92" spans="1:31" x14ac:dyDescent="0.25">
      <c r="C92">
        <v>1</v>
      </c>
      <c r="D92">
        <v>16</v>
      </c>
      <c r="E92">
        <v>1</v>
      </c>
      <c r="F92" s="12">
        <v>16</v>
      </c>
      <c r="G92" s="12">
        <v>2</v>
      </c>
      <c r="H92" s="12">
        <v>2</v>
      </c>
      <c r="I92" s="12">
        <v>256</v>
      </c>
      <c r="J92" s="12">
        <v>30</v>
      </c>
      <c r="K92" s="14">
        <f t="shared" si="40"/>
        <v>1</v>
      </c>
      <c r="L92">
        <v>64</v>
      </c>
      <c r="M92" s="12">
        <v>128</v>
      </c>
      <c r="N92" s="15">
        <f t="shared" si="35"/>
        <v>431.15789473684208</v>
      </c>
      <c r="O92" s="15">
        <f t="shared" si="36"/>
        <v>546.13333333333333</v>
      </c>
      <c r="P92" s="15">
        <f t="shared" si="37"/>
        <v>128</v>
      </c>
      <c r="Q92" s="15">
        <f t="shared" si="38"/>
        <v>977.29122807017541</v>
      </c>
      <c r="R92" s="15">
        <f t="shared" si="30"/>
        <v>64</v>
      </c>
      <c r="S92" s="15">
        <f t="shared" si="31"/>
        <v>1092.2666666666667</v>
      </c>
      <c r="T92" s="15">
        <f t="shared" si="32"/>
        <v>128</v>
      </c>
      <c r="U92" s="15">
        <f t="shared" si="26"/>
        <v>1156.2666666666667</v>
      </c>
      <c r="V92" s="15">
        <f t="shared" si="33"/>
        <v>341.33333333333331</v>
      </c>
      <c r="W92" s="12">
        <f t="shared" si="27"/>
        <v>389</v>
      </c>
      <c r="X92" s="12">
        <v>20000</v>
      </c>
      <c r="Y92" s="16">
        <f t="shared" si="39"/>
        <v>2863.8912280701757</v>
      </c>
      <c r="Z92" s="11">
        <f t="shared" si="34"/>
        <v>2.8638912280701755E-3</v>
      </c>
      <c r="AB92">
        <v>5.9936999999999997E-2</v>
      </c>
      <c r="AC92">
        <v>6.1213999999999998E-2</v>
      </c>
      <c r="AD92" s="18">
        <f t="shared" si="28"/>
        <v>4.7781691243642087E-2</v>
      </c>
      <c r="AE92" s="18">
        <f t="shared" si="29"/>
        <v>4.6784905872352331E-2</v>
      </c>
    </row>
    <row r="93" spans="1:31" x14ac:dyDescent="0.25">
      <c r="C93">
        <v>2</v>
      </c>
      <c r="D93">
        <v>16</v>
      </c>
      <c r="E93">
        <v>1</v>
      </c>
      <c r="F93" s="12">
        <v>16</v>
      </c>
      <c r="G93" s="12">
        <v>2</v>
      </c>
      <c r="H93" s="12">
        <v>2</v>
      </c>
      <c r="I93" s="12">
        <v>256</v>
      </c>
      <c r="J93" s="12">
        <v>30</v>
      </c>
      <c r="K93" s="14">
        <f t="shared" si="40"/>
        <v>1</v>
      </c>
      <c r="L93">
        <v>64</v>
      </c>
      <c r="M93" s="12">
        <v>128</v>
      </c>
      <c r="N93" s="15">
        <f t="shared" si="35"/>
        <v>431.15789473684208</v>
      </c>
      <c r="O93" s="15">
        <f t="shared" si="36"/>
        <v>546.13333333333333</v>
      </c>
      <c r="P93" s="15">
        <f t="shared" si="37"/>
        <v>128</v>
      </c>
      <c r="Q93" s="15">
        <f t="shared" si="38"/>
        <v>977.29122807017541</v>
      </c>
      <c r="R93" s="15">
        <f t="shared" si="30"/>
        <v>64</v>
      </c>
      <c r="S93" s="15">
        <f t="shared" si="31"/>
        <v>1092.2666666666667</v>
      </c>
      <c r="T93" s="15">
        <f t="shared" si="32"/>
        <v>128</v>
      </c>
      <c r="U93" s="15">
        <f t="shared" si="26"/>
        <v>1156.2666666666667</v>
      </c>
      <c r="V93" s="15">
        <f t="shared" si="33"/>
        <v>341.33333333333331</v>
      </c>
      <c r="W93" s="12">
        <f t="shared" si="27"/>
        <v>389</v>
      </c>
      <c r="X93" s="12">
        <v>20000</v>
      </c>
      <c r="Y93" s="16">
        <f t="shared" si="39"/>
        <v>2863.8912280701757</v>
      </c>
      <c r="Z93" s="11">
        <f t="shared" si="34"/>
        <v>2.8638912280701755E-3</v>
      </c>
      <c r="AB93">
        <v>6.0024000000000001E-2</v>
      </c>
      <c r="AC93">
        <v>6.1800000000000001E-2</v>
      </c>
      <c r="AD93" s="18">
        <f t="shared" si="28"/>
        <v>4.7712435493638801E-2</v>
      </c>
      <c r="AE93" s="18">
        <f t="shared" si="29"/>
        <v>4.6341282007608016E-2</v>
      </c>
    </row>
    <row r="94" spans="1:31" x14ac:dyDescent="0.25">
      <c r="A94" s="2"/>
      <c r="C94">
        <v>4</v>
      </c>
      <c r="D94">
        <v>16</v>
      </c>
      <c r="E94">
        <v>1</v>
      </c>
      <c r="F94" s="12">
        <v>16</v>
      </c>
      <c r="G94" s="12">
        <v>2</v>
      </c>
      <c r="H94" s="12">
        <v>2</v>
      </c>
      <c r="I94" s="12">
        <v>256</v>
      </c>
      <c r="J94" s="12">
        <v>30</v>
      </c>
      <c r="K94" s="14">
        <f t="shared" si="40"/>
        <v>1</v>
      </c>
      <c r="L94">
        <v>64</v>
      </c>
      <c r="M94" s="12">
        <v>128</v>
      </c>
      <c r="N94" s="15">
        <f t="shared" si="35"/>
        <v>431.15789473684208</v>
      </c>
      <c r="O94" s="15">
        <f t="shared" si="36"/>
        <v>546.13333333333333</v>
      </c>
      <c r="P94" s="15">
        <f t="shared" si="37"/>
        <v>128</v>
      </c>
      <c r="Q94" s="15">
        <f t="shared" si="38"/>
        <v>977.29122807017541</v>
      </c>
      <c r="R94" s="15">
        <f t="shared" si="30"/>
        <v>64</v>
      </c>
      <c r="S94" s="15">
        <f t="shared" si="31"/>
        <v>1092.2666666666667</v>
      </c>
      <c r="T94" s="15">
        <f t="shared" si="32"/>
        <v>128</v>
      </c>
      <c r="U94" s="15">
        <f t="shared" si="26"/>
        <v>1156.2666666666667</v>
      </c>
      <c r="V94" s="15">
        <f t="shared" si="33"/>
        <v>341.33333333333331</v>
      </c>
      <c r="W94" s="12">
        <f t="shared" si="27"/>
        <v>389</v>
      </c>
      <c r="X94" s="12">
        <v>20000</v>
      </c>
      <c r="Y94" s="16">
        <f t="shared" si="39"/>
        <v>2863.8912280701757</v>
      </c>
      <c r="Z94" s="11">
        <f t="shared" si="34"/>
        <v>2.8638912280701755E-3</v>
      </c>
      <c r="AB94">
        <v>5.9449000000000002E-2</v>
      </c>
      <c r="AC94">
        <v>6.1017000000000002E-2</v>
      </c>
      <c r="AD94" s="18">
        <f t="shared" si="28"/>
        <v>4.8173917611232742E-2</v>
      </c>
      <c r="AE94" s="18">
        <f t="shared" si="29"/>
        <v>4.6935956013408976E-2</v>
      </c>
    </row>
    <row r="95" spans="1:31" x14ac:dyDescent="0.25">
      <c r="C95">
        <v>8</v>
      </c>
      <c r="D95">
        <v>16</v>
      </c>
      <c r="E95">
        <v>1</v>
      </c>
      <c r="F95" s="12">
        <v>16</v>
      </c>
      <c r="G95" s="12">
        <v>2</v>
      </c>
      <c r="H95" s="12">
        <v>2</v>
      </c>
      <c r="I95" s="12">
        <v>256</v>
      </c>
      <c r="J95" s="12">
        <v>30</v>
      </c>
      <c r="K95" s="14">
        <f t="shared" si="40"/>
        <v>1</v>
      </c>
      <c r="L95">
        <v>64</v>
      </c>
      <c r="M95" s="12">
        <v>128</v>
      </c>
      <c r="N95" s="15">
        <f t="shared" si="35"/>
        <v>431.15789473684208</v>
      </c>
      <c r="O95" s="15">
        <f t="shared" si="36"/>
        <v>546.13333333333333</v>
      </c>
      <c r="P95" s="15">
        <f t="shared" si="37"/>
        <v>128</v>
      </c>
      <c r="Q95" s="15">
        <f t="shared" si="38"/>
        <v>977.29122807017541</v>
      </c>
      <c r="R95" s="15">
        <f t="shared" si="30"/>
        <v>64</v>
      </c>
      <c r="S95" s="15">
        <f t="shared" si="31"/>
        <v>1092.2666666666667</v>
      </c>
      <c r="T95" s="15">
        <f t="shared" si="32"/>
        <v>128</v>
      </c>
      <c r="U95" s="15">
        <f t="shared" si="26"/>
        <v>1156.2666666666667</v>
      </c>
      <c r="V95" s="15">
        <f t="shared" si="33"/>
        <v>341.33333333333331</v>
      </c>
      <c r="W95" s="12">
        <f t="shared" si="27"/>
        <v>389</v>
      </c>
      <c r="X95" s="12">
        <v>20000</v>
      </c>
      <c r="Y95" s="16">
        <f t="shared" si="39"/>
        <v>2863.8912280701757</v>
      </c>
      <c r="Z95" s="11">
        <f t="shared" si="34"/>
        <v>2.8638912280701755E-3</v>
      </c>
      <c r="AB95">
        <v>6.0523E-2</v>
      </c>
      <c r="AC95">
        <v>6.1913999999999997E-2</v>
      </c>
      <c r="AD95" s="18">
        <f t="shared" si="28"/>
        <v>4.7319056029446249E-2</v>
      </c>
      <c r="AE95" s="18">
        <f t="shared" si="29"/>
        <v>4.6255955487776203E-2</v>
      </c>
    </row>
    <row r="96" spans="1:31" x14ac:dyDescent="0.25">
      <c r="C96">
        <v>16</v>
      </c>
      <c r="D96">
        <v>16</v>
      </c>
      <c r="E96">
        <v>1</v>
      </c>
      <c r="F96" s="12">
        <v>16</v>
      </c>
      <c r="G96" s="12">
        <v>2</v>
      </c>
      <c r="H96" s="12">
        <v>2</v>
      </c>
      <c r="I96" s="12">
        <v>256</v>
      </c>
      <c r="J96" s="12">
        <v>30</v>
      </c>
      <c r="K96" s="14">
        <f t="shared" si="40"/>
        <v>1</v>
      </c>
      <c r="L96">
        <v>64</v>
      </c>
      <c r="M96" s="12">
        <v>128</v>
      </c>
      <c r="N96" s="15">
        <f t="shared" si="35"/>
        <v>431.15789473684208</v>
      </c>
      <c r="O96" s="15">
        <f t="shared" si="36"/>
        <v>546.13333333333333</v>
      </c>
      <c r="P96" s="15">
        <f t="shared" si="37"/>
        <v>128</v>
      </c>
      <c r="Q96" s="15">
        <f t="shared" si="38"/>
        <v>977.29122807017541</v>
      </c>
      <c r="R96" s="15">
        <f t="shared" si="30"/>
        <v>64</v>
      </c>
      <c r="S96" s="15">
        <f t="shared" si="31"/>
        <v>1092.2666666666667</v>
      </c>
      <c r="T96" s="15">
        <f t="shared" si="32"/>
        <v>128</v>
      </c>
      <c r="U96" s="15">
        <f t="shared" si="26"/>
        <v>1156.2666666666667</v>
      </c>
      <c r="V96" s="15">
        <f t="shared" si="33"/>
        <v>341.33333333333331</v>
      </c>
      <c r="W96" s="12">
        <f t="shared" si="27"/>
        <v>389</v>
      </c>
      <c r="X96" s="12">
        <v>20000</v>
      </c>
      <c r="Y96" s="16">
        <f t="shared" si="39"/>
        <v>2863.8912280701757</v>
      </c>
      <c r="Z96" s="11">
        <f t="shared" si="34"/>
        <v>2.8638912280701755E-3</v>
      </c>
      <c r="AB96">
        <v>6.0772E-2</v>
      </c>
      <c r="AC96">
        <v>6.2758999999999995E-2</v>
      </c>
      <c r="AD96" s="18">
        <f t="shared" si="28"/>
        <v>4.7125176529819249E-2</v>
      </c>
      <c r="AE96" s="18">
        <f t="shared" si="29"/>
        <v>4.5633155851275128E-2</v>
      </c>
    </row>
    <row r="97" spans="3:31" x14ac:dyDescent="0.25">
      <c r="C97">
        <v>32</v>
      </c>
      <c r="D97">
        <v>16</v>
      </c>
      <c r="E97">
        <v>1</v>
      </c>
      <c r="F97" s="12">
        <v>16</v>
      </c>
      <c r="G97" s="12">
        <v>2</v>
      </c>
      <c r="H97" s="12">
        <v>2</v>
      </c>
      <c r="I97" s="12">
        <v>256</v>
      </c>
      <c r="J97" s="12">
        <v>30</v>
      </c>
      <c r="K97" s="14">
        <f t="shared" si="40"/>
        <v>2</v>
      </c>
      <c r="L97">
        <v>64</v>
      </c>
      <c r="M97" s="12">
        <v>128</v>
      </c>
      <c r="N97" s="15">
        <f t="shared" si="35"/>
        <v>862.31578947368416</v>
      </c>
      <c r="O97" s="15">
        <f t="shared" si="36"/>
        <v>1092.2666666666667</v>
      </c>
      <c r="P97" s="15">
        <f t="shared" si="37"/>
        <v>256</v>
      </c>
      <c r="Q97" s="15">
        <f t="shared" si="38"/>
        <v>1954.5824561403508</v>
      </c>
      <c r="R97" s="15">
        <f t="shared" si="30"/>
        <v>128</v>
      </c>
      <c r="S97" s="15">
        <f t="shared" si="31"/>
        <v>2184.5333333333333</v>
      </c>
      <c r="T97" s="15">
        <f t="shared" si="32"/>
        <v>256</v>
      </c>
      <c r="U97" s="15">
        <f t="shared" si="26"/>
        <v>2312.5333333333333</v>
      </c>
      <c r="V97" s="15">
        <f t="shared" si="33"/>
        <v>682.66666666666663</v>
      </c>
      <c r="W97" s="12">
        <f t="shared" si="27"/>
        <v>778</v>
      </c>
      <c r="X97" s="12">
        <v>20000</v>
      </c>
      <c r="Y97" s="16">
        <f t="shared" si="39"/>
        <v>5727.7824561403513</v>
      </c>
      <c r="Z97" s="11">
        <f t="shared" si="34"/>
        <v>5.727782456140351E-3</v>
      </c>
      <c r="AB97">
        <v>6.5657999999999994E-2</v>
      </c>
      <c r="AC97">
        <v>7.0711999999999997E-2</v>
      </c>
      <c r="AD97" s="18">
        <f t="shared" si="28"/>
        <v>8.7236627008747625E-2</v>
      </c>
      <c r="AE97" s="18">
        <f t="shared" si="29"/>
        <v>8.1001562056515888E-2</v>
      </c>
    </row>
    <row r="98" spans="3:31" x14ac:dyDescent="0.25">
      <c r="C98">
        <v>64</v>
      </c>
      <c r="D98">
        <v>16</v>
      </c>
      <c r="E98">
        <v>1</v>
      </c>
      <c r="F98" s="12">
        <v>16</v>
      </c>
      <c r="G98" s="12">
        <v>2</v>
      </c>
      <c r="H98" s="12">
        <v>2</v>
      </c>
      <c r="I98" s="12">
        <v>256</v>
      </c>
      <c r="J98" s="12">
        <v>30</v>
      </c>
      <c r="K98" s="14">
        <f t="shared" si="40"/>
        <v>4</v>
      </c>
      <c r="L98">
        <v>64</v>
      </c>
      <c r="M98" s="12">
        <v>128</v>
      </c>
      <c r="N98" s="15">
        <f t="shared" si="35"/>
        <v>1724.6315789473683</v>
      </c>
      <c r="O98" s="15">
        <f t="shared" si="36"/>
        <v>2184.5333333333333</v>
      </c>
      <c r="P98" s="15">
        <f t="shared" si="37"/>
        <v>512</v>
      </c>
      <c r="Q98" s="15">
        <f t="shared" si="38"/>
        <v>3909.1649122807016</v>
      </c>
      <c r="R98" s="15">
        <f t="shared" si="30"/>
        <v>256</v>
      </c>
      <c r="S98" s="15">
        <f t="shared" si="31"/>
        <v>4369.0666666666666</v>
      </c>
      <c r="T98" s="15">
        <f t="shared" si="32"/>
        <v>512</v>
      </c>
      <c r="U98" s="15">
        <f t="shared" si="26"/>
        <v>4625.0666666666666</v>
      </c>
      <c r="V98" s="15">
        <f t="shared" si="33"/>
        <v>1365.3333333333333</v>
      </c>
      <c r="W98" s="12">
        <f t="shared" si="27"/>
        <v>1556</v>
      </c>
      <c r="X98" s="12">
        <v>20000</v>
      </c>
      <c r="Y98" s="16">
        <f t="shared" si="39"/>
        <v>11455.564912280703</v>
      </c>
      <c r="Z98" s="11">
        <f t="shared" si="34"/>
        <v>1.1455564912280702E-2</v>
      </c>
      <c r="AB98">
        <v>7.6124999999999998E-2</v>
      </c>
      <c r="AC98">
        <v>8.7309999999999999E-2</v>
      </c>
      <c r="AD98" s="18">
        <f t="shared" si="28"/>
        <v>0.1504836113271685</v>
      </c>
      <c r="AE98" s="18">
        <f t="shared" si="29"/>
        <v>0.13120564554209943</v>
      </c>
    </row>
    <row r="99" spans="3:31" x14ac:dyDescent="0.25">
      <c r="C99">
        <v>128</v>
      </c>
      <c r="D99">
        <v>16</v>
      </c>
      <c r="E99">
        <v>1</v>
      </c>
      <c r="F99" s="12">
        <v>16</v>
      </c>
      <c r="G99" s="12">
        <v>2</v>
      </c>
      <c r="H99" s="12">
        <v>2</v>
      </c>
      <c r="I99" s="12">
        <v>256</v>
      </c>
      <c r="J99" s="12">
        <v>30</v>
      </c>
      <c r="K99" s="14">
        <f t="shared" si="40"/>
        <v>8</v>
      </c>
      <c r="L99">
        <v>64</v>
      </c>
      <c r="M99" s="12">
        <v>128</v>
      </c>
      <c r="N99" s="15">
        <f t="shared" si="35"/>
        <v>3449.2631578947367</v>
      </c>
      <c r="O99" s="15">
        <f t="shared" si="36"/>
        <v>4369.0666666666666</v>
      </c>
      <c r="P99" s="15">
        <f t="shared" si="37"/>
        <v>1024</v>
      </c>
      <c r="Q99" s="15">
        <f t="shared" si="38"/>
        <v>7818.3298245614033</v>
      </c>
      <c r="R99" s="15">
        <f t="shared" si="30"/>
        <v>512</v>
      </c>
      <c r="S99" s="15">
        <f t="shared" si="31"/>
        <v>8738.1333333333332</v>
      </c>
      <c r="T99" s="15">
        <f t="shared" si="32"/>
        <v>1024</v>
      </c>
      <c r="U99" s="15">
        <f t="shared" si="26"/>
        <v>9250.1333333333332</v>
      </c>
      <c r="V99" s="15">
        <f t="shared" si="33"/>
        <v>2730.6666666666665</v>
      </c>
      <c r="W99" s="12">
        <f t="shared" si="27"/>
        <v>3112</v>
      </c>
      <c r="X99" s="12">
        <v>20000</v>
      </c>
      <c r="Y99" s="16">
        <f t="shared" si="39"/>
        <v>22911.129824561405</v>
      </c>
      <c r="Z99" s="11">
        <f t="shared" si="34"/>
        <v>2.2911129824561404E-2</v>
      </c>
      <c r="AB99">
        <v>9.5024999999999998E-2</v>
      </c>
      <c r="AC99">
        <v>0.119504</v>
      </c>
      <c r="AD99" s="18">
        <f t="shared" si="28"/>
        <v>0.24110633859049097</v>
      </c>
      <c r="AE99" s="18">
        <f t="shared" si="29"/>
        <v>0.19171851841412341</v>
      </c>
    </row>
    <row r="100" spans="3:31" x14ac:dyDescent="0.25">
      <c r="C100">
        <v>256</v>
      </c>
      <c r="D100">
        <v>16</v>
      </c>
      <c r="E100">
        <v>1</v>
      </c>
      <c r="F100" s="12">
        <v>16</v>
      </c>
      <c r="G100" s="12">
        <v>2</v>
      </c>
      <c r="H100" s="12">
        <v>2</v>
      </c>
      <c r="I100" s="12">
        <v>256</v>
      </c>
      <c r="J100" s="12">
        <v>30</v>
      </c>
      <c r="K100" s="14">
        <f t="shared" si="40"/>
        <v>16</v>
      </c>
      <c r="L100">
        <v>64</v>
      </c>
      <c r="M100" s="12">
        <v>128</v>
      </c>
      <c r="N100" s="15">
        <f t="shared" si="35"/>
        <v>6898.5263157894733</v>
      </c>
      <c r="O100" s="15">
        <f t="shared" si="36"/>
        <v>8738.1333333333332</v>
      </c>
      <c r="P100" s="15">
        <f t="shared" si="37"/>
        <v>2048</v>
      </c>
      <c r="Q100" s="15">
        <f t="shared" si="38"/>
        <v>15636.659649122807</v>
      </c>
      <c r="R100" s="15">
        <f t="shared" si="30"/>
        <v>1024</v>
      </c>
      <c r="S100" s="15">
        <f t="shared" si="31"/>
        <v>17476.266666666666</v>
      </c>
      <c r="T100" s="15">
        <f t="shared" si="32"/>
        <v>2048</v>
      </c>
      <c r="U100" s="15">
        <f t="shared" si="26"/>
        <v>18500.266666666666</v>
      </c>
      <c r="V100" s="15">
        <f t="shared" si="33"/>
        <v>5461.333333333333</v>
      </c>
      <c r="W100" s="12">
        <f t="shared" si="27"/>
        <v>6224</v>
      </c>
      <c r="X100" s="12">
        <v>20000</v>
      </c>
      <c r="Y100" s="16">
        <f t="shared" si="39"/>
        <v>45822.259649122811</v>
      </c>
      <c r="Z100" s="11">
        <f t="shared" si="34"/>
        <v>4.5822259649122808E-2</v>
      </c>
      <c r="AB100">
        <v>0.137041</v>
      </c>
      <c r="AC100">
        <v>0.18440899999999999</v>
      </c>
      <c r="AD100" s="18">
        <f t="shared" si="28"/>
        <v>0.33436898190412218</v>
      </c>
      <c r="AE100" s="18">
        <f t="shared" si="29"/>
        <v>0.24848168825340852</v>
      </c>
    </row>
    <row r="101" spans="3:31" x14ac:dyDescent="0.25">
      <c r="C101">
        <v>512</v>
      </c>
      <c r="D101">
        <v>16</v>
      </c>
      <c r="E101">
        <v>1</v>
      </c>
      <c r="F101" s="12">
        <v>16</v>
      </c>
      <c r="G101" s="12">
        <v>2</v>
      </c>
      <c r="H101" s="12">
        <v>2</v>
      </c>
      <c r="I101" s="12">
        <v>256</v>
      </c>
      <c r="J101" s="12">
        <v>30</v>
      </c>
      <c r="K101" s="14">
        <f t="shared" si="40"/>
        <v>32</v>
      </c>
      <c r="L101">
        <v>64</v>
      </c>
      <c r="M101" s="12">
        <v>128</v>
      </c>
      <c r="N101" s="15">
        <f t="shared" si="35"/>
        <v>13797.052631578947</v>
      </c>
      <c r="O101" s="15">
        <f t="shared" si="36"/>
        <v>17476.266666666666</v>
      </c>
      <c r="P101" s="15">
        <f t="shared" si="37"/>
        <v>4096</v>
      </c>
      <c r="Q101" s="15">
        <f t="shared" si="38"/>
        <v>31273.319298245613</v>
      </c>
      <c r="R101" s="15">
        <f t="shared" si="30"/>
        <v>2048</v>
      </c>
      <c r="S101" s="15">
        <f t="shared" si="31"/>
        <v>34952.533333333333</v>
      </c>
      <c r="T101" s="15">
        <f t="shared" si="32"/>
        <v>4096</v>
      </c>
      <c r="U101" s="15">
        <f t="shared" si="26"/>
        <v>37000.533333333333</v>
      </c>
      <c r="V101" s="15">
        <f t="shared" si="33"/>
        <v>10922.666666666666</v>
      </c>
      <c r="W101" s="12">
        <f t="shared" si="27"/>
        <v>12448</v>
      </c>
      <c r="X101" s="12">
        <v>20000</v>
      </c>
      <c r="Y101" s="16">
        <f t="shared" si="39"/>
        <v>91644.519298245621</v>
      </c>
      <c r="Z101" s="11">
        <f t="shared" si="34"/>
        <v>9.1644519298245616E-2</v>
      </c>
      <c r="AB101">
        <v>0.218253</v>
      </c>
      <c r="AC101">
        <v>0.316581</v>
      </c>
      <c r="AD101" s="18">
        <f t="shared" si="28"/>
        <v>0.41990038761549953</v>
      </c>
      <c r="AE101" s="18">
        <f t="shared" si="29"/>
        <v>0.28948205766690238</v>
      </c>
    </row>
    <row r="102" spans="3:31" x14ac:dyDescent="0.25">
      <c r="C102" s="8">
        <v>1</v>
      </c>
      <c r="D102" s="8">
        <v>16</v>
      </c>
      <c r="E102" s="8">
        <v>1</v>
      </c>
      <c r="F102" s="12">
        <v>16</v>
      </c>
      <c r="G102" s="12">
        <v>2</v>
      </c>
      <c r="H102" s="12">
        <v>2</v>
      </c>
      <c r="I102" s="12">
        <v>256</v>
      </c>
      <c r="J102" s="12">
        <v>30</v>
      </c>
      <c r="K102" s="14">
        <f t="shared" si="40"/>
        <v>1</v>
      </c>
      <c r="L102" s="8">
        <v>128</v>
      </c>
      <c r="M102" s="12">
        <v>128</v>
      </c>
      <c r="N102" s="15">
        <f t="shared" si="35"/>
        <v>431.15789473684208</v>
      </c>
      <c r="O102" s="15">
        <f t="shared" si="36"/>
        <v>1092.2666666666667</v>
      </c>
      <c r="P102" s="15">
        <f t="shared" si="37"/>
        <v>128</v>
      </c>
      <c r="Q102" s="15">
        <f t="shared" si="38"/>
        <v>1523.4245614035087</v>
      </c>
      <c r="R102" s="15">
        <f t="shared" si="30"/>
        <v>64</v>
      </c>
      <c r="S102" s="15">
        <f t="shared" si="31"/>
        <v>1092.2666666666667</v>
      </c>
      <c r="T102" s="15">
        <f t="shared" si="32"/>
        <v>128</v>
      </c>
      <c r="U102" s="15">
        <f t="shared" si="26"/>
        <v>1156.2666666666667</v>
      </c>
      <c r="V102" s="15">
        <f t="shared" si="33"/>
        <v>341.33333333333331</v>
      </c>
      <c r="W102" s="12">
        <f t="shared" si="27"/>
        <v>583</v>
      </c>
      <c r="X102" s="12">
        <v>20000</v>
      </c>
      <c r="Y102" s="16">
        <f t="shared" si="39"/>
        <v>3604.0245614035089</v>
      </c>
      <c r="Z102" s="11">
        <f t="shared" si="34"/>
        <v>3.6040245614035087E-3</v>
      </c>
      <c r="AB102" s="8">
        <v>6.2288999999999997E-2</v>
      </c>
      <c r="AC102">
        <v>6.2266000000000002E-2</v>
      </c>
      <c r="AD102" s="18">
        <f t="shared" si="28"/>
        <v>5.7859727422233602E-2</v>
      </c>
      <c r="AE102" s="18">
        <f t="shared" si="29"/>
        <v>5.7881099820182899E-2</v>
      </c>
    </row>
    <row r="103" spans="3:31" x14ac:dyDescent="0.25">
      <c r="C103">
        <v>2</v>
      </c>
      <c r="D103">
        <v>16</v>
      </c>
      <c r="E103">
        <v>1</v>
      </c>
      <c r="F103" s="12">
        <v>16</v>
      </c>
      <c r="G103" s="12">
        <v>2</v>
      </c>
      <c r="H103" s="12">
        <v>2</v>
      </c>
      <c r="I103" s="12">
        <v>256</v>
      </c>
      <c r="J103" s="12">
        <v>30</v>
      </c>
      <c r="K103" s="14">
        <f t="shared" si="40"/>
        <v>1</v>
      </c>
      <c r="L103">
        <v>128</v>
      </c>
      <c r="M103" s="12">
        <v>128</v>
      </c>
      <c r="N103" s="15">
        <f t="shared" si="35"/>
        <v>431.15789473684208</v>
      </c>
      <c r="O103" s="15">
        <f t="shared" si="36"/>
        <v>1092.2666666666667</v>
      </c>
      <c r="P103" s="15">
        <f t="shared" si="37"/>
        <v>128</v>
      </c>
      <c r="Q103" s="15">
        <f t="shared" si="38"/>
        <v>1523.4245614035087</v>
      </c>
      <c r="R103" s="15">
        <f t="shared" si="30"/>
        <v>64</v>
      </c>
      <c r="S103" s="15">
        <f t="shared" si="31"/>
        <v>1092.2666666666667</v>
      </c>
      <c r="T103" s="15">
        <f t="shared" si="32"/>
        <v>128</v>
      </c>
      <c r="U103" s="15">
        <f t="shared" si="26"/>
        <v>1156.2666666666667</v>
      </c>
      <c r="V103" s="15">
        <f t="shared" si="33"/>
        <v>341.33333333333331</v>
      </c>
      <c r="W103" s="12">
        <f t="shared" si="27"/>
        <v>583</v>
      </c>
      <c r="X103" s="12">
        <v>20000</v>
      </c>
      <c r="Y103" s="16">
        <f t="shared" si="39"/>
        <v>3604.0245614035089</v>
      </c>
      <c r="Z103" s="11">
        <f t="shared" si="34"/>
        <v>3.6040245614035087E-3</v>
      </c>
      <c r="AB103">
        <v>6.2427999999999997E-2</v>
      </c>
      <c r="AC103">
        <v>6.3101000000000004E-2</v>
      </c>
      <c r="AD103" s="18">
        <f t="shared" si="28"/>
        <v>5.7730898978078891E-2</v>
      </c>
      <c r="AE103" s="18">
        <f t="shared" si="29"/>
        <v>5.7115173474327006E-2</v>
      </c>
    </row>
    <row r="104" spans="3:31" x14ac:dyDescent="0.25">
      <c r="C104">
        <v>4</v>
      </c>
      <c r="D104">
        <v>16</v>
      </c>
      <c r="E104">
        <v>1</v>
      </c>
      <c r="F104" s="12">
        <v>16</v>
      </c>
      <c r="G104" s="12">
        <v>2</v>
      </c>
      <c r="H104" s="12">
        <v>2</v>
      </c>
      <c r="I104" s="12">
        <v>256</v>
      </c>
      <c r="J104" s="12">
        <v>30</v>
      </c>
      <c r="K104" s="14">
        <f t="shared" si="40"/>
        <v>1</v>
      </c>
      <c r="L104">
        <v>128</v>
      </c>
      <c r="M104" s="12">
        <v>128</v>
      </c>
      <c r="N104" s="15">
        <f t="shared" si="35"/>
        <v>431.15789473684208</v>
      </c>
      <c r="O104" s="15">
        <f t="shared" si="36"/>
        <v>1092.2666666666667</v>
      </c>
      <c r="P104" s="15">
        <f t="shared" si="37"/>
        <v>128</v>
      </c>
      <c r="Q104" s="15">
        <f t="shared" si="38"/>
        <v>1523.4245614035087</v>
      </c>
      <c r="R104" s="15">
        <f t="shared" si="30"/>
        <v>64</v>
      </c>
      <c r="S104" s="15">
        <f t="shared" si="31"/>
        <v>1092.2666666666667</v>
      </c>
      <c r="T104" s="15">
        <f t="shared" si="32"/>
        <v>128</v>
      </c>
      <c r="U104" s="15">
        <f t="shared" si="26"/>
        <v>1156.2666666666667</v>
      </c>
      <c r="V104" s="15">
        <f t="shared" si="33"/>
        <v>341.33333333333331</v>
      </c>
      <c r="W104" s="12">
        <f t="shared" si="27"/>
        <v>583</v>
      </c>
      <c r="X104" s="12">
        <v>20000</v>
      </c>
      <c r="Y104" s="16">
        <f t="shared" si="39"/>
        <v>3604.0245614035089</v>
      </c>
      <c r="Z104" s="11">
        <f t="shared" si="34"/>
        <v>3.6040245614035087E-3</v>
      </c>
      <c r="AB104">
        <v>6.1643000000000003E-2</v>
      </c>
      <c r="AC104">
        <v>6.2378999999999997E-2</v>
      </c>
      <c r="AD104" s="18">
        <f t="shared" si="28"/>
        <v>5.8466079869628484E-2</v>
      </c>
      <c r="AE104" s="18">
        <f t="shared" si="29"/>
        <v>5.7776247798193445E-2</v>
      </c>
    </row>
    <row r="105" spans="3:31" x14ac:dyDescent="0.25">
      <c r="C105">
        <v>8</v>
      </c>
      <c r="D105">
        <v>16</v>
      </c>
      <c r="E105">
        <v>1</v>
      </c>
      <c r="F105" s="12">
        <v>16</v>
      </c>
      <c r="G105" s="12">
        <v>2</v>
      </c>
      <c r="H105" s="12">
        <v>2</v>
      </c>
      <c r="I105" s="12">
        <v>256</v>
      </c>
      <c r="J105" s="12">
        <v>30</v>
      </c>
      <c r="K105" s="14">
        <f t="shared" si="40"/>
        <v>1</v>
      </c>
      <c r="L105">
        <v>128</v>
      </c>
      <c r="M105" s="12">
        <v>128</v>
      </c>
      <c r="N105" s="15">
        <f t="shared" si="35"/>
        <v>431.15789473684208</v>
      </c>
      <c r="O105" s="15">
        <f t="shared" si="36"/>
        <v>1092.2666666666667</v>
      </c>
      <c r="P105" s="15">
        <f t="shared" si="37"/>
        <v>128</v>
      </c>
      <c r="Q105" s="15">
        <f t="shared" si="38"/>
        <v>1523.4245614035087</v>
      </c>
      <c r="R105" s="15">
        <f t="shared" si="30"/>
        <v>64</v>
      </c>
      <c r="S105" s="15">
        <f t="shared" si="31"/>
        <v>1092.2666666666667</v>
      </c>
      <c r="T105" s="15">
        <f t="shared" si="32"/>
        <v>128</v>
      </c>
      <c r="U105" s="15">
        <f t="shared" si="26"/>
        <v>1156.2666666666667</v>
      </c>
      <c r="V105" s="15">
        <f t="shared" si="33"/>
        <v>341.33333333333331</v>
      </c>
      <c r="W105" s="12">
        <f t="shared" si="27"/>
        <v>583</v>
      </c>
      <c r="X105" s="12">
        <v>20000</v>
      </c>
      <c r="Y105" s="16">
        <f t="shared" si="39"/>
        <v>3604.0245614035089</v>
      </c>
      <c r="Z105" s="11">
        <f t="shared" si="34"/>
        <v>3.6040245614035087E-3</v>
      </c>
      <c r="AB105">
        <v>6.2958E-2</v>
      </c>
      <c r="AC105">
        <v>6.3308000000000003E-2</v>
      </c>
      <c r="AD105" s="18">
        <f t="shared" si="28"/>
        <v>5.7244902338122378E-2</v>
      </c>
      <c r="AE105" s="18">
        <f t="shared" si="29"/>
        <v>5.6928422338464464E-2</v>
      </c>
    </row>
    <row r="106" spans="3:31" x14ac:dyDescent="0.25">
      <c r="C106">
        <v>16</v>
      </c>
      <c r="D106">
        <v>16</v>
      </c>
      <c r="E106">
        <v>1</v>
      </c>
      <c r="F106" s="12">
        <v>16</v>
      </c>
      <c r="G106" s="12">
        <v>2</v>
      </c>
      <c r="H106" s="12">
        <v>2</v>
      </c>
      <c r="I106" s="12">
        <v>256</v>
      </c>
      <c r="J106" s="12">
        <v>30</v>
      </c>
      <c r="K106" s="14">
        <f t="shared" si="40"/>
        <v>1</v>
      </c>
      <c r="L106">
        <v>128</v>
      </c>
      <c r="M106" s="12">
        <v>128</v>
      </c>
      <c r="N106" s="15">
        <f t="shared" si="35"/>
        <v>431.15789473684208</v>
      </c>
      <c r="O106" s="15">
        <f t="shared" si="36"/>
        <v>1092.2666666666667</v>
      </c>
      <c r="P106" s="15">
        <f t="shared" si="37"/>
        <v>128</v>
      </c>
      <c r="Q106" s="15">
        <f t="shared" si="38"/>
        <v>1523.4245614035087</v>
      </c>
      <c r="R106" s="15">
        <f t="shared" si="30"/>
        <v>64</v>
      </c>
      <c r="S106" s="15">
        <f t="shared" si="31"/>
        <v>1092.2666666666667</v>
      </c>
      <c r="T106" s="15">
        <f t="shared" si="32"/>
        <v>128</v>
      </c>
      <c r="U106" s="15">
        <f t="shared" si="26"/>
        <v>1156.2666666666667</v>
      </c>
      <c r="V106" s="15">
        <f t="shared" si="33"/>
        <v>341.33333333333331</v>
      </c>
      <c r="W106" s="12">
        <f t="shared" si="27"/>
        <v>583</v>
      </c>
      <c r="X106" s="12">
        <v>20000</v>
      </c>
      <c r="Y106" s="16">
        <f t="shared" si="39"/>
        <v>3604.0245614035089</v>
      </c>
      <c r="Z106" s="11">
        <f t="shared" si="34"/>
        <v>3.6040245614035087E-3</v>
      </c>
      <c r="AB106">
        <v>6.3128000000000004E-2</v>
      </c>
      <c r="AC106">
        <v>6.4014000000000001E-2</v>
      </c>
      <c r="AD106" s="18">
        <f t="shared" si="28"/>
        <v>5.7090745174938354E-2</v>
      </c>
      <c r="AE106" s="18">
        <f t="shared" si="29"/>
        <v>5.6300568022674864E-2</v>
      </c>
    </row>
    <row r="107" spans="3:31" x14ac:dyDescent="0.25">
      <c r="C107">
        <v>32</v>
      </c>
      <c r="D107">
        <v>16</v>
      </c>
      <c r="E107">
        <v>1</v>
      </c>
      <c r="F107" s="12">
        <v>16</v>
      </c>
      <c r="G107" s="12">
        <v>2</v>
      </c>
      <c r="H107" s="12">
        <v>2</v>
      </c>
      <c r="I107" s="12">
        <v>256</v>
      </c>
      <c r="J107" s="12">
        <v>30</v>
      </c>
      <c r="K107" s="14">
        <f t="shared" si="40"/>
        <v>2</v>
      </c>
      <c r="L107">
        <v>128</v>
      </c>
      <c r="M107" s="12">
        <v>128</v>
      </c>
      <c r="N107" s="15">
        <f t="shared" si="35"/>
        <v>862.31578947368416</v>
      </c>
      <c r="O107" s="15">
        <f t="shared" si="36"/>
        <v>2184.5333333333333</v>
      </c>
      <c r="P107" s="15">
        <f t="shared" si="37"/>
        <v>256</v>
      </c>
      <c r="Q107" s="15">
        <f t="shared" si="38"/>
        <v>3046.8491228070175</v>
      </c>
      <c r="R107" s="15">
        <f t="shared" si="30"/>
        <v>128</v>
      </c>
      <c r="S107" s="15">
        <f t="shared" si="31"/>
        <v>2184.5333333333333</v>
      </c>
      <c r="T107" s="15">
        <f t="shared" si="32"/>
        <v>256</v>
      </c>
      <c r="U107" s="15">
        <f t="shared" si="26"/>
        <v>2312.5333333333333</v>
      </c>
      <c r="V107" s="15">
        <f t="shared" si="33"/>
        <v>682.66666666666663</v>
      </c>
      <c r="W107" s="12">
        <f t="shared" si="27"/>
        <v>1166</v>
      </c>
      <c r="X107" s="12">
        <v>20000</v>
      </c>
      <c r="Y107" s="16">
        <f t="shared" si="39"/>
        <v>7208.0491228070177</v>
      </c>
      <c r="Z107" s="11">
        <f t="shared" si="34"/>
        <v>7.2080491228070174E-3</v>
      </c>
      <c r="AB107">
        <v>6.9846000000000005E-2</v>
      </c>
      <c r="AC107">
        <v>7.3284000000000002E-2</v>
      </c>
      <c r="AD107" s="18">
        <f t="shared" si="28"/>
        <v>0.10319916849650684</v>
      </c>
      <c r="AE107" s="18">
        <f t="shared" si="29"/>
        <v>9.8357746886182762E-2</v>
      </c>
    </row>
    <row r="108" spans="3:31" x14ac:dyDescent="0.25">
      <c r="C108">
        <v>64</v>
      </c>
      <c r="D108">
        <v>16</v>
      </c>
      <c r="E108">
        <v>1</v>
      </c>
      <c r="F108" s="12">
        <v>16</v>
      </c>
      <c r="G108" s="12">
        <v>2</v>
      </c>
      <c r="H108" s="12">
        <v>2</v>
      </c>
      <c r="I108" s="12">
        <v>256</v>
      </c>
      <c r="J108" s="12">
        <v>30</v>
      </c>
      <c r="K108" s="14">
        <f t="shared" si="40"/>
        <v>4</v>
      </c>
      <c r="L108">
        <v>128</v>
      </c>
      <c r="M108" s="12">
        <v>128</v>
      </c>
      <c r="N108" s="15">
        <f t="shared" si="35"/>
        <v>1724.6315789473683</v>
      </c>
      <c r="O108" s="15">
        <f t="shared" si="36"/>
        <v>4369.0666666666666</v>
      </c>
      <c r="P108" s="15">
        <f t="shared" si="37"/>
        <v>512</v>
      </c>
      <c r="Q108" s="15">
        <f t="shared" si="38"/>
        <v>6093.6982456140349</v>
      </c>
      <c r="R108" s="15">
        <f t="shared" si="30"/>
        <v>256</v>
      </c>
      <c r="S108" s="15">
        <f t="shared" si="31"/>
        <v>4369.0666666666666</v>
      </c>
      <c r="T108" s="15">
        <f t="shared" si="32"/>
        <v>512</v>
      </c>
      <c r="U108" s="15">
        <f t="shared" si="26"/>
        <v>4625.0666666666666</v>
      </c>
      <c r="V108" s="15">
        <f t="shared" si="33"/>
        <v>1365.3333333333333</v>
      </c>
      <c r="W108" s="12">
        <f t="shared" si="27"/>
        <v>2332</v>
      </c>
      <c r="X108" s="12">
        <v>20000</v>
      </c>
      <c r="Y108" s="16">
        <f t="shared" si="39"/>
        <v>14416.098245614035</v>
      </c>
      <c r="Z108" s="11">
        <f t="shared" si="34"/>
        <v>1.4416098245614035E-2</v>
      </c>
      <c r="AB108">
        <v>8.1213999999999995E-2</v>
      </c>
      <c r="AC108">
        <v>9.1857999999999995E-2</v>
      </c>
      <c r="AD108" s="18">
        <f t="shared" si="28"/>
        <v>0.17750755098399335</v>
      </c>
      <c r="AE108" s="18">
        <f t="shared" si="29"/>
        <v>0.15693895192159676</v>
      </c>
    </row>
    <row r="109" spans="3:31" x14ac:dyDescent="0.25">
      <c r="C109">
        <v>128</v>
      </c>
      <c r="D109">
        <v>16</v>
      </c>
      <c r="E109">
        <v>1</v>
      </c>
      <c r="F109" s="12">
        <v>16</v>
      </c>
      <c r="G109" s="12">
        <v>2</v>
      </c>
      <c r="H109" s="12">
        <v>2</v>
      </c>
      <c r="I109" s="12">
        <v>256</v>
      </c>
      <c r="J109" s="12">
        <v>30</v>
      </c>
      <c r="K109" s="14">
        <f t="shared" si="40"/>
        <v>8</v>
      </c>
      <c r="L109">
        <v>128</v>
      </c>
      <c r="M109" s="12">
        <v>128</v>
      </c>
      <c r="N109" s="15">
        <f t="shared" si="35"/>
        <v>3449.2631578947367</v>
      </c>
      <c r="O109" s="15">
        <f t="shared" si="36"/>
        <v>8738.1333333333332</v>
      </c>
      <c r="P109" s="15">
        <f t="shared" si="37"/>
        <v>1024</v>
      </c>
      <c r="Q109" s="15">
        <f t="shared" si="38"/>
        <v>12187.39649122807</v>
      </c>
      <c r="R109" s="15">
        <f t="shared" si="30"/>
        <v>512</v>
      </c>
      <c r="S109" s="15">
        <f t="shared" si="31"/>
        <v>8738.1333333333332</v>
      </c>
      <c r="T109" s="15">
        <f t="shared" si="32"/>
        <v>1024</v>
      </c>
      <c r="U109" s="15">
        <f t="shared" si="26"/>
        <v>9250.1333333333332</v>
      </c>
      <c r="V109" s="15">
        <f t="shared" si="33"/>
        <v>2730.6666666666665</v>
      </c>
      <c r="W109" s="12">
        <f t="shared" si="27"/>
        <v>4664</v>
      </c>
      <c r="X109" s="12">
        <v>20000</v>
      </c>
      <c r="Y109" s="16">
        <f t="shared" si="39"/>
        <v>28832.196491228071</v>
      </c>
      <c r="Z109" s="11">
        <f t="shared" si="34"/>
        <v>2.883219649122807E-2</v>
      </c>
      <c r="AB109">
        <v>0.105281</v>
      </c>
      <c r="AC109">
        <v>0.128501</v>
      </c>
      <c r="AD109" s="18">
        <f t="shared" si="28"/>
        <v>0.27385944749031704</v>
      </c>
      <c r="AE109" s="18">
        <f t="shared" si="29"/>
        <v>0.22437332387474082</v>
      </c>
    </row>
    <row r="110" spans="3:31" x14ac:dyDescent="0.25">
      <c r="C110">
        <v>256</v>
      </c>
      <c r="D110">
        <v>16</v>
      </c>
      <c r="E110">
        <v>1</v>
      </c>
      <c r="F110" s="12">
        <v>16</v>
      </c>
      <c r="G110" s="12">
        <v>2</v>
      </c>
      <c r="H110" s="12">
        <v>2</v>
      </c>
      <c r="I110" s="12">
        <v>256</v>
      </c>
      <c r="J110" s="12">
        <v>30</v>
      </c>
      <c r="K110" s="14">
        <f t="shared" si="40"/>
        <v>16</v>
      </c>
      <c r="L110">
        <v>128</v>
      </c>
      <c r="M110" s="12">
        <v>128</v>
      </c>
      <c r="N110" s="15">
        <f t="shared" si="35"/>
        <v>6898.5263157894733</v>
      </c>
      <c r="O110" s="15">
        <f t="shared" si="36"/>
        <v>17476.266666666666</v>
      </c>
      <c r="P110" s="15">
        <f t="shared" si="37"/>
        <v>2048</v>
      </c>
      <c r="Q110" s="15">
        <f t="shared" si="38"/>
        <v>24374.79298245614</v>
      </c>
      <c r="R110" s="15">
        <f t="shared" si="30"/>
        <v>1024</v>
      </c>
      <c r="S110" s="15">
        <f t="shared" si="31"/>
        <v>17476.266666666666</v>
      </c>
      <c r="T110" s="15">
        <f t="shared" si="32"/>
        <v>2048</v>
      </c>
      <c r="U110" s="15">
        <f t="shared" si="26"/>
        <v>18500.266666666666</v>
      </c>
      <c r="V110" s="15">
        <f t="shared" si="33"/>
        <v>5461.333333333333</v>
      </c>
      <c r="W110" s="12">
        <f t="shared" si="27"/>
        <v>9328</v>
      </c>
      <c r="X110" s="12">
        <v>20000</v>
      </c>
      <c r="Y110" s="16">
        <f t="shared" si="39"/>
        <v>57664.392982456142</v>
      </c>
      <c r="Z110" s="11">
        <f t="shared" si="34"/>
        <v>5.7664392982456139E-2</v>
      </c>
      <c r="AB110">
        <v>0.15449199999999999</v>
      </c>
      <c r="AC110">
        <v>0.20127400000000001</v>
      </c>
      <c r="AD110" s="18">
        <f t="shared" si="28"/>
        <v>0.37325164398451793</v>
      </c>
      <c r="AE110" s="18">
        <f t="shared" si="29"/>
        <v>0.28649697915506295</v>
      </c>
    </row>
    <row r="111" spans="3:31" x14ac:dyDescent="0.25">
      <c r="C111">
        <v>512</v>
      </c>
      <c r="D111">
        <v>16</v>
      </c>
      <c r="E111">
        <v>1</v>
      </c>
      <c r="F111" s="12">
        <v>16</v>
      </c>
      <c r="G111" s="12">
        <v>2</v>
      </c>
      <c r="H111" s="12">
        <v>2</v>
      </c>
      <c r="I111" s="12">
        <v>256</v>
      </c>
      <c r="J111" s="12">
        <v>30</v>
      </c>
      <c r="K111" s="14">
        <f t="shared" si="40"/>
        <v>32</v>
      </c>
      <c r="L111">
        <v>128</v>
      </c>
      <c r="M111" s="12">
        <v>128</v>
      </c>
      <c r="N111" s="15">
        <f t="shared" si="35"/>
        <v>13797.052631578947</v>
      </c>
      <c r="O111" s="15">
        <f t="shared" si="36"/>
        <v>34952.533333333333</v>
      </c>
      <c r="P111" s="15">
        <f t="shared" si="37"/>
        <v>4096</v>
      </c>
      <c r="Q111" s="15">
        <f t="shared" si="38"/>
        <v>48749.585964912279</v>
      </c>
      <c r="R111" s="15">
        <f t="shared" si="30"/>
        <v>2048</v>
      </c>
      <c r="S111" s="15">
        <f t="shared" si="31"/>
        <v>34952.533333333333</v>
      </c>
      <c r="T111" s="15">
        <f t="shared" si="32"/>
        <v>4096</v>
      </c>
      <c r="U111" s="15">
        <f t="shared" si="26"/>
        <v>37000.533333333333</v>
      </c>
      <c r="V111" s="15">
        <f t="shared" si="33"/>
        <v>10922.666666666666</v>
      </c>
      <c r="W111" s="12">
        <f t="shared" si="27"/>
        <v>18656</v>
      </c>
      <c r="X111" s="12">
        <v>20000</v>
      </c>
      <c r="Y111" s="16">
        <f t="shared" si="39"/>
        <v>115328.78596491228</v>
      </c>
      <c r="Z111" s="11">
        <f t="shared" si="34"/>
        <v>0.11532878596491228</v>
      </c>
      <c r="AB111">
        <v>0.25364999999999999</v>
      </c>
      <c r="AC111">
        <v>0.35230299999999998</v>
      </c>
      <c r="AD111" s="18">
        <f t="shared" si="28"/>
        <v>0.45467686167913379</v>
      </c>
      <c r="AE111" s="18">
        <f t="shared" si="29"/>
        <v>0.32735680923782168</v>
      </c>
    </row>
    <row r="112" spans="3:31" x14ac:dyDescent="0.25">
      <c r="C112" s="8">
        <v>1</v>
      </c>
      <c r="D112" s="8">
        <v>16</v>
      </c>
      <c r="E112" s="8">
        <v>1</v>
      </c>
      <c r="F112" s="12">
        <v>16</v>
      </c>
      <c r="G112" s="12">
        <v>2</v>
      </c>
      <c r="H112" s="12">
        <v>2</v>
      </c>
      <c r="I112" s="12">
        <v>256</v>
      </c>
      <c r="J112" s="12">
        <v>30</v>
      </c>
      <c r="K112" s="14">
        <f t="shared" si="40"/>
        <v>1</v>
      </c>
      <c r="L112" s="8">
        <v>256</v>
      </c>
      <c r="M112" s="12">
        <v>128</v>
      </c>
      <c r="N112" s="15">
        <f t="shared" si="35"/>
        <v>431.15789473684208</v>
      </c>
      <c r="O112" s="15">
        <f t="shared" si="36"/>
        <v>2184.5333333333333</v>
      </c>
      <c r="P112" s="15">
        <f t="shared" si="37"/>
        <v>256</v>
      </c>
      <c r="Q112" s="15">
        <f t="shared" si="38"/>
        <v>2615.6912280701754</v>
      </c>
      <c r="R112" s="15">
        <f t="shared" si="30"/>
        <v>128</v>
      </c>
      <c r="S112" s="15">
        <f t="shared" si="31"/>
        <v>2184.5333333333333</v>
      </c>
      <c r="T112" s="15">
        <f t="shared" si="32"/>
        <v>256</v>
      </c>
      <c r="U112" s="15">
        <f t="shared" si="26"/>
        <v>2312.5333333333333</v>
      </c>
      <c r="V112" s="15">
        <f t="shared" si="33"/>
        <v>341.33333333333331</v>
      </c>
      <c r="W112" s="12">
        <f t="shared" si="27"/>
        <v>971</v>
      </c>
      <c r="X112" s="12">
        <v>20000</v>
      </c>
      <c r="Y112" s="16">
        <f t="shared" si="39"/>
        <v>6240.5578947368422</v>
      </c>
      <c r="Z112" s="11">
        <f t="shared" si="34"/>
        <v>6.2405578947368418E-3</v>
      </c>
      <c r="AB112" s="8">
        <v>6.6475000000000006E-2</v>
      </c>
      <c r="AC112">
        <v>6.4504000000000006E-2</v>
      </c>
      <c r="AD112" s="18">
        <f t="shared" si="28"/>
        <v>9.3878268442825735E-2</v>
      </c>
      <c r="AE112" s="18">
        <f t="shared" si="29"/>
        <v>9.6746835773546466E-2</v>
      </c>
    </row>
    <row r="113" spans="3:31" x14ac:dyDescent="0.25">
      <c r="C113">
        <v>2</v>
      </c>
      <c r="D113">
        <v>16</v>
      </c>
      <c r="E113">
        <v>1</v>
      </c>
      <c r="F113" s="12">
        <v>16</v>
      </c>
      <c r="G113" s="12">
        <v>2</v>
      </c>
      <c r="H113" s="12">
        <v>2</v>
      </c>
      <c r="I113" s="12">
        <v>256</v>
      </c>
      <c r="J113" s="12">
        <v>30</v>
      </c>
      <c r="K113" s="14">
        <f t="shared" si="40"/>
        <v>1</v>
      </c>
      <c r="L113">
        <v>256</v>
      </c>
      <c r="M113" s="12">
        <v>128</v>
      </c>
      <c r="N113" s="15">
        <f t="shared" si="35"/>
        <v>431.15789473684208</v>
      </c>
      <c r="O113" s="15">
        <f t="shared" si="36"/>
        <v>2184.5333333333333</v>
      </c>
      <c r="P113" s="15">
        <f t="shared" si="37"/>
        <v>256</v>
      </c>
      <c r="Q113" s="15">
        <f t="shared" si="38"/>
        <v>2615.6912280701754</v>
      </c>
      <c r="R113" s="15">
        <f t="shared" si="30"/>
        <v>128</v>
      </c>
      <c r="S113" s="15">
        <f t="shared" si="31"/>
        <v>2184.5333333333333</v>
      </c>
      <c r="T113" s="15">
        <f t="shared" si="32"/>
        <v>256</v>
      </c>
      <c r="U113" s="15">
        <f t="shared" si="26"/>
        <v>2312.5333333333333</v>
      </c>
      <c r="V113" s="15">
        <f t="shared" si="33"/>
        <v>341.33333333333331</v>
      </c>
      <c r="W113" s="12">
        <f t="shared" si="27"/>
        <v>971</v>
      </c>
      <c r="X113" s="12">
        <v>20000</v>
      </c>
      <c r="Y113" s="16">
        <f t="shared" si="39"/>
        <v>6240.5578947368422</v>
      </c>
      <c r="Z113" s="11">
        <f t="shared" si="34"/>
        <v>6.2405578947368418E-3</v>
      </c>
      <c r="AB113">
        <v>6.7179000000000003E-2</v>
      </c>
      <c r="AC113">
        <v>6.5915000000000001E-2</v>
      </c>
      <c r="AD113" s="18">
        <f t="shared" si="28"/>
        <v>9.2894474385400813E-2</v>
      </c>
      <c r="AE113" s="18">
        <f t="shared" si="29"/>
        <v>9.4675838500141718E-2</v>
      </c>
    </row>
    <row r="114" spans="3:31" x14ac:dyDescent="0.25">
      <c r="C114">
        <v>4</v>
      </c>
      <c r="D114">
        <v>16</v>
      </c>
      <c r="E114">
        <v>1</v>
      </c>
      <c r="F114" s="12">
        <v>16</v>
      </c>
      <c r="G114" s="12">
        <v>2</v>
      </c>
      <c r="H114" s="12">
        <v>2</v>
      </c>
      <c r="I114" s="12">
        <v>256</v>
      </c>
      <c r="J114" s="12">
        <v>30</v>
      </c>
      <c r="K114" s="14">
        <f t="shared" si="40"/>
        <v>1</v>
      </c>
      <c r="L114">
        <v>256</v>
      </c>
      <c r="M114" s="12">
        <v>128</v>
      </c>
      <c r="N114" s="15">
        <f t="shared" si="35"/>
        <v>431.15789473684208</v>
      </c>
      <c r="O114" s="15">
        <f t="shared" si="36"/>
        <v>2184.5333333333333</v>
      </c>
      <c r="P114" s="15">
        <f t="shared" si="37"/>
        <v>256</v>
      </c>
      <c r="Q114" s="15">
        <f t="shared" si="38"/>
        <v>2615.6912280701754</v>
      </c>
      <c r="R114" s="15">
        <f t="shared" si="30"/>
        <v>128</v>
      </c>
      <c r="S114" s="15">
        <f t="shared" si="31"/>
        <v>2184.5333333333333</v>
      </c>
      <c r="T114" s="15">
        <f t="shared" si="32"/>
        <v>256</v>
      </c>
      <c r="U114" s="15">
        <f t="shared" si="26"/>
        <v>2312.5333333333333</v>
      </c>
      <c r="V114" s="15">
        <f t="shared" si="33"/>
        <v>341.33333333333331</v>
      </c>
      <c r="W114" s="12">
        <f t="shared" si="27"/>
        <v>971</v>
      </c>
      <c r="X114" s="12">
        <v>20000</v>
      </c>
      <c r="Y114" s="16">
        <f t="shared" si="39"/>
        <v>6240.5578947368422</v>
      </c>
      <c r="Z114" s="11">
        <f t="shared" si="34"/>
        <v>6.2405578947368418E-3</v>
      </c>
      <c r="AB114">
        <v>6.6911999999999999E-2</v>
      </c>
      <c r="AC114">
        <v>6.5279000000000004E-2</v>
      </c>
      <c r="AD114" s="18">
        <f t="shared" si="28"/>
        <v>9.326515265926652E-2</v>
      </c>
      <c r="AE114" s="18">
        <f t="shared" si="29"/>
        <v>9.5598245909662247E-2</v>
      </c>
    </row>
    <row r="115" spans="3:31" x14ac:dyDescent="0.25">
      <c r="C115">
        <v>8</v>
      </c>
      <c r="D115">
        <v>16</v>
      </c>
      <c r="E115">
        <v>1</v>
      </c>
      <c r="F115" s="12">
        <v>16</v>
      </c>
      <c r="G115" s="12">
        <v>2</v>
      </c>
      <c r="H115" s="12">
        <v>2</v>
      </c>
      <c r="I115" s="12">
        <v>256</v>
      </c>
      <c r="J115" s="12">
        <v>30</v>
      </c>
      <c r="K115" s="14">
        <f t="shared" si="40"/>
        <v>1</v>
      </c>
      <c r="L115">
        <v>256</v>
      </c>
      <c r="M115" s="12">
        <v>128</v>
      </c>
      <c r="N115" s="15">
        <f t="shared" si="35"/>
        <v>431.15789473684208</v>
      </c>
      <c r="O115" s="15">
        <f t="shared" si="36"/>
        <v>2184.5333333333333</v>
      </c>
      <c r="P115" s="15">
        <f t="shared" si="37"/>
        <v>256</v>
      </c>
      <c r="Q115" s="15">
        <f t="shared" si="38"/>
        <v>2615.6912280701754</v>
      </c>
      <c r="R115" s="15">
        <f t="shared" si="30"/>
        <v>128</v>
      </c>
      <c r="S115" s="15">
        <f t="shared" si="31"/>
        <v>2184.5333333333333</v>
      </c>
      <c r="T115" s="15">
        <f t="shared" si="32"/>
        <v>256</v>
      </c>
      <c r="U115" s="15">
        <f t="shared" si="26"/>
        <v>2312.5333333333333</v>
      </c>
      <c r="V115" s="15">
        <f t="shared" si="33"/>
        <v>341.33333333333331</v>
      </c>
      <c r="W115" s="12">
        <f t="shared" si="27"/>
        <v>971</v>
      </c>
      <c r="X115" s="12">
        <v>20000</v>
      </c>
      <c r="Y115" s="16">
        <f t="shared" si="39"/>
        <v>6240.5578947368422</v>
      </c>
      <c r="Z115" s="11">
        <f t="shared" si="34"/>
        <v>6.2405578947368418E-3</v>
      </c>
      <c r="AB115">
        <v>6.8249000000000004E-2</v>
      </c>
      <c r="AC115">
        <v>6.6623000000000002E-2</v>
      </c>
      <c r="AD115" s="18">
        <f t="shared" si="28"/>
        <v>9.1438085462597865E-2</v>
      </c>
      <c r="AE115" s="18">
        <f t="shared" si="29"/>
        <v>9.3669722089020926E-2</v>
      </c>
    </row>
    <row r="116" spans="3:31" x14ac:dyDescent="0.25">
      <c r="C116">
        <v>16</v>
      </c>
      <c r="D116">
        <v>16</v>
      </c>
      <c r="E116">
        <v>1</v>
      </c>
      <c r="F116" s="12">
        <v>16</v>
      </c>
      <c r="G116" s="12">
        <v>2</v>
      </c>
      <c r="H116" s="12">
        <v>2</v>
      </c>
      <c r="I116" s="12">
        <v>256</v>
      </c>
      <c r="J116" s="12">
        <v>30</v>
      </c>
      <c r="K116" s="14">
        <f t="shared" si="40"/>
        <v>1</v>
      </c>
      <c r="L116">
        <v>256</v>
      </c>
      <c r="M116" s="12">
        <v>128</v>
      </c>
      <c r="N116" s="15">
        <f t="shared" si="35"/>
        <v>431.15789473684208</v>
      </c>
      <c r="O116" s="15">
        <f t="shared" si="36"/>
        <v>2184.5333333333333</v>
      </c>
      <c r="P116" s="15">
        <f t="shared" si="37"/>
        <v>256</v>
      </c>
      <c r="Q116" s="15">
        <f t="shared" si="38"/>
        <v>2615.6912280701754</v>
      </c>
      <c r="R116" s="15">
        <f t="shared" si="30"/>
        <v>128</v>
      </c>
      <c r="S116" s="15">
        <f t="shared" si="31"/>
        <v>2184.5333333333333</v>
      </c>
      <c r="T116" s="15">
        <f t="shared" si="32"/>
        <v>256</v>
      </c>
      <c r="U116" s="15">
        <f t="shared" si="26"/>
        <v>2312.5333333333333</v>
      </c>
      <c r="V116" s="15">
        <f t="shared" si="33"/>
        <v>341.33333333333331</v>
      </c>
      <c r="W116" s="12">
        <f t="shared" si="27"/>
        <v>971</v>
      </c>
      <c r="X116" s="12">
        <v>20000</v>
      </c>
      <c r="Y116" s="16">
        <f t="shared" si="39"/>
        <v>6240.5578947368422</v>
      </c>
      <c r="Z116" s="11">
        <f t="shared" si="34"/>
        <v>6.2405578947368418E-3</v>
      </c>
      <c r="AB116">
        <v>6.8831000000000003E-2</v>
      </c>
      <c r="AC116">
        <v>6.7434999999999995E-2</v>
      </c>
      <c r="AD116" s="18">
        <f t="shared" si="28"/>
        <v>9.0664931422423642E-2</v>
      </c>
      <c r="AE116" s="18">
        <f t="shared" si="29"/>
        <v>9.2541823900598244E-2</v>
      </c>
    </row>
    <row r="117" spans="3:31" x14ac:dyDescent="0.25">
      <c r="C117">
        <v>32</v>
      </c>
      <c r="D117">
        <v>16</v>
      </c>
      <c r="E117">
        <v>1</v>
      </c>
      <c r="F117" s="12">
        <v>16</v>
      </c>
      <c r="G117" s="12">
        <v>2</v>
      </c>
      <c r="H117" s="12">
        <v>2</v>
      </c>
      <c r="I117" s="12">
        <v>256</v>
      </c>
      <c r="J117" s="12">
        <v>30</v>
      </c>
      <c r="K117" s="14">
        <f t="shared" si="40"/>
        <v>2</v>
      </c>
      <c r="L117">
        <v>256</v>
      </c>
      <c r="M117" s="12">
        <v>128</v>
      </c>
      <c r="N117" s="15">
        <f t="shared" si="35"/>
        <v>862.31578947368416</v>
      </c>
      <c r="O117" s="15">
        <f t="shared" si="36"/>
        <v>4369.0666666666666</v>
      </c>
      <c r="P117" s="15">
        <f t="shared" si="37"/>
        <v>512</v>
      </c>
      <c r="Q117" s="15">
        <f t="shared" si="38"/>
        <v>5231.3824561403508</v>
      </c>
      <c r="R117" s="15">
        <f t="shared" si="30"/>
        <v>256</v>
      </c>
      <c r="S117" s="15">
        <f t="shared" si="31"/>
        <v>4369.0666666666666</v>
      </c>
      <c r="T117" s="15">
        <f t="shared" si="32"/>
        <v>512</v>
      </c>
      <c r="U117" s="15">
        <f t="shared" si="26"/>
        <v>4625.0666666666666</v>
      </c>
      <c r="V117" s="15">
        <f t="shared" si="33"/>
        <v>682.66666666666663</v>
      </c>
      <c r="W117" s="12">
        <f t="shared" si="27"/>
        <v>1942</v>
      </c>
      <c r="X117" s="12">
        <v>20000</v>
      </c>
      <c r="Y117" s="16">
        <f t="shared" si="39"/>
        <v>12481.115789473684</v>
      </c>
      <c r="Z117" s="11">
        <f t="shared" si="34"/>
        <v>1.2481115789473684E-2</v>
      </c>
      <c r="AB117">
        <v>7.8051999999999996E-2</v>
      </c>
      <c r="AC117">
        <v>8.0593999999999999E-2</v>
      </c>
      <c r="AD117" s="18">
        <f t="shared" si="28"/>
        <v>0.15990769986001235</v>
      </c>
      <c r="AE117" s="18">
        <f t="shared" si="29"/>
        <v>0.15486408156281714</v>
      </c>
    </row>
    <row r="118" spans="3:31" x14ac:dyDescent="0.25">
      <c r="C118">
        <v>64</v>
      </c>
      <c r="D118">
        <v>16</v>
      </c>
      <c r="E118">
        <v>1</v>
      </c>
      <c r="F118" s="12">
        <v>16</v>
      </c>
      <c r="G118" s="12">
        <v>2</v>
      </c>
      <c r="H118" s="12">
        <v>2</v>
      </c>
      <c r="I118" s="12">
        <v>256</v>
      </c>
      <c r="J118" s="12">
        <v>30</v>
      </c>
      <c r="K118" s="14">
        <f t="shared" si="40"/>
        <v>4</v>
      </c>
      <c r="L118">
        <v>256</v>
      </c>
      <c r="M118" s="12">
        <v>128</v>
      </c>
      <c r="N118" s="15">
        <f t="shared" si="35"/>
        <v>1724.6315789473683</v>
      </c>
      <c r="O118" s="15">
        <f t="shared" si="36"/>
        <v>8738.1333333333332</v>
      </c>
      <c r="P118" s="15">
        <f t="shared" si="37"/>
        <v>1024</v>
      </c>
      <c r="Q118" s="15">
        <f t="shared" si="38"/>
        <v>10462.764912280702</v>
      </c>
      <c r="R118" s="15">
        <f t="shared" si="30"/>
        <v>512</v>
      </c>
      <c r="S118" s="15">
        <f t="shared" si="31"/>
        <v>8738.1333333333332</v>
      </c>
      <c r="T118" s="15">
        <f t="shared" si="32"/>
        <v>1024</v>
      </c>
      <c r="U118" s="15">
        <f t="shared" si="26"/>
        <v>9250.1333333333332</v>
      </c>
      <c r="V118" s="15">
        <f t="shared" si="33"/>
        <v>1365.3333333333333</v>
      </c>
      <c r="W118" s="12">
        <f t="shared" si="27"/>
        <v>3884</v>
      </c>
      <c r="X118" s="12">
        <v>20000</v>
      </c>
      <c r="Y118" s="16">
        <f t="shared" si="39"/>
        <v>24962.231578947369</v>
      </c>
      <c r="Z118" s="11">
        <f t="shared" si="34"/>
        <v>2.4962231578947367E-2</v>
      </c>
      <c r="AB118">
        <v>0.100039</v>
      </c>
      <c r="AC118">
        <v>0.105729</v>
      </c>
      <c r="AD118" s="18">
        <f t="shared" si="28"/>
        <v>0.24952500103906844</v>
      </c>
      <c r="AE118" s="18">
        <f t="shared" si="29"/>
        <v>0.23609635557838782</v>
      </c>
    </row>
    <row r="119" spans="3:31" x14ac:dyDescent="0.25">
      <c r="C119">
        <v>128</v>
      </c>
      <c r="D119">
        <v>16</v>
      </c>
      <c r="E119">
        <v>1</v>
      </c>
      <c r="F119" s="12">
        <v>16</v>
      </c>
      <c r="G119" s="12">
        <v>2</v>
      </c>
      <c r="H119" s="12">
        <v>2</v>
      </c>
      <c r="I119" s="12">
        <v>256</v>
      </c>
      <c r="J119" s="12">
        <v>30</v>
      </c>
      <c r="K119" s="14">
        <f t="shared" si="40"/>
        <v>8</v>
      </c>
      <c r="L119">
        <v>256</v>
      </c>
      <c r="M119" s="12">
        <v>128</v>
      </c>
      <c r="N119" s="15">
        <f t="shared" si="35"/>
        <v>3449.2631578947367</v>
      </c>
      <c r="O119" s="15">
        <f t="shared" si="36"/>
        <v>17476.266666666666</v>
      </c>
      <c r="P119" s="15">
        <f t="shared" si="37"/>
        <v>2048</v>
      </c>
      <c r="Q119" s="15">
        <f t="shared" si="38"/>
        <v>20925.529824561403</v>
      </c>
      <c r="R119" s="15">
        <f t="shared" si="30"/>
        <v>1024</v>
      </c>
      <c r="S119" s="15">
        <f t="shared" si="31"/>
        <v>17476.266666666666</v>
      </c>
      <c r="T119" s="15">
        <f t="shared" si="32"/>
        <v>2048</v>
      </c>
      <c r="U119" s="15">
        <f t="shared" si="26"/>
        <v>18500.266666666666</v>
      </c>
      <c r="V119" s="15">
        <f t="shared" si="33"/>
        <v>2730.6666666666665</v>
      </c>
      <c r="W119" s="12">
        <f t="shared" si="27"/>
        <v>7768</v>
      </c>
      <c r="X119" s="12">
        <v>20000</v>
      </c>
      <c r="Y119" s="16">
        <f t="shared" si="39"/>
        <v>49924.463157894737</v>
      </c>
      <c r="Z119" s="11">
        <f t="shared" si="34"/>
        <v>4.9924463157894734E-2</v>
      </c>
      <c r="AB119">
        <v>0.13845199999999999</v>
      </c>
      <c r="AC119">
        <v>0.15473200000000001</v>
      </c>
      <c r="AD119" s="18">
        <f t="shared" si="28"/>
        <v>0.36059040792400787</v>
      </c>
      <c r="AE119" s="18">
        <f t="shared" si="29"/>
        <v>0.32265118500306811</v>
      </c>
    </row>
    <row r="120" spans="3:31" x14ac:dyDescent="0.25">
      <c r="C120">
        <v>256</v>
      </c>
      <c r="D120">
        <v>16</v>
      </c>
      <c r="E120">
        <v>1</v>
      </c>
      <c r="F120" s="12">
        <v>16</v>
      </c>
      <c r="G120" s="12">
        <v>2</v>
      </c>
      <c r="H120" s="12">
        <v>2</v>
      </c>
      <c r="I120" s="12">
        <v>256</v>
      </c>
      <c r="J120" s="12">
        <v>30</v>
      </c>
      <c r="K120" s="14">
        <f t="shared" si="40"/>
        <v>16</v>
      </c>
      <c r="L120">
        <v>256</v>
      </c>
      <c r="M120" s="12">
        <v>128</v>
      </c>
      <c r="N120" s="15">
        <f t="shared" si="35"/>
        <v>6898.5263157894733</v>
      </c>
      <c r="O120" s="15">
        <f t="shared" si="36"/>
        <v>34952.533333333333</v>
      </c>
      <c r="P120" s="15">
        <f t="shared" si="37"/>
        <v>4096</v>
      </c>
      <c r="Q120" s="15">
        <f t="shared" si="38"/>
        <v>41851.059649122806</v>
      </c>
      <c r="R120" s="15">
        <f t="shared" si="30"/>
        <v>2048</v>
      </c>
      <c r="S120" s="15">
        <f t="shared" si="31"/>
        <v>34952.533333333333</v>
      </c>
      <c r="T120" s="15">
        <f t="shared" si="32"/>
        <v>4096</v>
      </c>
      <c r="U120" s="15">
        <f t="shared" si="26"/>
        <v>37000.533333333333</v>
      </c>
      <c r="V120" s="15">
        <f t="shared" si="33"/>
        <v>5461.333333333333</v>
      </c>
      <c r="W120" s="12">
        <f t="shared" si="27"/>
        <v>15536</v>
      </c>
      <c r="X120" s="12">
        <v>20000</v>
      </c>
      <c r="Y120" s="16">
        <f t="shared" si="39"/>
        <v>99848.926315789475</v>
      </c>
      <c r="Z120" s="11">
        <f t="shared" si="34"/>
        <v>9.9848926315789469E-2</v>
      </c>
      <c r="AB120">
        <v>0.218892</v>
      </c>
      <c r="AC120">
        <v>0.25459799999999999</v>
      </c>
      <c r="AD120" s="18">
        <f t="shared" si="28"/>
        <v>0.45615612409676676</v>
      </c>
      <c r="AE120" s="18">
        <f t="shared" si="29"/>
        <v>0.39218268138708662</v>
      </c>
    </row>
    <row r="121" spans="3:31" x14ac:dyDescent="0.25">
      <c r="C121">
        <v>512</v>
      </c>
      <c r="D121">
        <v>16</v>
      </c>
      <c r="E121">
        <v>1</v>
      </c>
      <c r="F121" s="12">
        <v>16</v>
      </c>
      <c r="G121" s="12">
        <v>2</v>
      </c>
      <c r="H121" s="12">
        <v>2</v>
      </c>
      <c r="I121" s="12">
        <v>256</v>
      </c>
      <c r="J121" s="12">
        <v>30</v>
      </c>
      <c r="K121" s="14">
        <f t="shared" si="40"/>
        <v>32</v>
      </c>
      <c r="L121">
        <v>256</v>
      </c>
      <c r="M121" s="12">
        <v>128</v>
      </c>
      <c r="N121" s="15">
        <f t="shared" si="35"/>
        <v>13797.052631578947</v>
      </c>
      <c r="O121" s="15">
        <f t="shared" si="36"/>
        <v>69905.066666666666</v>
      </c>
      <c r="P121" s="15">
        <f t="shared" si="37"/>
        <v>8192</v>
      </c>
      <c r="Q121" s="15">
        <f t="shared" si="38"/>
        <v>83702.119298245612</v>
      </c>
      <c r="R121" s="15">
        <f t="shared" si="30"/>
        <v>4096</v>
      </c>
      <c r="S121" s="15">
        <f t="shared" si="31"/>
        <v>69905.066666666666</v>
      </c>
      <c r="T121" s="15">
        <f t="shared" si="32"/>
        <v>8192</v>
      </c>
      <c r="U121" s="15">
        <f t="shared" si="26"/>
        <v>74001.066666666666</v>
      </c>
      <c r="V121" s="15">
        <f t="shared" si="33"/>
        <v>10922.666666666666</v>
      </c>
      <c r="W121" s="12">
        <f t="shared" si="27"/>
        <v>31072</v>
      </c>
      <c r="X121" s="12">
        <v>20000</v>
      </c>
      <c r="Y121" s="16">
        <f t="shared" si="39"/>
        <v>199697.85263157895</v>
      </c>
      <c r="Z121" s="11">
        <f t="shared" si="34"/>
        <v>0.19969785263157894</v>
      </c>
      <c r="AB121">
        <v>0.379357</v>
      </c>
      <c r="AC121">
        <v>0.46202599999999999</v>
      </c>
      <c r="AD121" s="18">
        <f t="shared" si="28"/>
        <v>0.52641140833457389</v>
      </c>
      <c r="AE121" s="18">
        <f t="shared" si="29"/>
        <v>0.43222211007947375</v>
      </c>
    </row>
    <row r="122" spans="3:31" x14ac:dyDescent="0.25">
      <c r="C122" s="8">
        <v>1</v>
      </c>
      <c r="D122" s="8">
        <v>16</v>
      </c>
      <c r="E122" s="8">
        <v>1</v>
      </c>
      <c r="F122" s="12">
        <v>16</v>
      </c>
      <c r="G122" s="12">
        <v>2</v>
      </c>
      <c r="H122" s="12">
        <v>2</v>
      </c>
      <c r="I122" s="12">
        <v>256</v>
      </c>
      <c r="J122" s="12">
        <v>30</v>
      </c>
      <c r="K122" s="14">
        <f t="shared" si="40"/>
        <v>1</v>
      </c>
      <c r="L122" s="8">
        <v>512</v>
      </c>
      <c r="M122" s="12">
        <v>128</v>
      </c>
      <c r="N122" s="15">
        <f t="shared" si="35"/>
        <v>431.15789473684208</v>
      </c>
      <c r="O122" s="15">
        <f t="shared" si="36"/>
        <v>4369.0666666666666</v>
      </c>
      <c r="P122" s="15">
        <f t="shared" si="37"/>
        <v>512</v>
      </c>
      <c r="Q122" s="15">
        <f t="shared" si="38"/>
        <v>4800.2245614035091</v>
      </c>
      <c r="R122" s="15">
        <f t="shared" si="30"/>
        <v>256</v>
      </c>
      <c r="S122" s="15">
        <f t="shared" si="31"/>
        <v>4369.0666666666666</v>
      </c>
      <c r="T122" s="15">
        <f t="shared" si="32"/>
        <v>512</v>
      </c>
      <c r="U122" s="15">
        <f t="shared" si="26"/>
        <v>4625.0666666666666</v>
      </c>
      <c r="V122" s="15">
        <f t="shared" si="33"/>
        <v>341.33333333333331</v>
      </c>
      <c r="W122" s="12">
        <f t="shared" si="27"/>
        <v>1747</v>
      </c>
      <c r="X122" s="12">
        <v>20000</v>
      </c>
      <c r="Y122" s="16">
        <f t="shared" si="39"/>
        <v>11513.624561403509</v>
      </c>
      <c r="Z122" s="11">
        <f t="shared" si="34"/>
        <v>1.1513624561403509E-2</v>
      </c>
      <c r="AB122" s="8">
        <v>7.4615000000000001E-2</v>
      </c>
      <c r="AC122">
        <v>6.9176000000000001E-2</v>
      </c>
      <c r="AD122" s="18">
        <f t="shared" si="28"/>
        <v>0.15430710395233543</v>
      </c>
      <c r="AE122" s="18">
        <f t="shared" si="29"/>
        <v>0.1664395825344557</v>
      </c>
    </row>
    <row r="123" spans="3:31" x14ac:dyDescent="0.25">
      <c r="C123">
        <v>2</v>
      </c>
      <c r="D123">
        <v>16</v>
      </c>
      <c r="E123">
        <v>1</v>
      </c>
      <c r="F123" s="12">
        <v>16</v>
      </c>
      <c r="G123" s="12">
        <v>2</v>
      </c>
      <c r="H123" s="12">
        <v>2</v>
      </c>
      <c r="I123" s="12">
        <v>256</v>
      </c>
      <c r="J123" s="12">
        <v>30</v>
      </c>
      <c r="K123" s="14">
        <f t="shared" si="40"/>
        <v>1</v>
      </c>
      <c r="L123">
        <v>512</v>
      </c>
      <c r="M123" s="12">
        <v>128</v>
      </c>
      <c r="N123" s="15">
        <f t="shared" si="35"/>
        <v>431.15789473684208</v>
      </c>
      <c r="O123" s="15">
        <f t="shared" si="36"/>
        <v>4369.0666666666666</v>
      </c>
      <c r="P123" s="15">
        <f t="shared" si="37"/>
        <v>512</v>
      </c>
      <c r="Q123" s="15">
        <f t="shared" si="38"/>
        <v>4800.2245614035091</v>
      </c>
      <c r="R123" s="15">
        <f t="shared" si="30"/>
        <v>256</v>
      </c>
      <c r="S123" s="15">
        <f t="shared" si="31"/>
        <v>4369.0666666666666</v>
      </c>
      <c r="T123" s="15">
        <f t="shared" si="32"/>
        <v>512</v>
      </c>
      <c r="U123" s="15">
        <f t="shared" si="26"/>
        <v>4625.0666666666666</v>
      </c>
      <c r="V123" s="15">
        <f t="shared" si="33"/>
        <v>341.33333333333331</v>
      </c>
      <c r="W123" s="12">
        <f t="shared" si="27"/>
        <v>1747</v>
      </c>
      <c r="X123" s="12">
        <v>20000</v>
      </c>
      <c r="Y123" s="16">
        <f t="shared" si="39"/>
        <v>11513.624561403509</v>
      </c>
      <c r="Z123" s="11">
        <f t="shared" si="34"/>
        <v>1.1513624561403509E-2</v>
      </c>
      <c r="AB123">
        <v>7.6929999999999998E-2</v>
      </c>
      <c r="AC123">
        <v>7.1660000000000001E-2</v>
      </c>
      <c r="AD123" s="18">
        <f t="shared" si="28"/>
        <v>0.14966364956978434</v>
      </c>
      <c r="AE123" s="18">
        <f t="shared" si="29"/>
        <v>0.16067017250074669</v>
      </c>
    </row>
    <row r="124" spans="3:31" x14ac:dyDescent="0.25">
      <c r="C124">
        <v>4</v>
      </c>
      <c r="D124">
        <v>16</v>
      </c>
      <c r="E124">
        <v>1</v>
      </c>
      <c r="F124" s="12">
        <v>16</v>
      </c>
      <c r="G124" s="12">
        <v>2</v>
      </c>
      <c r="H124" s="12">
        <v>2</v>
      </c>
      <c r="I124" s="12">
        <v>256</v>
      </c>
      <c r="J124" s="12">
        <v>30</v>
      </c>
      <c r="K124" s="14">
        <f t="shared" si="40"/>
        <v>1</v>
      </c>
      <c r="L124">
        <v>512</v>
      </c>
      <c r="M124" s="12">
        <v>128</v>
      </c>
      <c r="N124" s="15">
        <f t="shared" si="35"/>
        <v>431.15789473684208</v>
      </c>
      <c r="O124" s="15">
        <f t="shared" si="36"/>
        <v>4369.0666666666666</v>
      </c>
      <c r="P124" s="15">
        <f t="shared" si="37"/>
        <v>512</v>
      </c>
      <c r="Q124" s="15">
        <f t="shared" si="38"/>
        <v>4800.2245614035091</v>
      </c>
      <c r="R124" s="15">
        <f t="shared" si="30"/>
        <v>256</v>
      </c>
      <c r="S124" s="15">
        <f t="shared" si="31"/>
        <v>4369.0666666666666</v>
      </c>
      <c r="T124" s="15">
        <f t="shared" si="32"/>
        <v>512</v>
      </c>
      <c r="U124" s="15">
        <f t="shared" si="26"/>
        <v>4625.0666666666666</v>
      </c>
      <c r="V124" s="15">
        <f t="shared" si="33"/>
        <v>341.33333333333331</v>
      </c>
      <c r="W124" s="12">
        <f t="shared" si="27"/>
        <v>1747</v>
      </c>
      <c r="X124" s="12">
        <v>20000</v>
      </c>
      <c r="Y124" s="16">
        <f t="shared" si="39"/>
        <v>11513.624561403509</v>
      </c>
      <c r="Z124" s="11">
        <f t="shared" si="34"/>
        <v>1.1513624561403509E-2</v>
      </c>
      <c r="AB124">
        <v>7.6732999999999996E-2</v>
      </c>
      <c r="AC124">
        <v>7.1165999999999993E-2</v>
      </c>
      <c r="AD124" s="18">
        <f t="shared" si="28"/>
        <v>0.15004788762857582</v>
      </c>
      <c r="AE124" s="18">
        <f t="shared" si="29"/>
        <v>0.16178546723721313</v>
      </c>
    </row>
    <row r="125" spans="3:31" x14ac:dyDescent="0.25">
      <c r="C125">
        <v>8</v>
      </c>
      <c r="D125">
        <v>16</v>
      </c>
      <c r="E125">
        <v>1</v>
      </c>
      <c r="F125" s="12">
        <v>16</v>
      </c>
      <c r="G125" s="12">
        <v>2</v>
      </c>
      <c r="H125" s="12">
        <v>2</v>
      </c>
      <c r="I125" s="12">
        <v>256</v>
      </c>
      <c r="J125" s="12">
        <v>30</v>
      </c>
      <c r="K125" s="14">
        <f t="shared" si="40"/>
        <v>1</v>
      </c>
      <c r="L125">
        <v>512</v>
      </c>
      <c r="M125" s="12">
        <v>128</v>
      </c>
      <c r="N125" s="15">
        <f t="shared" si="35"/>
        <v>431.15789473684208</v>
      </c>
      <c r="O125" s="15">
        <f t="shared" si="36"/>
        <v>4369.0666666666666</v>
      </c>
      <c r="P125" s="15">
        <f t="shared" si="37"/>
        <v>512</v>
      </c>
      <c r="Q125" s="15">
        <f t="shared" si="38"/>
        <v>4800.2245614035091</v>
      </c>
      <c r="R125" s="15">
        <f t="shared" si="30"/>
        <v>256</v>
      </c>
      <c r="S125" s="15">
        <f t="shared" si="31"/>
        <v>4369.0666666666666</v>
      </c>
      <c r="T125" s="15">
        <f t="shared" si="32"/>
        <v>512</v>
      </c>
      <c r="U125" s="15">
        <f t="shared" si="26"/>
        <v>4625.0666666666666</v>
      </c>
      <c r="V125" s="15">
        <f t="shared" si="33"/>
        <v>341.33333333333331</v>
      </c>
      <c r="W125" s="12">
        <f t="shared" si="27"/>
        <v>1747</v>
      </c>
      <c r="X125" s="12">
        <v>20000</v>
      </c>
      <c r="Y125" s="16">
        <f t="shared" si="39"/>
        <v>11513.624561403509</v>
      </c>
      <c r="Z125" s="11">
        <f t="shared" si="34"/>
        <v>1.1513624561403509E-2</v>
      </c>
      <c r="AB125">
        <v>7.9861000000000001E-2</v>
      </c>
      <c r="AC125">
        <v>7.4122999999999994E-2</v>
      </c>
      <c r="AD125" s="18">
        <f t="shared" si="28"/>
        <v>0.14417080378912747</v>
      </c>
      <c r="AE125" s="18">
        <f t="shared" si="29"/>
        <v>0.15533133523202663</v>
      </c>
    </row>
    <row r="126" spans="3:31" x14ac:dyDescent="0.25">
      <c r="C126">
        <v>16</v>
      </c>
      <c r="D126">
        <v>16</v>
      </c>
      <c r="E126">
        <v>1</v>
      </c>
      <c r="F126" s="12">
        <v>16</v>
      </c>
      <c r="G126" s="12">
        <v>2</v>
      </c>
      <c r="H126" s="12">
        <v>2</v>
      </c>
      <c r="I126" s="12">
        <v>256</v>
      </c>
      <c r="J126" s="12">
        <v>30</v>
      </c>
      <c r="K126" s="14">
        <f t="shared" si="40"/>
        <v>1</v>
      </c>
      <c r="L126">
        <v>512</v>
      </c>
      <c r="M126" s="12">
        <v>128</v>
      </c>
      <c r="N126" s="15">
        <f t="shared" si="35"/>
        <v>431.15789473684208</v>
      </c>
      <c r="O126" s="15">
        <f t="shared" si="36"/>
        <v>4369.0666666666666</v>
      </c>
      <c r="P126" s="15">
        <f t="shared" si="37"/>
        <v>512</v>
      </c>
      <c r="Q126" s="15">
        <f t="shared" si="38"/>
        <v>4800.2245614035091</v>
      </c>
      <c r="R126" s="15">
        <f t="shared" si="30"/>
        <v>256</v>
      </c>
      <c r="S126" s="15">
        <f t="shared" si="31"/>
        <v>4369.0666666666666</v>
      </c>
      <c r="T126" s="15">
        <f t="shared" si="32"/>
        <v>512</v>
      </c>
      <c r="U126" s="15">
        <f t="shared" si="26"/>
        <v>4625.0666666666666</v>
      </c>
      <c r="V126" s="15">
        <f t="shared" si="33"/>
        <v>341.33333333333331</v>
      </c>
      <c r="W126" s="12">
        <f t="shared" si="27"/>
        <v>1747</v>
      </c>
      <c r="X126" s="12">
        <v>20000</v>
      </c>
      <c r="Y126" s="16">
        <f t="shared" si="39"/>
        <v>11513.624561403509</v>
      </c>
      <c r="Z126" s="11">
        <f t="shared" si="34"/>
        <v>1.1513624561403509E-2</v>
      </c>
      <c r="AB126">
        <v>8.0618999999999996E-2</v>
      </c>
      <c r="AC126">
        <v>7.5600000000000001E-2</v>
      </c>
      <c r="AD126" s="18">
        <f t="shared" si="28"/>
        <v>0.14281527383623599</v>
      </c>
      <c r="AE126" s="18">
        <f t="shared" si="29"/>
        <v>0.15229662118258611</v>
      </c>
    </row>
    <row r="127" spans="3:31" x14ac:dyDescent="0.25">
      <c r="C127">
        <v>32</v>
      </c>
      <c r="D127">
        <v>16</v>
      </c>
      <c r="E127">
        <v>1</v>
      </c>
      <c r="F127" s="12">
        <v>16</v>
      </c>
      <c r="G127" s="12">
        <v>2</v>
      </c>
      <c r="H127" s="12">
        <v>2</v>
      </c>
      <c r="I127" s="12">
        <v>256</v>
      </c>
      <c r="J127" s="12">
        <v>30</v>
      </c>
      <c r="K127" s="14">
        <f t="shared" si="40"/>
        <v>2</v>
      </c>
      <c r="L127">
        <v>512</v>
      </c>
      <c r="M127" s="12">
        <v>128</v>
      </c>
      <c r="N127" s="15">
        <f t="shared" si="35"/>
        <v>862.31578947368416</v>
      </c>
      <c r="O127" s="15">
        <f t="shared" si="36"/>
        <v>8738.1333333333332</v>
      </c>
      <c r="P127" s="15">
        <f t="shared" si="37"/>
        <v>1024</v>
      </c>
      <c r="Q127" s="15">
        <f t="shared" si="38"/>
        <v>9600.4491228070183</v>
      </c>
      <c r="R127" s="15">
        <f t="shared" si="30"/>
        <v>512</v>
      </c>
      <c r="S127" s="15">
        <f t="shared" si="31"/>
        <v>8738.1333333333332</v>
      </c>
      <c r="T127" s="15">
        <f t="shared" si="32"/>
        <v>1024</v>
      </c>
      <c r="U127" s="15">
        <f t="shared" si="26"/>
        <v>9250.1333333333332</v>
      </c>
      <c r="V127" s="15">
        <f t="shared" si="33"/>
        <v>682.66666666666663</v>
      </c>
      <c r="W127" s="12">
        <f t="shared" si="27"/>
        <v>3494</v>
      </c>
      <c r="X127" s="12">
        <v>20000</v>
      </c>
      <c r="Y127" s="16">
        <f t="shared" si="39"/>
        <v>23027.249122807018</v>
      </c>
      <c r="Z127" s="11">
        <f t="shared" si="34"/>
        <v>2.3027249122807018E-2</v>
      </c>
      <c r="AB127">
        <v>9.7147999999999998E-2</v>
      </c>
      <c r="AC127">
        <v>9.8239999999999994E-2</v>
      </c>
      <c r="AD127" s="18">
        <f t="shared" si="28"/>
        <v>0.23703266277027851</v>
      </c>
      <c r="AE127" s="18">
        <f t="shared" si="29"/>
        <v>0.2343978941653809</v>
      </c>
    </row>
    <row r="128" spans="3:31" x14ac:dyDescent="0.25">
      <c r="C128">
        <v>64</v>
      </c>
      <c r="D128">
        <v>16</v>
      </c>
      <c r="E128">
        <v>1</v>
      </c>
      <c r="F128" s="12">
        <v>16</v>
      </c>
      <c r="G128" s="12">
        <v>2</v>
      </c>
      <c r="H128" s="12">
        <v>2</v>
      </c>
      <c r="I128" s="12">
        <v>256</v>
      </c>
      <c r="J128" s="12">
        <v>30</v>
      </c>
      <c r="K128" s="14">
        <f t="shared" si="40"/>
        <v>4</v>
      </c>
      <c r="L128">
        <v>512</v>
      </c>
      <c r="M128" s="12">
        <v>128</v>
      </c>
      <c r="N128" s="15">
        <f t="shared" si="35"/>
        <v>1724.6315789473683</v>
      </c>
      <c r="O128" s="15">
        <f t="shared" si="36"/>
        <v>17476.266666666666</v>
      </c>
      <c r="P128" s="15">
        <f t="shared" si="37"/>
        <v>2048</v>
      </c>
      <c r="Q128" s="15">
        <f t="shared" si="38"/>
        <v>19200.898245614037</v>
      </c>
      <c r="R128" s="15">
        <f t="shared" si="30"/>
        <v>1024</v>
      </c>
      <c r="S128" s="15">
        <f t="shared" si="31"/>
        <v>17476.266666666666</v>
      </c>
      <c r="T128" s="15">
        <f t="shared" si="32"/>
        <v>2048</v>
      </c>
      <c r="U128" s="15">
        <f t="shared" si="26"/>
        <v>18500.266666666666</v>
      </c>
      <c r="V128" s="15">
        <f t="shared" si="33"/>
        <v>1365.3333333333333</v>
      </c>
      <c r="W128" s="12">
        <f t="shared" si="27"/>
        <v>6988</v>
      </c>
      <c r="X128" s="12">
        <v>20000</v>
      </c>
      <c r="Y128" s="16">
        <f t="shared" si="39"/>
        <v>46054.498245614035</v>
      </c>
      <c r="Z128" s="11">
        <f t="shared" si="34"/>
        <v>4.6054498245614035E-2</v>
      </c>
      <c r="AB128">
        <v>0.13778899999999999</v>
      </c>
      <c r="AC128">
        <v>0.136353</v>
      </c>
      <c r="AD128" s="18">
        <f t="shared" si="28"/>
        <v>0.33423929519492873</v>
      </c>
      <c r="AE128" s="18">
        <f t="shared" si="29"/>
        <v>0.33775933236242717</v>
      </c>
    </row>
    <row r="129" spans="3:31" x14ac:dyDescent="0.25">
      <c r="C129">
        <v>128</v>
      </c>
      <c r="D129">
        <v>16</v>
      </c>
      <c r="E129">
        <v>1</v>
      </c>
      <c r="F129" s="12">
        <v>16</v>
      </c>
      <c r="G129" s="12">
        <v>2</v>
      </c>
      <c r="H129" s="12">
        <v>2</v>
      </c>
      <c r="I129" s="12">
        <v>256</v>
      </c>
      <c r="J129" s="12">
        <v>30</v>
      </c>
      <c r="K129" s="14">
        <f t="shared" si="40"/>
        <v>8</v>
      </c>
      <c r="L129">
        <v>512</v>
      </c>
      <c r="M129" s="12">
        <v>128</v>
      </c>
      <c r="N129" s="15">
        <f t="shared" si="35"/>
        <v>3449.2631578947367</v>
      </c>
      <c r="O129" s="15">
        <f t="shared" si="36"/>
        <v>34952.533333333333</v>
      </c>
      <c r="P129" s="15">
        <f t="shared" si="37"/>
        <v>4096</v>
      </c>
      <c r="Q129" s="15">
        <f t="shared" si="38"/>
        <v>38401.796491228073</v>
      </c>
      <c r="R129" s="15">
        <f t="shared" si="30"/>
        <v>2048</v>
      </c>
      <c r="S129" s="15">
        <f t="shared" si="31"/>
        <v>34952.533333333333</v>
      </c>
      <c r="T129" s="15">
        <f t="shared" si="32"/>
        <v>4096</v>
      </c>
      <c r="U129" s="15">
        <f t="shared" si="26"/>
        <v>37000.533333333333</v>
      </c>
      <c r="V129" s="15">
        <f t="shared" si="33"/>
        <v>2730.6666666666665</v>
      </c>
      <c r="W129" s="12">
        <f t="shared" si="27"/>
        <v>13976</v>
      </c>
      <c r="X129" s="12">
        <v>20000</v>
      </c>
      <c r="Y129" s="16">
        <f t="shared" si="39"/>
        <v>92108.99649122807</v>
      </c>
      <c r="Z129" s="11">
        <f t="shared" si="34"/>
        <v>9.2108996491228071E-2</v>
      </c>
      <c r="AB129">
        <v>0.21137700000000001</v>
      </c>
      <c r="AC129">
        <v>0.218995</v>
      </c>
      <c r="AD129" s="18">
        <f t="shared" si="28"/>
        <v>0.43575694844390861</v>
      </c>
      <c r="AE129" s="18">
        <f t="shared" si="29"/>
        <v>0.42059862778249762</v>
      </c>
    </row>
    <row r="130" spans="3:31" x14ac:dyDescent="0.25">
      <c r="C130">
        <v>256</v>
      </c>
      <c r="D130">
        <v>16</v>
      </c>
      <c r="E130">
        <v>1</v>
      </c>
      <c r="F130" s="12">
        <v>16</v>
      </c>
      <c r="G130" s="12">
        <v>2</v>
      </c>
      <c r="H130" s="12">
        <v>2</v>
      </c>
      <c r="I130" s="12">
        <v>256</v>
      </c>
      <c r="J130" s="12">
        <v>30</v>
      </c>
      <c r="K130" s="14">
        <f t="shared" si="40"/>
        <v>16</v>
      </c>
      <c r="L130">
        <v>512</v>
      </c>
      <c r="M130" s="12">
        <v>128</v>
      </c>
      <c r="N130" s="15">
        <f t="shared" si="35"/>
        <v>6898.5263157894733</v>
      </c>
      <c r="O130" s="15">
        <f t="shared" si="36"/>
        <v>69905.066666666666</v>
      </c>
      <c r="P130" s="15">
        <f t="shared" si="37"/>
        <v>8192</v>
      </c>
      <c r="Q130" s="15">
        <f t="shared" si="38"/>
        <v>76803.592982456146</v>
      </c>
      <c r="R130" s="15">
        <f t="shared" si="30"/>
        <v>4096</v>
      </c>
      <c r="S130" s="15">
        <f t="shared" si="31"/>
        <v>69905.066666666666</v>
      </c>
      <c r="T130" s="15">
        <f t="shared" si="32"/>
        <v>8192</v>
      </c>
      <c r="U130" s="15">
        <f t="shared" si="26"/>
        <v>74001.066666666666</v>
      </c>
      <c r="V130" s="15">
        <f t="shared" si="33"/>
        <v>5461.333333333333</v>
      </c>
      <c r="W130" s="12">
        <f t="shared" si="27"/>
        <v>27952</v>
      </c>
      <c r="X130" s="12">
        <v>20000</v>
      </c>
      <c r="Y130" s="16">
        <f t="shared" si="39"/>
        <v>184217.99298245614</v>
      </c>
      <c r="Z130" s="11">
        <f t="shared" si="34"/>
        <v>0.18421799298245614</v>
      </c>
      <c r="AB130">
        <v>0.35969200000000001</v>
      </c>
      <c r="AC130">
        <v>0.3765</v>
      </c>
      <c r="AD130" s="18">
        <f t="shared" si="28"/>
        <v>0.51215482407853419</v>
      </c>
      <c r="AE130" s="18">
        <f t="shared" si="29"/>
        <v>0.48929081801449176</v>
      </c>
    </row>
    <row r="131" spans="3:31" x14ac:dyDescent="0.25">
      <c r="C131">
        <v>512</v>
      </c>
      <c r="D131">
        <v>16</v>
      </c>
      <c r="E131">
        <v>1</v>
      </c>
      <c r="F131" s="12">
        <v>16</v>
      </c>
      <c r="G131" s="12">
        <v>2</v>
      </c>
      <c r="H131" s="12">
        <v>2</v>
      </c>
      <c r="I131" s="12">
        <v>256</v>
      </c>
      <c r="J131" s="12">
        <v>30</v>
      </c>
      <c r="K131" s="14">
        <f t="shared" si="40"/>
        <v>32</v>
      </c>
      <c r="L131">
        <v>512</v>
      </c>
      <c r="M131" s="12">
        <v>128</v>
      </c>
      <c r="N131" s="15">
        <f t="shared" si="35"/>
        <v>13797.052631578947</v>
      </c>
      <c r="O131" s="15">
        <f t="shared" si="36"/>
        <v>139810.13333333333</v>
      </c>
      <c r="P131" s="15">
        <f t="shared" si="37"/>
        <v>16384</v>
      </c>
      <c r="Q131" s="15">
        <f t="shared" si="38"/>
        <v>153607.18596491229</v>
      </c>
      <c r="R131" s="15">
        <f t="shared" si="30"/>
        <v>8192</v>
      </c>
      <c r="S131" s="15">
        <f t="shared" si="31"/>
        <v>139810.13333333333</v>
      </c>
      <c r="T131" s="15">
        <f t="shared" si="32"/>
        <v>16384</v>
      </c>
      <c r="U131" s="15">
        <f t="shared" ref="U131:U181" si="41">S131+R131</f>
        <v>148002.13333333333</v>
      </c>
      <c r="V131" s="15">
        <f t="shared" si="33"/>
        <v>10922.666666666666</v>
      </c>
      <c r="W131" s="12">
        <f t="shared" ref="W131:W181" si="42">K131*(_xlfn.CEILING.MATH(L131/32)*97+195)</f>
        <v>55904</v>
      </c>
      <c r="X131" s="12">
        <v>20000</v>
      </c>
      <c r="Y131" s="16">
        <f t="shared" si="39"/>
        <v>368435.98596491228</v>
      </c>
      <c r="Z131" s="11">
        <f t="shared" si="34"/>
        <v>0.36843598596491228</v>
      </c>
      <c r="AB131">
        <v>0.64265300000000003</v>
      </c>
      <c r="AC131">
        <v>0.690913</v>
      </c>
      <c r="AD131" s="18">
        <f t="shared" ref="AD131:AD181" si="43">Z131/AB131</f>
        <v>0.5733047009271135</v>
      </c>
      <c r="AE131" s="18">
        <f t="shared" ref="AE131:AE181" si="44">Z131/AC131</f>
        <v>0.53325959413835355</v>
      </c>
    </row>
    <row r="132" spans="3:31" x14ac:dyDescent="0.25">
      <c r="C132" s="8">
        <v>1</v>
      </c>
      <c r="D132" s="8">
        <v>16</v>
      </c>
      <c r="E132" s="8">
        <v>1</v>
      </c>
      <c r="F132" s="12">
        <v>16</v>
      </c>
      <c r="G132" s="12">
        <v>2</v>
      </c>
      <c r="H132" s="12">
        <v>2</v>
      </c>
      <c r="I132" s="12">
        <v>256</v>
      </c>
      <c r="J132" s="12">
        <v>30</v>
      </c>
      <c r="K132" s="14">
        <f t="shared" si="40"/>
        <v>1</v>
      </c>
      <c r="L132" s="8">
        <f>1024</f>
        <v>1024</v>
      </c>
      <c r="M132" s="12">
        <v>128</v>
      </c>
      <c r="N132" s="15">
        <f t="shared" si="35"/>
        <v>431.15789473684208</v>
      </c>
      <c r="O132" s="15">
        <f t="shared" si="36"/>
        <v>8738.1333333333332</v>
      </c>
      <c r="P132" s="15">
        <f t="shared" si="37"/>
        <v>1024</v>
      </c>
      <c r="Q132" s="15">
        <f t="shared" si="38"/>
        <v>9169.2912280701748</v>
      </c>
      <c r="R132" s="15">
        <f t="shared" si="30"/>
        <v>512</v>
      </c>
      <c r="S132" s="15">
        <f t="shared" si="31"/>
        <v>8738.1333333333332</v>
      </c>
      <c r="T132" s="15">
        <f t="shared" si="32"/>
        <v>1024</v>
      </c>
      <c r="U132" s="15">
        <f t="shared" si="41"/>
        <v>9250.1333333333332</v>
      </c>
      <c r="V132" s="15">
        <f t="shared" si="33"/>
        <v>341.33333333333331</v>
      </c>
      <c r="W132" s="12">
        <f t="shared" si="42"/>
        <v>3299</v>
      </c>
      <c r="X132" s="12">
        <v>20000</v>
      </c>
      <c r="Y132" s="16">
        <f t="shared" si="39"/>
        <v>22059.757894736842</v>
      </c>
      <c r="Z132" s="11">
        <f t="shared" si="34"/>
        <v>2.2059757894736843E-2</v>
      </c>
      <c r="AB132" s="8">
        <v>9.2565999999999996E-2</v>
      </c>
      <c r="AC132">
        <v>7.8109999999999999E-2</v>
      </c>
      <c r="AD132" s="18">
        <f t="shared" si="43"/>
        <v>0.23831382899484524</v>
      </c>
      <c r="AE132" s="18">
        <f t="shared" si="44"/>
        <v>0.28241912552473236</v>
      </c>
    </row>
    <row r="133" spans="3:31" x14ac:dyDescent="0.25">
      <c r="C133" s="8">
        <v>2</v>
      </c>
      <c r="D133" s="8">
        <v>16</v>
      </c>
      <c r="E133" s="8">
        <v>1</v>
      </c>
      <c r="F133" s="12">
        <v>16</v>
      </c>
      <c r="G133" s="12">
        <v>2</v>
      </c>
      <c r="H133" s="12">
        <v>2</v>
      </c>
      <c r="I133" s="12">
        <v>256</v>
      </c>
      <c r="J133" s="12">
        <v>30</v>
      </c>
      <c r="K133" s="14">
        <f t="shared" si="40"/>
        <v>1</v>
      </c>
      <c r="L133" s="8">
        <f>1024</f>
        <v>1024</v>
      </c>
      <c r="M133" s="12">
        <v>128</v>
      </c>
      <c r="N133" s="15">
        <f t="shared" si="35"/>
        <v>431.15789473684208</v>
      </c>
      <c r="O133" s="15">
        <f t="shared" si="36"/>
        <v>8738.1333333333332</v>
      </c>
      <c r="P133" s="15">
        <f t="shared" si="37"/>
        <v>1024</v>
      </c>
      <c r="Q133" s="15">
        <f t="shared" si="38"/>
        <v>9169.2912280701748</v>
      </c>
      <c r="R133" s="15">
        <f t="shared" si="30"/>
        <v>512</v>
      </c>
      <c r="S133" s="15">
        <f t="shared" si="31"/>
        <v>8738.1333333333332</v>
      </c>
      <c r="T133" s="15">
        <f t="shared" si="32"/>
        <v>1024</v>
      </c>
      <c r="U133" s="15">
        <f t="shared" si="41"/>
        <v>9250.1333333333332</v>
      </c>
      <c r="V133" s="15">
        <f t="shared" si="33"/>
        <v>341.33333333333331</v>
      </c>
      <c r="W133" s="12">
        <f t="shared" si="42"/>
        <v>3299</v>
      </c>
      <c r="X133" s="12">
        <v>20000</v>
      </c>
      <c r="Y133" s="16">
        <f t="shared" si="39"/>
        <v>22059.757894736842</v>
      </c>
      <c r="Z133" s="11">
        <f t="shared" si="34"/>
        <v>2.2059757894736843E-2</v>
      </c>
      <c r="AB133" s="8">
        <v>9.6920000000000006E-2</v>
      </c>
      <c r="AC133">
        <v>8.2837999999999995E-2</v>
      </c>
      <c r="AD133" s="18">
        <f t="shared" si="43"/>
        <v>0.22760790233942263</v>
      </c>
      <c r="AE133" s="18">
        <f t="shared" si="44"/>
        <v>0.26629998182883269</v>
      </c>
    </row>
    <row r="134" spans="3:31" x14ac:dyDescent="0.25">
      <c r="C134">
        <v>4</v>
      </c>
      <c r="D134">
        <v>16</v>
      </c>
      <c r="E134">
        <v>1</v>
      </c>
      <c r="F134" s="12">
        <v>16</v>
      </c>
      <c r="G134" s="12">
        <v>2</v>
      </c>
      <c r="H134" s="12">
        <v>2</v>
      </c>
      <c r="I134" s="12">
        <v>256</v>
      </c>
      <c r="J134" s="12">
        <v>30</v>
      </c>
      <c r="K134" s="14">
        <f t="shared" si="40"/>
        <v>1</v>
      </c>
      <c r="L134">
        <f>1024</f>
        <v>1024</v>
      </c>
      <c r="M134" s="12">
        <v>128</v>
      </c>
      <c r="N134" s="15">
        <f t="shared" si="35"/>
        <v>431.15789473684208</v>
      </c>
      <c r="O134" s="15">
        <f t="shared" si="36"/>
        <v>8738.1333333333332</v>
      </c>
      <c r="P134" s="15">
        <f t="shared" si="37"/>
        <v>1024</v>
      </c>
      <c r="Q134" s="15">
        <f t="shared" si="38"/>
        <v>9169.2912280701748</v>
      </c>
      <c r="R134" s="15">
        <f t="shared" ref="R134:R181" si="45">G134*K134*64*_xlfn.CEILING.MATH(L134/128)*128/I134</f>
        <v>512</v>
      </c>
      <c r="S134" s="15">
        <f t="shared" ref="S134:S181" si="46">H134*K134*_xlfn.CEILING.MATH(L134/128)*128*M134/J134</f>
        <v>8738.1333333333332</v>
      </c>
      <c r="T134" s="15">
        <f t="shared" ref="T134:T181" si="47">64*M134*_xlfn.CEILING.MATH(L134/128)*128*K134/8192</f>
        <v>1024</v>
      </c>
      <c r="U134" s="15">
        <f t="shared" si="41"/>
        <v>9250.1333333333332</v>
      </c>
      <c r="V134" s="15">
        <f t="shared" ref="V134:V181" si="48">K134*8*128/30*10</f>
        <v>341.33333333333331</v>
      </c>
      <c r="W134" s="12">
        <f t="shared" si="42"/>
        <v>3299</v>
      </c>
      <c r="X134" s="12">
        <v>20000</v>
      </c>
      <c r="Y134" s="16">
        <f t="shared" si="39"/>
        <v>22059.757894736842</v>
      </c>
      <c r="Z134" s="11">
        <f t="shared" ref="Z134:Z181" si="49">Y134/1000000</f>
        <v>2.2059757894736843E-2</v>
      </c>
      <c r="AB134">
        <v>9.6575999999999995E-2</v>
      </c>
      <c r="AC134">
        <v>8.2775000000000001E-2</v>
      </c>
      <c r="AD134" s="18">
        <f t="shared" si="43"/>
        <v>0.22841863293920689</v>
      </c>
      <c r="AE134" s="18">
        <f t="shared" si="44"/>
        <v>0.266502662576102</v>
      </c>
    </row>
    <row r="135" spans="3:31" x14ac:dyDescent="0.25">
      <c r="C135">
        <v>8</v>
      </c>
      <c r="D135">
        <v>16</v>
      </c>
      <c r="E135">
        <v>1</v>
      </c>
      <c r="F135" s="12">
        <v>16</v>
      </c>
      <c r="G135" s="12">
        <v>2</v>
      </c>
      <c r="H135" s="12">
        <v>2</v>
      </c>
      <c r="I135" s="12">
        <v>256</v>
      </c>
      <c r="J135" s="12">
        <v>30</v>
      </c>
      <c r="K135" s="14">
        <f t="shared" si="40"/>
        <v>1</v>
      </c>
      <c r="L135">
        <f>1024</f>
        <v>1024</v>
      </c>
      <c r="M135" s="12">
        <v>128</v>
      </c>
      <c r="N135" s="15">
        <f t="shared" ref="N135:N181" si="50">G135*K135*64*M135/38</f>
        <v>431.15789473684208</v>
      </c>
      <c r="O135" s="15">
        <f t="shared" ref="O135:O181" si="51">H135*K135*_xlfn.CEILING.MATH(L135/64)*64*M135/J135</f>
        <v>8738.1333333333332</v>
      </c>
      <c r="P135" s="15">
        <f t="shared" ref="P135:P181" si="52">64*M135*_xlfn.CEILING.MATH(L135/128)*128*K135/8192</f>
        <v>1024</v>
      </c>
      <c r="Q135" s="15">
        <f t="shared" ref="Q135:Q181" si="53">N135+O135</f>
        <v>9169.2912280701748</v>
      </c>
      <c r="R135" s="15">
        <f t="shared" si="45"/>
        <v>512</v>
      </c>
      <c r="S135" s="15">
        <f t="shared" si="46"/>
        <v>8738.1333333333332</v>
      </c>
      <c r="T135" s="15">
        <f t="shared" si="47"/>
        <v>1024</v>
      </c>
      <c r="U135" s="15">
        <f t="shared" si="41"/>
        <v>9250.1333333333332</v>
      </c>
      <c r="V135" s="15">
        <f t="shared" si="48"/>
        <v>341.33333333333331</v>
      </c>
      <c r="W135" s="12">
        <f t="shared" si="42"/>
        <v>3299</v>
      </c>
      <c r="X135" s="12">
        <v>20000</v>
      </c>
      <c r="Y135" s="16">
        <f t="shared" ref="Y135:Y181" si="54">Q135+U135+W135+V135</f>
        <v>22059.757894736842</v>
      </c>
      <c r="Z135" s="11">
        <f t="shared" si="49"/>
        <v>2.2059757894736843E-2</v>
      </c>
      <c r="AB135">
        <v>0.1022</v>
      </c>
      <c r="AC135">
        <v>8.8501999999999997E-2</v>
      </c>
      <c r="AD135" s="18">
        <f t="shared" si="43"/>
        <v>0.21584890307961685</v>
      </c>
      <c r="AE135" s="18">
        <f t="shared" si="44"/>
        <v>0.24925716814011936</v>
      </c>
    </row>
    <row r="136" spans="3:31" x14ac:dyDescent="0.25">
      <c r="C136">
        <v>16</v>
      </c>
      <c r="D136">
        <v>16</v>
      </c>
      <c r="E136">
        <v>1</v>
      </c>
      <c r="F136" s="12">
        <v>16</v>
      </c>
      <c r="G136" s="12">
        <v>2</v>
      </c>
      <c r="H136" s="12">
        <v>2</v>
      </c>
      <c r="I136" s="12">
        <v>256</v>
      </c>
      <c r="J136" s="12">
        <v>30</v>
      </c>
      <c r="K136" s="14">
        <f t="shared" si="40"/>
        <v>1</v>
      </c>
      <c r="L136">
        <f>1024</f>
        <v>1024</v>
      </c>
      <c r="M136" s="12">
        <v>128</v>
      </c>
      <c r="N136" s="15">
        <f t="shared" si="50"/>
        <v>431.15789473684208</v>
      </c>
      <c r="O136" s="15">
        <f t="shared" si="51"/>
        <v>8738.1333333333332</v>
      </c>
      <c r="P136" s="15">
        <f t="shared" si="52"/>
        <v>1024</v>
      </c>
      <c r="Q136" s="15">
        <f t="shared" si="53"/>
        <v>9169.2912280701748</v>
      </c>
      <c r="R136" s="15">
        <f t="shared" si="45"/>
        <v>512</v>
      </c>
      <c r="S136" s="15">
        <f t="shared" si="46"/>
        <v>8738.1333333333332</v>
      </c>
      <c r="T136" s="15">
        <f t="shared" si="47"/>
        <v>1024</v>
      </c>
      <c r="U136" s="15">
        <f t="shared" si="41"/>
        <v>9250.1333333333332</v>
      </c>
      <c r="V136" s="15">
        <f t="shared" si="48"/>
        <v>341.33333333333331</v>
      </c>
      <c r="W136" s="12">
        <f t="shared" si="42"/>
        <v>3299</v>
      </c>
      <c r="X136" s="12">
        <v>20000</v>
      </c>
      <c r="Y136" s="16">
        <f t="shared" si="54"/>
        <v>22059.757894736842</v>
      </c>
      <c r="Z136" s="11">
        <f t="shared" si="49"/>
        <v>2.2059757894736843E-2</v>
      </c>
      <c r="AB136">
        <v>0.10578799999999999</v>
      </c>
      <c r="AC136">
        <v>9.2507000000000006E-2</v>
      </c>
      <c r="AD136" s="18">
        <f t="shared" si="43"/>
        <v>0.20852797949424173</v>
      </c>
      <c r="AE136" s="18">
        <f t="shared" si="44"/>
        <v>0.2384658230700038</v>
      </c>
    </row>
    <row r="137" spans="3:31" x14ac:dyDescent="0.25">
      <c r="C137">
        <v>32</v>
      </c>
      <c r="D137">
        <v>16</v>
      </c>
      <c r="E137">
        <v>1</v>
      </c>
      <c r="F137" s="12">
        <v>16</v>
      </c>
      <c r="G137" s="12">
        <v>2</v>
      </c>
      <c r="H137" s="12">
        <v>2</v>
      </c>
      <c r="I137" s="12">
        <v>256</v>
      </c>
      <c r="J137" s="12">
        <v>30</v>
      </c>
      <c r="K137" s="14">
        <f t="shared" si="40"/>
        <v>2</v>
      </c>
      <c r="L137">
        <f>1024</f>
        <v>1024</v>
      </c>
      <c r="M137" s="12">
        <v>128</v>
      </c>
      <c r="N137" s="15">
        <f t="shared" si="50"/>
        <v>862.31578947368416</v>
      </c>
      <c r="O137" s="15">
        <f t="shared" si="51"/>
        <v>17476.266666666666</v>
      </c>
      <c r="P137" s="15">
        <f t="shared" si="52"/>
        <v>2048</v>
      </c>
      <c r="Q137" s="15">
        <f t="shared" si="53"/>
        <v>18338.58245614035</v>
      </c>
      <c r="R137" s="15">
        <f t="shared" si="45"/>
        <v>1024</v>
      </c>
      <c r="S137" s="15">
        <f t="shared" si="46"/>
        <v>17476.266666666666</v>
      </c>
      <c r="T137" s="15">
        <f t="shared" si="47"/>
        <v>2048</v>
      </c>
      <c r="U137" s="15">
        <f t="shared" si="41"/>
        <v>18500.266666666666</v>
      </c>
      <c r="V137" s="15">
        <f t="shared" si="48"/>
        <v>682.66666666666663</v>
      </c>
      <c r="W137" s="12">
        <f t="shared" si="42"/>
        <v>6598</v>
      </c>
      <c r="X137" s="12">
        <v>20000</v>
      </c>
      <c r="Y137" s="16">
        <f t="shared" si="54"/>
        <v>44119.515789473684</v>
      </c>
      <c r="Z137" s="11">
        <f t="shared" si="49"/>
        <v>4.4119515789473686E-2</v>
      </c>
      <c r="AB137">
        <v>0.13789499999999999</v>
      </c>
      <c r="AC137">
        <v>0.128557</v>
      </c>
      <c r="AD137" s="18">
        <f t="shared" si="43"/>
        <v>0.31995007643115186</v>
      </c>
      <c r="AE137" s="18">
        <f t="shared" si="44"/>
        <v>0.34319030305213782</v>
      </c>
    </row>
    <row r="138" spans="3:31" x14ac:dyDescent="0.25">
      <c r="C138">
        <v>64</v>
      </c>
      <c r="D138">
        <v>16</v>
      </c>
      <c r="E138">
        <v>1</v>
      </c>
      <c r="F138" s="12">
        <v>16</v>
      </c>
      <c r="G138" s="12">
        <v>2</v>
      </c>
      <c r="H138" s="12">
        <v>2</v>
      </c>
      <c r="I138" s="12">
        <v>256</v>
      </c>
      <c r="J138" s="12">
        <v>30</v>
      </c>
      <c r="K138" s="14">
        <f t="shared" si="40"/>
        <v>4</v>
      </c>
      <c r="L138">
        <f>1024</f>
        <v>1024</v>
      </c>
      <c r="M138" s="12">
        <v>128</v>
      </c>
      <c r="N138" s="15">
        <f t="shared" si="50"/>
        <v>1724.6315789473683</v>
      </c>
      <c r="O138" s="15">
        <f t="shared" si="51"/>
        <v>34952.533333333333</v>
      </c>
      <c r="P138" s="15">
        <f t="shared" si="52"/>
        <v>4096</v>
      </c>
      <c r="Q138" s="15">
        <f t="shared" si="53"/>
        <v>36677.164912280699</v>
      </c>
      <c r="R138" s="15">
        <f t="shared" si="45"/>
        <v>2048</v>
      </c>
      <c r="S138" s="15">
        <f t="shared" si="46"/>
        <v>34952.533333333333</v>
      </c>
      <c r="T138" s="15">
        <f t="shared" si="47"/>
        <v>4096</v>
      </c>
      <c r="U138" s="15">
        <f t="shared" si="41"/>
        <v>37000.533333333333</v>
      </c>
      <c r="V138" s="15">
        <f t="shared" si="48"/>
        <v>1365.3333333333333</v>
      </c>
      <c r="W138" s="12">
        <f t="shared" si="42"/>
        <v>13196</v>
      </c>
      <c r="X138" s="12">
        <v>20000</v>
      </c>
      <c r="Y138" s="16">
        <f t="shared" si="54"/>
        <v>88239.031578947368</v>
      </c>
      <c r="Z138" s="11">
        <f t="shared" si="49"/>
        <v>8.8239031578947372E-2</v>
      </c>
      <c r="AB138">
        <v>0.20415800000000001</v>
      </c>
      <c r="AC138">
        <v>0.19780700000000001</v>
      </c>
      <c r="AD138" s="18">
        <f t="shared" si="43"/>
        <v>0.43220952193373452</v>
      </c>
      <c r="AE138" s="18">
        <f t="shared" si="44"/>
        <v>0.44608649632696196</v>
      </c>
    </row>
    <row r="139" spans="3:31" x14ac:dyDescent="0.25">
      <c r="C139">
        <v>128</v>
      </c>
      <c r="D139">
        <v>16</v>
      </c>
      <c r="E139">
        <v>1</v>
      </c>
      <c r="F139" s="12">
        <v>16</v>
      </c>
      <c r="G139" s="12">
        <v>2</v>
      </c>
      <c r="H139" s="12">
        <v>2</v>
      </c>
      <c r="I139" s="12">
        <v>256</v>
      </c>
      <c r="J139" s="12">
        <v>30</v>
      </c>
      <c r="K139" s="14">
        <f t="shared" si="40"/>
        <v>8</v>
      </c>
      <c r="L139">
        <f>1024</f>
        <v>1024</v>
      </c>
      <c r="M139" s="12">
        <v>128</v>
      </c>
      <c r="N139" s="15">
        <f t="shared" si="50"/>
        <v>3449.2631578947367</v>
      </c>
      <c r="O139" s="15">
        <f t="shared" si="51"/>
        <v>69905.066666666666</v>
      </c>
      <c r="P139" s="15">
        <f t="shared" si="52"/>
        <v>8192</v>
      </c>
      <c r="Q139" s="15">
        <f t="shared" si="53"/>
        <v>73354.329824561399</v>
      </c>
      <c r="R139" s="15">
        <f t="shared" si="45"/>
        <v>4096</v>
      </c>
      <c r="S139" s="15">
        <f t="shared" si="46"/>
        <v>69905.066666666666</v>
      </c>
      <c r="T139" s="15">
        <f t="shared" si="47"/>
        <v>8192</v>
      </c>
      <c r="U139" s="15">
        <f t="shared" si="41"/>
        <v>74001.066666666666</v>
      </c>
      <c r="V139" s="15">
        <f t="shared" si="48"/>
        <v>2730.6666666666665</v>
      </c>
      <c r="W139" s="12">
        <f t="shared" si="42"/>
        <v>26392</v>
      </c>
      <c r="X139" s="12">
        <v>20000</v>
      </c>
      <c r="Y139" s="16">
        <f t="shared" si="54"/>
        <v>176478.06315789474</v>
      </c>
      <c r="Z139" s="11">
        <f t="shared" si="49"/>
        <v>0.17647806315789474</v>
      </c>
      <c r="AB139">
        <v>0.34223300000000001</v>
      </c>
      <c r="AC139">
        <v>0.32604</v>
      </c>
      <c r="AD139" s="18">
        <f t="shared" si="43"/>
        <v>0.51566641194126439</v>
      </c>
      <c r="AE139" s="18">
        <f t="shared" si="44"/>
        <v>0.54127733762082797</v>
      </c>
    </row>
    <row r="140" spans="3:31" x14ac:dyDescent="0.25">
      <c r="C140">
        <v>256</v>
      </c>
      <c r="D140">
        <v>16</v>
      </c>
      <c r="E140">
        <v>1</v>
      </c>
      <c r="F140" s="12">
        <v>16</v>
      </c>
      <c r="G140" s="12">
        <v>2</v>
      </c>
      <c r="H140" s="12">
        <v>2</v>
      </c>
      <c r="I140" s="12">
        <v>256</v>
      </c>
      <c r="J140" s="12">
        <v>30</v>
      </c>
      <c r="K140" s="14">
        <f t="shared" si="40"/>
        <v>16</v>
      </c>
      <c r="L140">
        <f>1024</f>
        <v>1024</v>
      </c>
      <c r="M140" s="12">
        <v>128</v>
      </c>
      <c r="N140" s="15">
        <f t="shared" si="50"/>
        <v>6898.5263157894733</v>
      </c>
      <c r="O140" s="15">
        <f t="shared" si="51"/>
        <v>139810.13333333333</v>
      </c>
      <c r="P140" s="15">
        <f t="shared" si="52"/>
        <v>16384</v>
      </c>
      <c r="Q140" s="15">
        <f t="shared" si="53"/>
        <v>146708.6596491228</v>
      </c>
      <c r="R140" s="15">
        <f t="shared" si="45"/>
        <v>8192</v>
      </c>
      <c r="S140" s="15">
        <f t="shared" si="46"/>
        <v>139810.13333333333</v>
      </c>
      <c r="T140" s="15">
        <f t="shared" si="47"/>
        <v>16384</v>
      </c>
      <c r="U140" s="15">
        <f t="shared" si="41"/>
        <v>148002.13333333333</v>
      </c>
      <c r="V140" s="15">
        <f t="shared" si="48"/>
        <v>5461.333333333333</v>
      </c>
      <c r="W140" s="12">
        <f t="shared" si="42"/>
        <v>52784</v>
      </c>
      <c r="X140" s="12">
        <v>20000</v>
      </c>
      <c r="Y140" s="16">
        <f t="shared" si="54"/>
        <v>352956.12631578947</v>
      </c>
      <c r="Z140" s="11">
        <f t="shared" si="49"/>
        <v>0.35295612631578949</v>
      </c>
      <c r="AB140">
        <v>0.61105399999999999</v>
      </c>
      <c r="AC140">
        <v>0.57605499999999998</v>
      </c>
      <c r="AD140" s="18">
        <f t="shared" si="43"/>
        <v>0.57761855141409679</v>
      </c>
      <c r="AE140" s="18">
        <f t="shared" si="44"/>
        <v>0.61271254709322809</v>
      </c>
    </row>
    <row r="141" spans="3:31" x14ac:dyDescent="0.25">
      <c r="C141">
        <v>512</v>
      </c>
      <c r="D141">
        <v>16</v>
      </c>
      <c r="E141">
        <v>1</v>
      </c>
      <c r="F141" s="12">
        <v>16</v>
      </c>
      <c r="G141" s="12">
        <v>2</v>
      </c>
      <c r="H141" s="12">
        <v>2</v>
      </c>
      <c r="I141" s="12">
        <v>256</v>
      </c>
      <c r="J141" s="12">
        <v>30</v>
      </c>
      <c r="K141" s="14">
        <f t="shared" si="40"/>
        <v>32</v>
      </c>
      <c r="L141">
        <f>1024</f>
        <v>1024</v>
      </c>
      <c r="M141" s="12">
        <v>128</v>
      </c>
      <c r="N141" s="15">
        <f t="shared" si="50"/>
        <v>13797.052631578947</v>
      </c>
      <c r="O141" s="15">
        <f t="shared" si="51"/>
        <v>279620.26666666666</v>
      </c>
      <c r="P141" s="15">
        <f t="shared" si="52"/>
        <v>32768</v>
      </c>
      <c r="Q141" s="15">
        <f t="shared" si="53"/>
        <v>293417.31929824559</v>
      </c>
      <c r="R141" s="15">
        <f t="shared" si="45"/>
        <v>16384</v>
      </c>
      <c r="S141" s="15">
        <f t="shared" si="46"/>
        <v>279620.26666666666</v>
      </c>
      <c r="T141" s="15">
        <f t="shared" si="47"/>
        <v>32768</v>
      </c>
      <c r="U141" s="15">
        <f t="shared" si="41"/>
        <v>296004.26666666666</v>
      </c>
      <c r="V141" s="15">
        <f t="shared" si="48"/>
        <v>10922.666666666666</v>
      </c>
      <c r="W141" s="12">
        <f t="shared" si="42"/>
        <v>105568</v>
      </c>
      <c r="X141" s="12">
        <v>20000</v>
      </c>
      <c r="Y141" s="16">
        <f t="shared" si="54"/>
        <v>705912.25263157894</v>
      </c>
      <c r="Z141" s="11">
        <f t="shared" si="49"/>
        <v>0.70591225263157897</v>
      </c>
      <c r="AB141">
        <v>1.130811</v>
      </c>
      <c r="AC141">
        <v>1.0644359999999999</v>
      </c>
      <c r="AD141" s="18">
        <f t="shared" si="43"/>
        <v>0.62425308263854784</v>
      </c>
      <c r="AE141" s="18">
        <f t="shared" si="44"/>
        <v>0.66317961120403579</v>
      </c>
    </row>
    <row r="142" spans="3:31" x14ac:dyDescent="0.25">
      <c r="C142" s="8">
        <v>1</v>
      </c>
      <c r="D142" s="8">
        <v>16</v>
      </c>
      <c r="E142" s="8">
        <v>1</v>
      </c>
      <c r="F142" s="12">
        <v>16</v>
      </c>
      <c r="G142" s="12">
        <v>2</v>
      </c>
      <c r="H142" s="12">
        <v>2</v>
      </c>
      <c r="I142" s="12">
        <v>256</v>
      </c>
      <c r="J142" s="12">
        <v>30</v>
      </c>
      <c r="K142" s="14">
        <f t="shared" si="40"/>
        <v>1</v>
      </c>
      <c r="L142" s="8">
        <f>2048</f>
        <v>2048</v>
      </c>
      <c r="M142" s="12">
        <v>128</v>
      </c>
      <c r="N142" s="15">
        <f t="shared" si="50"/>
        <v>431.15789473684208</v>
      </c>
      <c r="O142" s="15">
        <f t="shared" si="51"/>
        <v>17476.266666666666</v>
      </c>
      <c r="P142" s="15">
        <f t="shared" si="52"/>
        <v>2048</v>
      </c>
      <c r="Q142" s="15">
        <f t="shared" si="53"/>
        <v>17907.42456140351</v>
      </c>
      <c r="R142" s="15">
        <f t="shared" si="45"/>
        <v>1024</v>
      </c>
      <c r="S142" s="15">
        <f t="shared" si="46"/>
        <v>17476.266666666666</v>
      </c>
      <c r="T142" s="15">
        <f t="shared" si="47"/>
        <v>2048</v>
      </c>
      <c r="U142" s="15">
        <f t="shared" si="41"/>
        <v>18500.266666666666</v>
      </c>
      <c r="V142" s="15">
        <f t="shared" si="48"/>
        <v>341.33333333333331</v>
      </c>
      <c r="W142" s="12">
        <f t="shared" si="42"/>
        <v>6403</v>
      </c>
      <c r="X142" s="12">
        <v>20000</v>
      </c>
      <c r="Y142" s="16">
        <f t="shared" si="54"/>
        <v>43152.024561403516</v>
      </c>
      <c r="Z142" s="11">
        <f t="shared" si="49"/>
        <v>4.3152024561403518E-2</v>
      </c>
      <c r="AB142" s="9">
        <v>0.127081</v>
      </c>
      <c r="AC142" s="9">
        <v>9.7673999999999997E-2</v>
      </c>
      <c r="AD142" s="18">
        <f t="shared" si="43"/>
        <v>0.33956314918361924</v>
      </c>
      <c r="AE142" s="18">
        <f t="shared" si="44"/>
        <v>0.44179643058954809</v>
      </c>
    </row>
    <row r="143" spans="3:31" x14ac:dyDescent="0.25">
      <c r="C143" s="8">
        <v>2</v>
      </c>
      <c r="D143" s="8">
        <v>16</v>
      </c>
      <c r="E143" s="8">
        <v>1</v>
      </c>
      <c r="F143" s="12">
        <v>16</v>
      </c>
      <c r="G143" s="12">
        <v>2</v>
      </c>
      <c r="H143" s="12">
        <v>2</v>
      </c>
      <c r="I143" s="12">
        <v>256</v>
      </c>
      <c r="J143" s="12">
        <v>30</v>
      </c>
      <c r="K143" s="14">
        <f t="shared" si="40"/>
        <v>1</v>
      </c>
      <c r="L143" s="8">
        <f>2048</f>
        <v>2048</v>
      </c>
      <c r="M143" s="12">
        <v>128</v>
      </c>
      <c r="N143" s="15">
        <f t="shared" si="50"/>
        <v>431.15789473684208</v>
      </c>
      <c r="O143" s="15">
        <f t="shared" si="51"/>
        <v>17476.266666666666</v>
      </c>
      <c r="P143" s="15">
        <f t="shared" si="52"/>
        <v>2048</v>
      </c>
      <c r="Q143" s="15">
        <f t="shared" si="53"/>
        <v>17907.42456140351</v>
      </c>
      <c r="R143" s="15">
        <f t="shared" si="45"/>
        <v>1024</v>
      </c>
      <c r="S143" s="15">
        <f t="shared" si="46"/>
        <v>17476.266666666666</v>
      </c>
      <c r="T143" s="15">
        <f t="shared" si="47"/>
        <v>2048</v>
      </c>
      <c r="U143" s="15">
        <f t="shared" si="41"/>
        <v>18500.266666666666</v>
      </c>
      <c r="V143" s="15">
        <f t="shared" si="48"/>
        <v>341.33333333333331</v>
      </c>
      <c r="W143" s="12">
        <f t="shared" si="42"/>
        <v>6403</v>
      </c>
      <c r="X143" s="12">
        <v>20000</v>
      </c>
      <c r="Y143" s="16">
        <f t="shared" si="54"/>
        <v>43152.024561403516</v>
      </c>
      <c r="Z143" s="11">
        <f t="shared" si="49"/>
        <v>4.3152024561403518E-2</v>
      </c>
      <c r="AB143">
        <v>0.13558700000000001</v>
      </c>
      <c r="AC143">
        <v>0.10582999999999999</v>
      </c>
      <c r="AD143" s="18">
        <f t="shared" si="43"/>
        <v>0.31826078135369551</v>
      </c>
      <c r="AE143" s="18">
        <f t="shared" si="44"/>
        <v>0.4077485076198008</v>
      </c>
    </row>
    <row r="144" spans="3:31" x14ac:dyDescent="0.25">
      <c r="C144">
        <v>4</v>
      </c>
      <c r="D144">
        <v>16</v>
      </c>
      <c r="E144">
        <v>1</v>
      </c>
      <c r="F144" s="12">
        <v>16</v>
      </c>
      <c r="G144" s="12">
        <v>2</v>
      </c>
      <c r="H144" s="12">
        <v>2</v>
      </c>
      <c r="I144" s="12">
        <v>256</v>
      </c>
      <c r="J144" s="12">
        <v>30</v>
      </c>
      <c r="K144" s="14">
        <f t="shared" si="40"/>
        <v>1</v>
      </c>
      <c r="L144">
        <f>2048</f>
        <v>2048</v>
      </c>
      <c r="M144" s="12">
        <v>128</v>
      </c>
      <c r="N144" s="15">
        <f t="shared" si="50"/>
        <v>431.15789473684208</v>
      </c>
      <c r="O144" s="15">
        <f t="shared" si="51"/>
        <v>17476.266666666666</v>
      </c>
      <c r="P144" s="15">
        <f t="shared" si="52"/>
        <v>2048</v>
      </c>
      <c r="Q144" s="15">
        <f t="shared" si="53"/>
        <v>17907.42456140351</v>
      </c>
      <c r="R144" s="15">
        <f t="shared" si="45"/>
        <v>1024</v>
      </c>
      <c r="S144" s="15">
        <f t="shared" si="46"/>
        <v>17476.266666666666</v>
      </c>
      <c r="T144" s="15">
        <f t="shared" si="47"/>
        <v>2048</v>
      </c>
      <c r="U144" s="15">
        <f t="shared" si="41"/>
        <v>18500.266666666666</v>
      </c>
      <c r="V144" s="15">
        <f t="shared" si="48"/>
        <v>341.33333333333331</v>
      </c>
      <c r="W144" s="12">
        <f t="shared" si="42"/>
        <v>6403</v>
      </c>
      <c r="X144" s="12">
        <v>20000</v>
      </c>
      <c r="Y144" s="16">
        <f t="shared" si="54"/>
        <v>43152.024561403516</v>
      </c>
      <c r="Z144" s="11">
        <f t="shared" si="49"/>
        <v>4.3152024561403518E-2</v>
      </c>
      <c r="AB144">
        <v>0.13680999999999999</v>
      </c>
      <c r="AC144">
        <v>0.106909</v>
      </c>
      <c r="AD144" s="18">
        <f t="shared" si="43"/>
        <v>0.31541571932902218</v>
      </c>
      <c r="AE144" s="18">
        <f t="shared" si="44"/>
        <v>0.40363322602777613</v>
      </c>
    </row>
    <row r="145" spans="3:31" x14ac:dyDescent="0.25">
      <c r="C145">
        <v>8</v>
      </c>
      <c r="D145">
        <v>16</v>
      </c>
      <c r="E145">
        <v>1</v>
      </c>
      <c r="F145" s="12">
        <v>16</v>
      </c>
      <c r="G145" s="12">
        <v>2</v>
      </c>
      <c r="H145" s="12">
        <v>2</v>
      </c>
      <c r="I145" s="12">
        <v>256</v>
      </c>
      <c r="J145" s="12">
        <v>30</v>
      </c>
      <c r="K145" s="14">
        <f t="shared" si="40"/>
        <v>1</v>
      </c>
      <c r="L145">
        <f>2048</f>
        <v>2048</v>
      </c>
      <c r="M145" s="12">
        <v>128</v>
      </c>
      <c r="N145" s="15">
        <f t="shared" si="50"/>
        <v>431.15789473684208</v>
      </c>
      <c r="O145" s="15">
        <f t="shared" si="51"/>
        <v>17476.266666666666</v>
      </c>
      <c r="P145" s="15">
        <f t="shared" si="52"/>
        <v>2048</v>
      </c>
      <c r="Q145" s="15">
        <f t="shared" si="53"/>
        <v>17907.42456140351</v>
      </c>
      <c r="R145" s="15">
        <f t="shared" si="45"/>
        <v>1024</v>
      </c>
      <c r="S145" s="15">
        <f t="shared" si="46"/>
        <v>17476.266666666666</v>
      </c>
      <c r="T145" s="15">
        <f t="shared" si="47"/>
        <v>2048</v>
      </c>
      <c r="U145" s="15">
        <f t="shared" si="41"/>
        <v>18500.266666666666</v>
      </c>
      <c r="V145" s="15">
        <f t="shared" si="48"/>
        <v>341.33333333333331</v>
      </c>
      <c r="W145" s="12">
        <f t="shared" si="42"/>
        <v>6403</v>
      </c>
      <c r="X145" s="12">
        <v>20000</v>
      </c>
      <c r="Y145" s="16">
        <f t="shared" si="54"/>
        <v>43152.024561403516</v>
      </c>
      <c r="Z145" s="11">
        <f t="shared" si="49"/>
        <v>4.3152024561403518E-2</v>
      </c>
      <c r="AB145">
        <v>0.14824799999999999</v>
      </c>
      <c r="AC145">
        <v>0.11856899999999999</v>
      </c>
      <c r="AD145" s="18">
        <f t="shared" si="43"/>
        <v>0.29107997788437967</v>
      </c>
      <c r="AE145" s="18">
        <f t="shared" si="44"/>
        <v>0.36394019146154155</v>
      </c>
    </row>
    <row r="146" spans="3:31" x14ac:dyDescent="0.25">
      <c r="C146">
        <v>16</v>
      </c>
      <c r="D146">
        <v>16</v>
      </c>
      <c r="E146">
        <v>1</v>
      </c>
      <c r="F146" s="12">
        <v>16</v>
      </c>
      <c r="G146" s="12">
        <v>2</v>
      </c>
      <c r="H146" s="12">
        <v>2</v>
      </c>
      <c r="I146" s="12">
        <v>256</v>
      </c>
      <c r="J146" s="12">
        <v>30</v>
      </c>
      <c r="K146" s="14">
        <f t="shared" si="40"/>
        <v>1</v>
      </c>
      <c r="L146">
        <f>2048</f>
        <v>2048</v>
      </c>
      <c r="M146" s="12">
        <v>128</v>
      </c>
      <c r="N146" s="15">
        <f t="shared" si="50"/>
        <v>431.15789473684208</v>
      </c>
      <c r="O146" s="15">
        <f t="shared" si="51"/>
        <v>17476.266666666666</v>
      </c>
      <c r="P146" s="15">
        <f t="shared" si="52"/>
        <v>2048</v>
      </c>
      <c r="Q146" s="15">
        <f t="shared" si="53"/>
        <v>17907.42456140351</v>
      </c>
      <c r="R146" s="15">
        <f t="shared" si="45"/>
        <v>1024</v>
      </c>
      <c r="S146" s="15">
        <f t="shared" si="46"/>
        <v>17476.266666666666</v>
      </c>
      <c r="T146" s="15">
        <f t="shared" si="47"/>
        <v>2048</v>
      </c>
      <c r="U146" s="15">
        <f t="shared" si="41"/>
        <v>18500.266666666666</v>
      </c>
      <c r="V146" s="15">
        <f t="shared" si="48"/>
        <v>341.33333333333331</v>
      </c>
      <c r="W146" s="12">
        <f t="shared" si="42"/>
        <v>6403</v>
      </c>
      <c r="X146" s="12">
        <v>20000</v>
      </c>
      <c r="Y146" s="16">
        <f t="shared" si="54"/>
        <v>43152.024561403516</v>
      </c>
      <c r="Z146" s="11">
        <f t="shared" si="49"/>
        <v>4.3152024561403518E-2</v>
      </c>
      <c r="AB146">
        <v>0.16030900000000001</v>
      </c>
      <c r="AC146">
        <v>0.13033600000000001</v>
      </c>
      <c r="AD146" s="18">
        <f t="shared" si="43"/>
        <v>0.26918029905621965</v>
      </c>
      <c r="AE146" s="18">
        <f t="shared" si="44"/>
        <v>0.33108292844190029</v>
      </c>
    </row>
    <row r="147" spans="3:31" x14ac:dyDescent="0.25">
      <c r="C147">
        <v>32</v>
      </c>
      <c r="D147">
        <v>16</v>
      </c>
      <c r="E147">
        <v>1</v>
      </c>
      <c r="F147" s="12">
        <v>16</v>
      </c>
      <c r="G147" s="12">
        <v>2</v>
      </c>
      <c r="H147" s="12">
        <v>2</v>
      </c>
      <c r="I147" s="12">
        <v>256</v>
      </c>
      <c r="J147" s="12">
        <v>30</v>
      </c>
      <c r="K147" s="14">
        <f t="shared" si="40"/>
        <v>2</v>
      </c>
      <c r="L147">
        <f>2048</f>
        <v>2048</v>
      </c>
      <c r="M147" s="12">
        <v>128</v>
      </c>
      <c r="N147" s="15">
        <f t="shared" si="50"/>
        <v>862.31578947368416</v>
      </c>
      <c r="O147" s="15">
        <f t="shared" si="51"/>
        <v>34952.533333333333</v>
      </c>
      <c r="P147" s="15">
        <f t="shared" si="52"/>
        <v>4096</v>
      </c>
      <c r="Q147" s="15">
        <f t="shared" si="53"/>
        <v>35814.84912280702</v>
      </c>
      <c r="R147" s="15">
        <f t="shared" si="45"/>
        <v>2048</v>
      </c>
      <c r="S147" s="15">
        <f t="shared" si="46"/>
        <v>34952.533333333333</v>
      </c>
      <c r="T147" s="15">
        <f t="shared" si="47"/>
        <v>4096</v>
      </c>
      <c r="U147" s="15">
        <f t="shared" si="41"/>
        <v>37000.533333333333</v>
      </c>
      <c r="V147" s="15">
        <f t="shared" si="48"/>
        <v>682.66666666666663</v>
      </c>
      <c r="W147" s="12">
        <f t="shared" si="42"/>
        <v>12806</v>
      </c>
      <c r="X147" s="12">
        <v>20000</v>
      </c>
      <c r="Y147" s="16">
        <f t="shared" si="54"/>
        <v>86304.049122807031</v>
      </c>
      <c r="Z147" s="11">
        <f t="shared" si="49"/>
        <v>8.6304049122807036E-2</v>
      </c>
      <c r="AB147">
        <v>0.223276</v>
      </c>
      <c r="AC147">
        <v>0.20066200000000001</v>
      </c>
      <c r="AD147" s="18">
        <f t="shared" si="43"/>
        <v>0.38653527079850514</v>
      </c>
      <c r="AE147" s="18">
        <f t="shared" si="44"/>
        <v>0.43009662578269442</v>
      </c>
    </row>
    <row r="148" spans="3:31" x14ac:dyDescent="0.25">
      <c r="C148">
        <v>64</v>
      </c>
      <c r="D148">
        <v>16</v>
      </c>
      <c r="E148">
        <v>1</v>
      </c>
      <c r="F148" s="12">
        <v>16</v>
      </c>
      <c r="G148" s="12">
        <v>2</v>
      </c>
      <c r="H148" s="12">
        <v>2</v>
      </c>
      <c r="I148" s="12">
        <v>256</v>
      </c>
      <c r="J148" s="12">
        <v>30</v>
      </c>
      <c r="K148" s="14">
        <f t="shared" si="40"/>
        <v>4</v>
      </c>
      <c r="L148">
        <f>2048</f>
        <v>2048</v>
      </c>
      <c r="M148" s="12">
        <v>128</v>
      </c>
      <c r="N148" s="15">
        <f t="shared" si="50"/>
        <v>1724.6315789473683</v>
      </c>
      <c r="O148" s="15">
        <f t="shared" si="51"/>
        <v>69905.066666666666</v>
      </c>
      <c r="P148" s="15">
        <f t="shared" si="52"/>
        <v>8192</v>
      </c>
      <c r="Q148" s="15">
        <f t="shared" si="53"/>
        <v>71629.698245614039</v>
      </c>
      <c r="R148" s="15">
        <f t="shared" si="45"/>
        <v>4096</v>
      </c>
      <c r="S148" s="15">
        <f t="shared" si="46"/>
        <v>69905.066666666666</v>
      </c>
      <c r="T148" s="15">
        <f t="shared" si="47"/>
        <v>8192</v>
      </c>
      <c r="U148" s="15">
        <f t="shared" si="41"/>
        <v>74001.066666666666</v>
      </c>
      <c r="V148" s="15">
        <f t="shared" si="48"/>
        <v>1365.3333333333333</v>
      </c>
      <c r="W148" s="12">
        <f t="shared" si="42"/>
        <v>25612</v>
      </c>
      <c r="X148" s="12">
        <v>20000</v>
      </c>
      <c r="Y148" s="16">
        <f t="shared" si="54"/>
        <v>172608.09824561406</v>
      </c>
      <c r="Z148" s="11">
        <f t="shared" si="49"/>
        <v>0.17260809824561407</v>
      </c>
      <c r="AB148">
        <v>0.345113</v>
      </c>
      <c r="AC148">
        <v>0.33144899999999999</v>
      </c>
      <c r="AD148" s="18">
        <f t="shared" si="43"/>
        <v>0.5001495111618921</v>
      </c>
      <c r="AE148" s="18">
        <f t="shared" si="44"/>
        <v>0.52076819735649849</v>
      </c>
    </row>
    <row r="149" spans="3:31" x14ac:dyDescent="0.25">
      <c r="C149">
        <v>128</v>
      </c>
      <c r="D149">
        <v>16</v>
      </c>
      <c r="E149">
        <v>1</v>
      </c>
      <c r="F149" s="12">
        <v>16</v>
      </c>
      <c r="G149" s="12">
        <v>2</v>
      </c>
      <c r="H149" s="12">
        <v>2</v>
      </c>
      <c r="I149" s="12">
        <v>256</v>
      </c>
      <c r="J149" s="12">
        <v>30</v>
      </c>
      <c r="K149" s="14">
        <f t="shared" si="40"/>
        <v>8</v>
      </c>
      <c r="L149">
        <f>2048</f>
        <v>2048</v>
      </c>
      <c r="M149" s="12">
        <v>128</v>
      </c>
      <c r="N149" s="15">
        <f t="shared" si="50"/>
        <v>3449.2631578947367</v>
      </c>
      <c r="O149" s="15">
        <f t="shared" si="51"/>
        <v>139810.13333333333</v>
      </c>
      <c r="P149" s="15">
        <f t="shared" si="52"/>
        <v>16384</v>
      </c>
      <c r="Q149" s="15">
        <f t="shared" si="53"/>
        <v>143259.39649122808</v>
      </c>
      <c r="R149" s="15">
        <f t="shared" si="45"/>
        <v>8192</v>
      </c>
      <c r="S149" s="15">
        <f t="shared" si="46"/>
        <v>139810.13333333333</v>
      </c>
      <c r="T149" s="15">
        <f t="shared" si="47"/>
        <v>16384</v>
      </c>
      <c r="U149" s="15">
        <f t="shared" si="41"/>
        <v>148002.13333333333</v>
      </c>
      <c r="V149" s="15">
        <f t="shared" si="48"/>
        <v>2730.6666666666665</v>
      </c>
      <c r="W149" s="12">
        <f t="shared" si="42"/>
        <v>51224</v>
      </c>
      <c r="X149" s="12">
        <v>20000</v>
      </c>
      <c r="Y149" s="16">
        <f t="shared" si="54"/>
        <v>345216.19649122813</v>
      </c>
      <c r="Z149" s="11">
        <f t="shared" si="49"/>
        <v>0.34521619649122814</v>
      </c>
      <c r="AB149">
        <v>0.60217799999999999</v>
      </c>
      <c r="AC149">
        <v>0.58024500000000001</v>
      </c>
      <c r="AD149" s="18">
        <f t="shared" si="43"/>
        <v>0.5732793235409267</v>
      </c>
      <c r="AE149" s="18">
        <f t="shared" si="44"/>
        <v>0.59494902410400463</v>
      </c>
    </row>
    <row r="150" spans="3:31" x14ac:dyDescent="0.25">
      <c r="C150">
        <v>256</v>
      </c>
      <c r="D150">
        <v>16</v>
      </c>
      <c r="E150">
        <v>1</v>
      </c>
      <c r="F150" s="12">
        <v>16</v>
      </c>
      <c r="G150" s="12">
        <v>2</v>
      </c>
      <c r="H150" s="12">
        <v>2</v>
      </c>
      <c r="I150" s="12">
        <v>256</v>
      </c>
      <c r="J150" s="12">
        <v>30</v>
      </c>
      <c r="K150" s="14">
        <f t="shared" si="40"/>
        <v>16</v>
      </c>
      <c r="L150">
        <f>2048</f>
        <v>2048</v>
      </c>
      <c r="M150" s="12">
        <v>128</v>
      </c>
      <c r="N150" s="15">
        <f t="shared" si="50"/>
        <v>6898.5263157894733</v>
      </c>
      <c r="O150" s="15">
        <f t="shared" si="51"/>
        <v>279620.26666666666</v>
      </c>
      <c r="P150" s="15">
        <f t="shared" si="52"/>
        <v>32768</v>
      </c>
      <c r="Q150" s="15">
        <f t="shared" si="53"/>
        <v>286518.79298245616</v>
      </c>
      <c r="R150" s="15">
        <f t="shared" si="45"/>
        <v>16384</v>
      </c>
      <c r="S150" s="15">
        <f t="shared" si="46"/>
        <v>279620.26666666666</v>
      </c>
      <c r="T150" s="15">
        <f t="shared" si="47"/>
        <v>32768</v>
      </c>
      <c r="U150" s="15">
        <f t="shared" si="41"/>
        <v>296004.26666666666</v>
      </c>
      <c r="V150" s="15">
        <f t="shared" si="48"/>
        <v>5461.333333333333</v>
      </c>
      <c r="W150" s="12">
        <f t="shared" si="42"/>
        <v>102448</v>
      </c>
      <c r="X150" s="12">
        <v>20000</v>
      </c>
      <c r="Y150" s="16">
        <f t="shared" si="54"/>
        <v>690432.39298245625</v>
      </c>
      <c r="Z150" s="11">
        <f t="shared" si="49"/>
        <v>0.69043239298245629</v>
      </c>
      <c r="AB150">
        <v>1.1091599999999999</v>
      </c>
      <c r="AC150">
        <v>1.0526960000000001</v>
      </c>
      <c r="AD150" s="18">
        <f t="shared" si="43"/>
        <v>0.62248223248445345</v>
      </c>
      <c r="AE150" s="18">
        <f t="shared" si="44"/>
        <v>0.65587063405052959</v>
      </c>
    </row>
    <row r="151" spans="3:31" x14ac:dyDescent="0.25">
      <c r="C151">
        <v>512</v>
      </c>
      <c r="D151">
        <v>16</v>
      </c>
      <c r="E151">
        <v>1</v>
      </c>
      <c r="F151" s="12">
        <v>16</v>
      </c>
      <c r="G151" s="12">
        <v>2</v>
      </c>
      <c r="H151" s="12">
        <v>2</v>
      </c>
      <c r="I151" s="12">
        <v>256</v>
      </c>
      <c r="J151" s="12">
        <v>30</v>
      </c>
      <c r="K151" s="14">
        <f t="shared" si="40"/>
        <v>32</v>
      </c>
      <c r="L151">
        <f>2048</f>
        <v>2048</v>
      </c>
      <c r="M151" s="12">
        <v>128</v>
      </c>
      <c r="N151" s="15">
        <f t="shared" si="50"/>
        <v>13797.052631578947</v>
      </c>
      <c r="O151" s="15">
        <f t="shared" si="51"/>
        <v>559240.53333333333</v>
      </c>
      <c r="P151" s="15">
        <f t="shared" si="52"/>
        <v>65536</v>
      </c>
      <c r="Q151" s="15">
        <f t="shared" si="53"/>
        <v>573037.58596491232</v>
      </c>
      <c r="R151" s="15">
        <f t="shared" si="45"/>
        <v>32768</v>
      </c>
      <c r="S151" s="15">
        <f t="shared" si="46"/>
        <v>559240.53333333333</v>
      </c>
      <c r="T151" s="15">
        <f t="shared" si="47"/>
        <v>65536</v>
      </c>
      <c r="U151" s="15">
        <f t="shared" si="41"/>
        <v>592008.53333333333</v>
      </c>
      <c r="V151" s="15">
        <f t="shared" si="48"/>
        <v>10922.666666666666</v>
      </c>
      <c r="W151" s="12">
        <f t="shared" si="42"/>
        <v>204896</v>
      </c>
      <c r="X151" s="12">
        <v>20000</v>
      </c>
      <c r="Y151" s="16">
        <f t="shared" si="54"/>
        <v>1380864.7859649125</v>
      </c>
      <c r="Z151" s="11">
        <f t="shared" si="49"/>
        <v>1.3808647859649126</v>
      </c>
      <c r="AB151">
        <v>2.1119659999999998</v>
      </c>
      <c r="AC151">
        <v>1.983514</v>
      </c>
      <c r="AD151" s="18">
        <f t="shared" si="43"/>
        <v>0.65382907961819114</v>
      </c>
      <c r="AE151" s="18">
        <f t="shared" si="44"/>
        <v>0.69617092995810093</v>
      </c>
    </row>
    <row r="152" spans="3:31" x14ac:dyDescent="0.25">
      <c r="C152" s="8">
        <v>1</v>
      </c>
      <c r="D152" s="8">
        <v>16</v>
      </c>
      <c r="E152" s="8">
        <v>1</v>
      </c>
      <c r="F152" s="12">
        <v>16</v>
      </c>
      <c r="G152" s="12">
        <v>2</v>
      </c>
      <c r="H152" s="12">
        <v>2</v>
      </c>
      <c r="I152" s="12">
        <v>256</v>
      </c>
      <c r="J152" s="12">
        <v>30</v>
      </c>
      <c r="K152" s="14">
        <f t="shared" si="40"/>
        <v>1</v>
      </c>
      <c r="L152" s="8">
        <f>4096</f>
        <v>4096</v>
      </c>
      <c r="M152" s="12">
        <v>128</v>
      </c>
      <c r="N152" s="15">
        <f t="shared" si="50"/>
        <v>431.15789473684208</v>
      </c>
      <c r="O152" s="15">
        <f t="shared" si="51"/>
        <v>34952.533333333333</v>
      </c>
      <c r="P152" s="15">
        <f t="shared" si="52"/>
        <v>4096</v>
      </c>
      <c r="Q152" s="15">
        <f t="shared" si="53"/>
        <v>35383.691228070173</v>
      </c>
      <c r="R152" s="15">
        <f t="shared" si="45"/>
        <v>2048</v>
      </c>
      <c r="S152" s="15">
        <f t="shared" si="46"/>
        <v>34952.533333333333</v>
      </c>
      <c r="T152" s="15">
        <f t="shared" si="47"/>
        <v>4096</v>
      </c>
      <c r="U152" s="15">
        <f t="shared" si="41"/>
        <v>37000.533333333333</v>
      </c>
      <c r="V152" s="15">
        <f t="shared" si="48"/>
        <v>341.33333333333331</v>
      </c>
      <c r="W152" s="12">
        <f t="shared" si="42"/>
        <v>12611</v>
      </c>
      <c r="X152" s="12">
        <v>20000</v>
      </c>
      <c r="Y152" s="16">
        <f t="shared" si="54"/>
        <v>85336.557894736834</v>
      </c>
      <c r="Z152" s="11">
        <f t="shared" si="49"/>
        <v>8.5336557894736834E-2</v>
      </c>
      <c r="AB152" s="8">
        <v>0.19713600000000001</v>
      </c>
      <c r="AC152">
        <v>0.13686200000000001</v>
      </c>
      <c r="AD152" s="18">
        <f t="shared" si="43"/>
        <v>0.43288165476999041</v>
      </c>
      <c r="AE152" s="18">
        <f t="shared" si="44"/>
        <v>0.62352265709062282</v>
      </c>
    </row>
    <row r="153" spans="3:31" x14ac:dyDescent="0.25">
      <c r="C153" s="8">
        <v>2</v>
      </c>
      <c r="D153" s="8">
        <v>16</v>
      </c>
      <c r="E153" s="8">
        <v>1</v>
      </c>
      <c r="F153" s="12">
        <v>16</v>
      </c>
      <c r="G153" s="12">
        <v>2</v>
      </c>
      <c r="H153" s="12">
        <v>2</v>
      </c>
      <c r="I153" s="12">
        <v>256</v>
      </c>
      <c r="J153" s="12">
        <v>30</v>
      </c>
      <c r="K153" s="14">
        <f t="shared" si="40"/>
        <v>1</v>
      </c>
      <c r="L153" s="8">
        <f>4096</f>
        <v>4096</v>
      </c>
      <c r="M153" s="12">
        <v>128</v>
      </c>
      <c r="N153" s="15">
        <f t="shared" si="50"/>
        <v>431.15789473684208</v>
      </c>
      <c r="O153" s="15">
        <f t="shared" si="51"/>
        <v>34952.533333333333</v>
      </c>
      <c r="P153" s="15">
        <f t="shared" si="52"/>
        <v>4096</v>
      </c>
      <c r="Q153" s="15">
        <f t="shared" si="53"/>
        <v>35383.691228070173</v>
      </c>
      <c r="R153" s="15">
        <f t="shared" si="45"/>
        <v>2048</v>
      </c>
      <c r="S153" s="15">
        <f t="shared" si="46"/>
        <v>34952.533333333333</v>
      </c>
      <c r="T153" s="15">
        <f t="shared" si="47"/>
        <v>4096</v>
      </c>
      <c r="U153" s="15">
        <f t="shared" si="41"/>
        <v>37000.533333333333</v>
      </c>
      <c r="V153" s="15">
        <f t="shared" si="48"/>
        <v>341.33333333333331</v>
      </c>
      <c r="W153" s="12">
        <f t="shared" si="42"/>
        <v>12611</v>
      </c>
      <c r="X153" s="12">
        <v>20000</v>
      </c>
      <c r="Y153" s="16">
        <f t="shared" si="54"/>
        <v>85336.557894736834</v>
      </c>
      <c r="Z153" s="11">
        <f t="shared" si="49"/>
        <v>8.5336557894736834E-2</v>
      </c>
      <c r="AB153" s="8">
        <v>0.21485899999999999</v>
      </c>
      <c r="AC153">
        <v>0.15335599999999999</v>
      </c>
      <c r="AD153" s="18">
        <f t="shared" si="43"/>
        <v>0.39717469547348183</v>
      </c>
      <c r="AE153" s="18">
        <f t="shared" si="44"/>
        <v>0.55646050949905346</v>
      </c>
    </row>
    <row r="154" spans="3:31" x14ac:dyDescent="0.25">
      <c r="C154">
        <v>4</v>
      </c>
      <c r="D154">
        <v>16</v>
      </c>
      <c r="E154">
        <v>1</v>
      </c>
      <c r="F154" s="12">
        <v>16</v>
      </c>
      <c r="G154" s="12">
        <v>2</v>
      </c>
      <c r="H154" s="12">
        <v>2</v>
      </c>
      <c r="I154" s="12">
        <v>256</v>
      </c>
      <c r="J154" s="12">
        <v>30</v>
      </c>
      <c r="K154" s="14">
        <f t="shared" si="40"/>
        <v>1</v>
      </c>
      <c r="L154">
        <f>4096</f>
        <v>4096</v>
      </c>
      <c r="M154" s="12">
        <v>128</v>
      </c>
      <c r="N154" s="15">
        <f t="shared" si="50"/>
        <v>431.15789473684208</v>
      </c>
      <c r="O154" s="15">
        <f t="shared" si="51"/>
        <v>34952.533333333333</v>
      </c>
      <c r="P154" s="15">
        <f t="shared" si="52"/>
        <v>4096</v>
      </c>
      <c r="Q154" s="15">
        <f t="shared" si="53"/>
        <v>35383.691228070173</v>
      </c>
      <c r="R154" s="15">
        <f t="shared" si="45"/>
        <v>2048</v>
      </c>
      <c r="S154" s="15">
        <f t="shared" si="46"/>
        <v>34952.533333333333</v>
      </c>
      <c r="T154" s="15">
        <f t="shared" si="47"/>
        <v>4096</v>
      </c>
      <c r="U154" s="15">
        <f t="shared" si="41"/>
        <v>37000.533333333333</v>
      </c>
      <c r="V154" s="15">
        <f t="shared" si="48"/>
        <v>341.33333333333331</v>
      </c>
      <c r="W154" s="12">
        <f t="shared" si="42"/>
        <v>12611</v>
      </c>
      <c r="X154" s="12">
        <v>20000</v>
      </c>
      <c r="Y154" s="16">
        <f t="shared" si="54"/>
        <v>85336.557894736834</v>
      </c>
      <c r="Z154" s="11">
        <f t="shared" si="49"/>
        <v>8.5336557894736834E-2</v>
      </c>
      <c r="AB154">
        <v>0.21811700000000001</v>
      </c>
      <c r="AC154">
        <v>0.156806</v>
      </c>
      <c r="AD154" s="18">
        <f t="shared" si="43"/>
        <v>0.39124212186458107</v>
      </c>
      <c r="AE154" s="18">
        <f t="shared" si="44"/>
        <v>0.54421742723324895</v>
      </c>
    </row>
    <row r="155" spans="3:31" x14ac:dyDescent="0.25">
      <c r="C155">
        <v>8</v>
      </c>
      <c r="D155">
        <v>16</v>
      </c>
      <c r="E155">
        <v>1</v>
      </c>
      <c r="F155" s="12">
        <v>16</v>
      </c>
      <c r="G155" s="12">
        <v>2</v>
      </c>
      <c r="H155" s="12">
        <v>2</v>
      </c>
      <c r="I155" s="12">
        <v>256</v>
      </c>
      <c r="J155" s="12">
        <v>30</v>
      </c>
      <c r="K155" s="14">
        <f t="shared" ref="K155:K181" si="55">_xlfn.CEILING.MATH(C155*E155/F155)</f>
        <v>1</v>
      </c>
      <c r="L155">
        <f>4096</f>
        <v>4096</v>
      </c>
      <c r="M155" s="12">
        <v>128</v>
      </c>
      <c r="N155" s="15">
        <f t="shared" si="50"/>
        <v>431.15789473684208</v>
      </c>
      <c r="O155" s="15">
        <f t="shared" si="51"/>
        <v>34952.533333333333</v>
      </c>
      <c r="P155" s="15">
        <f t="shared" si="52"/>
        <v>4096</v>
      </c>
      <c r="Q155" s="15">
        <f t="shared" si="53"/>
        <v>35383.691228070173</v>
      </c>
      <c r="R155" s="15">
        <f t="shared" si="45"/>
        <v>2048</v>
      </c>
      <c r="S155" s="15">
        <f t="shared" si="46"/>
        <v>34952.533333333333</v>
      </c>
      <c r="T155" s="15">
        <f t="shared" si="47"/>
        <v>4096</v>
      </c>
      <c r="U155" s="15">
        <f t="shared" si="41"/>
        <v>37000.533333333333</v>
      </c>
      <c r="V155" s="15">
        <f t="shared" si="48"/>
        <v>341.33333333333331</v>
      </c>
      <c r="W155" s="12">
        <f t="shared" si="42"/>
        <v>12611</v>
      </c>
      <c r="X155" s="12">
        <v>20000</v>
      </c>
      <c r="Y155" s="16">
        <f t="shared" si="54"/>
        <v>85336.557894736834</v>
      </c>
      <c r="Z155" s="11">
        <f t="shared" si="49"/>
        <v>8.5336557894736834E-2</v>
      </c>
      <c r="AB155">
        <v>0.24143700000000001</v>
      </c>
      <c r="AC155">
        <v>0.17826</v>
      </c>
      <c r="AD155" s="18">
        <f t="shared" si="43"/>
        <v>0.35345269322737122</v>
      </c>
      <c r="AE155" s="18">
        <f t="shared" si="44"/>
        <v>0.47871961121248086</v>
      </c>
    </row>
    <row r="156" spans="3:31" x14ac:dyDescent="0.25">
      <c r="C156">
        <v>16</v>
      </c>
      <c r="D156">
        <v>16</v>
      </c>
      <c r="E156">
        <v>1</v>
      </c>
      <c r="F156" s="12">
        <v>16</v>
      </c>
      <c r="G156" s="12">
        <v>2</v>
      </c>
      <c r="H156" s="12">
        <v>2</v>
      </c>
      <c r="I156" s="12">
        <v>256</v>
      </c>
      <c r="J156" s="12">
        <v>30</v>
      </c>
      <c r="K156" s="14">
        <f t="shared" si="55"/>
        <v>1</v>
      </c>
      <c r="L156">
        <f>4096</f>
        <v>4096</v>
      </c>
      <c r="M156" s="12">
        <v>128</v>
      </c>
      <c r="N156" s="15">
        <f t="shared" si="50"/>
        <v>431.15789473684208</v>
      </c>
      <c r="O156" s="15">
        <f t="shared" si="51"/>
        <v>34952.533333333333</v>
      </c>
      <c r="P156" s="15">
        <f t="shared" si="52"/>
        <v>4096</v>
      </c>
      <c r="Q156" s="15">
        <f t="shared" si="53"/>
        <v>35383.691228070173</v>
      </c>
      <c r="R156" s="15">
        <f t="shared" si="45"/>
        <v>2048</v>
      </c>
      <c r="S156" s="15">
        <f t="shared" si="46"/>
        <v>34952.533333333333</v>
      </c>
      <c r="T156" s="15">
        <f t="shared" si="47"/>
        <v>4096</v>
      </c>
      <c r="U156" s="15">
        <f t="shared" si="41"/>
        <v>37000.533333333333</v>
      </c>
      <c r="V156" s="15">
        <f t="shared" si="48"/>
        <v>341.33333333333331</v>
      </c>
      <c r="W156" s="12">
        <f t="shared" si="42"/>
        <v>12611</v>
      </c>
      <c r="X156" s="12">
        <v>20000</v>
      </c>
      <c r="Y156" s="16">
        <f t="shared" si="54"/>
        <v>85336.557894736834</v>
      </c>
      <c r="Z156" s="11">
        <f t="shared" si="49"/>
        <v>8.5336557894736834E-2</v>
      </c>
      <c r="AB156">
        <v>0.26584200000000002</v>
      </c>
      <c r="AC156">
        <v>0.20036300000000001</v>
      </c>
      <c r="AD156" s="18">
        <f t="shared" si="43"/>
        <v>0.32100479944755467</v>
      </c>
      <c r="AE156" s="18">
        <f t="shared" si="44"/>
        <v>0.42590976325337926</v>
      </c>
    </row>
    <row r="157" spans="3:31" x14ac:dyDescent="0.25">
      <c r="C157">
        <v>32</v>
      </c>
      <c r="D157">
        <v>16</v>
      </c>
      <c r="E157">
        <v>1</v>
      </c>
      <c r="F157" s="12">
        <v>16</v>
      </c>
      <c r="G157" s="12">
        <v>2</v>
      </c>
      <c r="H157" s="12">
        <v>2</v>
      </c>
      <c r="I157" s="12">
        <v>256</v>
      </c>
      <c r="J157" s="12">
        <v>30</v>
      </c>
      <c r="K157" s="14">
        <f t="shared" si="55"/>
        <v>2</v>
      </c>
      <c r="L157">
        <f>4096</f>
        <v>4096</v>
      </c>
      <c r="M157" s="12">
        <v>128</v>
      </c>
      <c r="N157" s="15">
        <f t="shared" si="50"/>
        <v>862.31578947368416</v>
      </c>
      <c r="O157" s="15">
        <f t="shared" si="51"/>
        <v>69905.066666666666</v>
      </c>
      <c r="P157" s="15">
        <f t="shared" si="52"/>
        <v>8192</v>
      </c>
      <c r="Q157" s="15">
        <f t="shared" si="53"/>
        <v>70767.382456140345</v>
      </c>
      <c r="R157" s="15">
        <f t="shared" si="45"/>
        <v>4096</v>
      </c>
      <c r="S157" s="15">
        <f t="shared" si="46"/>
        <v>69905.066666666666</v>
      </c>
      <c r="T157" s="15">
        <f t="shared" si="47"/>
        <v>8192</v>
      </c>
      <c r="U157" s="15">
        <f t="shared" si="41"/>
        <v>74001.066666666666</v>
      </c>
      <c r="V157" s="15">
        <f t="shared" si="48"/>
        <v>682.66666666666663</v>
      </c>
      <c r="W157" s="12">
        <f t="shared" si="42"/>
        <v>25222</v>
      </c>
      <c r="X157" s="12">
        <v>20000</v>
      </c>
      <c r="Y157" s="16">
        <f t="shared" si="54"/>
        <v>170673.11578947367</v>
      </c>
      <c r="Z157" s="11">
        <f t="shared" si="49"/>
        <v>0.17067311578947367</v>
      </c>
      <c r="AB157">
        <v>0.39705400000000002</v>
      </c>
      <c r="AC157">
        <v>0.32887499999999997</v>
      </c>
      <c r="AD157" s="18">
        <f t="shared" si="43"/>
        <v>0.42984862459381762</v>
      </c>
      <c r="AE157" s="18">
        <f t="shared" si="44"/>
        <v>0.51896044329752544</v>
      </c>
    </row>
    <row r="158" spans="3:31" x14ac:dyDescent="0.25">
      <c r="C158">
        <v>64</v>
      </c>
      <c r="D158">
        <v>16</v>
      </c>
      <c r="E158">
        <v>1</v>
      </c>
      <c r="F158" s="12">
        <v>16</v>
      </c>
      <c r="G158" s="12">
        <v>2</v>
      </c>
      <c r="H158" s="12">
        <v>2</v>
      </c>
      <c r="I158" s="12">
        <v>256</v>
      </c>
      <c r="J158" s="12">
        <v>30</v>
      </c>
      <c r="K158" s="14">
        <f t="shared" si="55"/>
        <v>4</v>
      </c>
      <c r="L158">
        <f>4096</f>
        <v>4096</v>
      </c>
      <c r="M158" s="12">
        <v>128</v>
      </c>
      <c r="N158" s="15">
        <f t="shared" si="50"/>
        <v>1724.6315789473683</v>
      </c>
      <c r="O158" s="15">
        <f t="shared" si="51"/>
        <v>139810.13333333333</v>
      </c>
      <c r="P158" s="15">
        <f t="shared" si="52"/>
        <v>16384</v>
      </c>
      <c r="Q158" s="15">
        <f t="shared" si="53"/>
        <v>141534.76491228069</v>
      </c>
      <c r="R158" s="15">
        <f t="shared" si="45"/>
        <v>8192</v>
      </c>
      <c r="S158" s="15">
        <f t="shared" si="46"/>
        <v>139810.13333333333</v>
      </c>
      <c r="T158" s="15">
        <f t="shared" si="47"/>
        <v>16384</v>
      </c>
      <c r="U158" s="15">
        <f t="shared" si="41"/>
        <v>148002.13333333333</v>
      </c>
      <c r="V158" s="15">
        <f t="shared" si="48"/>
        <v>1365.3333333333333</v>
      </c>
      <c r="W158" s="12">
        <f t="shared" si="42"/>
        <v>50444</v>
      </c>
      <c r="X158" s="12">
        <v>20000</v>
      </c>
      <c r="Y158" s="16">
        <f t="shared" si="54"/>
        <v>341346.23157894734</v>
      </c>
      <c r="Z158" s="11">
        <f t="shared" si="49"/>
        <v>0.34134623157894733</v>
      </c>
      <c r="AB158">
        <v>0.63829100000000005</v>
      </c>
      <c r="AC158">
        <v>0.57359800000000005</v>
      </c>
      <c r="AD158" s="18">
        <f t="shared" si="43"/>
        <v>0.53478152062138951</v>
      </c>
      <c r="AE158" s="18">
        <f t="shared" si="44"/>
        <v>0.59509662094175242</v>
      </c>
    </row>
    <row r="159" spans="3:31" x14ac:dyDescent="0.25">
      <c r="C159">
        <v>128</v>
      </c>
      <c r="D159">
        <v>16</v>
      </c>
      <c r="E159">
        <v>1</v>
      </c>
      <c r="F159" s="12">
        <v>16</v>
      </c>
      <c r="G159" s="12">
        <v>2</v>
      </c>
      <c r="H159" s="12">
        <v>2</v>
      </c>
      <c r="I159" s="12">
        <v>256</v>
      </c>
      <c r="J159" s="12">
        <v>30</v>
      </c>
      <c r="K159" s="14">
        <f t="shared" si="55"/>
        <v>8</v>
      </c>
      <c r="L159">
        <f>4096</f>
        <v>4096</v>
      </c>
      <c r="M159" s="12">
        <v>128</v>
      </c>
      <c r="N159" s="15">
        <f t="shared" si="50"/>
        <v>3449.2631578947367</v>
      </c>
      <c r="O159" s="15">
        <f t="shared" si="51"/>
        <v>279620.26666666666</v>
      </c>
      <c r="P159" s="15">
        <f t="shared" si="52"/>
        <v>32768</v>
      </c>
      <c r="Q159" s="15">
        <f t="shared" si="53"/>
        <v>283069.52982456138</v>
      </c>
      <c r="R159" s="15">
        <f t="shared" si="45"/>
        <v>16384</v>
      </c>
      <c r="S159" s="15">
        <f t="shared" si="46"/>
        <v>279620.26666666666</v>
      </c>
      <c r="T159" s="15">
        <f t="shared" si="47"/>
        <v>32768</v>
      </c>
      <c r="U159" s="15">
        <f t="shared" si="41"/>
        <v>296004.26666666666</v>
      </c>
      <c r="V159" s="15">
        <f t="shared" si="48"/>
        <v>2730.6666666666665</v>
      </c>
      <c r="W159" s="12">
        <f t="shared" si="42"/>
        <v>100888</v>
      </c>
      <c r="X159" s="12">
        <v>20000</v>
      </c>
      <c r="Y159" s="16">
        <f t="shared" si="54"/>
        <v>682692.46315789467</v>
      </c>
      <c r="Z159" s="11">
        <f t="shared" si="49"/>
        <v>0.68269246315789467</v>
      </c>
      <c r="AB159">
        <v>1.133548</v>
      </c>
      <c r="AC159">
        <v>1.030902</v>
      </c>
      <c r="AD159" s="18">
        <f t="shared" si="43"/>
        <v>0.6022616273487269</v>
      </c>
      <c r="AE159" s="18">
        <f t="shared" si="44"/>
        <v>0.66222828470397255</v>
      </c>
    </row>
    <row r="160" spans="3:31" x14ac:dyDescent="0.25">
      <c r="C160">
        <v>256</v>
      </c>
      <c r="D160">
        <v>16</v>
      </c>
      <c r="E160">
        <v>1</v>
      </c>
      <c r="F160" s="12">
        <v>16</v>
      </c>
      <c r="G160" s="12">
        <v>2</v>
      </c>
      <c r="H160" s="12">
        <v>2</v>
      </c>
      <c r="I160" s="12">
        <v>256</v>
      </c>
      <c r="J160" s="12">
        <v>30</v>
      </c>
      <c r="K160" s="14">
        <f t="shared" si="55"/>
        <v>16</v>
      </c>
      <c r="L160">
        <f>4096</f>
        <v>4096</v>
      </c>
      <c r="M160" s="12">
        <v>128</v>
      </c>
      <c r="N160" s="15">
        <f t="shared" si="50"/>
        <v>6898.5263157894733</v>
      </c>
      <c r="O160" s="15">
        <f t="shared" si="51"/>
        <v>559240.53333333333</v>
      </c>
      <c r="P160" s="15">
        <f t="shared" si="52"/>
        <v>65536</v>
      </c>
      <c r="Q160" s="15">
        <f t="shared" si="53"/>
        <v>566139.05964912276</v>
      </c>
      <c r="R160" s="15">
        <f t="shared" si="45"/>
        <v>32768</v>
      </c>
      <c r="S160" s="15">
        <f t="shared" si="46"/>
        <v>559240.53333333333</v>
      </c>
      <c r="T160" s="15">
        <f t="shared" si="47"/>
        <v>65536</v>
      </c>
      <c r="U160" s="15">
        <f t="shared" si="41"/>
        <v>592008.53333333333</v>
      </c>
      <c r="V160" s="15">
        <f t="shared" si="48"/>
        <v>5461.333333333333</v>
      </c>
      <c r="W160" s="12">
        <f t="shared" si="42"/>
        <v>201776</v>
      </c>
      <c r="X160" s="12">
        <v>20000</v>
      </c>
      <c r="Y160" s="16">
        <f t="shared" si="54"/>
        <v>1365384.9263157893</v>
      </c>
      <c r="Z160" s="11">
        <f t="shared" si="49"/>
        <v>1.3653849263157893</v>
      </c>
      <c r="AB160">
        <v>2.1151870000000002</v>
      </c>
      <c r="AC160">
        <v>1.9249510000000001</v>
      </c>
      <c r="AD160" s="18">
        <f t="shared" si="43"/>
        <v>0.64551499527738643</v>
      </c>
      <c r="AE160" s="18">
        <f t="shared" si="44"/>
        <v>0.70930892594969397</v>
      </c>
    </row>
    <row r="161" spans="3:31" x14ac:dyDescent="0.25">
      <c r="C161">
        <v>512</v>
      </c>
      <c r="D161">
        <v>16</v>
      </c>
      <c r="E161">
        <v>1</v>
      </c>
      <c r="F161" s="12">
        <v>16</v>
      </c>
      <c r="G161" s="12">
        <v>2</v>
      </c>
      <c r="H161" s="12">
        <v>2</v>
      </c>
      <c r="I161" s="12">
        <v>256</v>
      </c>
      <c r="J161" s="12">
        <v>30</v>
      </c>
      <c r="K161" s="14">
        <f t="shared" si="55"/>
        <v>32</v>
      </c>
      <c r="L161">
        <f>4096</f>
        <v>4096</v>
      </c>
      <c r="M161" s="12">
        <v>128</v>
      </c>
      <c r="N161" s="15">
        <f t="shared" si="50"/>
        <v>13797.052631578947</v>
      </c>
      <c r="O161" s="15">
        <f t="shared" si="51"/>
        <v>1118481.0666666667</v>
      </c>
      <c r="P161" s="15">
        <f t="shared" si="52"/>
        <v>131072</v>
      </c>
      <c r="Q161" s="15">
        <f t="shared" si="53"/>
        <v>1132278.1192982455</v>
      </c>
      <c r="R161" s="15">
        <f t="shared" si="45"/>
        <v>65536</v>
      </c>
      <c r="S161" s="15">
        <f t="shared" si="46"/>
        <v>1118481.0666666667</v>
      </c>
      <c r="T161" s="15">
        <f t="shared" si="47"/>
        <v>131072</v>
      </c>
      <c r="U161" s="15">
        <f t="shared" si="41"/>
        <v>1184017.0666666667</v>
      </c>
      <c r="V161" s="15">
        <f t="shared" si="48"/>
        <v>10922.666666666666</v>
      </c>
      <c r="W161" s="12">
        <f t="shared" si="42"/>
        <v>403552</v>
      </c>
      <c r="X161" s="12">
        <v>20000</v>
      </c>
      <c r="Y161" s="16">
        <f t="shared" si="54"/>
        <v>2730769.8526315787</v>
      </c>
      <c r="Z161" s="11">
        <f t="shared" si="49"/>
        <v>2.7307698526315787</v>
      </c>
      <c r="AB161">
        <v>4.0663809999999998</v>
      </c>
      <c r="AC161">
        <v>3.6757610000000001</v>
      </c>
      <c r="AD161" s="18">
        <f t="shared" si="43"/>
        <v>0.67154795692572311</v>
      </c>
      <c r="AE161" s="18">
        <f t="shared" si="44"/>
        <v>0.74291278802718097</v>
      </c>
    </row>
    <row r="162" spans="3:31" x14ac:dyDescent="0.25">
      <c r="C162" s="8">
        <v>1</v>
      </c>
      <c r="D162" s="8">
        <v>16</v>
      </c>
      <c r="E162" s="8">
        <v>1</v>
      </c>
      <c r="F162" s="12">
        <v>16</v>
      </c>
      <c r="G162" s="12">
        <v>2</v>
      </c>
      <c r="H162" s="12">
        <v>2</v>
      </c>
      <c r="I162" s="12">
        <v>256</v>
      </c>
      <c r="J162" s="12">
        <v>30</v>
      </c>
      <c r="K162" s="14">
        <f t="shared" si="55"/>
        <v>1</v>
      </c>
      <c r="L162" s="8">
        <f>8192</f>
        <v>8192</v>
      </c>
      <c r="M162" s="12">
        <v>128</v>
      </c>
      <c r="N162" s="15">
        <f t="shared" si="50"/>
        <v>431.15789473684208</v>
      </c>
      <c r="O162" s="15">
        <f t="shared" si="51"/>
        <v>69905.066666666666</v>
      </c>
      <c r="P162" s="15">
        <f t="shared" si="52"/>
        <v>8192</v>
      </c>
      <c r="Q162" s="15">
        <f t="shared" si="53"/>
        <v>70336.224561403506</v>
      </c>
      <c r="R162" s="15">
        <f t="shared" si="45"/>
        <v>4096</v>
      </c>
      <c r="S162" s="15">
        <f t="shared" si="46"/>
        <v>69905.066666666666</v>
      </c>
      <c r="T162" s="15">
        <f t="shared" si="47"/>
        <v>8192</v>
      </c>
      <c r="U162" s="15">
        <f t="shared" si="41"/>
        <v>74001.066666666666</v>
      </c>
      <c r="V162" s="15">
        <f t="shared" si="48"/>
        <v>341.33333333333331</v>
      </c>
      <c r="W162" s="12">
        <f t="shared" si="42"/>
        <v>25027</v>
      </c>
      <c r="X162" s="12">
        <v>20000</v>
      </c>
      <c r="Y162" s="16">
        <f t="shared" si="54"/>
        <v>169705.6245614035</v>
      </c>
      <c r="Z162" s="11">
        <f t="shared" si="49"/>
        <v>0.16970562456140351</v>
      </c>
      <c r="AB162" s="8">
        <v>0.33755600000000002</v>
      </c>
      <c r="AC162">
        <v>0.21532799999999999</v>
      </c>
      <c r="AD162" s="18">
        <f t="shared" si="43"/>
        <v>0.50274806124436688</v>
      </c>
      <c r="AE162" s="18">
        <f t="shared" si="44"/>
        <v>0.78812613576220236</v>
      </c>
    </row>
    <row r="163" spans="3:31" x14ac:dyDescent="0.25">
      <c r="C163" s="8">
        <v>2</v>
      </c>
      <c r="D163" s="8">
        <v>16</v>
      </c>
      <c r="E163" s="8">
        <v>1</v>
      </c>
      <c r="F163" s="12">
        <v>16</v>
      </c>
      <c r="G163" s="12">
        <v>2</v>
      </c>
      <c r="H163" s="12">
        <v>2</v>
      </c>
      <c r="I163" s="12">
        <v>256</v>
      </c>
      <c r="J163" s="12">
        <v>30</v>
      </c>
      <c r="K163" s="14">
        <f t="shared" si="55"/>
        <v>1</v>
      </c>
      <c r="L163" s="8">
        <f>8192</f>
        <v>8192</v>
      </c>
      <c r="M163" s="12">
        <v>128</v>
      </c>
      <c r="N163" s="15">
        <f t="shared" si="50"/>
        <v>431.15789473684208</v>
      </c>
      <c r="O163" s="15">
        <f t="shared" si="51"/>
        <v>69905.066666666666</v>
      </c>
      <c r="P163" s="15">
        <f t="shared" si="52"/>
        <v>8192</v>
      </c>
      <c r="Q163" s="15">
        <f t="shared" si="53"/>
        <v>70336.224561403506</v>
      </c>
      <c r="R163" s="15">
        <f t="shared" si="45"/>
        <v>4096</v>
      </c>
      <c r="S163" s="15">
        <f t="shared" si="46"/>
        <v>69905.066666666666</v>
      </c>
      <c r="T163" s="15">
        <f t="shared" si="47"/>
        <v>8192</v>
      </c>
      <c r="U163" s="15">
        <f t="shared" si="41"/>
        <v>74001.066666666666</v>
      </c>
      <c r="V163" s="15">
        <f t="shared" si="48"/>
        <v>341.33333333333331</v>
      </c>
      <c r="W163" s="12">
        <f t="shared" si="42"/>
        <v>25027</v>
      </c>
      <c r="X163" s="12">
        <v>20000</v>
      </c>
      <c r="Y163" s="16">
        <f t="shared" si="54"/>
        <v>169705.6245614035</v>
      </c>
      <c r="Z163" s="11">
        <f t="shared" si="49"/>
        <v>0.16970562456140351</v>
      </c>
      <c r="AB163" s="8">
        <v>0.372778</v>
      </c>
      <c r="AC163">
        <v>0.246532</v>
      </c>
      <c r="AD163" s="18">
        <f t="shared" si="43"/>
        <v>0.45524581536840564</v>
      </c>
      <c r="AE163" s="18">
        <f t="shared" si="44"/>
        <v>0.68837158892721229</v>
      </c>
    </row>
    <row r="164" spans="3:31" x14ac:dyDescent="0.25">
      <c r="C164">
        <v>4</v>
      </c>
      <c r="D164">
        <v>16</v>
      </c>
      <c r="E164">
        <v>1</v>
      </c>
      <c r="F164" s="12">
        <v>16</v>
      </c>
      <c r="G164" s="12">
        <v>2</v>
      </c>
      <c r="H164" s="12">
        <v>2</v>
      </c>
      <c r="I164" s="12">
        <v>256</v>
      </c>
      <c r="J164" s="12">
        <v>30</v>
      </c>
      <c r="K164" s="14">
        <f t="shared" si="55"/>
        <v>1</v>
      </c>
      <c r="L164">
        <f>8192</f>
        <v>8192</v>
      </c>
      <c r="M164" s="12">
        <v>128</v>
      </c>
      <c r="N164" s="15">
        <f t="shared" si="50"/>
        <v>431.15789473684208</v>
      </c>
      <c r="O164" s="15">
        <f t="shared" si="51"/>
        <v>69905.066666666666</v>
      </c>
      <c r="P164" s="15">
        <f t="shared" si="52"/>
        <v>8192</v>
      </c>
      <c r="Q164" s="15">
        <f t="shared" si="53"/>
        <v>70336.224561403506</v>
      </c>
      <c r="R164" s="15">
        <f t="shared" si="45"/>
        <v>4096</v>
      </c>
      <c r="S164" s="15">
        <f t="shared" si="46"/>
        <v>69905.066666666666</v>
      </c>
      <c r="T164" s="15">
        <f t="shared" si="47"/>
        <v>8192</v>
      </c>
      <c r="U164" s="15">
        <f t="shared" si="41"/>
        <v>74001.066666666666</v>
      </c>
      <c r="V164" s="15">
        <f t="shared" si="48"/>
        <v>341.33333333333331</v>
      </c>
      <c r="W164" s="12">
        <f t="shared" si="42"/>
        <v>25027</v>
      </c>
      <c r="X164" s="12">
        <v>20000</v>
      </c>
      <c r="Y164" s="16">
        <f t="shared" si="54"/>
        <v>169705.6245614035</v>
      </c>
      <c r="Z164" s="11">
        <f t="shared" si="49"/>
        <v>0.16970562456140351</v>
      </c>
      <c r="AB164">
        <v>0.37964799999999999</v>
      </c>
      <c r="AC164">
        <v>0.25464799999999999</v>
      </c>
      <c r="AD164" s="18">
        <f t="shared" si="43"/>
        <v>0.44700781924678523</v>
      </c>
      <c r="AE164" s="18">
        <f t="shared" si="44"/>
        <v>0.66643219095144479</v>
      </c>
    </row>
    <row r="165" spans="3:31" x14ac:dyDescent="0.25">
      <c r="C165">
        <v>8</v>
      </c>
      <c r="D165">
        <v>16</v>
      </c>
      <c r="E165">
        <v>1</v>
      </c>
      <c r="F165" s="12">
        <v>16</v>
      </c>
      <c r="G165" s="12">
        <v>2</v>
      </c>
      <c r="H165" s="12">
        <v>2</v>
      </c>
      <c r="I165" s="12">
        <v>256</v>
      </c>
      <c r="J165" s="12">
        <v>30</v>
      </c>
      <c r="K165" s="14">
        <f t="shared" si="55"/>
        <v>1</v>
      </c>
      <c r="L165">
        <f>8192</f>
        <v>8192</v>
      </c>
      <c r="M165" s="12">
        <v>128</v>
      </c>
      <c r="N165" s="15">
        <f t="shared" si="50"/>
        <v>431.15789473684208</v>
      </c>
      <c r="O165" s="15">
        <f t="shared" si="51"/>
        <v>69905.066666666666</v>
      </c>
      <c r="P165" s="15">
        <f t="shared" si="52"/>
        <v>8192</v>
      </c>
      <c r="Q165" s="15">
        <f t="shared" si="53"/>
        <v>70336.224561403506</v>
      </c>
      <c r="R165" s="15">
        <f t="shared" si="45"/>
        <v>4096</v>
      </c>
      <c r="S165" s="15">
        <f t="shared" si="46"/>
        <v>69905.066666666666</v>
      </c>
      <c r="T165" s="15">
        <f t="shared" si="47"/>
        <v>8192</v>
      </c>
      <c r="U165" s="15">
        <f t="shared" si="41"/>
        <v>74001.066666666666</v>
      </c>
      <c r="V165" s="15">
        <f t="shared" si="48"/>
        <v>341.33333333333331</v>
      </c>
      <c r="W165" s="12">
        <f t="shared" si="42"/>
        <v>25027</v>
      </c>
      <c r="X165" s="12">
        <v>20000</v>
      </c>
      <c r="Y165" s="16">
        <f t="shared" si="54"/>
        <v>169705.6245614035</v>
      </c>
      <c r="Z165" s="11">
        <f t="shared" si="49"/>
        <v>0.16970562456140351</v>
      </c>
      <c r="AB165">
        <v>0.42774600000000002</v>
      </c>
      <c r="AC165">
        <v>0.29363499999999998</v>
      </c>
      <c r="AD165" s="18">
        <f t="shared" si="43"/>
        <v>0.39674391943210108</v>
      </c>
      <c r="AE165" s="18">
        <f t="shared" si="44"/>
        <v>0.57794753541438693</v>
      </c>
    </row>
    <row r="166" spans="3:31" x14ac:dyDescent="0.25">
      <c r="C166">
        <v>16</v>
      </c>
      <c r="D166">
        <v>16</v>
      </c>
      <c r="E166">
        <v>1</v>
      </c>
      <c r="F166" s="12">
        <v>16</v>
      </c>
      <c r="G166" s="12">
        <v>2</v>
      </c>
      <c r="H166" s="12">
        <v>2</v>
      </c>
      <c r="I166" s="12">
        <v>256</v>
      </c>
      <c r="J166" s="12">
        <v>30</v>
      </c>
      <c r="K166" s="14">
        <f t="shared" si="55"/>
        <v>1</v>
      </c>
      <c r="L166">
        <f>8192</f>
        <v>8192</v>
      </c>
      <c r="M166" s="12">
        <v>128</v>
      </c>
      <c r="N166" s="15">
        <f t="shared" si="50"/>
        <v>431.15789473684208</v>
      </c>
      <c r="O166" s="15">
        <f t="shared" si="51"/>
        <v>69905.066666666666</v>
      </c>
      <c r="P166" s="15">
        <f t="shared" si="52"/>
        <v>8192</v>
      </c>
      <c r="Q166" s="15">
        <f t="shared" si="53"/>
        <v>70336.224561403506</v>
      </c>
      <c r="R166" s="15">
        <f t="shared" si="45"/>
        <v>4096</v>
      </c>
      <c r="S166" s="15">
        <f t="shared" si="46"/>
        <v>69905.066666666666</v>
      </c>
      <c r="T166" s="15">
        <f t="shared" si="47"/>
        <v>8192</v>
      </c>
      <c r="U166" s="15">
        <f t="shared" si="41"/>
        <v>74001.066666666666</v>
      </c>
      <c r="V166" s="15">
        <f t="shared" si="48"/>
        <v>341.33333333333331</v>
      </c>
      <c r="W166" s="12">
        <f t="shared" si="42"/>
        <v>25027</v>
      </c>
      <c r="X166" s="12">
        <v>20000</v>
      </c>
      <c r="Y166" s="16">
        <f t="shared" si="54"/>
        <v>169705.6245614035</v>
      </c>
      <c r="Z166" s="11">
        <f t="shared" si="49"/>
        <v>0.16970562456140351</v>
      </c>
      <c r="AB166">
        <v>0.47697000000000001</v>
      </c>
      <c r="AC166">
        <v>0.32696900000000001</v>
      </c>
      <c r="AD166" s="18">
        <f t="shared" si="43"/>
        <v>0.35579936801350925</v>
      </c>
      <c r="AE166" s="18">
        <f t="shared" si="44"/>
        <v>0.51902664950317456</v>
      </c>
    </row>
    <row r="167" spans="3:31" x14ac:dyDescent="0.25">
      <c r="C167">
        <v>32</v>
      </c>
      <c r="D167">
        <v>16</v>
      </c>
      <c r="E167">
        <v>1</v>
      </c>
      <c r="F167" s="12">
        <v>16</v>
      </c>
      <c r="G167" s="12">
        <v>2</v>
      </c>
      <c r="H167" s="12">
        <v>2</v>
      </c>
      <c r="I167" s="12">
        <v>256</v>
      </c>
      <c r="J167" s="12">
        <v>30</v>
      </c>
      <c r="K167" s="14">
        <f t="shared" si="55"/>
        <v>2</v>
      </c>
      <c r="L167">
        <f>8192</f>
        <v>8192</v>
      </c>
      <c r="M167" s="12">
        <v>128</v>
      </c>
      <c r="N167" s="15">
        <f t="shared" si="50"/>
        <v>862.31578947368416</v>
      </c>
      <c r="O167" s="15">
        <f t="shared" si="51"/>
        <v>139810.13333333333</v>
      </c>
      <c r="P167" s="15">
        <f t="shared" si="52"/>
        <v>16384</v>
      </c>
      <c r="Q167" s="15">
        <f t="shared" si="53"/>
        <v>140672.44912280701</v>
      </c>
      <c r="R167" s="15">
        <f t="shared" si="45"/>
        <v>8192</v>
      </c>
      <c r="S167" s="15">
        <f t="shared" si="46"/>
        <v>139810.13333333333</v>
      </c>
      <c r="T167" s="15">
        <f t="shared" si="47"/>
        <v>16384</v>
      </c>
      <c r="U167" s="15">
        <f t="shared" si="41"/>
        <v>148002.13333333333</v>
      </c>
      <c r="V167" s="15">
        <f t="shared" si="48"/>
        <v>682.66666666666663</v>
      </c>
      <c r="W167" s="12">
        <f t="shared" si="42"/>
        <v>50054</v>
      </c>
      <c r="X167" s="12">
        <v>20000</v>
      </c>
      <c r="Y167" s="16">
        <f t="shared" si="54"/>
        <v>339411.249122807</v>
      </c>
      <c r="Z167" s="11">
        <f t="shared" si="49"/>
        <v>0.33941124912280701</v>
      </c>
      <c r="AB167">
        <v>0.75192400000000004</v>
      </c>
      <c r="AC167">
        <v>0.56736299999999995</v>
      </c>
      <c r="AD167" s="18">
        <f t="shared" si="43"/>
        <v>0.45139036541300315</v>
      </c>
      <c r="AE167" s="18">
        <f t="shared" si="44"/>
        <v>0.59822591378501422</v>
      </c>
    </row>
    <row r="168" spans="3:31" x14ac:dyDescent="0.25">
      <c r="C168">
        <v>64</v>
      </c>
      <c r="D168">
        <v>16</v>
      </c>
      <c r="E168">
        <v>1</v>
      </c>
      <c r="F168" s="12">
        <v>16</v>
      </c>
      <c r="G168" s="12">
        <v>2</v>
      </c>
      <c r="H168" s="12">
        <v>2</v>
      </c>
      <c r="I168" s="12">
        <v>256</v>
      </c>
      <c r="J168" s="12">
        <v>30</v>
      </c>
      <c r="K168" s="14">
        <f t="shared" si="55"/>
        <v>4</v>
      </c>
      <c r="L168">
        <f>8192</f>
        <v>8192</v>
      </c>
      <c r="M168" s="12">
        <v>128</v>
      </c>
      <c r="N168" s="15">
        <f t="shared" si="50"/>
        <v>1724.6315789473683</v>
      </c>
      <c r="O168" s="15">
        <f t="shared" si="51"/>
        <v>279620.26666666666</v>
      </c>
      <c r="P168" s="15">
        <f t="shared" si="52"/>
        <v>32768</v>
      </c>
      <c r="Q168" s="15">
        <f t="shared" si="53"/>
        <v>281344.89824561402</v>
      </c>
      <c r="R168" s="15">
        <f t="shared" si="45"/>
        <v>16384</v>
      </c>
      <c r="S168" s="15">
        <f t="shared" si="46"/>
        <v>279620.26666666666</v>
      </c>
      <c r="T168" s="15">
        <f t="shared" si="47"/>
        <v>32768</v>
      </c>
      <c r="U168" s="15">
        <f t="shared" si="41"/>
        <v>296004.26666666666</v>
      </c>
      <c r="V168" s="15">
        <f t="shared" si="48"/>
        <v>1365.3333333333333</v>
      </c>
      <c r="W168" s="12">
        <f t="shared" si="42"/>
        <v>100108</v>
      </c>
      <c r="X168" s="12">
        <v>20000</v>
      </c>
      <c r="Y168" s="16">
        <f t="shared" si="54"/>
        <v>678822.498245614</v>
      </c>
      <c r="Z168" s="11">
        <f t="shared" si="49"/>
        <v>0.67882249824561403</v>
      </c>
      <c r="AB168">
        <v>1.2333890000000001</v>
      </c>
      <c r="AC168">
        <v>1.019587</v>
      </c>
      <c r="AD168" s="18">
        <f t="shared" si="43"/>
        <v>0.55037177909452251</v>
      </c>
      <c r="AE168" s="18">
        <f t="shared" si="44"/>
        <v>0.66578182955021392</v>
      </c>
    </row>
    <row r="169" spans="3:31" x14ac:dyDescent="0.25">
      <c r="C169">
        <v>128</v>
      </c>
      <c r="D169">
        <v>16</v>
      </c>
      <c r="E169">
        <v>1</v>
      </c>
      <c r="F169" s="12">
        <v>16</v>
      </c>
      <c r="G169" s="12">
        <v>2</v>
      </c>
      <c r="H169" s="12">
        <v>2</v>
      </c>
      <c r="I169" s="12">
        <v>256</v>
      </c>
      <c r="J169" s="12">
        <v>30</v>
      </c>
      <c r="K169" s="14">
        <f t="shared" si="55"/>
        <v>8</v>
      </c>
      <c r="L169">
        <f>8192</f>
        <v>8192</v>
      </c>
      <c r="M169" s="12">
        <v>128</v>
      </c>
      <c r="N169" s="15">
        <f t="shared" si="50"/>
        <v>3449.2631578947367</v>
      </c>
      <c r="O169" s="15">
        <f t="shared" si="51"/>
        <v>559240.53333333333</v>
      </c>
      <c r="P169" s="15">
        <f t="shared" si="52"/>
        <v>65536</v>
      </c>
      <c r="Q169" s="15">
        <f t="shared" si="53"/>
        <v>562689.79649122804</v>
      </c>
      <c r="R169" s="15">
        <f t="shared" si="45"/>
        <v>32768</v>
      </c>
      <c r="S169" s="15">
        <f t="shared" si="46"/>
        <v>559240.53333333333</v>
      </c>
      <c r="T169" s="15">
        <f t="shared" si="47"/>
        <v>65536</v>
      </c>
      <c r="U169" s="15">
        <f t="shared" si="41"/>
        <v>592008.53333333333</v>
      </c>
      <c r="V169" s="15">
        <f t="shared" si="48"/>
        <v>2730.6666666666665</v>
      </c>
      <c r="W169" s="12">
        <f t="shared" si="42"/>
        <v>200216</v>
      </c>
      <c r="X169" s="12">
        <v>20000</v>
      </c>
      <c r="Y169" s="16">
        <f t="shared" si="54"/>
        <v>1357644.996491228</v>
      </c>
      <c r="Z169" s="11">
        <f t="shared" si="49"/>
        <v>1.3576449964912281</v>
      </c>
      <c r="AB169">
        <v>2.2064629999999998</v>
      </c>
      <c r="AC169">
        <v>1.900582</v>
      </c>
      <c r="AD169" s="18">
        <f t="shared" si="43"/>
        <v>0.6153037673830144</v>
      </c>
      <c r="AE169" s="18">
        <f t="shared" si="44"/>
        <v>0.7143311872317154</v>
      </c>
    </row>
    <row r="170" spans="3:31" x14ac:dyDescent="0.25">
      <c r="C170">
        <v>256</v>
      </c>
      <c r="D170">
        <v>16</v>
      </c>
      <c r="E170">
        <v>1</v>
      </c>
      <c r="F170" s="12">
        <v>16</v>
      </c>
      <c r="G170" s="12">
        <v>2</v>
      </c>
      <c r="H170" s="12">
        <v>2</v>
      </c>
      <c r="I170" s="12">
        <v>256</v>
      </c>
      <c r="J170" s="12">
        <v>30</v>
      </c>
      <c r="K170" s="14">
        <f t="shared" si="55"/>
        <v>16</v>
      </c>
      <c r="L170">
        <f>8192</f>
        <v>8192</v>
      </c>
      <c r="M170" s="12">
        <v>128</v>
      </c>
      <c r="N170" s="15">
        <f t="shared" si="50"/>
        <v>6898.5263157894733</v>
      </c>
      <c r="O170" s="15">
        <f t="shared" si="51"/>
        <v>1118481.0666666667</v>
      </c>
      <c r="P170" s="15">
        <f t="shared" si="52"/>
        <v>131072</v>
      </c>
      <c r="Q170" s="15">
        <f t="shared" si="53"/>
        <v>1125379.5929824561</v>
      </c>
      <c r="R170" s="15">
        <f t="shared" si="45"/>
        <v>65536</v>
      </c>
      <c r="S170" s="15">
        <f t="shared" si="46"/>
        <v>1118481.0666666667</v>
      </c>
      <c r="T170" s="15">
        <f t="shared" si="47"/>
        <v>131072</v>
      </c>
      <c r="U170" s="15">
        <f t="shared" si="41"/>
        <v>1184017.0666666667</v>
      </c>
      <c r="V170" s="15">
        <f t="shared" si="48"/>
        <v>5461.333333333333</v>
      </c>
      <c r="W170" s="12">
        <f t="shared" si="42"/>
        <v>400432</v>
      </c>
      <c r="X170" s="12">
        <v>20000</v>
      </c>
      <c r="Y170" s="16">
        <f t="shared" si="54"/>
        <v>2715289.992982456</v>
      </c>
      <c r="Z170" s="11">
        <f t="shared" si="49"/>
        <v>2.7152899929824561</v>
      </c>
      <c r="AB170">
        <v>4.1428050000000001</v>
      </c>
      <c r="AC170">
        <v>3.6111629999999999</v>
      </c>
      <c r="AD170" s="18">
        <f t="shared" si="43"/>
        <v>0.65542307518274601</v>
      </c>
      <c r="AE170" s="18">
        <f t="shared" si="44"/>
        <v>0.7519156551455739</v>
      </c>
    </row>
    <row r="171" spans="3:31" x14ac:dyDescent="0.25">
      <c r="C171">
        <v>512</v>
      </c>
      <c r="D171">
        <v>16</v>
      </c>
      <c r="E171">
        <v>1</v>
      </c>
      <c r="F171" s="12">
        <v>16</v>
      </c>
      <c r="G171" s="12">
        <v>2</v>
      </c>
      <c r="H171" s="12">
        <v>2</v>
      </c>
      <c r="I171" s="12">
        <v>256</v>
      </c>
      <c r="J171" s="12">
        <v>30</v>
      </c>
      <c r="K171" s="14">
        <f t="shared" si="55"/>
        <v>32</v>
      </c>
      <c r="L171">
        <f>8192</f>
        <v>8192</v>
      </c>
      <c r="M171" s="12">
        <v>128</v>
      </c>
      <c r="N171" s="15">
        <f t="shared" si="50"/>
        <v>13797.052631578947</v>
      </c>
      <c r="O171" s="15">
        <f t="shared" si="51"/>
        <v>2236962.1333333333</v>
      </c>
      <c r="P171" s="15">
        <f t="shared" si="52"/>
        <v>262144</v>
      </c>
      <c r="Q171" s="15">
        <f t="shared" si="53"/>
        <v>2250759.1859649122</v>
      </c>
      <c r="R171" s="15">
        <f t="shared" si="45"/>
        <v>131072</v>
      </c>
      <c r="S171" s="15">
        <f t="shared" si="46"/>
        <v>2236962.1333333333</v>
      </c>
      <c r="T171" s="15">
        <f t="shared" si="47"/>
        <v>262144</v>
      </c>
      <c r="U171" s="15">
        <f t="shared" si="41"/>
        <v>2368034.1333333333</v>
      </c>
      <c r="V171" s="15">
        <f t="shared" si="48"/>
        <v>10922.666666666666</v>
      </c>
      <c r="W171" s="12">
        <f t="shared" si="42"/>
        <v>800864</v>
      </c>
      <c r="X171" s="12">
        <v>20000</v>
      </c>
      <c r="Y171" s="16">
        <f t="shared" si="54"/>
        <v>5430579.985964912</v>
      </c>
      <c r="Z171" s="11">
        <f t="shared" si="49"/>
        <v>5.4305799859649122</v>
      </c>
      <c r="AB171">
        <v>7.9971370000000004</v>
      </c>
      <c r="AC171">
        <v>7.0099590000000003</v>
      </c>
      <c r="AD171" s="18">
        <f t="shared" si="43"/>
        <v>0.67906551881816102</v>
      </c>
      <c r="AE171" s="18">
        <f t="shared" si="44"/>
        <v>0.77469497124946263</v>
      </c>
    </row>
    <row r="172" spans="3:31" x14ac:dyDescent="0.25">
      <c r="C172" s="8">
        <v>1</v>
      </c>
      <c r="D172" s="8">
        <v>16</v>
      </c>
      <c r="E172" s="8">
        <v>1</v>
      </c>
      <c r="F172" s="12">
        <v>16</v>
      </c>
      <c r="G172" s="12">
        <v>2</v>
      </c>
      <c r="H172" s="12">
        <v>2</v>
      </c>
      <c r="I172" s="12">
        <v>256</v>
      </c>
      <c r="J172" s="12">
        <v>30</v>
      </c>
      <c r="K172" s="14">
        <f t="shared" si="55"/>
        <v>1</v>
      </c>
      <c r="L172" s="8">
        <f>16384</f>
        <v>16384</v>
      </c>
      <c r="M172" s="12">
        <v>128</v>
      </c>
      <c r="N172" s="15">
        <f t="shared" si="50"/>
        <v>431.15789473684208</v>
      </c>
      <c r="O172" s="15">
        <f t="shared" si="51"/>
        <v>139810.13333333333</v>
      </c>
      <c r="P172" s="15">
        <f t="shared" si="52"/>
        <v>16384</v>
      </c>
      <c r="Q172" s="15">
        <f t="shared" si="53"/>
        <v>140241.29122807019</v>
      </c>
      <c r="R172" s="15">
        <f t="shared" si="45"/>
        <v>8192</v>
      </c>
      <c r="S172" s="15">
        <f t="shared" si="46"/>
        <v>139810.13333333333</v>
      </c>
      <c r="T172" s="15">
        <f t="shared" si="47"/>
        <v>16384</v>
      </c>
      <c r="U172" s="15">
        <f t="shared" si="41"/>
        <v>148002.13333333333</v>
      </c>
      <c r="V172" s="15">
        <f t="shared" si="48"/>
        <v>341.33333333333331</v>
      </c>
      <c r="W172" s="12">
        <f t="shared" si="42"/>
        <v>49859</v>
      </c>
      <c r="X172" s="12">
        <v>20000</v>
      </c>
      <c r="Y172" s="16">
        <f t="shared" si="54"/>
        <v>338443.75789473683</v>
      </c>
      <c r="Z172" s="11">
        <f t="shared" si="49"/>
        <v>0.33844375789473685</v>
      </c>
      <c r="AB172" s="8">
        <v>0.61861500000000003</v>
      </c>
      <c r="AC172">
        <v>0.37170599999999998</v>
      </c>
      <c r="AD172" s="18">
        <f t="shared" si="43"/>
        <v>0.54709917783231388</v>
      </c>
      <c r="AE172" s="18">
        <f t="shared" si="44"/>
        <v>0.91051464839076279</v>
      </c>
    </row>
    <row r="173" spans="3:31" x14ac:dyDescent="0.25">
      <c r="C173" s="8">
        <v>2</v>
      </c>
      <c r="D173" s="8">
        <v>16</v>
      </c>
      <c r="E173" s="8">
        <v>1</v>
      </c>
      <c r="F173" s="12">
        <v>16</v>
      </c>
      <c r="G173" s="12">
        <v>2</v>
      </c>
      <c r="H173" s="12">
        <v>2</v>
      </c>
      <c r="I173" s="12">
        <v>256</v>
      </c>
      <c r="J173" s="12">
        <v>30</v>
      </c>
      <c r="K173" s="14">
        <f t="shared" si="55"/>
        <v>1</v>
      </c>
      <c r="L173" s="8">
        <f>16384</f>
        <v>16384</v>
      </c>
      <c r="M173" s="12">
        <v>128</v>
      </c>
      <c r="N173" s="15">
        <f t="shared" si="50"/>
        <v>431.15789473684208</v>
      </c>
      <c r="O173" s="15">
        <f t="shared" si="51"/>
        <v>139810.13333333333</v>
      </c>
      <c r="P173" s="15">
        <f t="shared" si="52"/>
        <v>16384</v>
      </c>
      <c r="Q173" s="15">
        <f t="shared" si="53"/>
        <v>140241.29122807019</v>
      </c>
      <c r="R173" s="15">
        <f t="shared" si="45"/>
        <v>8192</v>
      </c>
      <c r="S173" s="15">
        <f t="shared" si="46"/>
        <v>139810.13333333333</v>
      </c>
      <c r="T173" s="15">
        <f t="shared" si="47"/>
        <v>16384</v>
      </c>
      <c r="U173" s="15">
        <f t="shared" si="41"/>
        <v>148002.13333333333</v>
      </c>
      <c r="V173" s="15">
        <f t="shared" si="48"/>
        <v>341.33333333333331</v>
      </c>
      <c r="W173" s="12">
        <f t="shared" si="42"/>
        <v>49859</v>
      </c>
      <c r="X173" s="12">
        <v>20000</v>
      </c>
      <c r="Y173" s="16">
        <f t="shared" si="54"/>
        <v>338443.75789473683</v>
      </c>
      <c r="Z173" s="11">
        <f t="shared" si="49"/>
        <v>0.33844375789473685</v>
      </c>
      <c r="AB173" s="8">
        <v>0.68911999999999995</v>
      </c>
      <c r="AC173">
        <v>0.424929</v>
      </c>
      <c r="AD173" s="18">
        <f t="shared" si="43"/>
        <v>0.49112456160717566</v>
      </c>
      <c r="AE173" s="18">
        <f t="shared" si="44"/>
        <v>0.79647131143023153</v>
      </c>
    </row>
    <row r="174" spans="3:31" x14ac:dyDescent="0.25">
      <c r="C174">
        <v>4</v>
      </c>
      <c r="D174">
        <v>16</v>
      </c>
      <c r="E174">
        <v>1</v>
      </c>
      <c r="F174" s="12">
        <v>16</v>
      </c>
      <c r="G174" s="12">
        <v>2</v>
      </c>
      <c r="H174" s="12">
        <v>2</v>
      </c>
      <c r="I174" s="12">
        <v>256</v>
      </c>
      <c r="J174" s="12">
        <v>30</v>
      </c>
      <c r="K174" s="14">
        <f t="shared" si="55"/>
        <v>1</v>
      </c>
      <c r="L174">
        <f>16384</f>
        <v>16384</v>
      </c>
      <c r="M174" s="12">
        <v>128</v>
      </c>
      <c r="N174" s="15">
        <f t="shared" si="50"/>
        <v>431.15789473684208</v>
      </c>
      <c r="O174" s="15">
        <f t="shared" si="51"/>
        <v>139810.13333333333</v>
      </c>
      <c r="P174" s="15">
        <f t="shared" si="52"/>
        <v>16384</v>
      </c>
      <c r="Q174" s="15">
        <f t="shared" si="53"/>
        <v>140241.29122807019</v>
      </c>
      <c r="R174" s="15">
        <f t="shared" si="45"/>
        <v>8192</v>
      </c>
      <c r="S174" s="15">
        <f t="shared" si="46"/>
        <v>139810.13333333333</v>
      </c>
      <c r="T174" s="15">
        <f t="shared" si="47"/>
        <v>16384</v>
      </c>
      <c r="U174" s="15">
        <f t="shared" si="41"/>
        <v>148002.13333333333</v>
      </c>
      <c r="V174" s="15">
        <f t="shared" si="48"/>
        <v>341.33333333333331</v>
      </c>
      <c r="W174" s="12">
        <f t="shared" si="42"/>
        <v>49859</v>
      </c>
      <c r="X174" s="12">
        <v>20000</v>
      </c>
      <c r="Y174" s="16">
        <f t="shared" si="54"/>
        <v>338443.75789473683</v>
      </c>
      <c r="Z174" s="11">
        <f t="shared" si="49"/>
        <v>0.33844375789473685</v>
      </c>
      <c r="AB174">
        <v>0.70306599999999997</v>
      </c>
      <c r="AC174">
        <v>0.442131</v>
      </c>
      <c r="AD174" s="18">
        <f t="shared" si="43"/>
        <v>0.48138262680137694</v>
      </c>
      <c r="AE174" s="18">
        <f t="shared" si="44"/>
        <v>0.765482985573816</v>
      </c>
    </row>
    <row r="175" spans="3:31" x14ac:dyDescent="0.25">
      <c r="C175">
        <v>8</v>
      </c>
      <c r="D175">
        <v>16</v>
      </c>
      <c r="E175">
        <v>1</v>
      </c>
      <c r="F175" s="12">
        <v>16</v>
      </c>
      <c r="G175" s="12">
        <v>2</v>
      </c>
      <c r="H175" s="12">
        <v>2</v>
      </c>
      <c r="I175" s="12">
        <v>256</v>
      </c>
      <c r="J175" s="12">
        <v>30</v>
      </c>
      <c r="K175" s="14">
        <f t="shared" si="55"/>
        <v>1</v>
      </c>
      <c r="L175">
        <f>16384</f>
        <v>16384</v>
      </c>
      <c r="M175" s="12">
        <v>128</v>
      </c>
      <c r="N175" s="15">
        <f t="shared" si="50"/>
        <v>431.15789473684208</v>
      </c>
      <c r="O175" s="15">
        <f t="shared" si="51"/>
        <v>139810.13333333333</v>
      </c>
      <c r="P175" s="15">
        <f t="shared" si="52"/>
        <v>16384</v>
      </c>
      <c r="Q175" s="15">
        <f t="shared" si="53"/>
        <v>140241.29122807019</v>
      </c>
      <c r="R175" s="15">
        <f t="shared" si="45"/>
        <v>8192</v>
      </c>
      <c r="S175" s="15">
        <f t="shared" si="46"/>
        <v>139810.13333333333</v>
      </c>
      <c r="T175" s="15">
        <f t="shared" si="47"/>
        <v>16384</v>
      </c>
      <c r="U175" s="15">
        <f t="shared" si="41"/>
        <v>148002.13333333333</v>
      </c>
      <c r="V175" s="15">
        <f t="shared" si="48"/>
        <v>341.33333333333331</v>
      </c>
      <c r="W175" s="12">
        <f t="shared" si="42"/>
        <v>49859</v>
      </c>
      <c r="X175" s="12">
        <v>20000</v>
      </c>
      <c r="Y175" s="16">
        <f t="shared" si="54"/>
        <v>338443.75789473683</v>
      </c>
      <c r="Z175" s="11">
        <f t="shared" si="49"/>
        <v>0.33844375789473685</v>
      </c>
      <c r="AB175">
        <v>0.80169400000000002</v>
      </c>
      <c r="AC175">
        <v>0.50981600000000005</v>
      </c>
      <c r="AD175" s="18">
        <f t="shared" si="43"/>
        <v>0.42216077193385115</v>
      </c>
      <c r="AE175" s="18">
        <f t="shared" si="44"/>
        <v>0.66385471992785006</v>
      </c>
    </row>
    <row r="176" spans="3:31" x14ac:dyDescent="0.25">
      <c r="C176">
        <v>16</v>
      </c>
      <c r="D176">
        <v>16</v>
      </c>
      <c r="E176">
        <v>1</v>
      </c>
      <c r="F176" s="12">
        <v>16</v>
      </c>
      <c r="G176" s="12">
        <v>2</v>
      </c>
      <c r="H176" s="12">
        <v>2</v>
      </c>
      <c r="I176" s="12">
        <v>256</v>
      </c>
      <c r="J176" s="12">
        <v>30</v>
      </c>
      <c r="K176" s="14">
        <f t="shared" si="55"/>
        <v>1</v>
      </c>
      <c r="L176">
        <f>16384</f>
        <v>16384</v>
      </c>
      <c r="M176" s="12">
        <v>128</v>
      </c>
      <c r="N176" s="15">
        <f t="shared" si="50"/>
        <v>431.15789473684208</v>
      </c>
      <c r="O176" s="15">
        <f t="shared" si="51"/>
        <v>139810.13333333333</v>
      </c>
      <c r="P176" s="15">
        <f t="shared" si="52"/>
        <v>16384</v>
      </c>
      <c r="Q176" s="15">
        <f t="shared" si="53"/>
        <v>140241.29122807019</v>
      </c>
      <c r="R176" s="15">
        <f t="shared" si="45"/>
        <v>8192</v>
      </c>
      <c r="S176" s="15">
        <f t="shared" si="46"/>
        <v>139810.13333333333</v>
      </c>
      <c r="T176" s="15">
        <f t="shared" si="47"/>
        <v>16384</v>
      </c>
      <c r="U176" s="15">
        <f t="shared" si="41"/>
        <v>148002.13333333333</v>
      </c>
      <c r="V176" s="15">
        <f t="shared" si="48"/>
        <v>341.33333333333331</v>
      </c>
      <c r="W176" s="12">
        <f t="shared" si="42"/>
        <v>49859</v>
      </c>
      <c r="X176" s="12">
        <v>20000</v>
      </c>
      <c r="Y176" s="16">
        <f t="shared" si="54"/>
        <v>338443.75789473683</v>
      </c>
      <c r="Z176" s="11">
        <f t="shared" si="49"/>
        <v>0.33844375789473685</v>
      </c>
      <c r="AB176">
        <v>0.902223</v>
      </c>
      <c r="AC176">
        <v>0.56533199999999995</v>
      </c>
      <c r="AD176" s="18">
        <f t="shared" si="43"/>
        <v>0.37512206837415679</v>
      </c>
      <c r="AE176" s="18">
        <f t="shared" si="44"/>
        <v>0.5986637195395571</v>
      </c>
    </row>
    <row r="177" spans="3:31" x14ac:dyDescent="0.25">
      <c r="C177">
        <v>32</v>
      </c>
      <c r="D177">
        <v>16</v>
      </c>
      <c r="E177">
        <v>1</v>
      </c>
      <c r="F177" s="12">
        <v>16</v>
      </c>
      <c r="G177" s="12">
        <v>2</v>
      </c>
      <c r="H177" s="12">
        <v>2</v>
      </c>
      <c r="I177" s="12">
        <v>256</v>
      </c>
      <c r="J177" s="12">
        <v>30</v>
      </c>
      <c r="K177" s="14">
        <f t="shared" si="55"/>
        <v>2</v>
      </c>
      <c r="L177">
        <f>16384</f>
        <v>16384</v>
      </c>
      <c r="M177" s="12">
        <v>128</v>
      </c>
      <c r="N177" s="15">
        <f t="shared" si="50"/>
        <v>862.31578947368416</v>
      </c>
      <c r="O177" s="15">
        <f t="shared" si="51"/>
        <v>279620.26666666666</v>
      </c>
      <c r="P177" s="15">
        <f t="shared" si="52"/>
        <v>32768</v>
      </c>
      <c r="Q177" s="15">
        <f t="shared" si="53"/>
        <v>280482.58245614037</v>
      </c>
      <c r="R177" s="15">
        <f t="shared" si="45"/>
        <v>16384</v>
      </c>
      <c r="S177" s="15">
        <f t="shared" si="46"/>
        <v>279620.26666666666</v>
      </c>
      <c r="T177" s="15">
        <f t="shared" si="47"/>
        <v>32768</v>
      </c>
      <c r="U177" s="15">
        <f t="shared" si="41"/>
        <v>296004.26666666666</v>
      </c>
      <c r="V177" s="15">
        <f t="shared" si="48"/>
        <v>682.66666666666663</v>
      </c>
      <c r="W177" s="12">
        <f t="shared" si="42"/>
        <v>99718</v>
      </c>
      <c r="X177" s="12">
        <v>20000</v>
      </c>
      <c r="Y177" s="16">
        <f t="shared" si="54"/>
        <v>676887.51578947366</v>
      </c>
      <c r="Z177" s="11">
        <f t="shared" si="49"/>
        <v>0.6768875157894737</v>
      </c>
      <c r="AB177">
        <v>1.455519</v>
      </c>
      <c r="AC177">
        <v>1.0184200000000001</v>
      </c>
      <c r="AD177" s="18">
        <f t="shared" si="43"/>
        <v>0.46504890406066407</v>
      </c>
      <c r="AE177" s="18">
        <f t="shared" si="44"/>
        <v>0.66464475932274858</v>
      </c>
    </row>
    <row r="178" spans="3:31" x14ac:dyDescent="0.25">
      <c r="C178">
        <v>64</v>
      </c>
      <c r="D178">
        <v>16</v>
      </c>
      <c r="E178">
        <v>1</v>
      </c>
      <c r="F178" s="12">
        <v>16</v>
      </c>
      <c r="G178" s="12">
        <v>2</v>
      </c>
      <c r="H178" s="12">
        <v>2</v>
      </c>
      <c r="I178" s="12">
        <v>256</v>
      </c>
      <c r="J178" s="12">
        <v>30</v>
      </c>
      <c r="K178" s="14">
        <f t="shared" si="55"/>
        <v>4</v>
      </c>
      <c r="L178">
        <f>16384</f>
        <v>16384</v>
      </c>
      <c r="M178" s="12">
        <v>128</v>
      </c>
      <c r="N178" s="15">
        <f t="shared" si="50"/>
        <v>1724.6315789473683</v>
      </c>
      <c r="O178" s="15">
        <f t="shared" si="51"/>
        <v>559240.53333333333</v>
      </c>
      <c r="P178" s="15">
        <f t="shared" si="52"/>
        <v>65536</v>
      </c>
      <c r="Q178" s="15">
        <f t="shared" si="53"/>
        <v>560965.16491228074</v>
      </c>
      <c r="R178" s="15">
        <f t="shared" si="45"/>
        <v>32768</v>
      </c>
      <c r="S178" s="15">
        <f t="shared" si="46"/>
        <v>559240.53333333333</v>
      </c>
      <c r="T178" s="15">
        <f t="shared" si="47"/>
        <v>65536</v>
      </c>
      <c r="U178" s="15">
        <f t="shared" si="41"/>
        <v>592008.53333333333</v>
      </c>
      <c r="V178" s="15">
        <f t="shared" si="48"/>
        <v>1365.3333333333333</v>
      </c>
      <c r="W178" s="12">
        <f t="shared" si="42"/>
        <v>199436</v>
      </c>
      <c r="X178" s="12">
        <v>20000</v>
      </c>
      <c r="Y178" s="16">
        <f t="shared" si="54"/>
        <v>1353775.0315789473</v>
      </c>
      <c r="Z178" s="11">
        <f t="shared" si="49"/>
        <v>1.3537750315789474</v>
      </c>
      <c r="AB178">
        <v>2.411397</v>
      </c>
      <c r="AC178">
        <v>1.8884669999999999</v>
      </c>
      <c r="AD178" s="18">
        <f t="shared" si="43"/>
        <v>0.56140694857750395</v>
      </c>
      <c r="AE178" s="18">
        <f t="shared" si="44"/>
        <v>0.71686454228691709</v>
      </c>
    </row>
    <row r="179" spans="3:31" x14ac:dyDescent="0.25">
      <c r="C179">
        <v>128</v>
      </c>
      <c r="D179">
        <v>16</v>
      </c>
      <c r="E179">
        <v>1</v>
      </c>
      <c r="F179" s="12">
        <v>16</v>
      </c>
      <c r="G179" s="12">
        <v>2</v>
      </c>
      <c r="H179" s="12">
        <v>2</v>
      </c>
      <c r="I179" s="12">
        <v>256</v>
      </c>
      <c r="J179" s="12">
        <v>30</v>
      </c>
      <c r="K179" s="14">
        <f t="shared" si="55"/>
        <v>8</v>
      </c>
      <c r="L179">
        <f>16384</f>
        <v>16384</v>
      </c>
      <c r="M179" s="12">
        <v>128</v>
      </c>
      <c r="N179" s="15">
        <f t="shared" si="50"/>
        <v>3449.2631578947367</v>
      </c>
      <c r="O179" s="15">
        <f t="shared" si="51"/>
        <v>1118481.0666666667</v>
      </c>
      <c r="P179" s="15">
        <f t="shared" si="52"/>
        <v>131072</v>
      </c>
      <c r="Q179" s="15">
        <f t="shared" si="53"/>
        <v>1121930.3298245615</v>
      </c>
      <c r="R179" s="15">
        <f t="shared" si="45"/>
        <v>65536</v>
      </c>
      <c r="S179" s="15">
        <f t="shared" si="46"/>
        <v>1118481.0666666667</v>
      </c>
      <c r="T179" s="15">
        <f t="shared" si="47"/>
        <v>131072</v>
      </c>
      <c r="U179" s="15">
        <f t="shared" si="41"/>
        <v>1184017.0666666667</v>
      </c>
      <c r="V179" s="15">
        <f t="shared" si="48"/>
        <v>2730.6666666666665</v>
      </c>
      <c r="W179" s="12">
        <f t="shared" si="42"/>
        <v>398872</v>
      </c>
      <c r="X179" s="12">
        <v>20000</v>
      </c>
      <c r="Y179" s="16">
        <f t="shared" si="54"/>
        <v>2707550.0631578946</v>
      </c>
      <c r="Z179" s="11">
        <f t="shared" si="49"/>
        <v>2.7075500631578948</v>
      </c>
      <c r="AB179">
        <v>4.3425989999999999</v>
      </c>
      <c r="AC179">
        <v>3.5855410000000001</v>
      </c>
      <c r="AD179" s="18">
        <f t="shared" si="43"/>
        <v>0.62348608820613993</v>
      </c>
      <c r="AE179" s="18">
        <f t="shared" si="44"/>
        <v>0.7551301360541951</v>
      </c>
    </row>
    <row r="180" spans="3:31" x14ac:dyDescent="0.25">
      <c r="C180">
        <v>256</v>
      </c>
      <c r="D180">
        <v>16</v>
      </c>
      <c r="E180">
        <v>1</v>
      </c>
      <c r="F180" s="12">
        <v>16</v>
      </c>
      <c r="G180" s="12">
        <v>2</v>
      </c>
      <c r="H180" s="12">
        <v>2</v>
      </c>
      <c r="I180" s="12">
        <v>256</v>
      </c>
      <c r="J180" s="12">
        <v>30</v>
      </c>
      <c r="K180" s="14">
        <f t="shared" si="55"/>
        <v>16</v>
      </c>
      <c r="L180">
        <f>16384</f>
        <v>16384</v>
      </c>
      <c r="M180" s="12">
        <v>128</v>
      </c>
      <c r="N180" s="15">
        <f t="shared" si="50"/>
        <v>6898.5263157894733</v>
      </c>
      <c r="O180" s="15">
        <f t="shared" si="51"/>
        <v>2236962.1333333333</v>
      </c>
      <c r="P180" s="15">
        <f t="shared" si="52"/>
        <v>262144</v>
      </c>
      <c r="Q180" s="15">
        <f t="shared" si="53"/>
        <v>2243860.659649123</v>
      </c>
      <c r="R180" s="15">
        <f t="shared" si="45"/>
        <v>131072</v>
      </c>
      <c r="S180" s="15">
        <f t="shared" si="46"/>
        <v>2236962.1333333333</v>
      </c>
      <c r="T180" s="15">
        <f t="shared" si="47"/>
        <v>262144</v>
      </c>
      <c r="U180" s="15">
        <f t="shared" si="41"/>
        <v>2368034.1333333333</v>
      </c>
      <c r="V180" s="15">
        <f t="shared" si="48"/>
        <v>5461.333333333333</v>
      </c>
      <c r="W180" s="12">
        <f t="shared" si="42"/>
        <v>797744</v>
      </c>
      <c r="X180" s="12">
        <v>20000</v>
      </c>
      <c r="Y180" s="16">
        <f t="shared" si="54"/>
        <v>5415100.1263157893</v>
      </c>
      <c r="Z180" s="11">
        <f t="shared" si="49"/>
        <v>5.4151001263157896</v>
      </c>
      <c r="AB180">
        <v>8.1776940000000007</v>
      </c>
      <c r="AC180">
        <v>6.9129670000000001</v>
      </c>
      <c r="AD180" s="18">
        <f t="shared" si="43"/>
        <v>0.66217935353362323</v>
      </c>
      <c r="AE180" s="18">
        <f t="shared" si="44"/>
        <v>0.78332503631447825</v>
      </c>
    </row>
    <row r="181" spans="3:31" x14ac:dyDescent="0.25">
      <c r="C181">
        <v>512</v>
      </c>
      <c r="D181">
        <v>16</v>
      </c>
      <c r="E181">
        <v>1</v>
      </c>
      <c r="F181" s="12">
        <v>16</v>
      </c>
      <c r="G181" s="12">
        <v>2</v>
      </c>
      <c r="H181" s="12">
        <v>2</v>
      </c>
      <c r="I181" s="12">
        <v>256</v>
      </c>
      <c r="J181" s="12">
        <v>30</v>
      </c>
      <c r="K181" s="14">
        <f t="shared" si="55"/>
        <v>32</v>
      </c>
      <c r="L181">
        <f>16384</f>
        <v>16384</v>
      </c>
      <c r="M181" s="12">
        <v>128</v>
      </c>
      <c r="N181" s="15">
        <f t="shared" si="50"/>
        <v>13797.052631578947</v>
      </c>
      <c r="O181" s="15">
        <f t="shared" si="51"/>
        <v>4473924.2666666666</v>
      </c>
      <c r="P181" s="15">
        <f t="shared" si="52"/>
        <v>524288</v>
      </c>
      <c r="Q181" s="15">
        <f t="shared" si="53"/>
        <v>4487721.3192982459</v>
      </c>
      <c r="R181" s="15">
        <f t="shared" si="45"/>
        <v>262144</v>
      </c>
      <c r="S181" s="15">
        <f t="shared" si="46"/>
        <v>4473924.2666666666</v>
      </c>
      <c r="T181" s="15">
        <f t="shared" si="47"/>
        <v>524288</v>
      </c>
      <c r="U181" s="15">
        <f t="shared" si="41"/>
        <v>4736068.2666666666</v>
      </c>
      <c r="V181" s="15">
        <f t="shared" si="48"/>
        <v>10922.666666666666</v>
      </c>
      <c r="W181" s="12">
        <f t="shared" si="42"/>
        <v>1595488</v>
      </c>
      <c r="X181" s="12">
        <v>20000</v>
      </c>
      <c r="Y181" s="16">
        <f t="shared" si="54"/>
        <v>10830200.252631579</v>
      </c>
      <c r="Z181" s="11">
        <f t="shared" si="49"/>
        <v>10.830200252631579</v>
      </c>
      <c r="AB181">
        <v>15.844125</v>
      </c>
      <c r="AC181">
        <v>13.520142999999999</v>
      </c>
      <c r="AD181" s="18">
        <f t="shared" si="43"/>
        <v>0.68354675645588381</v>
      </c>
      <c r="AE181" s="18">
        <f t="shared" si="44"/>
        <v>0.80104184198581185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81"/>
  <sheetViews>
    <sheetView topLeftCell="B1" workbookViewId="0">
      <pane ySplit="1" topLeftCell="A155" activePane="bottomLeft" state="frozen"/>
      <selection activeCell="C1" sqref="C1"/>
      <selection pane="bottomLeft" activeCell="A158" sqref="A158:XFD158"/>
    </sheetView>
  </sheetViews>
  <sheetFormatPr defaultRowHeight="13.8" x14ac:dyDescent="0.25"/>
  <cols>
    <col min="12" max="12" width="9.77734375" bestFit="1" customWidth="1"/>
    <col min="13" max="13" width="11.5546875" customWidth="1"/>
    <col min="14" max="14" width="7.5546875" bestFit="1" customWidth="1"/>
    <col min="15" max="15" width="10.109375" bestFit="1" customWidth="1"/>
    <col min="17" max="17" width="10.109375" bestFit="1" customWidth="1"/>
    <col min="18" max="18" width="8.109375" bestFit="1" customWidth="1"/>
    <col min="19" max="19" width="10.109375" bestFit="1" customWidth="1"/>
    <col min="21" max="21" width="9.109375" bestFit="1" customWidth="1"/>
    <col min="23" max="23" width="9.109375" bestFit="1" customWidth="1"/>
    <col min="25" max="25" width="10.109375" bestFit="1" customWidth="1"/>
  </cols>
  <sheetData>
    <row r="1" spans="1:31" s="19" customFormat="1" x14ac:dyDescent="0.25">
      <c r="A1" s="19" t="s">
        <v>38</v>
      </c>
      <c r="B1" s="20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  <c r="J1" s="20" t="s">
        <v>47</v>
      </c>
      <c r="K1" s="20" t="s">
        <v>48</v>
      </c>
      <c r="L1" s="20" t="s">
        <v>61</v>
      </c>
      <c r="M1" s="20" t="s">
        <v>62</v>
      </c>
      <c r="N1" s="20" t="s">
        <v>50</v>
      </c>
      <c r="O1" s="20" t="s">
        <v>51</v>
      </c>
      <c r="P1" s="20" t="s">
        <v>52</v>
      </c>
      <c r="Q1" s="21" t="s">
        <v>53</v>
      </c>
      <c r="R1" s="22" t="s">
        <v>54</v>
      </c>
      <c r="S1" s="22" t="s">
        <v>55</v>
      </c>
      <c r="T1" s="20" t="s">
        <v>52</v>
      </c>
      <c r="U1" s="21" t="s">
        <v>56</v>
      </c>
      <c r="V1" s="22" t="s">
        <v>57</v>
      </c>
      <c r="W1" s="20" t="s">
        <v>58</v>
      </c>
      <c r="X1" s="20" t="s">
        <v>59</v>
      </c>
      <c r="Y1" s="20" t="s">
        <v>60</v>
      </c>
    </row>
    <row r="2" spans="1:31" s="11" customFormat="1" x14ac:dyDescent="0.25">
      <c r="B2">
        <v>1</v>
      </c>
      <c r="C2">
        <v>8</v>
      </c>
      <c r="D2">
        <v>1</v>
      </c>
      <c r="E2" s="12">
        <v>16</v>
      </c>
      <c r="F2" s="12">
        <v>2</v>
      </c>
      <c r="G2" s="12">
        <v>2</v>
      </c>
      <c r="H2" s="12">
        <v>256</v>
      </c>
      <c r="I2" s="12">
        <v>30</v>
      </c>
      <c r="J2" s="14">
        <f>_xlfn.CEILING.MATH(B2*D2/E2)</f>
        <v>1</v>
      </c>
      <c r="K2">
        <v>64</v>
      </c>
      <c r="L2" s="12">
        <v>576</v>
      </c>
      <c r="M2" s="12">
        <v>512</v>
      </c>
      <c r="N2" s="15">
        <f>F2*J2*64*L2/38</f>
        <v>1940.2105263157894</v>
      </c>
      <c r="O2" s="15">
        <f>G2*J2*_xlfn.CEILING.MATH(K2/64)*64*L2/I2</f>
        <v>2457.6</v>
      </c>
      <c r="P2" s="15">
        <f>64*L2*_xlfn.CEILING.MATH(K2/128)*128*J2/8192</f>
        <v>576</v>
      </c>
      <c r="Q2" s="15">
        <f>N2+O2</f>
        <v>4397.8105263157895</v>
      </c>
      <c r="R2" s="15">
        <f>F2*J2*64*_xlfn.CEILING.MATH(K2/128)*128/H2</f>
        <v>64</v>
      </c>
      <c r="S2" s="15">
        <f>G2*J2*_xlfn.CEILING.MATH(K2/128)*128*M2/I2</f>
        <v>4369.0666666666666</v>
      </c>
      <c r="T2" s="15">
        <f t="shared" ref="T2:T65" si="0">64*L2*_xlfn.CEILING.MATH(K2/128)*128*J2/8192</f>
        <v>576</v>
      </c>
      <c r="U2" s="15">
        <f>S2+R2</f>
        <v>4433.0666666666666</v>
      </c>
      <c r="V2" s="15">
        <f>J2*8*128/30*10</f>
        <v>341.33333333333331</v>
      </c>
      <c r="W2" s="12">
        <f>J2*(_xlfn.CEILING.MATH(K2/32)*97+195)</f>
        <v>389</v>
      </c>
      <c r="X2" s="12"/>
      <c r="Y2" s="16">
        <f>Q2+U2+W2+V2</f>
        <v>9561.21052631579</v>
      </c>
      <c r="Z2" s="11">
        <f t="shared" ref="Z2:Z65" si="1">Y2/1000000</f>
        <v>9.5612105263157901E-3</v>
      </c>
      <c r="AA2" s="17"/>
      <c r="AB2">
        <v>6.8062999999999999E-2</v>
      </c>
      <c r="AC2">
        <v>7.3222999999999996E-2</v>
      </c>
      <c r="AD2" s="18">
        <f>Z2/AB2</f>
        <v>0.14047589037091798</v>
      </c>
      <c r="AE2" s="18">
        <f>Z2/AC2</f>
        <v>0.13057660197363929</v>
      </c>
    </row>
    <row r="3" spans="1:31" s="11" customFormat="1" x14ac:dyDescent="0.25">
      <c r="B3">
        <v>2</v>
      </c>
      <c r="C3">
        <v>8</v>
      </c>
      <c r="D3">
        <v>1</v>
      </c>
      <c r="E3" s="12">
        <v>16</v>
      </c>
      <c r="F3" s="12">
        <v>2</v>
      </c>
      <c r="G3" s="12">
        <v>2</v>
      </c>
      <c r="H3" s="12">
        <v>256</v>
      </c>
      <c r="I3" s="12">
        <v>30</v>
      </c>
      <c r="J3" s="14">
        <f>_xlfn.CEILING.MATH(B3*D3/E3)</f>
        <v>1</v>
      </c>
      <c r="K3">
        <v>64</v>
      </c>
      <c r="L3" s="12">
        <v>576</v>
      </c>
      <c r="M3" s="12">
        <v>512</v>
      </c>
      <c r="N3" s="15">
        <f t="shared" ref="N3:N66" si="2">F3*J3*64*L3/38</f>
        <v>1940.2105263157894</v>
      </c>
      <c r="O3" s="15">
        <f t="shared" ref="O3:O66" si="3">G3*J3*_xlfn.CEILING.MATH(K3/64)*64*L3/I3</f>
        <v>2457.6</v>
      </c>
      <c r="P3" s="15">
        <f t="shared" ref="P3:P66" si="4">64*L3*_xlfn.CEILING.MATH(K3/128)*128*J3/8192</f>
        <v>576</v>
      </c>
      <c r="Q3" s="15">
        <f t="shared" ref="Q3:Q66" si="5">N3+O3</f>
        <v>4397.8105263157895</v>
      </c>
      <c r="R3" s="15">
        <f t="shared" ref="R3:R66" si="6">F3*J3*64*_xlfn.CEILING.MATH(K3/128)*128/H3</f>
        <v>64</v>
      </c>
      <c r="S3" s="15">
        <f t="shared" ref="S3:S66" si="7">G3*J3*_xlfn.CEILING.MATH(K3/128)*128*M3/I3</f>
        <v>4369.0666666666666</v>
      </c>
      <c r="T3" s="15">
        <f t="shared" si="0"/>
        <v>576</v>
      </c>
      <c r="U3" s="15">
        <f t="shared" ref="U3:U66" si="8">S3+R3</f>
        <v>4433.0666666666666</v>
      </c>
      <c r="V3" s="15">
        <f t="shared" ref="V3:V65" si="9">J3*8*128/30*10</f>
        <v>341.33333333333331</v>
      </c>
      <c r="W3" s="12">
        <f t="shared" ref="W3:W66" si="10">J3*(_xlfn.CEILING.MATH(K3/32)*97+195)</f>
        <v>389</v>
      </c>
      <c r="X3" s="12"/>
      <c r="Y3" s="16">
        <f t="shared" ref="Y3:Y66" si="11">Q3+U3+W3+V3</f>
        <v>9561.21052631579</v>
      </c>
      <c r="Z3" s="11">
        <f t="shared" si="1"/>
        <v>9.5612105263157901E-3</v>
      </c>
      <c r="AA3" s="17"/>
      <c r="AB3">
        <v>6.9972999999999994E-2</v>
      </c>
      <c r="AC3">
        <v>7.4273000000000006E-2</v>
      </c>
      <c r="AD3" s="18">
        <f t="shared" ref="AD3:AD66" si="12">Z3/AB3</f>
        <v>0.13664142635467669</v>
      </c>
      <c r="AE3" s="18">
        <f t="shared" ref="AE3:AE66" si="13">Z3/AC3</f>
        <v>0.12873063598233261</v>
      </c>
    </row>
    <row r="4" spans="1:31" s="11" customFormat="1" x14ac:dyDescent="0.25">
      <c r="B4">
        <v>4</v>
      </c>
      <c r="C4">
        <v>8</v>
      </c>
      <c r="D4">
        <v>1</v>
      </c>
      <c r="E4" s="12">
        <v>16</v>
      </c>
      <c r="F4" s="12">
        <v>2</v>
      </c>
      <c r="G4" s="12">
        <v>2</v>
      </c>
      <c r="H4" s="12">
        <v>256</v>
      </c>
      <c r="I4" s="12">
        <v>30</v>
      </c>
      <c r="J4" s="14">
        <f>_xlfn.CEILING.MATH(B4*D4/E4)</f>
        <v>1</v>
      </c>
      <c r="K4">
        <v>64</v>
      </c>
      <c r="L4" s="12">
        <v>576</v>
      </c>
      <c r="M4" s="12">
        <v>512</v>
      </c>
      <c r="N4" s="15">
        <f>F4*J4*64*L4/38</f>
        <v>1940.2105263157894</v>
      </c>
      <c r="O4" s="15">
        <f t="shared" si="3"/>
        <v>2457.6</v>
      </c>
      <c r="P4" s="15">
        <f t="shared" si="4"/>
        <v>576</v>
      </c>
      <c r="Q4" s="15">
        <f t="shared" si="5"/>
        <v>4397.8105263157895</v>
      </c>
      <c r="R4" s="15">
        <f t="shared" si="6"/>
        <v>64</v>
      </c>
      <c r="S4" s="15">
        <f t="shared" si="7"/>
        <v>4369.0666666666666</v>
      </c>
      <c r="T4" s="15">
        <f t="shared" si="0"/>
        <v>576</v>
      </c>
      <c r="U4" s="15">
        <f t="shared" si="8"/>
        <v>4433.0666666666666</v>
      </c>
      <c r="V4" s="15">
        <f t="shared" si="9"/>
        <v>341.33333333333331</v>
      </c>
      <c r="W4" s="12">
        <f t="shared" si="10"/>
        <v>389</v>
      </c>
      <c r="X4" s="12"/>
      <c r="Y4" s="16">
        <f t="shared" si="11"/>
        <v>9561.21052631579</v>
      </c>
      <c r="Z4" s="11">
        <f t="shared" si="1"/>
        <v>9.5612105263157901E-3</v>
      </c>
      <c r="AA4" s="17"/>
      <c r="AB4">
        <v>6.9059999999999996E-2</v>
      </c>
      <c r="AC4">
        <v>7.4246000000000006E-2</v>
      </c>
      <c r="AD4" s="18">
        <f t="shared" si="12"/>
        <v>0.13844787903729786</v>
      </c>
      <c r="AE4" s="18">
        <f t="shared" si="13"/>
        <v>0.12877744964463794</v>
      </c>
    </row>
    <row r="5" spans="1:31" s="11" customFormat="1" x14ac:dyDescent="0.25">
      <c r="B5">
        <v>8</v>
      </c>
      <c r="C5">
        <v>8</v>
      </c>
      <c r="D5">
        <v>1</v>
      </c>
      <c r="E5" s="12">
        <v>16</v>
      </c>
      <c r="F5" s="12">
        <v>2</v>
      </c>
      <c r="G5" s="12">
        <v>2</v>
      </c>
      <c r="H5" s="12">
        <v>256</v>
      </c>
      <c r="I5" s="12">
        <v>30</v>
      </c>
      <c r="J5" s="14">
        <f>_xlfn.CEILING.MATH(B5*D5/E5)</f>
        <v>1</v>
      </c>
      <c r="K5">
        <v>64</v>
      </c>
      <c r="L5" s="12">
        <v>576</v>
      </c>
      <c r="M5" s="12">
        <v>512</v>
      </c>
      <c r="N5" s="15">
        <f t="shared" si="2"/>
        <v>1940.2105263157894</v>
      </c>
      <c r="O5" s="15">
        <f t="shared" si="3"/>
        <v>2457.6</v>
      </c>
      <c r="P5" s="15">
        <f t="shared" si="4"/>
        <v>576</v>
      </c>
      <c r="Q5" s="15">
        <f t="shared" si="5"/>
        <v>4397.8105263157895</v>
      </c>
      <c r="R5" s="15">
        <f t="shared" si="6"/>
        <v>64</v>
      </c>
      <c r="S5" s="15">
        <f t="shared" si="7"/>
        <v>4369.0666666666666</v>
      </c>
      <c r="T5" s="15">
        <f t="shared" si="0"/>
        <v>576</v>
      </c>
      <c r="U5" s="15">
        <f t="shared" si="8"/>
        <v>4433.0666666666666</v>
      </c>
      <c r="V5" s="15">
        <f t="shared" si="9"/>
        <v>341.33333333333331</v>
      </c>
      <c r="W5" s="12">
        <f t="shared" si="10"/>
        <v>389</v>
      </c>
      <c r="X5" s="12"/>
      <c r="Y5" s="16">
        <f t="shared" si="11"/>
        <v>9561.21052631579</v>
      </c>
      <c r="Z5" s="11">
        <f t="shared" si="1"/>
        <v>9.5612105263157901E-3</v>
      </c>
      <c r="AA5" s="17"/>
      <c r="AB5">
        <v>7.1821999999999997E-2</v>
      </c>
      <c r="AC5">
        <v>7.6605000000000006E-2</v>
      </c>
      <c r="AD5" s="18">
        <f t="shared" si="12"/>
        <v>0.13312370201770754</v>
      </c>
      <c r="AE5" s="18">
        <f t="shared" si="13"/>
        <v>0.1248118337747639</v>
      </c>
    </row>
    <row r="6" spans="1:31" x14ac:dyDescent="0.25">
      <c r="B6">
        <v>16</v>
      </c>
      <c r="C6">
        <v>8</v>
      </c>
      <c r="D6">
        <v>1</v>
      </c>
      <c r="E6" s="12">
        <v>16</v>
      </c>
      <c r="F6" s="12">
        <v>2</v>
      </c>
      <c r="G6" s="12">
        <v>2</v>
      </c>
      <c r="H6" s="12">
        <v>256</v>
      </c>
      <c r="I6" s="12">
        <v>30</v>
      </c>
      <c r="J6" s="14">
        <f t="shared" ref="J6:J69" si="14">_xlfn.CEILING.MATH(B6*D6/E6)</f>
        <v>1</v>
      </c>
      <c r="K6">
        <v>64</v>
      </c>
      <c r="L6" s="12">
        <v>576</v>
      </c>
      <c r="M6" s="12">
        <v>512</v>
      </c>
      <c r="N6" s="15">
        <f t="shared" si="2"/>
        <v>1940.2105263157894</v>
      </c>
      <c r="O6" s="15">
        <f t="shared" si="3"/>
        <v>2457.6</v>
      </c>
      <c r="P6" s="15">
        <f t="shared" si="4"/>
        <v>576</v>
      </c>
      <c r="Q6" s="15">
        <f t="shared" si="5"/>
        <v>4397.8105263157895</v>
      </c>
      <c r="R6" s="15">
        <f t="shared" si="6"/>
        <v>64</v>
      </c>
      <c r="S6" s="15">
        <f t="shared" si="7"/>
        <v>4369.0666666666666</v>
      </c>
      <c r="T6" s="15">
        <f t="shared" si="0"/>
        <v>576</v>
      </c>
      <c r="U6" s="15">
        <f t="shared" si="8"/>
        <v>4433.0666666666666</v>
      </c>
      <c r="V6" s="15">
        <f t="shared" si="9"/>
        <v>341.33333333333331</v>
      </c>
      <c r="W6" s="12">
        <f t="shared" si="10"/>
        <v>389</v>
      </c>
      <c r="X6" s="12"/>
      <c r="Y6" s="16">
        <f t="shared" si="11"/>
        <v>9561.21052631579</v>
      </c>
      <c r="Z6" s="11">
        <f t="shared" si="1"/>
        <v>9.5612105263157901E-3</v>
      </c>
      <c r="AB6">
        <v>7.5857999999999995E-2</v>
      </c>
      <c r="AC6">
        <v>8.0499000000000001E-2</v>
      </c>
      <c r="AD6" s="18">
        <f t="shared" si="12"/>
        <v>0.12604089913147976</v>
      </c>
      <c r="AE6" s="18">
        <f t="shared" si="13"/>
        <v>0.11877427702599772</v>
      </c>
    </row>
    <row r="7" spans="1:31" x14ac:dyDescent="0.25">
      <c r="B7">
        <v>32</v>
      </c>
      <c r="C7">
        <v>8</v>
      </c>
      <c r="D7">
        <v>1</v>
      </c>
      <c r="E7" s="12">
        <v>16</v>
      </c>
      <c r="F7" s="12">
        <v>2</v>
      </c>
      <c r="G7" s="12">
        <v>2</v>
      </c>
      <c r="H7" s="12">
        <v>256</v>
      </c>
      <c r="I7" s="12">
        <v>30</v>
      </c>
      <c r="J7" s="14">
        <f t="shared" si="14"/>
        <v>2</v>
      </c>
      <c r="K7">
        <v>64</v>
      </c>
      <c r="L7" s="12">
        <v>576</v>
      </c>
      <c r="M7" s="12">
        <v>512</v>
      </c>
      <c r="N7" s="15">
        <f t="shared" si="2"/>
        <v>3880.4210526315787</v>
      </c>
      <c r="O7" s="15">
        <f t="shared" si="3"/>
        <v>4915.2</v>
      </c>
      <c r="P7" s="15">
        <f t="shared" si="4"/>
        <v>1152</v>
      </c>
      <c r="Q7" s="15">
        <f t="shared" si="5"/>
        <v>8795.621052631579</v>
      </c>
      <c r="R7" s="15">
        <f t="shared" si="6"/>
        <v>128</v>
      </c>
      <c r="S7" s="15">
        <f t="shared" si="7"/>
        <v>8738.1333333333332</v>
      </c>
      <c r="T7" s="15">
        <f t="shared" si="0"/>
        <v>1152</v>
      </c>
      <c r="U7" s="15">
        <f t="shared" si="8"/>
        <v>8866.1333333333332</v>
      </c>
      <c r="V7" s="15">
        <f t="shared" si="9"/>
        <v>682.66666666666663</v>
      </c>
      <c r="W7" s="12">
        <f t="shared" si="10"/>
        <v>778</v>
      </c>
      <c r="X7" s="12"/>
      <c r="Y7" s="16">
        <f t="shared" si="11"/>
        <v>19122.42105263158</v>
      </c>
      <c r="Z7" s="11">
        <f t="shared" si="1"/>
        <v>1.912242105263158E-2</v>
      </c>
      <c r="AB7">
        <v>9.1287999999999994E-2</v>
      </c>
      <c r="AC7">
        <v>0.102877</v>
      </c>
      <c r="AD7" s="18">
        <f t="shared" si="12"/>
        <v>0.20947354583988675</v>
      </c>
      <c r="AE7" s="18">
        <f t="shared" si="13"/>
        <v>0.18587654240142676</v>
      </c>
    </row>
    <row r="8" spans="1:31" x14ac:dyDescent="0.25">
      <c r="B8">
        <v>64</v>
      </c>
      <c r="C8">
        <v>8</v>
      </c>
      <c r="D8">
        <v>1</v>
      </c>
      <c r="E8" s="12">
        <v>16</v>
      </c>
      <c r="F8" s="12">
        <v>2</v>
      </c>
      <c r="G8" s="12">
        <v>2</v>
      </c>
      <c r="H8" s="12">
        <v>256</v>
      </c>
      <c r="I8" s="12">
        <v>30</v>
      </c>
      <c r="J8" s="14">
        <f t="shared" si="14"/>
        <v>4</v>
      </c>
      <c r="K8">
        <v>64</v>
      </c>
      <c r="L8" s="12">
        <v>576</v>
      </c>
      <c r="M8" s="12">
        <v>512</v>
      </c>
      <c r="N8" s="15">
        <f t="shared" si="2"/>
        <v>7760.8421052631575</v>
      </c>
      <c r="O8" s="15">
        <f t="shared" si="3"/>
        <v>9830.4</v>
      </c>
      <c r="P8" s="15">
        <f t="shared" si="4"/>
        <v>2304</v>
      </c>
      <c r="Q8" s="15">
        <f t="shared" si="5"/>
        <v>17591.242105263158</v>
      </c>
      <c r="R8" s="15">
        <f t="shared" si="6"/>
        <v>256</v>
      </c>
      <c r="S8" s="15">
        <f t="shared" si="7"/>
        <v>17476.266666666666</v>
      </c>
      <c r="T8" s="15">
        <f t="shared" si="0"/>
        <v>2304</v>
      </c>
      <c r="U8" s="15">
        <f t="shared" si="8"/>
        <v>17732.266666666666</v>
      </c>
      <c r="V8" s="15">
        <f t="shared" si="9"/>
        <v>1365.3333333333333</v>
      </c>
      <c r="W8" s="12">
        <f t="shared" si="10"/>
        <v>1556</v>
      </c>
      <c r="X8" s="12"/>
      <c r="Y8" s="16">
        <f t="shared" si="11"/>
        <v>38244.84210526316</v>
      </c>
      <c r="Z8" s="11">
        <f t="shared" si="1"/>
        <v>3.824484210526316E-2</v>
      </c>
      <c r="AB8">
        <v>0.121056</v>
      </c>
      <c r="AC8">
        <v>0.14681900000000001</v>
      </c>
      <c r="AD8" s="18">
        <f t="shared" si="12"/>
        <v>0.31592686116560237</v>
      </c>
      <c r="AE8" s="18">
        <f t="shared" si="13"/>
        <v>0.26048973297232075</v>
      </c>
    </row>
    <row r="9" spans="1:31" x14ac:dyDescent="0.25">
      <c r="B9">
        <v>128</v>
      </c>
      <c r="C9">
        <v>8</v>
      </c>
      <c r="D9">
        <v>1</v>
      </c>
      <c r="E9" s="12">
        <v>16</v>
      </c>
      <c r="F9" s="12">
        <v>2</v>
      </c>
      <c r="G9" s="12">
        <v>2</v>
      </c>
      <c r="H9" s="12">
        <v>256</v>
      </c>
      <c r="I9" s="12">
        <v>30</v>
      </c>
      <c r="J9" s="14">
        <f t="shared" si="14"/>
        <v>8</v>
      </c>
      <c r="K9">
        <v>64</v>
      </c>
      <c r="L9" s="12">
        <v>576</v>
      </c>
      <c r="M9" s="12">
        <v>512</v>
      </c>
      <c r="N9" s="15">
        <f t="shared" si="2"/>
        <v>15521.684210526315</v>
      </c>
      <c r="O9" s="15">
        <f t="shared" si="3"/>
        <v>19660.8</v>
      </c>
      <c r="P9" s="15">
        <f t="shared" si="4"/>
        <v>4608</v>
      </c>
      <c r="Q9" s="15">
        <f t="shared" si="5"/>
        <v>35182.484210526316</v>
      </c>
      <c r="R9" s="15">
        <f t="shared" si="6"/>
        <v>512</v>
      </c>
      <c r="S9" s="15">
        <f t="shared" si="7"/>
        <v>34952.533333333333</v>
      </c>
      <c r="T9" s="15">
        <f t="shared" si="0"/>
        <v>4608</v>
      </c>
      <c r="U9" s="15">
        <f t="shared" si="8"/>
        <v>35464.533333333333</v>
      </c>
      <c r="V9" s="15">
        <f t="shared" si="9"/>
        <v>2730.6666666666665</v>
      </c>
      <c r="W9" s="12">
        <f t="shared" si="10"/>
        <v>3112</v>
      </c>
      <c r="X9" s="12"/>
      <c r="Y9" s="16">
        <f t="shared" si="11"/>
        <v>76489.68421052632</v>
      </c>
      <c r="Z9" s="11">
        <f t="shared" si="1"/>
        <v>7.6489684210526321E-2</v>
      </c>
      <c r="AB9">
        <v>0.18308099999999999</v>
      </c>
      <c r="AC9">
        <v>0.23160800000000001</v>
      </c>
      <c r="AD9" s="18">
        <f t="shared" si="12"/>
        <v>0.41779149234779317</v>
      </c>
      <c r="AE9" s="18">
        <f t="shared" si="13"/>
        <v>0.33025493165402886</v>
      </c>
    </row>
    <row r="10" spans="1:31" x14ac:dyDescent="0.25">
      <c r="B10">
        <v>256</v>
      </c>
      <c r="C10">
        <v>8</v>
      </c>
      <c r="D10">
        <v>1</v>
      </c>
      <c r="E10" s="12">
        <v>16</v>
      </c>
      <c r="F10" s="12">
        <v>2</v>
      </c>
      <c r="G10" s="12">
        <v>2</v>
      </c>
      <c r="H10" s="12">
        <v>256</v>
      </c>
      <c r="I10" s="12">
        <v>30</v>
      </c>
      <c r="J10" s="14">
        <f t="shared" si="14"/>
        <v>16</v>
      </c>
      <c r="K10">
        <v>64</v>
      </c>
      <c r="L10" s="12">
        <v>576</v>
      </c>
      <c r="M10" s="12">
        <v>512</v>
      </c>
      <c r="N10" s="15">
        <f t="shared" si="2"/>
        <v>31043.36842105263</v>
      </c>
      <c r="O10" s="15">
        <f t="shared" si="3"/>
        <v>39321.599999999999</v>
      </c>
      <c r="P10" s="15">
        <f t="shared" si="4"/>
        <v>9216</v>
      </c>
      <c r="Q10" s="15">
        <f t="shared" si="5"/>
        <v>70364.968421052632</v>
      </c>
      <c r="R10" s="15">
        <f t="shared" si="6"/>
        <v>1024</v>
      </c>
      <c r="S10" s="15">
        <f t="shared" si="7"/>
        <v>69905.066666666666</v>
      </c>
      <c r="T10" s="15">
        <f t="shared" si="0"/>
        <v>9216</v>
      </c>
      <c r="U10" s="15">
        <f t="shared" si="8"/>
        <v>70929.066666666666</v>
      </c>
      <c r="V10" s="15">
        <f t="shared" si="9"/>
        <v>5461.333333333333</v>
      </c>
      <c r="W10" s="12">
        <f t="shared" si="10"/>
        <v>6224</v>
      </c>
      <c r="X10" s="12"/>
      <c r="Y10" s="16">
        <f t="shared" si="11"/>
        <v>152979.36842105264</v>
      </c>
      <c r="Z10" s="11">
        <f t="shared" si="1"/>
        <v>0.15297936842105264</v>
      </c>
      <c r="AB10">
        <v>0.32793899999999998</v>
      </c>
      <c r="AC10">
        <v>0.412796</v>
      </c>
      <c r="AD10" s="18">
        <f t="shared" si="12"/>
        <v>0.46648726873306512</v>
      </c>
      <c r="AE10" s="18">
        <f t="shared" si="13"/>
        <v>0.3705931463024173</v>
      </c>
    </row>
    <row r="11" spans="1:31" x14ac:dyDescent="0.25">
      <c r="B11">
        <v>512</v>
      </c>
      <c r="C11">
        <v>8</v>
      </c>
      <c r="D11">
        <v>1</v>
      </c>
      <c r="E11" s="12">
        <v>16</v>
      </c>
      <c r="F11" s="12">
        <v>2</v>
      </c>
      <c r="G11" s="12">
        <v>2</v>
      </c>
      <c r="H11" s="12">
        <v>256</v>
      </c>
      <c r="I11" s="12">
        <v>30</v>
      </c>
      <c r="J11" s="14">
        <f t="shared" si="14"/>
        <v>32</v>
      </c>
      <c r="K11">
        <v>64</v>
      </c>
      <c r="L11" s="12">
        <v>576</v>
      </c>
      <c r="M11" s="12">
        <v>512</v>
      </c>
      <c r="N11" s="15">
        <f t="shared" si="2"/>
        <v>62086.73684210526</v>
      </c>
      <c r="O11" s="15">
        <f t="shared" si="3"/>
        <v>78643.199999999997</v>
      </c>
      <c r="P11" s="15">
        <f t="shared" si="4"/>
        <v>18432</v>
      </c>
      <c r="Q11" s="15">
        <f t="shared" si="5"/>
        <v>140729.93684210526</v>
      </c>
      <c r="R11" s="15">
        <f t="shared" si="6"/>
        <v>2048</v>
      </c>
      <c r="S11" s="15">
        <f t="shared" si="7"/>
        <v>139810.13333333333</v>
      </c>
      <c r="T11" s="15">
        <f t="shared" si="0"/>
        <v>18432</v>
      </c>
      <c r="U11" s="15">
        <f t="shared" si="8"/>
        <v>141858.13333333333</v>
      </c>
      <c r="V11" s="15">
        <f t="shared" si="9"/>
        <v>10922.666666666666</v>
      </c>
      <c r="W11" s="12">
        <f t="shared" si="10"/>
        <v>12448</v>
      </c>
      <c r="X11" s="12"/>
      <c r="Y11" s="16">
        <f t="shared" si="11"/>
        <v>305958.73684210528</v>
      </c>
      <c r="Z11" s="11">
        <f t="shared" si="1"/>
        <v>0.30595873684210528</v>
      </c>
      <c r="AB11">
        <v>0.66871100000000006</v>
      </c>
      <c r="AC11">
        <v>0.81277500000000003</v>
      </c>
      <c r="AD11" s="18">
        <f t="shared" si="12"/>
        <v>0.45753507395886306</v>
      </c>
      <c r="AE11" s="18">
        <f t="shared" si="13"/>
        <v>0.37643718967993023</v>
      </c>
    </row>
    <row r="12" spans="1:31" x14ac:dyDescent="0.25">
      <c r="B12" s="8">
        <v>1</v>
      </c>
      <c r="C12" s="8">
        <v>8</v>
      </c>
      <c r="D12" s="8">
        <v>1</v>
      </c>
      <c r="E12" s="12">
        <v>16</v>
      </c>
      <c r="F12" s="12">
        <v>2</v>
      </c>
      <c r="G12" s="12">
        <v>2</v>
      </c>
      <c r="H12" s="12">
        <v>256</v>
      </c>
      <c r="I12" s="12">
        <v>30</v>
      </c>
      <c r="J12" s="14">
        <f t="shared" si="14"/>
        <v>1</v>
      </c>
      <c r="K12" s="8">
        <v>128</v>
      </c>
      <c r="L12" s="12">
        <v>576</v>
      </c>
      <c r="M12" s="12">
        <v>512</v>
      </c>
      <c r="N12" s="15">
        <f t="shared" si="2"/>
        <v>1940.2105263157894</v>
      </c>
      <c r="O12" s="15">
        <f t="shared" si="3"/>
        <v>4915.2</v>
      </c>
      <c r="P12" s="15">
        <f t="shared" si="4"/>
        <v>576</v>
      </c>
      <c r="Q12" s="15">
        <f t="shared" si="5"/>
        <v>6855.410526315789</v>
      </c>
      <c r="R12" s="15">
        <f t="shared" si="6"/>
        <v>64</v>
      </c>
      <c r="S12" s="15">
        <f t="shared" si="7"/>
        <v>4369.0666666666666</v>
      </c>
      <c r="T12" s="15">
        <f t="shared" si="0"/>
        <v>576</v>
      </c>
      <c r="U12" s="15">
        <f t="shared" si="8"/>
        <v>4433.0666666666666</v>
      </c>
      <c r="V12" s="15">
        <f t="shared" si="9"/>
        <v>341.33333333333331</v>
      </c>
      <c r="W12" s="12">
        <f t="shared" si="10"/>
        <v>583</v>
      </c>
      <c r="X12" s="12"/>
      <c r="Y12" s="16">
        <f t="shared" si="11"/>
        <v>12212.81052631579</v>
      </c>
      <c r="Z12" s="11">
        <f t="shared" si="1"/>
        <v>1.2212810526315791E-2</v>
      </c>
      <c r="AB12">
        <v>6.9802000000000003E-2</v>
      </c>
      <c r="AC12">
        <v>7.3275000000000007E-2</v>
      </c>
      <c r="AD12" s="18">
        <f t="shared" si="12"/>
        <v>0.17496361889796552</v>
      </c>
      <c r="AE12" s="18">
        <f t="shared" si="13"/>
        <v>0.16667090448742122</v>
      </c>
    </row>
    <row r="13" spans="1:31" x14ac:dyDescent="0.25">
      <c r="B13">
        <v>2</v>
      </c>
      <c r="C13">
        <v>8</v>
      </c>
      <c r="D13">
        <v>1</v>
      </c>
      <c r="E13" s="12">
        <v>16</v>
      </c>
      <c r="F13" s="12">
        <v>2</v>
      </c>
      <c r="G13" s="12">
        <v>2</v>
      </c>
      <c r="H13" s="12">
        <v>256</v>
      </c>
      <c r="I13" s="12">
        <v>30</v>
      </c>
      <c r="J13" s="14">
        <f t="shared" si="14"/>
        <v>1</v>
      </c>
      <c r="K13">
        <v>128</v>
      </c>
      <c r="L13" s="12">
        <v>576</v>
      </c>
      <c r="M13" s="12">
        <v>512</v>
      </c>
      <c r="N13" s="15">
        <f t="shared" si="2"/>
        <v>1940.2105263157894</v>
      </c>
      <c r="O13" s="15">
        <f t="shared" si="3"/>
        <v>4915.2</v>
      </c>
      <c r="P13" s="15">
        <f t="shared" si="4"/>
        <v>576</v>
      </c>
      <c r="Q13" s="15">
        <f t="shared" si="5"/>
        <v>6855.410526315789</v>
      </c>
      <c r="R13" s="15">
        <f t="shared" si="6"/>
        <v>64</v>
      </c>
      <c r="S13" s="15">
        <f t="shared" si="7"/>
        <v>4369.0666666666666</v>
      </c>
      <c r="T13" s="15">
        <f t="shared" si="0"/>
        <v>576</v>
      </c>
      <c r="U13" s="15">
        <f t="shared" si="8"/>
        <v>4433.0666666666666</v>
      </c>
      <c r="V13" s="15">
        <f t="shared" si="9"/>
        <v>341.33333333333331</v>
      </c>
      <c r="W13" s="12">
        <f t="shared" si="10"/>
        <v>583</v>
      </c>
      <c r="X13" s="12"/>
      <c r="Y13" s="16">
        <f t="shared" si="11"/>
        <v>12212.81052631579</v>
      </c>
      <c r="Z13" s="11">
        <f t="shared" si="1"/>
        <v>1.2212810526315791E-2</v>
      </c>
      <c r="AB13">
        <v>7.2552000000000005E-2</v>
      </c>
      <c r="AC13">
        <v>7.5854000000000005E-2</v>
      </c>
      <c r="AD13" s="18">
        <f t="shared" si="12"/>
        <v>0.16833182443372738</v>
      </c>
      <c r="AE13" s="18">
        <f t="shared" si="13"/>
        <v>0.16100417283618254</v>
      </c>
    </row>
    <row r="14" spans="1:31" x14ac:dyDescent="0.25">
      <c r="B14">
        <v>4</v>
      </c>
      <c r="C14">
        <v>8</v>
      </c>
      <c r="D14">
        <v>1</v>
      </c>
      <c r="E14" s="12">
        <v>16</v>
      </c>
      <c r="F14" s="12">
        <v>2</v>
      </c>
      <c r="G14" s="12">
        <v>2</v>
      </c>
      <c r="H14" s="12">
        <v>256</v>
      </c>
      <c r="I14" s="12">
        <v>30</v>
      </c>
      <c r="J14" s="14">
        <f t="shared" si="14"/>
        <v>1</v>
      </c>
      <c r="K14">
        <v>128</v>
      </c>
      <c r="L14" s="12">
        <v>576</v>
      </c>
      <c r="M14" s="12">
        <v>512</v>
      </c>
      <c r="N14" s="15">
        <f t="shared" si="2"/>
        <v>1940.2105263157894</v>
      </c>
      <c r="O14" s="15">
        <f t="shared" si="3"/>
        <v>4915.2</v>
      </c>
      <c r="P14" s="15">
        <f t="shared" si="4"/>
        <v>576</v>
      </c>
      <c r="Q14" s="15">
        <f t="shared" si="5"/>
        <v>6855.410526315789</v>
      </c>
      <c r="R14" s="15">
        <f t="shared" si="6"/>
        <v>64</v>
      </c>
      <c r="S14" s="15">
        <f t="shared" si="7"/>
        <v>4369.0666666666666</v>
      </c>
      <c r="T14" s="15">
        <f t="shared" si="0"/>
        <v>576</v>
      </c>
      <c r="U14" s="15">
        <f t="shared" si="8"/>
        <v>4433.0666666666666</v>
      </c>
      <c r="V14" s="15">
        <f t="shared" si="9"/>
        <v>341.33333333333331</v>
      </c>
      <c r="W14" s="12">
        <f t="shared" si="10"/>
        <v>583</v>
      </c>
      <c r="X14" s="12"/>
      <c r="Y14" s="16">
        <f t="shared" si="11"/>
        <v>12212.81052631579</v>
      </c>
      <c r="Z14" s="11">
        <f t="shared" si="1"/>
        <v>1.2212810526315791E-2</v>
      </c>
      <c r="AB14">
        <v>7.1859999999999993E-2</v>
      </c>
      <c r="AC14">
        <v>7.5797000000000003E-2</v>
      </c>
      <c r="AD14" s="18">
        <f t="shared" si="12"/>
        <v>0.16995283226156124</v>
      </c>
      <c r="AE14" s="18">
        <f t="shared" si="13"/>
        <v>0.16112524936759753</v>
      </c>
    </row>
    <row r="15" spans="1:31" x14ac:dyDescent="0.25">
      <c r="B15">
        <v>8</v>
      </c>
      <c r="C15">
        <v>8</v>
      </c>
      <c r="D15">
        <v>1</v>
      </c>
      <c r="E15" s="12">
        <v>16</v>
      </c>
      <c r="F15" s="12">
        <v>2</v>
      </c>
      <c r="G15" s="12">
        <v>2</v>
      </c>
      <c r="H15" s="12">
        <v>256</v>
      </c>
      <c r="I15" s="12">
        <v>30</v>
      </c>
      <c r="J15" s="14">
        <f t="shared" si="14"/>
        <v>1</v>
      </c>
      <c r="K15">
        <v>128</v>
      </c>
      <c r="L15" s="12">
        <v>576</v>
      </c>
      <c r="M15" s="12">
        <v>512</v>
      </c>
      <c r="N15" s="15">
        <f t="shared" si="2"/>
        <v>1940.2105263157894</v>
      </c>
      <c r="O15" s="15">
        <f t="shared" si="3"/>
        <v>4915.2</v>
      </c>
      <c r="P15" s="15">
        <f t="shared" si="4"/>
        <v>576</v>
      </c>
      <c r="Q15" s="15">
        <f t="shared" si="5"/>
        <v>6855.410526315789</v>
      </c>
      <c r="R15" s="15">
        <f t="shared" si="6"/>
        <v>64</v>
      </c>
      <c r="S15" s="15">
        <f t="shared" si="7"/>
        <v>4369.0666666666666</v>
      </c>
      <c r="T15" s="15">
        <f t="shared" si="0"/>
        <v>576</v>
      </c>
      <c r="U15" s="15">
        <f t="shared" si="8"/>
        <v>4433.0666666666666</v>
      </c>
      <c r="V15" s="15">
        <f t="shared" si="9"/>
        <v>341.33333333333331</v>
      </c>
      <c r="W15" s="12">
        <f t="shared" si="10"/>
        <v>583</v>
      </c>
      <c r="X15" s="12"/>
      <c r="Y15" s="16">
        <f t="shared" si="11"/>
        <v>12212.81052631579</v>
      </c>
      <c r="Z15" s="11">
        <f t="shared" si="1"/>
        <v>1.2212810526315791E-2</v>
      </c>
      <c r="AB15">
        <v>7.5586E-2</v>
      </c>
      <c r="AC15">
        <v>7.9380000000000006E-2</v>
      </c>
      <c r="AD15" s="18">
        <f t="shared" si="12"/>
        <v>0.16157503408456314</v>
      </c>
      <c r="AE15" s="18">
        <f t="shared" si="13"/>
        <v>0.15385248836376655</v>
      </c>
    </row>
    <row r="16" spans="1:31" x14ac:dyDescent="0.25">
      <c r="B16">
        <v>16</v>
      </c>
      <c r="C16">
        <v>8</v>
      </c>
      <c r="D16">
        <v>1</v>
      </c>
      <c r="E16" s="12">
        <v>16</v>
      </c>
      <c r="F16" s="12">
        <v>2</v>
      </c>
      <c r="G16" s="12">
        <v>2</v>
      </c>
      <c r="H16" s="12">
        <v>256</v>
      </c>
      <c r="I16" s="12">
        <v>30</v>
      </c>
      <c r="J16" s="14">
        <f t="shared" si="14"/>
        <v>1</v>
      </c>
      <c r="K16">
        <v>128</v>
      </c>
      <c r="L16" s="12">
        <v>576</v>
      </c>
      <c r="M16" s="12">
        <v>512</v>
      </c>
      <c r="N16" s="15">
        <f t="shared" si="2"/>
        <v>1940.2105263157894</v>
      </c>
      <c r="O16" s="15">
        <f t="shared" si="3"/>
        <v>4915.2</v>
      </c>
      <c r="P16" s="15">
        <f t="shared" si="4"/>
        <v>576</v>
      </c>
      <c r="Q16" s="15">
        <f t="shared" si="5"/>
        <v>6855.410526315789</v>
      </c>
      <c r="R16" s="15">
        <f t="shared" si="6"/>
        <v>64</v>
      </c>
      <c r="S16" s="15">
        <f t="shared" si="7"/>
        <v>4369.0666666666666</v>
      </c>
      <c r="T16" s="15">
        <f t="shared" si="0"/>
        <v>576</v>
      </c>
      <c r="U16" s="15">
        <f t="shared" si="8"/>
        <v>4433.0666666666666</v>
      </c>
      <c r="V16" s="15">
        <f t="shared" si="9"/>
        <v>341.33333333333331</v>
      </c>
      <c r="W16" s="12">
        <f t="shared" si="10"/>
        <v>583</v>
      </c>
      <c r="X16" s="12"/>
      <c r="Y16" s="16">
        <f t="shared" si="11"/>
        <v>12212.81052631579</v>
      </c>
      <c r="Z16" s="11">
        <f t="shared" si="1"/>
        <v>1.2212810526315791E-2</v>
      </c>
      <c r="AB16">
        <v>7.9014000000000001E-2</v>
      </c>
      <c r="AC16">
        <v>8.1763000000000002E-2</v>
      </c>
      <c r="AD16" s="18">
        <f t="shared" si="12"/>
        <v>0.15456514701591859</v>
      </c>
      <c r="AE16" s="18">
        <f t="shared" si="13"/>
        <v>0.14936842491488558</v>
      </c>
    </row>
    <row r="17" spans="2:31" x14ac:dyDescent="0.25">
      <c r="B17">
        <v>32</v>
      </c>
      <c r="C17">
        <v>8</v>
      </c>
      <c r="D17">
        <v>1</v>
      </c>
      <c r="E17" s="12">
        <v>16</v>
      </c>
      <c r="F17" s="12">
        <v>2</v>
      </c>
      <c r="G17" s="12">
        <v>2</v>
      </c>
      <c r="H17" s="12">
        <v>256</v>
      </c>
      <c r="I17" s="12">
        <v>30</v>
      </c>
      <c r="J17" s="14">
        <f t="shared" si="14"/>
        <v>2</v>
      </c>
      <c r="K17">
        <v>128</v>
      </c>
      <c r="L17" s="12">
        <v>576</v>
      </c>
      <c r="M17" s="12">
        <v>512</v>
      </c>
      <c r="N17" s="15">
        <f t="shared" si="2"/>
        <v>3880.4210526315787</v>
      </c>
      <c r="O17" s="15">
        <f t="shared" si="3"/>
        <v>9830.4</v>
      </c>
      <c r="P17" s="15">
        <f t="shared" si="4"/>
        <v>1152</v>
      </c>
      <c r="Q17" s="15">
        <f t="shared" si="5"/>
        <v>13710.821052631578</v>
      </c>
      <c r="R17" s="15">
        <f t="shared" si="6"/>
        <v>128</v>
      </c>
      <c r="S17" s="15">
        <f t="shared" si="7"/>
        <v>8738.1333333333332</v>
      </c>
      <c r="T17" s="15">
        <f t="shared" si="0"/>
        <v>1152</v>
      </c>
      <c r="U17" s="15">
        <f t="shared" si="8"/>
        <v>8866.1333333333332</v>
      </c>
      <c r="V17" s="15">
        <f t="shared" si="9"/>
        <v>682.66666666666663</v>
      </c>
      <c r="W17" s="12">
        <f t="shared" si="10"/>
        <v>1166</v>
      </c>
      <c r="X17" s="12"/>
      <c r="Y17" s="16">
        <f t="shared" si="11"/>
        <v>24425.621052631581</v>
      </c>
      <c r="Z17" s="11">
        <f t="shared" si="1"/>
        <v>2.4425621052631581E-2</v>
      </c>
      <c r="AB17">
        <v>9.0159000000000003E-2</v>
      </c>
      <c r="AC17">
        <v>0.10749300000000001</v>
      </c>
      <c r="AD17" s="18">
        <f t="shared" si="12"/>
        <v>0.27091716914153419</v>
      </c>
      <c r="AE17" s="18">
        <f t="shared" si="13"/>
        <v>0.22722987592337715</v>
      </c>
    </row>
    <row r="18" spans="2:31" x14ac:dyDescent="0.25">
      <c r="B18">
        <v>64</v>
      </c>
      <c r="C18">
        <v>8</v>
      </c>
      <c r="D18">
        <v>1</v>
      </c>
      <c r="E18" s="12">
        <v>16</v>
      </c>
      <c r="F18" s="12">
        <v>2</v>
      </c>
      <c r="G18" s="12">
        <v>2</v>
      </c>
      <c r="H18" s="12">
        <v>256</v>
      </c>
      <c r="I18" s="12">
        <v>30</v>
      </c>
      <c r="J18" s="14">
        <f t="shared" si="14"/>
        <v>4</v>
      </c>
      <c r="K18">
        <v>128</v>
      </c>
      <c r="L18" s="12">
        <v>576</v>
      </c>
      <c r="M18" s="12">
        <v>512</v>
      </c>
      <c r="N18" s="15">
        <f t="shared" si="2"/>
        <v>7760.8421052631575</v>
      </c>
      <c r="O18" s="15">
        <f t="shared" si="3"/>
        <v>19660.8</v>
      </c>
      <c r="P18" s="15">
        <f t="shared" si="4"/>
        <v>2304</v>
      </c>
      <c r="Q18" s="15">
        <f t="shared" si="5"/>
        <v>27421.642105263156</v>
      </c>
      <c r="R18" s="15">
        <f t="shared" si="6"/>
        <v>256</v>
      </c>
      <c r="S18" s="15">
        <f t="shared" si="7"/>
        <v>17476.266666666666</v>
      </c>
      <c r="T18" s="15">
        <f t="shared" si="0"/>
        <v>2304</v>
      </c>
      <c r="U18" s="15">
        <f t="shared" si="8"/>
        <v>17732.266666666666</v>
      </c>
      <c r="V18" s="15">
        <f t="shared" si="9"/>
        <v>1365.3333333333333</v>
      </c>
      <c r="W18" s="12">
        <f t="shared" si="10"/>
        <v>2332</v>
      </c>
      <c r="X18" s="12"/>
      <c r="Y18" s="16">
        <f t="shared" si="11"/>
        <v>48851.242105263162</v>
      </c>
      <c r="Z18" s="11">
        <f t="shared" si="1"/>
        <v>4.8851242105263162E-2</v>
      </c>
      <c r="AB18">
        <v>0.123667</v>
      </c>
      <c r="AC18">
        <v>0.153947</v>
      </c>
      <c r="AD18" s="18">
        <f t="shared" si="12"/>
        <v>0.39502245631626193</v>
      </c>
      <c r="AE18" s="18">
        <f t="shared" si="13"/>
        <v>0.31732506710272473</v>
      </c>
    </row>
    <row r="19" spans="2:31" x14ac:dyDescent="0.25">
      <c r="B19">
        <v>128</v>
      </c>
      <c r="C19">
        <v>8</v>
      </c>
      <c r="D19">
        <v>1</v>
      </c>
      <c r="E19" s="12">
        <v>16</v>
      </c>
      <c r="F19" s="12">
        <v>2</v>
      </c>
      <c r="G19" s="12">
        <v>2</v>
      </c>
      <c r="H19" s="12">
        <v>256</v>
      </c>
      <c r="I19" s="12">
        <v>30</v>
      </c>
      <c r="J19" s="14">
        <f t="shared" si="14"/>
        <v>8</v>
      </c>
      <c r="K19">
        <v>128</v>
      </c>
      <c r="L19" s="12">
        <v>576</v>
      </c>
      <c r="M19" s="12">
        <v>512</v>
      </c>
      <c r="N19" s="15">
        <f t="shared" si="2"/>
        <v>15521.684210526315</v>
      </c>
      <c r="O19" s="15">
        <f t="shared" si="3"/>
        <v>39321.599999999999</v>
      </c>
      <c r="P19" s="15">
        <f t="shared" si="4"/>
        <v>4608</v>
      </c>
      <c r="Q19" s="15">
        <f t="shared" si="5"/>
        <v>54843.284210526312</v>
      </c>
      <c r="R19" s="15">
        <f t="shared" si="6"/>
        <v>512</v>
      </c>
      <c r="S19" s="15">
        <f t="shared" si="7"/>
        <v>34952.533333333333</v>
      </c>
      <c r="T19" s="15">
        <f t="shared" si="0"/>
        <v>4608</v>
      </c>
      <c r="U19" s="15">
        <f t="shared" si="8"/>
        <v>35464.533333333333</v>
      </c>
      <c r="V19" s="15">
        <f t="shared" si="9"/>
        <v>2730.6666666666665</v>
      </c>
      <c r="W19" s="12">
        <f t="shared" si="10"/>
        <v>4664</v>
      </c>
      <c r="X19" s="12"/>
      <c r="Y19" s="16">
        <f t="shared" si="11"/>
        <v>97702.484210526323</v>
      </c>
      <c r="Z19" s="11">
        <f t="shared" si="1"/>
        <v>9.7702484210526325E-2</v>
      </c>
      <c r="AB19">
        <v>0.19303899999999999</v>
      </c>
      <c r="AC19">
        <v>0.24130599999999999</v>
      </c>
      <c r="AD19" s="18">
        <f t="shared" si="12"/>
        <v>0.50612821352434656</v>
      </c>
      <c r="AE19" s="18">
        <f t="shared" si="13"/>
        <v>0.40489040558679157</v>
      </c>
    </row>
    <row r="20" spans="2:31" x14ac:dyDescent="0.25">
      <c r="B20">
        <v>256</v>
      </c>
      <c r="C20">
        <v>8</v>
      </c>
      <c r="D20">
        <v>1</v>
      </c>
      <c r="E20" s="12">
        <v>16</v>
      </c>
      <c r="F20" s="12">
        <v>2</v>
      </c>
      <c r="G20" s="12">
        <v>2</v>
      </c>
      <c r="H20" s="12">
        <v>256</v>
      </c>
      <c r="I20" s="12">
        <v>30</v>
      </c>
      <c r="J20" s="14">
        <f t="shared" si="14"/>
        <v>16</v>
      </c>
      <c r="K20">
        <v>128</v>
      </c>
      <c r="L20" s="12">
        <v>576</v>
      </c>
      <c r="M20" s="12">
        <v>512</v>
      </c>
      <c r="N20" s="15">
        <f t="shared" si="2"/>
        <v>31043.36842105263</v>
      </c>
      <c r="O20" s="15">
        <f t="shared" si="3"/>
        <v>78643.199999999997</v>
      </c>
      <c r="P20" s="15">
        <f t="shared" si="4"/>
        <v>9216</v>
      </c>
      <c r="Q20" s="15">
        <f t="shared" si="5"/>
        <v>109686.56842105262</v>
      </c>
      <c r="R20" s="15">
        <f t="shared" si="6"/>
        <v>1024</v>
      </c>
      <c r="S20" s="15">
        <f t="shared" si="7"/>
        <v>69905.066666666666</v>
      </c>
      <c r="T20" s="15">
        <f t="shared" si="0"/>
        <v>9216</v>
      </c>
      <c r="U20" s="15">
        <f t="shared" si="8"/>
        <v>70929.066666666666</v>
      </c>
      <c r="V20" s="15">
        <f t="shared" si="9"/>
        <v>5461.333333333333</v>
      </c>
      <c r="W20" s="12">
        <f t="shared" si="10"/>
        <v>9328</v>
      </c>
      <c r="X20" s="12"/>
      <c r="Y20" s="16">
        <f t="shared" si="11"/>
        <v>195404.96842105265</v>
      </c>
      <c r="Z20" s="11">
        <f t="shared" si="1"/>
        <v>0.19540496842105265</v>
      </c>
      <c r="AB20">
        <v>0.33383400000000002</v>
      </c>
      <c r="AC20">
        <v>0.42534</v>
      </c>
      <c r="AD20" s="18">
        <f t="shared" si="12"/>
        <v>0.58533573099520309</v>
      </c>
      <c r="AE20" s="18">
        <f t="shared" si="13"/>
        <v>0.45940886918947821</v>
      </c>
    </row>
    <row r="21" spans="2:31" x14ac:dyDescent="0.25">
      <c r="B21">
        <v>512</v>
      </c>
      <c r="C21">
        <v>8</v>
      </c>
      <c r="D21">
        <v>1</v>
      </c>
      <c r="E21" s="12">
        <v>16</v>
      </c>
      <c r="F21" s="12">
        <v>2</v>
      </c>
      <c r="G21" s="12">
        <v>2</v>
      </c>
      <c r="H21" s="12">
        <v>256</v>
      </c>
      <c r="I21" s="12">
        <v>30</v>
      </c>
      <c r="J21" s="14">
        <f t="shared" si="14"/>
        <v>32</v>
      </c>
      <c r="K21">
        <v>128</v>
      </c>
      <c r="L21" s="12">
        <v>576</v>
      </c>
      <c r="M21" s="12">
        <v>512</v>
      </c>
      <c r="N21" s="15">
        <f t="shared" si="2"/>
        <v>62086.73684210526</v>
      </c>
      <c r="O21" s="15">
        <f t="shared" si="3"/>
        <v>157286.39999999999</v>
      </c>
      <c r="P21" s="15">
        <f t="shared" si="4"/>
        <v>18432</v>
      </c>
      <c r="Q21" s="15">
        <f t="shared" si="5"/>
        <v>219373.13684210525</v>
      </c>
      <c r="R21" s="15">
        <f t="shared" si="6"/>
        <v>2048</v>
      </c>
      <c r="S21" s="15">
        <f t="shared" si="7"/>
        <v>139810.13333333333</v>
      </c>
      <c r="T21" s="15">
        <f t="shared" si="0"/>
        <v>18432</v>
      </c>
      <c r="U21" s="15">
        <f t="shared" si="8"/>
        <v>141858.13333333333</v>
      </c>
      <c r="V21" s="15">
        <f t="shared" si="9"/>
        <v>10922.666666666666</v>
      </c>
      <c r="W21" s="12">
        <f t="shared" si="10"/>
        <v>18656</v>
      </c>
      <c r="X21" s="12"/>
      <c r="Y21" s="16">
        <f t="shared" si="11"/>
        <v>390809.93684210529</v>
      </c>
      <c r="Z21" s="11">
        <f t="shared" si="1"/>
        <v>0.3908099368421053</v>
      </c>
      <c r="AB21">
        <v>0.66549400000000003</v>
      </c>
      <c r="AC21">
        <v>0.82354300000000003</v>
      </c>
      <c r="AD21" s="18">
        <f t="shared" si="12"/>
        <v>0.58724787427400593</v>
      </c>
      <c r="AE21" s="18">
        <f t="shared" si="13"/>
        <v>0.47454709328123157</v>
      </c>
    </row>
    <row r="22" spans="2:31" x14ac:dyDescent="0.25">
      <c r="B22" s="8">
        <v>1</v>
      </c>
      <c r="C22" s="8">
        <v>8</v>
      </c>
      <c r="D22" s="8">
        <v>1</v>
      </c>
      <c r="E22" s="12">
        <v>16</v>
      </c>
      <c r="F22" s="12">
        <v>2</v>
      </c>
      <c r="G22" s="12">
        <v>2</v>
      </c>
      <c r="H22" s="12">
        <v>256</v>
      </c>
      <c r="I22" s="12">
        <v>30</v>
      </c>
      <c r="J22" s="14">
        <f t="shared" si="14"/>
        <v>1</v>
      </c>
      <c r="K22" s="8">
        <v>256</v>
      </c>
      <c r="L22" s="12">
        <v>576</v>
      </c>
      <c r="M22" s="12">
        <v>512</v>
      </c>
      <c r="N22" s="15">
        <f t="shared" si="2"/>
        <v>1940.2105263157894</v>
      </c>
      <c r="O22" s="15">
        <f t="shared" si="3"/>
        <v>9830.4</v>
      </c>
      <c r="P22" s="15">
        <f t="shared" si="4"/>
        <v>1152</v>
      </c>
      <c r="Q22" s="15">
        <f t="shared" si="5"/>
        <v>11770.61052631579</v>
      </c>
      <c r="R22" s="15">
        <f t="shared" si="6"/>
        <v>128</v>
      </c>
      <c r="S22" s="15">
        <f t="shared" si="7"/>
        <v>8738.1333333333332</v>
      </c>
      <c r="T22" s="15">
        <f t="shared" si="0"/>
        <v>1152</v>
      </c>
      <c r="U22" s="15">
        <f t="shared" si="8"/>
        <v>8866.1333333333332</v>
      </c>
      <c r="V22" s="15">
        <f t="shared" si="9"/>
        <v>341.33333333333331</v>
      </c>
      <c r="W22" s="12">
        <f t="shared" si="10"/>
        <v>971</v>
      </c>
      <c r="X22" s="12"/>
      <c r="Y22" s="16">
        <f t="shared" si="11"/>
        <v>21949.077192982455</v>
      </c>
      <c r="Z22" s="11">
        <f t="shared" si="1"/>
        <v>2.1949077192982454E-2</v>
      </c>
      <c r="AB22">
        <v>7.5996999999999995E-2</v>
      </c>
      <c r="AC22">
        <v>7.7726000000000003E-2</v>
      </c>
      <c r="AD22" s="18">
        <f t="shared" si="12"/>
        <v>0.28881504787007983</v>
      </c>
      <c r="AE22" s="18">
        <f t="shared" si="13"/>
        <v>0.28239041238430451</v>
      </c>
    </row>
    <row r="23" spans="2:31" x14ac:dyDescent="0.25">
      <c r="B23" s="8">
        <v>2</v>
      </c>
      <c r="C23" s="8">
        <v>8</v>
      </c>
      <c r="D23" s="8">
        <v>1</v>
      </c>
      <c r="E23" s="12">
        <v>16</v>
      </c>
      <c r="F23" s="12">
        <v>2</v>
      </c>
      <c r="G23" s="12">
        <v>2</v>
      </c>
      <c r="H23" s="12">
        <v>256</v>
      </c>
      <c r="I23" s="12">
        <v>30</v>
      </c>
      <c r="J23" s="14">
        <f t="shared" si="14"/>
        <v>1</v>
      </c>
      <c r="K23" s="8">
        <v>256</v>
      </c>
      <c r="L23" s="12">
        <v>576</v>
      </c>
      <c r="M23" s="12">
        <v>512</v>
      </c>
      <c r="N23" s="15">
        <f t="shared" si="2"/>
        <v>1940.2105263157894</v>
      </c>
      <c r="O23" s="15">
        <f t="shared" si="3"/>
        <v>9830.4</v>
      </c>
      <c r="P23" s="15">
        <f t="shared" si="4"/>
        <v>1152</v>
      </c>
      <c r="Q23" s="15">
        <f t="shared" si="5"/>
        <v>11770.61052631579</v>
      </c>
      <c r="R23" s="15">
        <f t="shared" si="6"/>
        <v>128</v>
      </c>
      <c r="S23" s="15">
        <f t="shared" si="7"/>
        <v>8738.1333333333332</v>
      </c>
      <c r="T23" s="15">
        <f t="shared" si="0"/>
        <v>1152</v>
      </c>
      <c r="U23" s="15">
        <f t="shared" si="8"/>
        <v>8866.1333333333332</v>
      </c>
      <c r="V23" s="15">
        <f t="shared" si="9"/>
        <v>341.33333333333331</v>
      </c>
      <c r="W23" s="12">
        <f t="shared" si="10"/>
        <v>971</v>
      </c>
      <c r="X23" s="12"/>
      <c r="Y23" s="16">
        <f t="shared" si="11"/>
        <v>21949.077192982455</v>
      </c>
      <c r="Z23" s="11">
        <f t="shared" si="1"/>
        <v>2.1949077192982454E-2</v>
      </c>
      <c r="AB23">
        <v>8.0895999999999996E-2</v>
      </c>
      <c r="AC23">
        <v>8.2115999999999995E-2</v>
      </c>
      <c r="AD23" s="18">
        <f t="shared" si="12"/>
        <v>0.27132462906673327</v>
      </c>
      <c r="AE23" s="18">
        <f t="shared" si="13"/>
        <v>0.2672935505015156</v>
      </c>
    </row>
    <row r="24" spans="2:31" x14ac:dyDescent="0.25">
      <c r="B24">
        <v>4</v>
      </c>
      <c r="C24">
        <v>8</v>
      </c>
      <c r="D24">
        <v>1</v>
      </c>
      <c r="E24" s="12">
        <v>16</v>
      </c>
      <c r="F24" s="12">
        <v>2</v>
      </c>
      <c r="G24" s="12">
        <v>2</v>
      </c>
      <c r="H24" s="12">
        <v>256</v>
      </c>
      <c r="I24" s="12">
        <v>30</v>
      </c>
      <c r="J24" s="14">
        <f t="shared" si="14"/>
        <v>1</v>
      </c>
      <c r="K24">
        <v>256</v>
      </c>
      <c r="L24" s="12">
        <v>576</v>
      </c>
      <c r="M24" s="12">
        <v>512</v>
      </c>
      <c r="N24" s="15">
        <f t="shared" si="2"/>
        <v>1940.2105263157894</v>
      </c>
      <c r="O24" s="15">
        <f t="shared" si="3"/>
        <v>9830.4</v>
      </c>
      <c r="P24" s="15">
        <f t="shared" si="4"/>
        <v>1152</v>
      </c>
      <c r="Q24" s="15">
        <f t="shared" si="5"/>
        <v>11770.61052631579</v>
      </c>
      <c r="R24" s="15">
        <f t="shared" si="6"/>
        <v>128</v>
      </c>
      <c r="S24" s="15">
        <f t="shared" si="7"/>
        <v>8738.1333333333332</v>
      </c>
      <c r="T24" s="15">
        <f t="shared" si="0"/>
        <v>1152</v>
      </c>
      <c r="U24" s="15">
        <f t="shared" si="8"/>
        <v>8866.1333333333332</v>
      </c>
      <c r="V24" s="15">
        <f t="shared" si="9"/>
        <v>341.33333333333331</v>
      </c>
      <c r="W24" s="12">
        <f t="shared" si="10"/>
        <v>971</v>
      </c>
      <c r="X24" s="12"/>
      <c r="Y24" s="16">
        <f t="shared" si="11"/>
        <v>21949.077192982455</v>
      </c>
      <c r="Z24" s="11">
        <f t="shared" si="1"/>
        <v>2.1949077192982454E-2</v>
      </c>
      <c r="AB24">
        <v>8.0767000000000005E-2</v>
      </c>
      <c r="AC24">
        <v>8.2560999999999996E-2</v>
      </c>
      <c r="AD24" s="18">
        <f t="shared" si="12"/>
        <v>0.2717579852288986</v>
      </c>
      <c r="AE24" s="18">
        <f t="shared" si="13"/>
        <v>0.26585285053454361</v>
      </c>
    </row>
    <row r="25" spans="2:31" x14ac:dyDescent="0.25">
      <c r="B25">
        <v>8</v>
      </c>
      <c r="C25">
        <v>8</v>
      </c>
      <c r="D25">
        <v>1</v>
      </c>
      <c r="E25" s="12">
        <v>16</v>
      </c>
      <c r="F25" s="12">
        <v>2</v>
      </c>
      <c r="G25" s="12">
        <v>2</v>
      </c>
      <c r="H25" s="12">
        <v>256</v>
      </c>
      <c r="I25" s="12">
        <v>30</v>
      </c>
      <c r="J25" s="14">
        <f t="shared" si="14"/>
        <v>1</v>
      </c>
      <c r="K25">
        <v>256</v>
      </c>
      <c r="L25" s="12">
        <v>576</v>
      </c>
      <c r="M25" s="12">
        <v>512</v>
      </c>
      <c r="N25" s="15">
        <f t="shared" si="2"/>
        <v>1940.2105263157894</v>
      </c>
      <c r="O25" s="15">
        <f t="shared" si="3"/>
        <v>9830.4</v>
      </c>
      <c r="P25" s="15">
        <f t="shared" si="4"/>
        <v>1152</v>
      </c>
      <c r="Q25" s="15">
        <f t="shared" si="5"/>
        <v>11770.61052631579</v>
      </c>
      <c r="R25" s="15">
        <f t="shared" si="6"/>
        <v>128</v>
      </c>
      <c r="S25" s="15">
        <f t="shared" si="7"/>
        <v>8738.1333333333332</v>
      </c>
      <c r="T25" s="15">
        <f t="shared" si="0"/>
        <v>1152</v>
      </c>
      <c r="U25" s="15">
        <f t="shared" si="8"/>
        <v>8866.1333333333332</v>
      </c>
      <c r="V25" s="15">
        <f t="shared" si="9"/>
        <v>341.33333333333331</v>
      </c>
      <c r="W25" s="12">
        <f t="shared" si="10"/>
        <v>971</v>
      </c>
      <c r="X25" s="12"/>
      <c r="Y25" s="16">
        <f t="shared" si="11"/>
        <v>21949.077192982455</v>
      </c>
      <c r="Z25" s="11">
        <f t="shared" si="1"/>
        <v>2.1949077192982454E-2</v>
      </c>
      <c r="AB25">
        <v>8.7615999999999999E-2</v>
      </c>
      <c r="AC25">
        <v>8.9078000000000004E-2</v>
      </c>
      <c r="AD25" s="18">
        <f t="shared" si="12"/>
        <v>0.25051448585854702</v>
      </c>
      <c r="AE25" s="18">
        <f t="shared" si="13"/>
        <v>0.24640289625926101</v>
      </c>
    </row>
    <row r="26" spans="2:31" x14ac:dyDescent="0.25">
      <c r="B26">
        <v>16</v>
      </c>
      <c r="C26">
        <v>8</v>
      </c>
      <c r="D26">
        <v>1</v>
      </c>
      <c r="E26" s="12">
        <v>16</v>
      </c>
      <c r="F26" s="12">
        <v>2</v>
      </c>
      <c r="G26" s="12">
        <v>2</v>
      </c>
      <c r="H26" s="12">
        <v>256</v>
      </c>
      <c r="I26" s="12">
        <v>30</v>
      </c>
      <c r="J26" s="14">
        <f t="shared" si="14"/>
        <v>1</v>
      </c>
      <c r="K26">
        <v>256</v>
      </c>
      <c r="L26" s="12">
        <v>576</v>
      </c>
      <c r="M26" s="12">
        <v>512</v>
      </c>
      <c r="N26" s="15">
        <f t="shared" si="2"/>
        <v>1940.2105263157894</v>
      </c>
      <c r="O26" s="15">
        <f t="shared" si="3"/>
        <v>9830.4</v>
      </c>
      <c r="P26" s="15">
        <f t="shared" si="4"/>
        <v>1152</v>
      </c>
      <c r="Q26" s="15">
        <f t="shared" si="5"/>
        <v>11770.61052631579</v>
      </c>
      <c r="R26" s="15">
        <f t="shared" si="6"/>
        <v>128</v>
      </c>
      <c r="S26" s="15">
        <f t="shared" si="7"/>
        <v>8738.1333333333332</v>
      </c>
      <c r="T26" s="15">
        <f t="shared" si="0"/>
        <v>1152</v>
      </c>
      <c r="U26" s="15">
        <f t="shared" si="8"/>
        <v>8866.1333333333332</v>
      </c>
      <c r="V26" s="15">
        <f t="shared" si="9"/>
        <v>341.33333333333331</v>
      </c>
      <c r="W26" s="12">
        <f t="shared" si="10"/>
        <v>971</v>
      </c>
      <c r="X26" s="12"/>
      <c r="Y26" s="16">
        <f t="shared" si="11"/>
        <v>21949.077192982455</v>
      </c>
      <c r="Z26" s="11">
        <f t="shared" si="1"/>
        <v>2.1949077192982454E-2</v>
      </c>
      <c r="AB26">
        <v>9.4172000000000006E-2</v>
      </c>
      <c r="AC26">
        <v>9.4187000000000007E-2</v>
      </c>
      <c r="AD26" s="18">
        <f t="shared" si="12"/>
        <v>0.23307434474135041</v>
      </c>
      <c r="AE26" s="18">
        <f t="shared" si="13"/>
        <v>0.23303722586962589</v>
      </c>
    </row>
    <row r="27" spans="2:31" x14ac:dyDescent="0.25">
      <c r="B27">
        <v>32</v>
      </c>
      <c r="C27">
        <v>8</v>
      </c>
      <c r="D27">
        <v>1</v>
      </c>
      <c r="E27" s="12">
        <v>16</v>
      </c>
      <c r="F27" s="12">
        <v>2</v>
      </c>
      <c r="G27" s="12">
        <v>2</v>
      </c>
      <c r="H27" s="12">
        <v>256</v>
      </c>
      <c r="I27" s="12">
        <v>30</v>
      </c>
      <c r="J27" s="14">
        <f t="shared" si="14"/>
        <v>2</v>
      </c>
      <c r="K27">
        <v>256</v>
      </c>
      <c r="L27" s="12">
        <v>576</v>
      </c>
      <c r="M27" s="12">
        <v>512</v>
      </c>
      <c r="N27" s="15">
        <f t="shared" si="2"/>
        <v>3880.4210526315787</v>
      </c>
      <c r="O27" s="15">
        <f t="shared" si="3"/>
        <v>19660.8</v>
      </c>
      <c r="P27" s="15">
        <f t="shared" si="4"/>
        <v>2304</v>
      </c>
      <c r="Q27" s="15">
        <f t="shared" si="5"/>
        <v>23541.221052631579</v>
      </c>
      <c r="R27" s="15">
        <f t="shared" si="6"/>
        <v>256</v>
      </c>
      <c r="S27" s="15">
        <f t="shared" si="7"/>
        <v>17476.266666666666</v>
      </c>
      <c r="T27" s="15">
        <f t="shared" si="0"/>
        <v>2304</v>
      </c>
      <c r="U27" s="15">
        <f t="shared" si="8"/>
        <v>17732.266666666666</v>
      </c>
      <c r="V27" s="15">
        <f t="shared" si="9"/>
        <v>682.66666666666663</v>
      </c>
      <c r="W27" s="12">
        <f t="shared" si="10"/>
        <v>1942</v>
      </c>
      <c r="X27" s="12"/>
      <c r="Y27" s="16">
        <f t="shared" si="11"/>
        <v>43898.15438596491</v>
      </c>
      <c r="Z27" s="11">
        <f t="shared" si="1"/>
        <v>4.3898154385964908E-2</v>
      </c>
      <c r="AB27">
        <v>0.11241</v>
      </c>
      <c r="AC27">
        <v>0.12801599999999999</v>
      </c>
      <c r="AD27" s="18">
        <f t="shared" si="12"/>
        <v>0.39051823134921188</v>
      </c>
      <c r="AE27" s="18">
        <f t="shared" si="13"/>
        <v>0.34291146720694998</v>
      </c>
    </row>
    <row r="28" spans="2:31" x14ac:dyDescent="0.25">
      <c r="B28">
        <v>64</v>
      </c>
      <c r="C28">
        <v>8</v>
      </c>
      <c r="D28">
        <v>1</v>
      </c>
      <c r="E28" s="12">
        <v>16</v>
      </c>
      <c r="F28" s="12">
        <v>2</v>
      </c>
      <c r="G28" s="12">
        <v>2</v>
      </c>
      <c r="H28" s="12">
        <v>256</v>
      </c>
      <c r="I28" s="12">
        <v>30</v>
      </c>
      <c r="J28" s="14">
        <f t="shared" si="14"/>
        <v>4</v>
      </c>
      <c r="K28">
        <v>256</v>
      </c>
      <c r="L28" s="12">
        <v>576</v>
      </c>
      <c r="M28" s="12">
        <v>512</v>
      </c>
      <c r="N28" s="15">
        <f t="shared" si="2"/>
        <v>7760.8421052631575</v>
      </c>
      <c r="O28" s="15">
        <f t="shared" si="3"/>
        <v>39321.599999999999</v>
      </c>
      <c r="P28" s="15">
        <f t="shared" si="4"/>
        <v>4608</v>
      </c>
      <c r="Q28" s="15">
        <f t="shared" si="5"/>
        <v>47082.442105263159</v>
      </c>
      <c r="R28" s="15">
        <f t="shared" si="6"/>
        <v>512</v>
      </c>
      <c r="S28" s="15">
        <f t="shared" si="7"/>
        <v>34952.533333333333</v>
      </c>
      <c r="T28" s="15">
        <f t="shared" si="0"/>
        <v>4608</v>
      </c>
      <c r="U28" s="15">
        <f t="shared" si="8"/>
        <v>35464.533333333333</v>
      </c>
      <c r="V28" s="15">
        <f t="shared" si="9"/>
        <v>1365.3333333333333</v>
      </c>
      <c r="W28" s="12">
        <f t="shared" si="10"/>
        <v>3884</v>
      </c>
      <c r="X28" s="12"/>
      <c r="Y28" s="16">
        <f t="shared" si="11"/>
        <v>87796.30877192982</v>
      </c>
      <c r="Z28" s="11">
        <f t="shared" si="1"/>
        <v>8.7796308771929815E-2</v>
      </c>
      <c r="AB28">
        <v>0.16583800000000001</v>
      </c>
      <c r="AC28">
        <v>0.19070300000000001</v>
      </c>
      <c r="AD28" s="18">
        <f t="shared" si="12"/>
        <v>0.52941007954708696</v>
      </c>
      <c r="AE28" s="18">
        <f t="shared" si="13"/>
        <v>0.46038242068520058</v>
      </c>
    </row>
    <row r="29" spans="2:31" x14ac:dyDescent="0.25">
      <c r="B29">
        <v>128</v>
      </c>
      <c r="C29">
        <v>8</v>
      </c>
      <c r="D29">
        <v>1</v>
      </c>
      <c r="E29" s="12">
        <v>16</v>
      </c>
      <c r="F29" s="12">
        <v>2</v>
      </c>
      <c r="G29" s="12">
        <v>2</v>
      </c>
      <c r="H29" s="12">
        <v>256</v>
      </c>
      <c r="I29" s="12">
        <v>30</v>
      </c>
      <c r="J29" s="14">
        <f t="shared" si="14"/>
        <v>8</v>
      </c>
      <c r="K29">
        <v>256</v>
      </c>
      <c r="L29" s="12">
        <v>576</v>
      </c>
      <c r="M29" s="12">
        <v>512</v>
      </c>
      <c r="N29" s="15">
        <f t="shared" si="2"/>
        <v>15521.684210526315</v>
      </c>
      <c r="O29" s="15">
        <f t="shared" si="3"/>
        <v>78643.199999999997</v>
      </c>
      <c r="P29" s="15">
        <f t="shared" si="4"/>
        <v>9216</v>
      </c>
      <c r="Q29" s="15">
        <f t="shared" si="5"/>
        <v>94164.884210526317</v>
      </c>
      <c r="R29" s="15">
        <f t="shared" si="6"/>
        <v>1024</v>
      </c>
      <c r="S29" s="15">
        <f t="shared" si="7"/>
        <v>69905.066666666666</v>
      </c>
      <c r="T29" s="15">
        <f t="shared" si="0"/>
        <v>9216</v>
      </c>
      <c r="U29" s="15">
        <f t="shared" si="8"/>
        <v>70929.066666666666</v>
      </c>
      <c r="V29" s="15">
        <f t="shared" si="9"/>
        <v>2730.6666666666665</v>
      </c>
      <c r="W29" s="12">
        <f t="shared" si="10"/>
        <v>7768</v>
      </c>
      <c r="X29" s="12"/>
      <c r="Y29" s="16">
        <f t="shared" si="11"/>
        <v>175592.61754385964</v>
      </c>
      <c r="Z29" s="11">
        <f t="shared" si="1"/>
        <v>0.17559261754385963</v>
      </c>
      <c r="AB29">
        <v>0.28129900000000002</v>
      </c>
      <c r="AC29">
        <v>0.31914300000000001</v>
      </c>
      <c r="AD29" s="18">
        <f t="shared" si="12"/>
        <v>0.62422055373058427</v>
      </c>
      <c r="AE29" s="18">
        <f t="shared" si="13"/>
        <v>0.55020043536552465</v>
      </c>
    </row>
    <row r="30" spans="2:31" x14ac:dyDescent="0.25">
      <c r="B30">
        <v>256</v>
      </c>
      <c r="C30">
        <v>8</v>
      </c>
      <c r="D30">
        <v>1</v>
      </c>
      <c r="E30" s="12">
        <v>16</v>
      </c>
      <c r="F30" s="12">
        <v>2</v>
      </c>
      <c r="G30" s="12">
        <v>2</v>
      </c>
      <c r="H30" s="12">
        <v>256</v>
      </c>
      <c r="I30" s="12">
        <v>30</v>
      </c>
      <c r="J30" s="14">
        <f t="shared" si="14"/>
        <v>16</v>
      </c>
      <c r="K30">
        <v>256</v>
      </c>
      <c r="L30" s="12">
        <v>576</v>
      </c>
      <c r="M30" s="12">
        <v>512</v>
      </c>
      <c r="N30" s="15">
        <f t="shared" si="2"/>
        <v>31043.36842105263</v>
      </c>
      <c r="O30" s="15">
        <f t="shared" si="3"/>
        <v>157286.39999999999</v>
      </c>
      <c r="P30" s="15">
        <f t="shared" si="4"/>
        <v>18432</v>
      </c>
      <c r="Q30" s="15">
        <f t="shared" si="5"/>
        <v>188329.76842105263</v>
      </c>
      <c r="R30" s="15">
        <f t="shared" si="6"/>
        <v>2048</v>
      </c>
      <c r="S30" s="15">
        <f t="shared" si="7"/>
        <v>139810.13333333333</v>
      </c>
      <c r="T30" s="15">
        <f t="shared" si="0"/>
        <v>18432</v>
      </c>
      <c r="U30" s="15">
        <f t="shared" si="8"/>
        <v>141858.13333333333</v>
      </c>
      <c r="V30" s="15">
        <f t="shared" si="9"/>
        <v>5461.333333333333</v>
      </c>
      <c r="W30" s="12">
        <f t="shared" si="10"/>
        <v>15536</v>
      </c>
      <c r="X30" s="12"/>
      <c r="Y30" s="16">
        <f t="shared" si="11"/>
        <v>351185.23508771928</v>
      </c>
      <c r="Z30" s="11">
        <f t="shared" si="1"/>
        <v>0.35118523508771926</v>
      </c>
      <c r="AB30">
        <v>0.50956699999999999</v>
      </c>
      <c r="AC30">
        <v>0.57167800000000002</v>
      </c>
      <c r="AD30" s="18">
        <f t="shared" si="12"/>
        <v>0.6891836305877721</v>
      </c>
      <c r="AE30" s="18">
        <f t="shared" si="13"/>
        <v>0.61430601682716368</v>
      </c>
    </row>
    <row r="31" spans="2:31" x14ac:dyDescent="0.25">
      <c r="B31">
        <v>512</v>
      </c>
      <c r="C31">
        <v>8</v>
      </c>
      <c r="D31">
        <v>1</v>
      </c>
      <c r="E31" s="12">
        <v>16</v>
      </c>
      <c r="F31" s="12">
        <v>2</v>
      </c>
      <c r="G31" s="12">
        <v>2</v>
      </c>
      <c r="H31" s="12">
        <v>256</v>
      </c>
      <c r="I31" s="12">
        <v>30</v>
      </c>
      <c r="J31" s="14">
        <f t="shared" si="14"/>
        <v>32</v>
      </c>
      <c r="K31">
        <v>256</v>
      </c>
      <c r="L31" s="12">
        <v>576</v>
      </c>
      <c r="M31" s="12">
        <v>512</v>
      </c>
      <c r="N31" s="15">
        <f t="shared" si="2"/>
        <v>62086.73684210526</v>
      </c>
      <c r="O31" s="15">
        <f t="shared" si="3"/>
        <v>314572.79999999999</v>
      </c>
      <c r="P31" s="15">
        <f t="shared" si="4"/>
        <v>36864</v>
      </c>
      <c r="Q31" s="15">
        <f t="shared" si="5"/>
        <v>376659.53684210527</v>
      </c>
      <c r="R31" s="15">
        <f t="shared" si="6"/>
        <v>4096</v>
      </c>
      <c r="S31" s="15">
        <f t="shared" si="7"/>
        <v>279620.26666666666</v>
      </c>
      <c r="T31" s="15">
        <f t="shared" si="0"/>
        <v>36864</v>
      </c>
      <c r="U31" s="15">
        <f t="shared" si="8"/>
        <v>283716.26666666666</v>
      </c>
      <c r="V31" s="15">
        <f t="shared" si="9"/>
        <v>10922.666666666666</v>
      </c>
      <c r="W31" s="12">
        <f t="shared" si="10"/>
        <v>31072</v>
      </c>
      <c r="X31" s="12"/>
      <c r="Y31" s="16">
        <f t="shared" si="11"/>
        <v>702370.47017543856</v>
      </c>
      <c r="Z31" s="11">
        <f t="shared" si="1"/>
        <v>0.70237047017543852</v>
      </c>
      <c r="AB31">
        <v>0.98775599999999997</v>
      </c>
      <c r="AC31">
        <v>1.104263</v>
      </c>
      <c r="AD31" s="18">
        <f t="shared" si="12"/>
        <v>0.71107689568622068</v>
      </c>
      <c r="AE31" s="18">
        <f t="shared" si="13"/>
        <v>0.63605361238712022</v>
      </c>
    </row>
    <row r="32" spans="2:31" x14ac:dyDescent="0.25">
      <c r="B32" s="8">
        <v>1</v>
      </c>
      <c r="C32" s="8">
        <v>8</v>
      </c>
      <c r="D32" s="8">
        <v>1</v>
      </c>
      <c r="E32" s="12">
        <v>16</v>
      </c>
      <c r="F32" s="12">
        <v>2</v>
      </c>
      <c r="G32" s="12">
        <v>2</v>
      </c>
      <c r="H32" s="12">
        <v>256</v>
      </c>
      <c r="I32" s="12">
        <v>30</v>
      </c>
      <c r="J32" s="14">
        <f t="shared" si="14"/>
        <v>1</v>
      </c>
      <c r="K32" s="8">
        <v>512</v>
      </c>
      <c r="L32" s="12">
        <v>576</v>
      </c>
      <c r="M32" s="12">
        <v>512</v>
      </c>
      <c r="N32" s="15">
        <f t="shared" si="2"/>
        <v>1940.2105263157894</v>
      </c>
      <c r="O32" s="15">
        <f t="shared" si="3"/>
        <v>19660.8</v>
      </c>
      <c r="P32" s="15">
        <f t="shared" si="4"/>
        <v>2304</v>
      </c>
      <c r="Q32" s="15">
        <f t="shared" si="5"/>
        <v>21601.010526315789</v>
      </c>
      <c r="R32" s="15">
        <f t="shared" si="6"/>
        <v>256</v>
      </c>
      <c r="S32" s="15">
        <f t="shared" si="7"/>
        <v>17476.266666666666</v>
      </c>
      <c r="T32" s="15">
        <f t="shared" si="0"/>
        <v>2304</v>
      </c>
      <c r="U32" s="15">
        <f t="shared" si="8"/>
        <v>17732.266666666666</v>
      </c>
      <c r="V32" s="15">
        <f t="shared" si="9"/>
        <v>341.33333333333331</v>
      </c>
      <c r="W32" s="12">
        <f t="shared" si="10"/>
        <v>1747</v>
      </c>
      <c r="X32" s="12"/>
      <c r="Y32" s="16">
        <f t="shared" si="11"/>
        <v>41421.610526315788</v>
      </c>
      <c r="Z32" s="11">
        <f t="shared" si="1"/>
        <v>4.1421610526315787E-2</v>
      </c>
      <c r="AB32">
        <v>8.9270000000000002E-2</v>
      </c>
      <c r="AC32">
        <v>8.6041999999999993E-2</v>
      </c>
      <c r="AD32" s="18">
        <f t="shared" si="12"/>
        <v>0.46400370254638496</v>
      </c>
      <c r="AE32" s="18">
        <f t="shared" si="13"/>
        <v>0.48141152607233434</v>
      </c>
    </row>
    <row r="33" spans="2:31" x14ac:dyDescent="0.25">
      <c r="B33" s="8">
        <v>2</v>
      </c>
      <c r="C33" s="8">
        <v>8</v>
      </c>
      <c r="D33" s="8">
        <v>1</v>
      </c>
      <c r="E33" s="12">
        <v>16</v>
      </c>
      <c r="F33" s="12">
        <v>2</v>
      </c>
      <c r="G33" s="12">
        <v>2</v>
      </c>
      <c r="H33" s="12">
        <v>256</v>
      </c>
      <c r="I33" s="12">
        <v>30</v>
      </c>
      <c r="J33" s="14">
        <f t="shared" si="14"/>
        <v>1</v>
      </c>
      <c r="K33" s="8">
        <v>512</v>
      </c>
      <c r="L33" s="12">
        <v>576</v>
      </c>
      <c r="M33" s="12">
        <v>512</v>
      </c>
      <c r="N33" s="15">
        <f t="shared" si="2"/>
        <v>1940.2105263157894</v>
      </c>
      <c r="O33" s="15">
        <f t="shared" si="3"/>
        <v>19660.8</v>
      </c>
      <c r="P33" s="15">
        <f t="shared" si="4"/>
        <v>2304</v>
      </c>
      <c r="Q33" s="15">
        <f t="shared" si="5"/>
        <v>21601.010526315789</v>
      </c>
      <c r="R33" s="15">
        <f t="shared" si="6"/>
        <v>256</v>
      </c>
      <c r="S33" s="15">
        <f t="shared" si="7"/>
        <v>17476.266666666666</v>
      </c>
      <c r="T33" s="15">
        <f t="shared" si="0"/>
        <v>2304</v>
      </c>
      <c r="U33" s="15">
        <f t="shared" si="8"/>
        <v>17732.266666666666</v>
      </c>
      <c r="V33" s="15">
        <f t="shared" si="9"/>
        <v>341.33333333333331</v>
      </c>
      <c r="W33" s="12">
        <f t="shared" si="10"/>
        <v>1747</v>
      </c>
      <c r="X33" s="12"/>
      <c r="Y33" s="16">
        <f t="shared" si="11"/>
        <v>41421.610526315788</v>
      </c>
      <c r="Z33" s="11">
        <f t="shared" si="1"/>
        <v>4.1421610526315787E-2</v>
      </c>
      <c r="AB33">
        <v>9.8359000000000002E-2</v>
      </c>
      <c r="AC33">
        <v>9.622E-2</v>
      </c>
      <c r="AD33" s="18">
        <f t="shared" si="12"/>
        <v>0.42112679598527625</v>
      </c>
      <c r="AE33" s="18">
        <f t="shared" si="13"/>
        <v>0.43048857333522955</v>
      </c>
    </row>
    <row r="34" spans="2:31" x14ac:dyDescent="0.25">
      <c r="B34">
        <v>4</v>
      </c>
      <c r="C34">
        <v>8</v>
      </c>
      <c r="D34">
        <v>1</v>
      </c>
      <c r="E34" s="12">
        <v>16</v>
      </c>
      <c r="F34" s="12">
        <v>2</v>
      </c>
      <c r="G34" s="12">
        <v>2</v>
      </c>
      <c r="H34" s="12">
        <v>256</v>
      </c>
      <c r="I34" s="12">
        <v>30</v>
      </c>
      <c r="J34" s="14">
        <f t="shared" si="14"/>
        <v>1</v>
      </c>
      <c r="K34">
        <v>512</v>
      </c>
      <c r="L34" s="12">
        <v>576</v>
      </c>
      <c r="M34" s="12">
        <v>512</v>
      </c>
      <c r="N34" s="15">
        <f t="shared" si="2"/>
        <v>1940.2105263157894</v>
      </c>
      <c r="O34" s="15">
        <f t="shared" si="3"/>
        <v>19660.8</v>
      </c>
      <c r="P34" s="15">
        <f t="shared" si="4"/>
        <v>2304</v>
      </c>
      <c r="Q34" s="15">
        <f t="shared" si="5"/>
        <v>21601.010526315789</v>
      </c>
      <c r="R34" s="15">
        <f t="shared" si="6"/>
        <v>256</v>
      </c>
      <c r="S34" s="15">
        <f t="shared" si="7"/>
        <v>17476.266666666666</v>
      </c>
      <c r="T34" s="15">
        <f t="shared" si="0"/>
        <v>2304</v>
      </c>
      <c r="U34" s="15">
        <f t="shared" si="8"/>
        <v>17732.266666666666</v>
      </c>
      <c r="V34" s="15">
        <f t="shared" si="9"/>
        <v>341.33333333333331</v>
      </c>
      <c r="W34" s="12">
        <f t="shared" si="10"/>
        <v>1747</v>
      </c>
      <c r="X34" s="12"/>
      <c r="Y34" s="16">
        <f t="shared" si="11"/>
        <v>41421.610526315788</v>
      </c>
      <c r="Z34" s="11">
        <f t="shared" si="1"/>
        <v>4.1421610526315787E-2</v>
      </c>
      <c r="AB34">
        <v>9.9526000000000003E-2</v>
      </c>
      <c r="AC34">
        <v>9.7497E-2</v>
      </c>
      <c r="AD34" s="18">
        <f t="shared" si="12"/>
        <v>0.41618884036649506</v>
      </c>
      <c r="AE34" s="18">
        <f t="shared" si="13"/>
        <v>0.42485010335000861</v>
      </c>
    </row>
    <row r="35" spans="2:31" x14ac:dyDescent="0.25">
      <c r="B35">
        <v>8</v>
      </c>
      <c r="C35">
        <v>8</v>
      </c>
      <c r="D35">
        <v>1</v>
      </c>
      <c r="E35" s="12">
        <v>16</v>
      </c>
      <c r="F35" s="12">
        <v>2</v>
      </c>
      <c r="G35" s="12">
        <v>2</v>
      </c>
      <c r="H35" s="12">
        <v>256</v>
      </c>
      <c r="I35" s="12">
        <v>30</v>
      </c>
      <c r="J35" s="14">
        <f t="shared" si="14"/>
        <v>1</v>
      </c>
      <c r="K35">
        <v>512</v>
      </c>
      <c r="L35" s="12">
        <v>576</v>
      </c>
      <c r="M35" s="12">
        <v>512</v>
      </c>
      <c r="N35" s="15">
        <f t="shared" si="2"/>
        <v>1940.2105263157894</v>
      </c>
      <c r="O35" s="15">
        <f t="shared" si="3"/>
        <v>19660.8</v>
      </c>
      <c r="P35" s="15">
        <f t="shared" si="4"/>
        <v>2304</v>
      </c>
      <c r="Q35" s="15">
        <f t="shared" si="5"/>
        <v>21601.010526315789</v>
      </c>
      <c r="R35" s="15">
        <f t="shared" si="6"/>
        <v>256</v>
      </c>
      <c r="S35" s="15">
        <f t="shared" si="7"/>
        <v>17476.266666666666</v>
      </c>
      <c r="T35" s="15">
        <f t="shared" si="0"/>
        <v>2304</v>
      </c>
      <c r="U35" s="15">
        <f t="shared" si="8"/>
        <v>17732.266666666666</v>
      </c>
      <c r="V35" s="15">
        <f t="shared" si="9"/>
        <v>341.33333333333331</v>
      </c>
      <c r="W35" s="12">
        <f t="shared" si="10"/>
        <v>1747</v>
      </c>
      <c r="X35" s="12"/>
      <c r="Y35" s="16">
        <f t="shared" si="11"/>
        <v>41421.610526315788</v>
      </c>
      <c r="Z35" s="11">
        <f t="shared" si="1"/>
        <v>4.1421610526315787E-2</v>
      </c>
      <c r="AB35">
        <v>0.113815</v>
      </c>
      <c r="AC35">
        <v>0.110871</v>
      </c>
      <c r="AD35" s="18">
        <f t="shared" si="12"/>
        <v>0.3639380619981179</v>
      </c>
      <c r="AE35" s="18">
        <f t="shared" si="13"/>
        <v>0.37360184833108556</v>
      </c>
    </row>
    <row r="36" spans="2:31" x14ac:dyDescent="0.25">
      <c r="B36">
        <v>16</v>
      </c>
      <c r="C36">
        <v>8</v>
      </c>
      <c r="D36">
        <v>1</v>
      </c>
      <c r="E36" s="12">
        <v>16</v>
      </c>
      <c r="F36" s="12">
        <v>2</v>
      </c>
      <c r="G36" s="12">
        <v>2</v>
      </c>
      <c r="H36" s="12">
        <v>256</v>
      </c>
      <c r="I36" s="12">
        <v>30</v>
      </c>
      <c r="J36" s="14">
        <f t="shared" si="14"/>
        <v>1</v>
      </c>
      <c r="K36">
        <v>512</v>
      </c>
      <c r="L36" s="12">
        <v>576</v>
      </c>
      <c r="M36" s="12">
        <v>512</v>
      </c>
      <c r="N36" s="15">
        <f t="shared" si="2"/>
        <v>1940.2105263157894</v>
      </c>
      <c r="O36" s="15">
        <f t="shared" si="3"/>
        <v>19660.8</v>
      </c>
      <c r="P36" s="15">
        <f t="shared" si="4"/>
        <v>2304</v>
      </c>
      <c r="Q36" s="15">
        <f t="shared" si="5"/>
        <v>21601.010526315789</v>
      </c>
      <c r="R36" s="15">
        <f t="shared" si="6"/>
        <v>256</v>
      </c>
      <c r="S36" s="15">
        <f t="shared" si="7"/>
        <v>17476.266666666666</v>
      </c>
      <c r="T36" s="15">
        <f t="shared" si="0"/>
        <v>2304</v>
      </c>
      <c r="U36" s="15">
        <f t="shared" si="8"/>
        <v>17732.266666666666</v>
      </c>
      <c r="V36" s="15">
        <f t="shared" si="9"/>
        <v>341.33333333333331</v>
      </c>
      <c r="W36" s="12">
        <f t="shared" si="10"/>
        <v>1747</v>
      </c>
      <c r="X36" s="12"/>
      <c r="Y36" s="16">
        <f t="shared" si="11"/>
        <v>41421.610526315788</v>
      </c>
      <c r="Z36" s="11">
        <f t="shared" si="1"/>
        <v>4.1421610526315787E-2</v>
      </c>
      <c r="AB36">
        <v>0.124376</v>
      </c>
      <c r="AC36">
        <v>0.12001000000000001</v>
      </c>
      <c r="AD36" s="18">
        <f t="shared" si="12"/>
        <v>0.33303539691191053</v>
      </c>
      <c r="AE36" s="18">
        <f t="shared" si="13"/>
        <v>0.34515132510887248</v>
      </c>
    </row>
    <row r="37" spans="2:31" x14ac:dyDescent="0.25">
      <c r="B37">
        <v>32</v>
      </c>
      <c r="C37">
        <v>8</v>
      </c>
      <c r="D37">
        <v>1</v>
      </c>
      <c r="E37" s="12">
        <v>16</v>
      </c>
      <c r="F37" s="12">
        <v>2</v>
      </c>
      <c r="G37" s="12">
        <v>2</v>
      </c>
      <c r="H37" s="12">
        <v>256</v>
      </c>
      <c r="I37" s="12">
        <v>30</v>
      </c>
      <c r="J37" s="14">
        <f t="shared" si="14"/>
        <v>2</v>
      </c>
      <c r="K37">
        <v>512</v>
      </c>
      <c r="L37" s="12">
        <v>576</v>
      </c>
      <c r="M37" s="12">
        <v>512</v>
      </c>
      <c r="N37" s="15">
        <f t="shared" si="2"/>
        <v>3880.4210526315787</v>
      </c>
      <c r="O37" s="15">
        <f t="shared" si="3"/>
        <v>39321.599999999999</v>
      </c>
      <c r="P37" s="15">
        <f t="shared" si="4"/>
        <v>4608</v>
      </c>
      <c r="Q37" s="15">
        <f t="shared" si="5"/>
        <v>43202.021052631579</v>
      </c>
      <c r="R37" s="15">
        <f t="shared" si="6"/>
        <v>512</v>
      </c>
      <c r="S37" s="15">
        <f t="shared" si="7"/>
        <v>34952.533333333333</v>
      </c>
      <c r="T37" s="15">
        <f t="shared" si="0"/>
        <v>4608</v>
      </c>
      <c r="U37" s="15">
        <f t="shared" si="8"/>
        <v>35464.533333333333</v>
      </c>
      <c r="V37" s="15">
        <f t="shared" si="9"/>
        <v>682.66666666666663</v>
      </c>
      <c r="W37" s="12">
        <f t="shared" si="10"/>
        <v>3494</v>
      </c>
      <c r="X37" s="12"/>
      <c r="Y37" s="16">
        <f t="shared" si="11"/>
        <v>82843.221052631576</v>
      </c>
      <c r="Z37" s="11">
        <f t="shared" si="1"/>
        <v>8.2843221052631574E-2</v>
      </c>
      <c r="AB37">
        <v>0.15919700000000001</v>
      </c>
      <c r="AC37">
        <v>0.174875</v>
      </c>
      <c r="AD37" s="18">
        <f t="shared" si="12"/>
        <v>0.52038179772628612</v>
      </c>
      <c r="AE37" s="18">
        <f t="shared" si="13"/>
        <v>0.47372821188066661</v>
      </c>
    </row>
    <row r="38" spans="2:31" x14ac:dyDescent="0.25">
      <c r="B38">
        <v>64</v>
      </c>
      <c r="C38">
        <v>8</v>
      </c>
      <c r="D38">
        <v>1</v>
      </c>
      <c r="E38" s="12">
        <v>16</v>
      </c>
      <c r="F38" s="12">
        <v>2</v>
      </c>
      <c r="G38" s="12">
        <v>2</v>
      </c>
      <c r="H38" s="12">
        <v>256</v>
      </c>
      <c r="I38" s="12">
        <v>30</v>
      </c>
      <c r="J38" s="14">
        <f t="shared" si="14"/>
        <v>4</v>
      </c>
      <c r="K38">
        <v>512</v>
      </c>
      <c r="L38" s="12">
        <v>576</v>
      </c>
      <c r="M38" s="12">
        <v>512</v>
      </c>
      <c r="N38" s="15">
        <f t="shared" si="2"/>
        <v>7760.8421052631575</v>
      </c>
      <c r="O38" s="15">
        <f t="shared" si="3"/>
        <v>78643.199999999997</v>
      </c>
      <c r="P38" s="15">
        <f t="shared" si="4"/>
        <v>9216</v>
      </c>
      <c r="Q38" s="15">
        <f t="shared" si="5"/>
        <v>86404.042105263157</v>
      </c>
      <c r="R38" s="15">
        <f t="shared" si="6"/>
        <v>1024</v>
      </c>
      <c r="S38" s="15">
        <f t="shared" si="7"/>
        <v>69905.066666666666</v>
      </c>
      <c r="T38" s="15">
        <f t="shared" si="0"/>
        <v>9216</v>
      </c>
      <c r="U38" s="15">
        <f t="shared" si="8"/>
        <v>70929.066666666666</v>
      </c>
      <c r="V38" s="15">
        <f t="shared" si="9"/>
        <v>1365.3333333333333</v>
      </c>
      <c r="W38" s="12">
        <f t="shared" si="10"/>
        <v>6988</v>
      </c>
      <c r="X38" s="12"/>
      <c r="Y38" s="16">
        <f t="shared" si="11"/>
        <v>165686.44210526315</v>
      </c>
      <c r="Z38" s="11">
        <f t="shared" si="1"/>
        <v>0.16568644210526315</v>
      </c>
      <c r="AB38">
        <v>0.25500699999999998</v>
      </c>
      <c r="AC38">
        <v>0.27660099999999999</v>
      </c>
      <c r="AD38" s="18">
        <f t="shared" si="12"/>
        <v>0.64973291754839346</v>
      </c>
      <c r="AE38" s="18">
        <f t="shared" si="13"/>
        <v>0.59900883259736282</v>
      </c>
    </row>
    <row r="39" spans="2:31" x14ac:dyDescent="0.25">
      <c r="B39">
        <v>128</v>
      </c>
      <c r="C39">
        <v>8</v>
      </c>
      <c r="D39">
        <v>1</v>
      </c>
      <c r="E39" s="12">
        <v>16</v>
      </c>
      <c r="F39" s="12">
        <v>2</v>
      </c>
      <c r="G39" s="12">
        <v>2</v>
      </c>
      <c r="H39" s="12">
        <v>256</v>
      </c>
      <c r="I39" s="12">
        <v>30</v>
      </c>
      <c r="J39" s="14">
        <f t="shared" si="14"/>
        <v>8</v>
      </c>
      <c r="K39">
        <v>512</v>
      </c>
      <c r="L39" s="12">
        <v>576</v>
      </c>
      <c r="M39" s="12">
        <v>512</v>
      </c>
      <c r="N39" s="15">
        <f t="shared" si="2"/>
        <v>15521.684210526315</v>
      </c>
      <c r="O39" s="15">
        <f t="shared" si="3"/>
        <v>157286.39999999999</v>
      </c>
      <c r="P39" s="15">
        <f t="shared" si="4"/>
        <v>18432</v>
      </c>
      <c r="Q39" s="15">
        <f t="shared" si="5"/>
        <v>172808.08421052631</v>
      </c>
      <c r="R39" s="15">
        <f t="shared" si="6"/>
        <v>2048</v>
      </c>
      <c r="S39" s="15">
        <f t="shared" si="7"/>
        <v>139810.13333333333</v>
      </c>
      <c r="T39" s="15">
        <f t="shared" si="0"/>
        <v>18432</v>
      </c>
      <c r="U39" s="15">
        <f t="shared" si="8"/>
        <v>141858.13333333333</v>
      </c>
      <c r="V39" s="15">
        <f t="shared" si="9"/>
        <v>2730.6666666666665</v>
      </c>
      <c r="W39" s="12">
        <f t="shared" si="10"/>
        <v>13976</v>
      </c>
      <c r="X39" s="12"/>
      <c r="Y39" s="16">
        <f t="shared" si="11"/>
        <v>331372.8842105263</v>
      </c>
      <c r="Z39" s="11">
        <f t="shared" si="1"/>
        <v>0.3313728842105263</v>
      </c>
      <c r="AB39">
        <v>0.45979900000000001</v>
      </c>
      <c r="AC39">
        <v>0.488259</v>
      </c>
      <c r="AD39" s="18">
        <f t="shared" si="12"/>
        <v>0.72069074576179215</v>
      </c>
      <c r="AE39" s="18">
        <f t="shared" si="13"/>
        <v>0.67868259307155898</v>
      </c>
    </row>
    <row r="40" spans="2:31" x14ac:dyDescent="0.25">
      <c r="B40">
        <v>256</v>
      </c>
      <c r="C40">
        <v>8</v>
      </c>
      <c r="D40">
        <v>1</v>
      </c>
      <c r="E40" s="12">
        <v>16</v>
      </c>
      <c r="F40" s="12">
        <v>2</v>
      </c>
      <c r="G40" s="12">
        <v>2</v>
      </c>
      <c r="H40" s="12">
        <v>256</v>
      </c>
      <c r="I40" s="12">
        <v>30</v>
      </c>
      <c r="J40" s="14">
        <f t="shared" si="14"/>
        <v>16</v>
      </c>
      <c r="K40">
        <v>512</v>
      </c>
      <c r="L40" s="12">
        <v>576</v>
      </c>
      <c r="M40" s="12">
        <v>512</v>
      </c>
      <c r="N40" s="15">
        <f t="shared" si="2"/>
        <v>31043.36842105263</v>
      </c>
      <c r="O40" s="15">
        <f t="shared" si="3"/>
        <v>314572.79999999999</v>
      </c>
      <c r="P40" s="15">
        <f t="shared" si="4"/>
        <v>36864</v>
      </c>
      <c r="Q40" s="15">
        <f t="shared" si="5"/>
        <v>345616.16842105263</v>
      </c>
      <c r="R40" s="15">
        <f t="shared" si="6"/>
        <v>4096</v>
      </c>
      <c r="S40" s="15">
        <f t="shared" si="7"/>
        <v>279620.26666666666</v>
      </c>
      <c r="T40" s="15">
        <f t="shared" si="0"/>
        <v>36864</v>
      </c>
      <c r="U40" s="15">
        <f t="shared" si="8"/>
        <v>283716.26666666666</v>
      </c>
      <c r="V40" s="15">
        <f t="shared" si="9"/>
        <v>5461.333333333333</v>
      </c>
      <c r="W40" s="12">
        <f t="shared" si="10"/>
        <v>27952</v>
      </c>
      <c r="X40" s="12"/>
      <c r="Y40" s="16">
        <f t="shared" si="11"/>
        <v>662745.76842105261</v>
      </c>
      <c r="Z40" s="11">
        <f t="shared" si="1"/>
        <v>0.66274576842105259</v>
      </c>
      <c r="AB40">
        <v>0.85981700000000005</v>
      </c>
      <c r="AC40">
        <v>0.902756</v>
      </c>
      <c r="AD40" s="18">
        <f t="shared" si="12"/>
        <v>0.77079863322201414</v>
      </c>
      <c r="AE40" s="18">
        <f t="shared" si="13"/>
        <v>0.7341360992572219</v>
      </c>
    </row>
    <row r="41" spans="2:31" x14ac:dyDescent="0.25">
      <c r="B41">
        <v>512</v>
      </c>
      <c r="C41">
        <v>8</v>
      </c>
      <c r="D41">
        <v>1</v>
      </c>
      <c r="E41" s="12">
        <v>16</v>
      </c>
      <c r="F41" s="12">
        <v>2</v>
      </c>
      <c r="G41" s="12">
        <v>2</v>
      </c>
      <c r="H41" s="12">
        <v>256</v>
      </c>
      <c r="I41" s="12">
        <v>30</v>
      </c>
      <c r="J41" s="14">
        <f t="shared" si="14"/>
        <v>32</v>
      </c>
      <c r="K41">
        <v>512</v>
      </c>
      <c r="L41" s="12">
        <v>576</v>
      </c>
      <c r="M41" s="12">
        <v>512</v>
      </c>
      <c r="N41" s="15">
        <f t="shared" si="2"/>
        <v>62086.73684210526</v>
      </c>
      <c r="O41" s="15">
        <f t="shared" si="3"/>
        <v>629145.59999999998</v>
      </c>
      <c r="P41" s="15">
        <f t="shared" si="4"/>
        <v>73728</v>
      </c>
      <c r="Q41" s="15">
        <f t="shared" si="5"/>
        <v>691232.33684210526</v>
      </c>
      <c r="R41" s="15">
        <f t="shared" si="6"/>
        <v>8192</v>
      </c>
      <c r="S41" s="15">
        <f t="shared" si="7"/>
        <v>559240.53333333333</v>
      </c>
      <c r="T41" s="15">
        <f t="shared" si="0"/>
        <v>73728</v>
      </c>
      <c r="U41" s="15">
        <f t="shared" si="8"/>
        <v>567432.53333333333</v>
      </c>
      <c r="V41" s="15">
        <f t="shared" si="9"/>
        <v>10922.666666666666</v>
      </c>
      <c r="W41" s="12">
        <f t="shared" si="10"/>
        <v>55904</v>
      </c>
      <c r="X41" s="12"/>
      <c r="Y41" s="16">
        <f t="shared" si="11"/>
        <v>1325491.5368421052</v>
      </c>
      <c r="Z41" s="11">
        <f t="shared" si="1"/>
        <v>1.3254915368421052</v>
      </c>
      <c r="AB41">
        <v>1.6747609999999999</v>
      </c>
      <c r="AC41">
        <v>1.7288140000000001</v>
      </c>
      <c r="AD41" s="18">
        <f t="shared" si="12"/>
        <v>0.79145116039966612</v>
      </c>
      <c r="AE41" s="18">
        <f t="shared" si="13"/>
        <v>0.76670569352290363</v>
      </c>
    </row>
    <row r="42" spans="2:31" x14ac:dyDescent="0.25">
      <c r="B42" s="8">
        <v>1</v>
      </c>
      <c r="C42" s="8">
        <v>8</v>
      </c>
      <c r="D42" s="8">
        <v>1</v>
      </c>
      <c r="E42" s="12">
        <v>16</v>
      </c>
      <c r="F42" s="12">
        <v>2</v>
      </c>
      <c r="G42" s="12">
        <v>2</v>
      </c>
      <c r="H42" s="12">
        <v>256</v>
      </c>
      <c r="I42" s="12">
        <v>30</v>
      </c>
      <c r="J42" s="14">
        <f t="shared" si="14"/>
        <v>1</v>
      </c>
      <c r="K42" s="8">
        <f>1024</f>
        <v>1024</v>
      </c>
      <c r="L42" s="12">
        <v>576</v>
      </c>
      <c r="M42" s="12">
        <v>512</v>
      </c>
      <c r="N42" s="15">
        <f t="shared" si="2"/>
        <v>1940.2105263157894</v>
      </c>
      <c r="O42" s="15">
        <f t="shared" si="3"/>
        <v>39321.599999999999</v>
      </c>
      <c r="P42" s="15">
        <f>64*L42*_xlfn.CEILING.MATH(K42/128)*128*J42/8192</f>
        <v>4608</v>
      </c>
      <c r="Q42" s="15">
        <f t="shared" si="5"/>
        <v>41261.810526315785</v>
      </c>
      <c r="R42" s="15">
        <f t="shared" si="6"/>
        <v>512</v>
      </c>
      <c r="S42" s="15">
        <f t="shared" si="7"/>
        <v>34952.533333333333</v>
      </c>
      <c r="T42" s="15">
        <f t="shared" si="0"/>
        <v>4608</v>
      </c>
      <c r="U42" s="15">
        <f t="shared" si="8"/>
        <v>35464.533333333333</v>
      </c>
      <c r="V42" s="15">
        <f t="shared" si="9"/>
        <v>341.33333333333331</v>
      </c>
      <c r="W42" s="12">
        <f t="shared" si="10"/>
        <v>3299</v>
      </c>
      <c r="X42" s="12"/>
      <c r="Y42" s="16">
        <f t="shared" si="11"/>
        <v>80366.677192982446</v>
      </c>
      <c r="Z42" s="11">
        <f t="shared" si="1"/>
        <v>8.0366677192982447E-2</v>
      </c>
      <c r="AB42">
        <v>0.117628</v>
      </c>
      <c r="AC42">
        <v>0.105506</v>
      </c>
      <c r="AD42" s="18">
        <f t="shared" si="12"/>
        <v>0.68322743898546645</v>
      </c>
      <c r="AE42" s="18">
        <f t="shared" si="13"/>
        <v>0.76172613114877297</v>
      </c>
    </row>
    <row r="43" spans="2:31" x14ac:dyDescent="0.25">
      <c r="B43" s="8">
        <v>2</v>
      </c>
      <c r="C43" s="8">
        <v>8</v>
      </c>
      <c r="D43" s="8">
        <v>1</v>
      </c>
      <c r="E43" s="12">
        <v>16</v>
      </c>
      <c r="F43" s="12">
        <v>2</v>
      </c>
      <c r="G43" s="12">
        <v>2</v>
      </c>
      <c r="H43" s="12">
        <v>256</v>
      </c>
      <c r="I43" s="12">
        <v>30</v>
      </c>
      <c r="J43" s="14">
        <f t="shared" si="14"/>
        <v>1</v>
      </c>
      <c r="K43" s="8">
        <f>1024</f>
        <v>1024</v>
      </c>
      <c r="L43" s="12">
        <v>576</v>
      </c>
      <c r="M43" s="12">
        <v>512</v>
      </c>
      <c r="N43" s="15">
        <f t="shared" si="2"/>
        <v>1940.2105263157894</v>
      </c>
      <c r="O43" s="15">
        <f t="shared" si="3"/>
        <v>39321.599999999999</v>
      </c>
      <c r="P43" s="15">
        <f t="shared" si="4"/>
        <v>4608</v>
      </c>
      <c r="Q43" s="15">
        <f t="shared" si="5"/>
        <v>41261.810526315785</v>
      </c>
      <c r="R43" s="15">
        <f t="shared" si="6"/>
        <v>512</v>
      </c>
      <c r="S43" s="15">
        <f t="shared" si="7"/>
        <v>34952.533333333333</v>
      </c>
      <c r="T43" s="15">
        <f t="shared" si="0"/>
        <v>4608</v>
      </c>
      <c r="U43" s="15">
        <f t="shared" si="8"/>
        <v>35464.533333333333</v>
      </c>
      <c r="V43" s="15">
        <f t="shared" si="9"/>
        <v>341.33333333333331</v>
      </c>
      <c r="W43" s="12">
        <f t="shared" si="10"/>
        <v>3299</v>
      </c>
      <c r="X43" s="12"/>
      <c r="Y43" s="16">
        <f t="shared" si="11"/>
        <v>80366.677192982446</v>
      </c>
      <c r="Z43" s="11">
        <f t="shared" si="1"/>
        <v>8.0366677192982447E-2</v>
      </c>
      <c r="AB43">
        <v>0.13514699999999999</v>
      </c>
      <c r="AC43">
        <v>0.124782</v>
      </c>
      <c r="AD43" s="18">
        <f t="shared" si="12"/>
        <v>0.59466119997471234</v>
      </c>
      <c r="AE43" s="18">
        <f t="shared" si="13"/>
        <v>0.64405665234555021</v>
      </c>
    </row>
    <row r="44" spans="2:31" x14ac:dyDescent="0.25">
      <c r="B44" s="8">
        <v>4</v>
      </c>
      <c r="C44" s="8">
        <v>8</v>
      </c>
      <c r="D44" s="8">
        <v>1</v>
      </c>
      <c r="E44" s="12">
        <v>16</v>
      </c>
      <c r="F44" s="12">
        <v>2</v>
      </c>
      <c r="G44" s="12">
        <v>2</v>
      </c>
      <c r="H44" s="12">
        <v>256</v>
      </c>
      <c r="I44" s="12">
        <v>30</v>
      </c>
      <c r="J44" s="14">
        <f t="shared" si="14"/>
        <v>1</v>
      </c>
      <c r="K44" s="8">
        <f>1024</f>
        <v>1024</v>
      </c>
      <c r="L44" s="12">
        <v>576</v>
      </c>
      <c r="M44" s="12">
        <v>512</v>
      </c>
      <c r="N44" s="15">
        <f t="shared" si="2"/>
        <v>1940.2105263157894</v>
      </c>
      <c r="O44" s="15">
        <f t="shared" si="3"/>
        <v>39321.599999999999</v>
      </c>
      <c r="P44" s="15">
        <f t="shared" si="4"/>
        <v>4608</v>
      </c>
      <c r="Q44" s="15">
        <f t="shared" si="5"/>
        <v>41261.810526315785</v>
      </c>
      <c r="R44" s="15">
        <f t="shared" si="6"/>
        <v>512</v>
      </c>
      <c r="S44" s="15">
        <f t="shared" si="7"/>
        <v>34952.533333333333</v>
      </c>
      <c r="T44" s="15">
        <f t="shared" si="0"/>
        <v>4608</v>
      </c>
      <c r="U44" s="15">
        <f t="shared" si="8"/>
        <v>35464.533333333333</v>
      </c>
      <c r="V44" s="15">
        <f t="shared" si="9"/>
        <v>341.33333333333331</v>
      </c>
      <c r="W44" s="12">
        <f t="shared" si="10"/>
        <v>3299</v>
      </c>
      <c r="X44" s="12"/>
      <c r="Y44" s="16">
        <f t="shared" si="11"/>
        <v>80366.677192982446</v>
      </c>
      <c r="Z44" s="11">
        <f t="shared" si="1"/>
        <v>8.0366677192982447E-2</v>
      </c>
      <c r="AB44">
        <v>0.13944899999999999</v>
      </c>
      <c r="AC44">
        <v>0.128888</v>
      </c>
      <c r="AD44" s="18">
        <f t="shared" si="12"/>
        <v>0.57631590899169194</v>
      </c>
      <c r="AE44" s="18">
        <f t="shared" si="13"/>
        <v>0.62353886469634445</v>
      </c>
    </row>
    <row r="45" spans="2:31" x14ac:dyDescent="0.25">
      <c r="B45">
        <v>8</v>
      </c>
      <c r="C45">
        <v>8</v>
      </c>
      <c r="D45">
        <v>1</v>
      </c>
      <c r="E45" s="12">
        <v>16</v>
      </c>
      <c r="F45" s="12">
        <v>2</v>
      </c>
      <c r="G45" s="12">
        <v>2</v>
      </c>
      <c r="H45" s="12">
        <v>256</v>
      </c>
      <c r="I45" s="12">
        <v>30</v>
      </c>
      <c r="J45" s="14">
        <f t="shared" si="14"/>
        <v>1</v>
      </c>
      <c r="K45">
        <f>1024</f>
        <v>1024</v>
      </c>
      <c r="L45" s="12">
        <v>576</v>
      </c>
      <c r="M45" s="12">
        <v>512</v>
      </c>
      <c r="N45" s="15">
        <f t="shared" si="2"/>
        <v>1940.2105263157894</v>
      </c>
      <c r="O45" s="15">
        <f t="shared" si="3"/>
        <v>39321.599999999999</v>
      </c>
      <c r="P45" s="15">
        <f t="shared" si="4"/>
        <v>4608</v>
      </c>
      <c r="Q45" s="15">
        <f t="shared" si="5"/>
        <v>41261.810526315785</v>
      </c>
      <c r="R45" s="15">
        <f t="shared" si="6"/>
        <v>512</v>
      </c>
      <c r="S45" s="15">
        <f t="shared" si="7"/>
        <v>34952.533333333333</v>
      </c>
      <c r="T45" s="15">
        <f t="shared" si="0"/>
        <v>4608</v>
      </c>
      <c r="U45" s="15">
        <f t="shared" si="8"/>
        <v>35464.533333333333</v>
      </c>
      <c r="V45" s="15">
        <f t="shared" si="9"/>
        <v>341.33333333333331</v>
      </c>
      <c r="W45" s="12">
        <f t="shared" si="10"/>
        <v>3299</v>
      </c>
      <c r="X45" s="12"/>
      <c r="Y45" s="16">
        <f t="shared" si="11"/>
        <v>80366.677192982446</v>
      </c>
      <c r="Z45" s="11">
        <f t="shared" si="1"/>
        <v>8.0366677192982447E-2</v>
      </c>
      <c r="AB45">
        <v>0.16772999999999999</v>
      </c>
      <c r="AC45">
        <v>0.15551200000000001</v>
      </c>
      <c r="AD45" s="18">
        <f t="shared" si="12"/>
        <v>0.47914312998856767</v>
      </c>
      <c r="AE45" s="18">
        <f t="shared" si="13"/>
        <v>0.51678762534712719</v>
      </c>
    </row>
    <row r="46" spans="2:31" x14ac:dyDescent="0.25">
      <c r="B46">
        <v>16</v>
      </c>
      <c r="C46">
        <v>8</v>
      </c>
      <c r="D46">
        <v>1</v>
      </c>
      <c r="E46" s="12">
        <v>16</v>
      </c>
      <c r="F46" s="12">
        <v>2</v>
      </c>
      <c r="G46" s="12">
        <v>2</v>
      </c>
      <c r="H46" s="12">
        <v>256</v>
      </c>
      <c r="I46" s="12">
        <v>30</v>
      </c>
      <c r="J46" s="14">
        <f t="shared" si="14"/>
        <v>1</v>
      </c>
      <c r="K46">
        <f>1024</f>
        <v>1024</v>
      </c>
      <c r="L46" s="12">
        <v>576</v>
      </c>
      <c r="M46" s="12">
        <v>512</v>
      </c>
      <c r="N46" s="15">
        <f t="shared" si="2"/>
        <v>1940.2105263157894</v>
      </c>
      <c r="O46" s="15">
        <f t="shared" si="3"/>
        <v>39321.599999999999</v>
      </c>
      <c r="P46" s="15">
        <f t="shared" si="4"/>
        <v>4608</v>
      </c>
      <c r="Q46" s="15">
        <f t="shared" si="5"/>
        <v>41261.810526315785</v>
      </c>
      <c r="R46" s="15">
        <f t="shared" si="6"/>
        <v>512</v>
      </c>
      <c r="S46" s="15">
        <f t="shared" si="7"/>
        <v>34952.533333333333</v>
      </c>
      <c r="T46" s="15">
        <f t="shared" si="0"/>
        <v>4608</v>
      </c>
      <c r="U46" s="15">
        <f t="shared" si="8"/>
        <v>35464.533333333333</v>
      </c>
      <c r="V46" s="15">
        <f t="shared" si="9"/>
        <v>341.33333333333331</v>
      </c>
      <c r="W46" s="12">
        <f t="shared" si="10"/>
        <v>3299</v>
      </c>
      <c r="X46" s="12"/>
      <c r="Y46" s="16">
        <f t="shared" si="11"/>
        <v>80366.677192982446</v>
      </c>
      <c r="Z46" s="11">
        <f t="shared" si="1"/>
        <v>8.0366677192982447E-2</v>
      </c>
      <c r="AB46">
        <v>0.18482899999999999</v>
      </c>
      <c r="AC46">
        <v>0.175374</v>
      </c>
      <c r="AD46" s="18">
        <f t="shared" si="12"/>
        <v>0.43481638267253758</v>
      </c>
      <c r="AE46" s="18">
        <f t="shared" si="13"/>
        <v>0.45825879088680449</v>
      </c>
    </row>
    <row r="47" spans="2:31" x14ac:dyDescent="0.25">
      <c r="B47">
        <v>32</v>
      </c>
      <c r="C47">
        <v>8</v>
      </c>
      <c r="D47">
        <v>1</v>
      </c>
      <c r="E47" s="12">
        <v>16</v>
      </c>
      <c r="F47" s="12">
        <v>2</v>
      </c>
      <c r="G47" s="12">
        <v>2</v>
      </c>
      <c r="H47" s="12">
        <v>256</v>
      </c>
      <c r="I47" s="12">
        <v>30</v>
      </c>
      <c r="J47" s="14">
        <f t="shared" si="14"/>
        <v>2</v>
      </c>
      <c r="K47">
        <f>1024</f>
        <v>1024</v>
      </c>
      <c r="L47" s="12">
        <v>576</v>
      </c>
      <c r="M47" s="12">
        <v>512</v>
      </c>
      <c r="N47" s="15">
        <f t="shared" si="2"/>
        <v>3880.4210526315787</v>
      </c>
      <c r="O47" s="15">
        <f t="shared" si="3"/>
        <v>78643.199999999997</v>
      </c>
      <c r="P47" s="15">
        <f t="shared" si="4"/>
        <v>9216</v>
      </c>
      <c r="Q47" s="15">
        <f t="shared" si="5"/>
        <v>82523.62105263157</v>
      </c>
      <c r="R47" s="15">
        <f t="shared" si="6"/>
        <v>1024</v>
      </c>
      <c r="S47" s="15">
        <f t="shared" si="7"/>
        <v>69905.066666666666</v>
      </c>
      <c r="T47" s="15">
        <f t="shared" si="0"/>
        <v>9216</v>
      </c>
      <c r="U47" s="15">
        <f t="shared" si="8"/>
        <v>70929.066666666666</v>
      </c>
      <c r="V47" s="15">
        <f t="shared" si="9"/>
        <v>682.66666666666663</v>
      </c>
      <c r="W47" s="12">
        <f t="shared" si="10"/>
        <v>6598</v>
      </c>
      <c r="X47" s="12"/>
      <c r="Y47" s="16">
        <f t="shared" si="11"/>
        <v>160733.35438596489</v>
      </c>
      <c r="Z47" s="11">
        <f t="shared" si="1"/>
        <v>0.16073335438596489</v>
      </c>
      <c r="AB47">
        <v>0.26082300000000003</v>
      </c>
      <c r="AC47">
        <v>0.28098200000000001</v>
      </c>
      <c r="AD47" s="18">
        <f t="shared" si="12"/>
        <v>0.61625452657919311</v>
      </c>
      <c r="AE47" s="18">
        <f t="shared" si="13"/>
        <v>0.57204146310427317</v>
      </c>
    </row>
    <row r="48" spans="2:31" x14ac:dyDescent="0.25">
      <c r="B48">
        <v>64</v>
      </c>
      <c r="C48">
        <v>8</v>
      </c>
      <c r="D48">
        <v>1</v>
      </c>
      <c r="E48" s="12">
        <v>16</v>
      </c>
      <c r="F48" s="12">
        <v>2</v>
      </c>
      <c r="G48" s="12">
        <v>2</v>
      </c>
      <c r="H48" s="12">
        <v>256</v>
      </c>
      <c r="I48" s="12">
        <v>30</v>
      </c>
      <c r="J48" s="14">
        <f t="shared" si="14"/>
        <v>4</v>
      </c>
      <c r="K48">
        <f>1024</f>
        <v>1024</v>
      </c>
      <c r="L48" s="12">
        <v>576</v>
      </c>
      <c r="M48" s="12">
        <v>512</v>
      </c>
      <c r="N48" s="15">
        <f t="shared" si="2"/>
        <v>7760.8421052631575</v>
      </c>
      <c r="O48" s="15">
        <f t="shared" si="3"/>
        <v>157286.39999999999</v>
      </c>
      <c r="P48" s="15">
        <f t="shared" si="4"/>
        <v>18432</v>
      </c>
      <c r="Q48" s="15">
        <f t="shared" si="5"/>
        <v>165047.24210526314</v>
      </c>
      <c r="R48" s="15">
        <f t="shared" si="6"/>
        <v>2048</v>
      </c>
      <c r="S48" s="15">
        <f t="shared" si="7"/>
        <v>139810.13333333333</v>
      </c>
      <c r="T48" s="15">
        <f t="shared" si="0"/>
        <v>18432</v>
      </c>
      <c r="U48" s="15">
        <f t="shared" si="8"/>
        <v>141858.13333333333</v>
      </c>
      <c r="V48" s="15">
        <f t="shared" si="9"/>
        <v>1365.3333333333333</v>
      </c>
      <c r="W48" s="12">
        <f t="shared" si="10"/>
        <v>13196</v>
      </c>
      <c r="X48" s="12"/>
      <c r="Y48" s="16">
        <f t="shared" si="11"/>
        <v>321466.70877192979</v>
      </c>
      <c r="Z48" s="11">
        <f t="shared" si="1"/>
        <v>0.32146670877192979</v>
      </c>
      <c r="AB48">
        <v>0.45156499999999999</v>
      </c>
      <c r="AC48">
        <v>0.47519299999999998</v>
      </c>
      <c r="AD48" s="18">
        <f t="shared" si="12"/>
        <v>0.71189465253491702</v>
      </c>
      <c r="AE48" s="18">
        <f t="shared" si="13"/>
        <v>0.67649714699486274</v>
      </c>
    </row>
    <row r="49" spans="1:31" x14ac:dyDescent="0.25">
      <c r="B49">
        <v>128</v>
      </c>
      <c r="C49">
        <v>8</v>
      </c>
      <c r="D49">
        <v>1</v>
      </c>
      <c r="E49" s="12">
        <v>16</v>
      </c>
      <c r="F49" s="12">
        <v>2</v>
      </c>
      <c r="G49" s="12">
        <v>2</v>
      </c>
      <c r="H49" s="12">
        <v>256</v>
      </c>
      <c r="I49" s="12">
        <v>30</v>
      </c>
      <c r="J49" s="14">
        <f t="shared" si="14"/>
        <v>8</v>
      </c>
      <c r="K49">
        <f>1024</f>
        <v>1024</v>
      </c>
      <c r="L49" s="12">
        <v>576</v>
      </c>
      <c r="M49" s="12">
        <v>512</v>
      </c>
      <c r="N49" s="15">
        <f t="shared" si="2"/>
        <v>15521.684210526315</v>
      </c>
      <c r="O49" s="15">
        <f t="shared" si="3"/>
        <v>314572.79999999999</v>
      </c>
      <c r="P49" s="15">
        <f t="shared" si="4"/>
        <v>36864</v>
      </c>
      <c r="Q49" s="15">
        <f t="shared" si="5"/>
        <v>330094.48421052628</v>
      </c>
      <c r="R49" s="15">
        <f t="shared" si="6"/>
        <v>4096</v>
      </c>
      <c r="S49" s="15">
        <f t="shared" si="7"/>
        <v>279620.26666666666</v>
      </c>
      <c r="T49" s="15">
        <f t="shared" si="0"/>
        <v>36864</v>
      </c>
      <c r="U49" s="15">
        <f t="shared" si="8"/>
        <v>283716.26666666666</v>
      </c>
      <c r="V49" s="15">
        <f t="shared" si="9"/>
        <v>2730.6666666666665</v>
      </c>
      <c r="W49" s="12">
        <f t="shared" si="10"/>
        <v>26392</v>
      </c>
      <c r="X49" s="12"/>
      <c r="Y49" s="16">
        <f t="shared" si="11"/>
        <v>642933.41754385957</v>
      </c>
      <c r="Z49" s="11">
        <f t="shared" si="1"/>
        <v>0.64293341754385958</v>
      </c>
      <c r="AB49">
        <v>0.85325899999999999</v>
      </c>
      <c r="AC49">
        <v>0.86334100000000003</v>
      </c>
      <c r="AD49" s="18">
        <f t="shared" si="12"/>
        <v>0.75350323588014845</v>
      </c>
      <c r="AE49" s="18">
        <f t="shared" si="13"/>
        <v>0.74470390905083805</v>
      </c>
    </row>
    <row r="50" spans="1:31" x14ac:dyDescent="0.25">
      <c r="B50">
        <v>256</v>
      </c>
      <c r="C50">
        <v>8</v>
      </c>
      <c r="D50">
        <v>1</v>
      </c>
      <c r="E50" s="12">
        <v>16</v>
      </c>
      <c r="F50" s="12">
        <v>2</v>
      </c>
      <c r="G50" s="12">
        <v>2</v>
      </c>
      <c r="H50" s="12">
        <v>256</v>
      </c>
      <c r="I50" s="12">
        <v>30</v>
      </c>
      <c r="J50" s="14">
        <f t="shared" si="14"/>
        <v>16</v>
      </c>
      <c r="K50">
        <f>1024</f>
        <v>1024</v>
      </c>
      <c r="L50" s="12">
        <v>576</v>
      </c>
      <c r="M50" s="12">
        <v>512</v>
      </c>
      <c r="N50" s="15">
        <f t="shared" si="2"/>
        <v>31043.36842105263</v>
      </c>
      <c r="O50" s="15">
        <f t="shared" si="3"/>
        <v>629145.59999999998</v>
      </c>
      <c r="P50" s="15">
        <f t="shared" si="4"/>
        <v>73728</v>
      </c>
      <c r="Q50" s="15">
        <f t="shared" si="5"/>
        <v>660188.96842105256</v>
      </c>
      <c r="R50" s="15">
        <f t="shared" si="6"/>
        <v>8192</v>
      </c>
      <c r="S50" s="15">
        <f t="shared" si="7"/>
        <v>559240.53333333333</v>
      </c>
      <c r="T50" s="15">
        <f t="shared" si="0"/>
        <v>73728</v>
      </c>
      <c r="U50" s="15">
        <f t="shared" si="8"/>
        <v>567432.53333333333</v>
      </c>
      <c r="V50" s="15">
        <f t="shared" si="9"/>
        <v>5461.333333333333</v>
      </c>
      <c r="W50" s="12">
        <f t="shared" si="10"/>
        <v>52784</v>
      </c>
      <c r="X50" s="12"/>
      <c r="Y50" s="16">
        <f t="shared" si="11"/>
        <v>1285866.8350877191</v>
      </c>
      <c r="Z50" s="11">
        <f t="shared" si="1"/>
        <v>1.2858668350877192</v>
      </c>
      <c r="AB50">
        <v>1.6530800000000001</v>
      </c>
      <c r="AC50">
        <v>1.627472</v>
      </c>
      <c r="AD50" s="18">
        <f t="shared" si="12"/>
        <v>0.77786122576506833</v>
      </c>
      <c r="AE50" s="18">
        <f t="shared" si="13"/>
        <v>0.79010074218648252</v>
      </c>
    </row>
    <row r="51" spans="1:31" x14ac:dyDescent="0.25">
      <c r="B51">
        <v>512</v>
      </c>
      <c r="C51">
        <v>8</v>
      </c>
      <c r="D51">
        <v>1</v>
      </c>
      <c r="E51" s="12">
        <v>16</v>
      </c>
      <c r="F51" s="12">
        <v>2</v>
      </c>
      <c r="G51" s="12">
        <v>2</v>
      </c>
      <c r="H51" s="12">
        <v>256</v>
      </c>
      <c r="I51" s="12">
        <v>30</v>
      </c>
      <c r="J51" s="14">
        <f t="shared" si="14"/>
        <v>32</v>
      </c>
      <c r="K51">
        <f>1024</f>
        <v>1024</v>
      </c>
      <c r="L51" s="12">
        <v>576</v>
      </c>
      <c r="M51" s="12">
        <v>512</v>
      </c>
      <c r="N51" s="15">
        <f t="shared" si="2"/>
        <v>62086.73684210526</v>
      </c>
      <c r="O51" s="15">
        <f t="shared" si="3"/>
        <v>1258291.2</v>
      </c>
      <c r="P51" s="15">
        <f t="shared" si="4"/>
        <v>147456</v>
      </c>
      <c r="Q51" s="15">
        <f t="shared" si="5"/>
        <v>1320377.9368421051</v>
      </c>
      <c r="R51" s="15">
        <f t="shared" si="6"/>
        <v>16384</v>
      </c>
      <c r="S51" s="15">
        <f t="shared" si="7"/>
        <v>1118481.0666666667</v>
      </c>
      <c r="T51" s="15">
        <f t="shared" si="0"/>
        <v>147456</v>
      </c>
      <c r="U51" s="15">
        <f t="shared" si="8"/>
        <v>1134865.0666666667</v>
      </c>
      <c r="V51" s="15">
        <f t="shared" si="9"/>
        <v>10922.666666666666</v>
      </c>
      <c r="W51" s="12">
        <f t="shared" si="10"/>
        <v>105568</v>
      </c>
      <c r="X51" s="12"/>
      <c r="Y51" s="16">
        <f t="shared" si="11"/>
        <v>2571733.6701754383</v>
      </c>
      <c r="Z51" s="11">
        <f t="shared" si="1"/>
        <v>2.5717336701754383</v>
      </c>
      <c r="AB51">
        <v>3.284351</v>
      </c>
      <c r="AC51">
        <v>3.1558760000000001</v>
      </c>
      <c r="AD51" s="18">
        <f t="shared" si="12"/>
        <v>0.78302643967573449</v>
      </c>
      <c r="AE51" s="18">
        <f t="shared" si="13"/>
        <v>0.81490326938556468</v>
      </c>
    </row>
    <row r="52" spans="1:31" x14ac:dyDescent="0.25">
      <c r="B52" s="8">
        <v>1</v>
      </c>
      <c r="C52" s="8">
        <v>8</v>
      </c>
      <c r="D52" s="8">
        <v>1</v>
      </c>
      <c r="E52" s="12">
        <v>16</v>
      </c>
      <c r="F52" s="12">
        <v>2</v>
      </c>
      <c r="G52" s="12">
        <v>2</v>
      </c>
      <c r="H52" s="12">
        <v>256</v>
      </c>
      <c r="I52" s="12">
        <v>30</v>
      </c>
      <c r="J52" s="14">
        <f t="shared" si="14"/>
        <v>1</v>
      </c>
      <c r="K52" s="8">
        <f>2048</f>
        <v>2048</v>
      </c>
      <c r="L52" s="12">
        <v>576</v>
      </c>
      <c r="M52" s="12">
        <v>512</v>
      </c>
      <c r="N52" s="15">
        <f t="shared" si="2"/>
        <v>1940.2105263157894</v>
      </c>
      <c r="O52" s="15">
        <f t="shared" si="3"/>
        <v>78643.199999999997</v>
      </c>
      <c r="P52" s="15">
        <f t="shared" si="4"/>
        <v>9216</v>
      </c>
      <c r="Q52" s="15">
        <f t="shared" si="5"/>
        <v>80583.410526315783</v>
      </c>
      <c r="R52" s="15">
        <f t="shared" si="6"/>
        <v>1024</v>
      </c>
      <c r="S52" s="15">
        <f t="shared" si="7"/>
        <v>69905.066666666666</v>
      </c>
      <c r="T52" s="15">
        <f t="shared" si="0"/>
        <v>9216</v>
      </c>
      <c r="U52" s="15">
        <f t="shared" si="8"/>
        <v>70929.066666666666</v>
      </c>
      <c r="V52" s="15">
        <f t="shared" si="9"/>
        <v>341.33333333333331</v>
      </c>
      <c r="W52" s="12">
        <f t="shared" si="10"/>
        <v>6403</v>
      </c>
      <c r="X52" s="12"/>
      <c r="Y52" s="16">
        <f t="shared" si="11"/>
        <v>158256.81052631579</v>
      </c>
      <c r="Z52" s="11">
        <f t="shared" si="1"/>
        <v>0.15825681052631579</v>
      </c>
      <c r="AB52">
        <v>0.1709</v>
      </c>
      <c r="AC52">
        <v>0.14333499999999999</v>
      </c>
      <c r="AD52" s="18">
        <f t="shared" si="12"/>
        <v>0.92601995626867051</v>
      </c>
      <c r="AE52" s="18">
        <f t="shared" si="13"/>
        <v>1.1041044443179671</v>
      </c>
    </row>
    <row r="53" spans="1:31" x14ac:dyDescent="0.25">
      <c r="B53" s="8">
        <v>2</v>
      </c>
      <c r="C53" s="8">
        <v>8</v>
      </c>
      <c r="D53" s="8">
        <v>1</v>
      </c>
      <c r="E53" s="12">
        <v>16</v>
      </c>
      <c r="F53" s="12">
        <v>2</v>
      </c>
      <c r="G53" s="12">
        <v>2</v>
      </c>
      <c r="H53" s="12">
        <v>256</v>
      </c>
      <c r="I53" s="12">
        <v>30</v>
      </c>
      <c r="J53" s="14">
        <f t="shared" si="14"/>
        <v>1</v>
      </c>
      <c r="K53" s="8">
        <f>2048</f>
        <v>2048</v>
      </c>
      <c r="L53" s="12">
        <v>576</v>
      </c>
      <c r="M53" s="12">
        <v>512</v>
      </c>
      <c r="N53" s="15">
        <f t="shared" si="2"/>
        <v>1940.2105263157894</v>
      </c>
      <c r="O53" s="15">
        <f t="shared" si="3"/>
        <v>78643.199999999997</v>
      </c>
      <c r="P53" s="15">
        <f t="shared" si="4"/>
        <v>9216</v>
      </c>
      <c r="Q53" s="15">
        <f t="shared" si="5"/>
        <v>80583.410526315783</v>
      </c>
      <c r="R53" s="15">
        <f t="shared" si="6"/>
        <v>1024</v>
      </c>
      <c r="S53" s="15">
        <f t="shared" si="7"/>
        <v>69905.066666666666</v>
      </c>
      <c r="T53" s="15">
        <f t="shared" si="0"/>
        <v>9216</v>
      </c>
      <c r="U53" s="15">
        <f t="shared" si="8"/>
        <v>70929.066666666666</v>
      </c>
      <c r="V53" s="15">
        <f t="shared" si="9"/>
        <v>341.33333333333331</v>
      </c>
      <c r="W53" s="12">
        <f t="shared" si="10"/>
        <v>6403</v>
      </c>
      <c r="X53" s="12"/>
      <c r="Y53" s="16">
        <f t="shared" si="11"/>
        <v>158256.81052631579</v>
      </c>
      <c r="Z53" s="11">
        <f t="shared" si="1"/>
        <v>0.15825681052631579</v>
      </c>
      <c r="AB53">
        <v>0.20899100000000001</v>
      </c>
      <c r="AC53">
        <v>0.18237500000000001</v>
      </c>
      <c r="AD53" s="18">
        <f t="shared" si="12"/>
        <v>0.7572422282601442</v>
      </c>
      <c r="AE53" s="18">
        <f t="shared" si="13"/>
        <v>0.8677549583348364</v>
      </c>
    </row>
    <row r="54" spans="1:31" x14ac:dyDescent="0.25">
      <c r="B54" s="8">
        <v>4</v>
      </c>
      <c r="C54" s="8">
        <v>8</v>
      </c>
      <c r="D54" s="8">
        <v>1</v>
      </c>
      <c r="E54" s="12">
        <v>16</v>
      </c>
      <c r="F54" s="12">
        <v>2</v>
      </c>
      <c r="G54" s="12">
        <v>2</v>
      </c>
      <c r="H54" s="12">
        <v>256</v>
      </c>
      <c r="I54" s="12">
        <v>30</v>
      </c>
      <c r="J54" s="14">
        <f t="shared" si="14"/>
        <v>1</v>
      </c>
      <c r="K54" s="8">
        <f>2048</f>
        <v>2048</v>
      </c>
      <c r="L54" s="12">
        <v>576</v>
      </c>
      <c r="M54" s="12">
        <v>512</v>
      </c>
      <c r="N54" s="15">
        <f t="shared" si="2"/>
        <v>1940.2105263157894</v>
      </c>
      <c r="O54" s="15">
        <f t="shared" si="3"/>
        <v>78643.199999999997</v>
      </c>
      <c r="P54" s="15">
        <f t="shared" si="4"/>
        <v>9216</v>
      </c>
      <c r="Q54" s="15">
        <f t="shared" si="5"/>
        <v>80583.410526315783</v>
      </c>
      <c r="R54" s="15">
        <f t="shared" si="6"/>
        <v>1024</v>
      </c>
      <c r="S54" s="15">
        <f t="shared" si="7"/>
        <v>69905.066666666666</v>
      </c>
      <c r="T54" s="15">
        <f t="shared" si="0"/>
        <v>9216</v>
      </c>
      <c r="U54" s="15">
        <f t="shared" si="8"/>
        <v>70929.066666666666</v>
      </c>
      <c r="V54" s="15">
        <f t="shared" si="9"/>
        <v>341.33333333333331</v>
      </c>
      <c r="W54" s="12">
        <f t="shared" si="10"/>
        <v>6403</v>
      </c>
      <c r="X54" s="12"/>
      <c r="Y54" s="16">
        <f t="shared" si="11"/>
        <v>158256.81052631579</v>
      </c>
      <c r="Z54" s="11">
        <f t="shared" si="1"/>
        <v>0.15825681052631579</v>
      </c>
      <c r="AB54">
        <v>0.21837599999999999</v>
      </c>
      <c r="AC54">
        <v>0.191524</v>
      </c>
      <c r="AD54" s="18">
        <f t="shared" si="12"/>
        <v>0.72469873303987531</v>
      </c>
      <c r="AE54" s="18">
        <f t="shared" si="13"/>
        <v>0.82630276375971567</v>
      </c>
    </row>
    <row r="55" spans="1:31" x14ac:dyDescent="0.25">
      <c r="B55">
        <v>8</v>
      </c>
      <c r="C55">
        <v>8</v>
      </c>
      <c r="D55">
        <v>1</v>
      </c>
      <c r="E55" s="12">
        <v>16</v>
      </c>
      <c r="F55" s="12">
        <v>2</v>
      </c>
      <c r="G55" s="12">
        <v>2</v>
      </c>
      <c r="H55" s="12">
        <v>256</v>
      </c>
      <c r="I55" s="12">
        <v>30</v>
      </c>
      <c r="J55" s="14">
        <f t="shared" si="14"/>
        <v>1</v>
      </c>
      <c r="K55">
        <f>2048</f>
        <v>2048</v>
      </c>
      <c r="L55" s="12">
        <v>576</v>
      </c>
      <c r="M55" s="12">
        <v>512</v>
      </c>
      <c r="N55" s="15">
        <f t="shared" si="2"/>
        <v>1940.2105263157894</v>
      </c>
      <c r="O55" s="15">
        <f t="shared" si="3"/>
        <v>78643.199999999997</v>
      </c>
      <c r="P55" s="15">
        <f t="shared" si="4"/>
        <v>9216</v>
      </c>
      <c r="Q55" s="15">
        <f t="shared" si="5"/>
        <v>80583.410526315783</v>
      </c>
      <c r="R55" s="15">
        <f t="shared" si="6"/>
        <v>1024</v>
      </c>
      <c r="S55" s="15">
        <f t="shared" si="7"/>
        <v>69905.066666666666</v>
      </c>
      <c r="T55" s="15">
        <f t="shared" si="0"/>
        <v>9216</v>
      </c>
      <c r="U55" s="15">
        <f t="shared" si="8"/>
        <v>70929.066666666666</v>
      </c>
      <c r="V55" s="15">
        <f t="shared" si="9"/>
        <v>341.33333333333331</v>
      </c>
      <c r="W55" s="12">
        <f t="shared" si="10"/>
        <v>6403</v>
      </c>
      <c r="X55" s="12"/>
      <c r="Y55" s="16">
        <f t="shared" si="11"/>
        <v>158256.81052631579</v>
      </c>
      <c r="Z55" s="11">
        <f t="shared" si="1"/>
        <v>0.15825681052631579</v>
      </c>
      <c r="AB55">
        <v>0.27498800000000001</v>
      </c>
      <c r="AC55">
        <v>0.24663499999999999</v>
      </c>
      <c r="AD55" s="18">
        <f t="shared" si="12"/>
        <v>0.57550442392510137</v>
      </c>
      <c r="AE55" s="18">
        <f t="shared" si="13"/>
        <v>0.64166404008480471</v>
      </c>
    </row>
    <row r="56" spans="1:31" x14ac:dyDescent="0.25">
      <c r="B56">
        <v>16</v>
      </c>
      <c r="C56">
        <v>8</v>
      </c>
      <c r="D56">
        <v>1</v>
      </c>
      <c r="E56" s="12">
        <v>16</v>
      </c>
      <c r="F56" s="12">
        <v>2</v>
      </c>
      <c r="G56" s="12">
        <v>2</v>
      </c>
      <c r="H56" s="12">
        <v>256</v>
      </c>
      <c r="I56" s="12">
        <v>30</v>
      </c>
      <c r="J56" s="14">
        <f t="shared" si="14"/>
        <v>1</v>
      </c>
      <c r="K56">
        <f>2048</f>
        <v>2048</v>
      </c>
      <c r="L56" s="12">
        <v>576</v>
      </c>
      <c r="M56" s="12">
        <v>512</v>
      </c>
      <c r="N56" s="15">
        <f t="shared" si="2"/>
        <v>1940.2105263157894</v>
      </c>
      <c r="O56" s="15">
        <f t="shared" si="3"/>
        <v>78643.199999999997</v>
      </c>
      <c r="P56" s="15">
        <f t="shared" si="4"/>
        <v>9216</v>
      </c>
      <c r="Q56" s="15">
        <f t="shared" si="5"/>
        <v>80583.410526315783</v>
      </c>
      <c r="R56" s="15">
        <f t="shared" si="6"/>
        <v>1024</v>
      </c>
      <c r="S56" s="15">
        <f t="shared" si="7"/>
        <v>69905.066666666666</v>
      </c>
      <c r="T56" s="15">
        <f t="shared" si="0"/>
        <v>9216</v>
      </c>
      <c r="U56" s="15">
        <f t="shared" si="8"/>
        <v>70929.066666666666</v>
      </c>
      <c r="V56" s="15">
        <f t="shared" si="9"/>
        <v>341.33333333333331</v>
      </c>
      <c r="W56" s="12">
        <f t="shared" si="10"/>
        <v>6403</v>
      </c>
      <c r="X56" s="12"/>
      <c r="Y56" s="16">
        <f t="shared" si="11"/>
        <v>158256.81052631579</v>
      </c>
      <c r="Z56" s="11">
        <f t="shared" si="1"/>
        <v>0.15825681052631579</v>
      </c>
      <c r="AB56">
        <v>0.30992700000000001</v>
      </c>
      <c r="AC56">
        <v>0.28092499999999998</v>
      </c>
      <c r="AD56" s="18">
        <f t="shared" si="12"/>
        <v>0.51062608461449244</v>
      </c>
      <c r="AE56" s="18">
        <f t="shared" si="13"/>
        <v>0.56334185468119891</v>
      </c>
    </row>
    <row r="57" spans="1:31" x14ac:dyDescent="0.25">
      <c r="B57">
        <v>32</v>
      </c>
      <c r="C57">
        <v>8</v>
      </c>
      <c r="D57">
        <v>1</v>
      </c>
      <c r="E57" s="12">
        <v>16</v>
      </c>
      <c r="F57" s="12">
        <v>2</v>
      </c>
      <c r="G57" s="12">
        <v>2</v>
      </c>
      <c r="H57" s="12">
        <v>256</v>
      </c>
      <c r="I57" s="12">
        <v>30</v>
      </c>
      <c r="J57" s="14">
        <f t="shared" si="14"/>
        <v>2</v>
      </c>
      <c r="K57">
        <f>2048</f>
        <v>2048</v>
      </c>
      <c r="L57" s="12">
        <v>576</v>
      </c>
      <c r="M57" s="12">
        <v>512</v>
      </c>
      <c r="N57" s="15">
        <f t="shared" si="2"/>
        <v>3880.4210526315787</v>
      </c>
      <c r="O57" s="15">
        <f t="shared" si="3"/>
        <v>157286.39999999999</v>
      </c>
      <c r="P57" s="15">
        <f t="shared" si="4"/>
        <v>18432</v>
      </c>
      <c r="Q57" s="15">
        <f t="shared" si="5"/>
        <v>161166.82105263157</v>
      </c>
      <c r="R57" s="15">
        <f t="shared" si="6"/>
        <v>2048</v>
      </c>
      <c r="S57" s="15">
        <f t="shared" si="7"/>
        <v>139810.13333333333</v>
      </c>
      <c r="T57" s="15">
        <f t="shared" si="0"/>
        <v>18432</v>
      </c>
      <c r="U57" s="15">
        <f t="shared" si="8"/>
        <v>141858.13333333333</v>
      </c>
      <c r="V57" s="15">
        <f t="shared" si="9"/>
        <v>682.66666666666663</v>
      </c>
      <c r="W57" s="12">
        <f t="shared" si="10"/>
        <v>12806</v>
      </c>
      <c r="X57" s="12"/>
      <c r="Y57" s="16">
        <f t="shared" si="11"/>
        <v>316513.62105263158</v>
      </c>
      <c r="Z57" s="11">
        <f t="shared" si="1"/>
        <v>0.31651362105263159</v>
      </c>
      <c r="AB57">
        <v>0.459366</v>
      </c>
      <c r="AC57">
        <v>0.490178</v>
      </c>
      <c r="AD57" s="18">
        <f t="shared" si="12"/>
        <v>0.68902274232884364</v>
      </c>
      <c r="AE57" s="18">
        <f t="shared" si="13"/>
        <v>0.6457116007912056</v>
      </c>
    </row>
    <row r="58" spans="1:31" x14ac:dyDescent="0.25">
      <c r="A58" s="2"/>
      <c r="B58">
        <v>64</v>
      </c>
      <c r="C58">
        <v>8</v>
      </c>
      <c r="D58">
        <v>1</v>
      </c>
      <c r="E58" s="12">
        <v>16</v>
      </c>
      <c r="F58" s="12">
        <v>2</v>
      </c>
      <c r="G58" s="12">
        <v>2</v>
      </c>
      <c r="H58" s="12">
        <v>256</v>
      </c>
      <c r="I58" s="12">
        <v>30</v>
      </c>
      <c r="J58" s="14">
        <f t="shared" si="14"/>
        <v>4</v>
      </c>
      <c r="K58">
        <f>2048</f>
        <v>2048</v>
      </c>
      <c r="L58" s="12">
        <v>576</v>
      </c>
      <c r="M58" s="12">
        <v>512</v>
      </c>
      <c r="N58" s="15">
        <f t="shared" si="2"/>
        <v>7760.8421052631575</v>
      </c>
      <c r="O58" s="15">
        <f t="shared" si="3"/>
        <v>314572.79999999999</v>
      </c>
      <c r="P58" s="15">
        <f t="shared" si="4"/>
        <v>36864</v>
      </c>
      <c r="Q58" s="15">
        <f t="shared" si="5"/>
        <v>322333.64210526313</v>
      </c>
      <c r="R58" s="15">
        <f t="shared" si="6"/>
        <v>4096</v>
      </c>
      <c r="S58" s="15">
        <f t="shared" si="7"/>
        <v>279620.26666666666</v>
      </c>
      <c r="T58" s="15">
        <f t="shared" si="0"/>
        <v>36864</v>
      </c>
      <c r="U58" s="15">
        <f t="shared" si="8"/>
        <v>283716.26666666666</v>
      </c>
      <c r="V58" s="15">
        <f t="shared" si="9"/>
        <v>1365.3333333333333</v>
      </c>
      <c r="W58" s="12">
        <f t="shared" si="10"/>
        <v>25612</v>
      </c>
      <c r="X58" s="12"/>
      <c r="Y58" s="16">
        <f t="shared" si="11"/>
        <v>633027.24210526317</v>
      </c>
      <c r="Z58" s="11">
        <f t="shared" si="1"/>
        <v>0.63302724210526318</v>
      </c>
      <c r="AB58">
        <v>0.90119899999999997</v>
      </c>
      <c r="AC58">
        <v>0.89857200000000004</v>
      </c>
      <c r="AD58" s="18">
        <f t="shared" si="12"/>
        <v>0.70242781239799779</v>
      </c>
      <c r="AE58" s="18">
        <f t="shared" si="13"/>
        <v>0.70448137946125977</v>
      </c>
    </row>
    <row r="59" spans="1:31" x14ac:dyDescent="0.25">
      <c r="B59">
        <v>128</v>
      </c>
      <c r="C59">
        <v>8</v>
      </c>
      <c r="D59">
        <v>1</v>
      </c>
      <c r="E59" s="12">
        <v>16</v>
      </c>
      <c r="F59" s="12">
        <v>2</v>
      </c>
      <c r="G59" s="12">
        <v>2</v>
      </c>
      <c r="H59" s="12">
        <v>256</v>
      </c>
      <c r="I59" s="12">
        <v>30</v>
      </c>
      <c r="J59" s="14">
        <f t="shared" si="14"/>
        <v>8</v>
      </c>
      <c r="K59">
        <f>2048</f>
        <v>2048</v>
      </c>
      <c r="L59" s="12">
        <v>576</v>
      </c>
      <c r="M59" s="12">
        <v>512</v>
      </c>
      <c r="N59" s="15">
        <f t="shared" si="2"/>
        <v>15521.684210526315</v>
      </c>
      <c r="O59" s="15">
        <f t="shared" si="3"/>
        <v>629145.59999999998</v>
      </c>
      <c r="P59" s="15">
        <f t="shared" si="4"/>
        <v>73728</v>
      </c>
      <c r="Q59" s="15">
        <f t="shared" si="5"/>
        <v>644667.28421052627</v>
      </c>
      <c r="R59" s="15">
        <f t="shared" si="6"/>
        <v>8192</v>
      </c>
      <c r="S59" s="15">
        <f t="shared" si="7"/>
        <v>559240.53333333333</v>
      </c>
      <c r="T59" s="15">
        <f t="shared" si="0"/>
        <v>73728</v>
      </c>
      <c r="U59" s="15">
        <f t="shared" si="8"/>
        <v>567432.53333333333</v>
      </c>
      <c r="V59" s="15">
        <f t="shared" si="9"/>
        <v>2730.6666666666665</v>
      </c>
      <c r="W59" s="12">
        <f t="shared" si="10"/>
        <v>51224</v>
      </c>
      <c r="X59" s="12"/>
      <c r="Y59" s="16">
        <f t="shared" si="11"/>
        <v>1266054.4842105263</v>
      </c>
      <c r="Z59" s="11">
        <f t="shared" si="1"/>
        <v>1.2660544842105264</v>
      </c>
      <c r="AB59">
        <v>1.784743</v>
      </c>
      <c r="AC59">
        <v>1.667009</v>
      </c>
      <c r="AD59" s="18">
        <f t="shared" si="12"/>
        <v>0.7093763551449852</v>
      </c>
      <c r="AE59" s="18">
        <f t="shared" si="13"/>
        <v>0.75947669401336548</v>
      </c>
    </row>
    <row r="60" spans="1:31" x14ac:dyDescent="0.25">
      <c r="B60">
        <v>256</v>
      </c>
      <c r="C60">
        <v>8</v>
      </c>
      <c r="D60">
        <v>1</v>
      </c>
      <c r="E60" s="12">
        <v>16</v>
      </c>
      <c r="F60" s="12">
        <v>2</v>
      </c>
      <c r="G60" s="12">
        <v>2</v>
      </c>
      <c r="H60" s="12">
        <v>256</v>
      </c>
      <c r="I60" s="12">
        <v>30</v>
      </c>
      <c r="J60" s="14">
        <f t="shared" si="14"/>
        <v>16</v>
      </c>
      <c r="K60">
        <f>2048</f>
        <v>2048</v>
      </c>
      <c r="L60" s="12">
        <v>576</v>
      </c>
      <c r="M60" s="12">
        <v>512</v>
      </c>
      <c r="N60" s="15">
        <f t="shared" si="2"/>
        <v>31043.36842105263</v>
      </c>
      <c r="O60" s="15">
        <f t="shared" si="3"/>
        <v>1258291.2</v>
      </c>
      <c r="P60" s="15">
        <f t="shared" si="4"/>
        <v>147456</v>
      </c>
      <c r="Q60" s="15">
        <f t="shared" si="5"/>
        <v>1289334.5684210525</v>
      </c>
      <c r="R60" s="15">
        <f t="shared" si="6"/>
        <v>16384</v>
      </c>
      <c r="S60" s="15">
        <f t="shared" si="7"/>
        <v>1118481.0666666667</v>
      </c>
      <c r="T60" s="15">
        <f t="shared" si="0"/>
        <v>147456</v>
      </c>
      <c r="U60" s="15">
        <f t="shared" si="8"/>
        <v>1134865.0666666667</v>
      </c>
      <c r="V60" s="15">
        <f t="shared" si="9"/>
        <v>5461.333333333333</v>
      </c>
      <c r="W60" s="12">
        <f t="shared" si="10"/>
        <v>102448</v>
      </c>
      <c r="X60" s="12"/>
      <c r="Y60" s="16">
        <f t="shared" si="11"/>
        <v>2532108.9684210527</v>
      </c>
      <c r="Z60" s="11">
        <f t="shared" si="1"/>
        <v>2.5321089684210527</v>
      </c>
      <c r="AB60">
        <v>3.5551759999999999</v>
      </c>
      <c r="AC60">
        <v>3.1927660000000002</v>
      </c>
      <c r="AD60" s="18">
        <f t="shared" si="12"/>
        <v>0.71223167810005827</v>
      </c>
      <c r="AE60" s="18">
        <f t="shared" si="13"/>
        <v>0.79307690210339643</v>
      </c>
    </row>
    <row r="61" spans="1:31" x14ac:dyDescent="0.25">
      <c r="B61">
        <v>512</v>
      </c>
      <c r="C61">
        <v>8</v>
      </c>
      <c r="D61">
        <v>1</v>
      </c>
      <c r="E61" s="12">
        <v>16</v>
      </c>
      <c r="F61" s="12">
        <v>2</v>
      </c>
      <c r="G61" s="12">
        <v>2</v>
      </c>
      <c r="H61" s="12">
        <v>256</v>
      </c>
      <c r="I61" s="12">
        <v>30</v>
      </c>
      <c r="J61" s="14">
        <f t="shared" si="14"/>
        <v>32</v>
      </c>
      <c r="K61">
        <f>2048</f>
        <v>2048</v>
      </c>
      <c r="L61" s="12">
        <v>576</v>
      </c>
      <c r="M61" s="12">
        <v>512</v>
      </c>
      <c r="N61" s="15">
        <f t="shared" si="2"/>
        <v>62086.73684210526</v>
      </c>
      <c r="O61" s="15">
        <f t="shared" si="3"/>
        <v>2516582.3999999999</v>
      </c>
      <c r="P61" s="15">
        <f t="shared" si="4"/>
        <v>294912</v>
      </c>
      <c r="Q61" s="15">
        <f t="shared" si="5"/>
        <v>2578669.1368421051</v>
      </c>
      <c r="R61" s="15">
        <f t="shared" si="6"/>
        <v>32768</v>
      </c>
      <c r="S61" s="15">
        <f t="shared" si="7"/>
        <v>2236962.1333333333</v>
      </c>
      <c r="T61" s="15">
        <f t="shared" si="0"/>
        <v>294912</v>
      </c>
      <c r="U61" s="15">
        <f t="shared" si="8"/>
        <v>2269730.1333333333</v>
      </c>
      <c r="V61" s="15">
        <f t="shared" si="9"/>
        <v>10922.666666666666</v>
      </c>
      <c r="W61" s="12">
        <f t="shared" si="10"/>
        <v>204896</v>
      </c>
      <c r="X61" s="12"/>
      <c r="Y61" s="16">
        <f t="shared" si="11"/>
        <v>5064217.9368421054</v>
      </c>
      <c r="Z61" s="11">
        <f t="shared" si="1"/>
        <v>5.0642179368421054</v>
      </c>
      <c r="AB61">
        <v>7.0989440000000004</v>
      </c>
      <c r="AC61">
        <v>6.2124319999999997</v>
      </c>
      <c r="AD61" s="18">
        <f t="shared" si="12"/>
        <v>0.71337623410497464</v>
      </c>
      <c r="AE61" s="18">
        <f t="shared" si="13"/>
        <v>0.81517478772276386</v>
      </c>
    </row>
    <row r="62" spans="1:31" x14ac:dyDescent="0.25">
      <c r="B62" s="8">
        <v>1</v>
      </c>
      <c r="C62" s="8">
        <v>8</v>
      </c>
      <c r="D62" s="8">
        <v>1</v>
      </c>
      <c r="E62" s="12">
        <v>16</v>
      </c>
      <c r="F62" s="12">
        <v>2</v>
      </c>
      <c r="G62" s="12">
        <v>2</v>
      </c>
      <c r="H62" s="12">
        <v>256</v>
      </c>
      <c r="I62" s="12">
        <v>30</v>
      </c>
      <c r="J62" s="14">
        <f t="shared" si="14"/>
        <v>1</v>
      </c>
      <c r="K62" s="8">
        <f>4096</f>
        <v>4096</v>
      </c>
      <c r="L62" s="12">
        <v>576</v>
      </c>
      <c r="M62" s="12">
        <v>512</v>
      </c>
      <c r="N62" s="15">
        <f t="shared" si="2"/>
        <v>1940.2105263157894</v>
      </c>
      <c r="O62" s="15">
        <f t="shared" si="3"/>
        <v>157286.39999999999</v>
      </c>
      <c r="P62" s="15">
        <f t="shared" si="4"/>
        <v>18432</v>
      </c>
      <c r="Q62" s="15">
        <f t="shared" si="5"/>
        <v>159226.61052631578</v>
      </c>
      <c r="R62" s="15">
        <f t="shared" si="6"/>
        <v>2048</v>
      </c>
      <c r="S62" s="15">
        <f t="shared" si="7"/>
        <v>139810.13333333333</v>
      </c>
      <c r="T62" s="15">
        <f t="shared" si="0"/>
        <v>18432</v>
      </c>
      <c r="U62" s="15">
        <f t="shared" si="8"/>
        <v>141858.13333333333</v>
      </c>
      <c r="V62" s="15">
        <f t="shared" si="9"/>
        <v>341.33333333333331</v>
      </c>
      <c r="W62" s="12">
        <f t="shared" si="10"/>
        <v>12611</v>
      </c>
      <c r="X62" s="12"/>
      <c r="Y62" s="16">
        <f t="shared" si="11"/>
        <v>314037.07719298243</v>
      </c>
      <c r="Z62" s="11">
        <f t="shared" si="1"/>
        <v>0.31403707719298241</v>
      </c>
      <c r="AB62">
        <v>0.275947</v>
      </c>
      <c r="AC62">
        <v>0.21886</v>
      </c>
      <c r="AD62" s="18">
        <f t="shared" si="12"/>
        <v>1.1380340325967755</v>
      </c>
      <c r="AE62" s="18">
        <f t="shared" si="13"/>
        <v>1.434876529256065</v>
      </c>
    </row>
    <row r="63" spans="1:31" x14ac:dyDescent="0.25">
      <c r="B63" s="8">
        <v>2</v>
      </c>
      <c r="C63" s="8">
        <v>8</v>
      </c>
      <c r="D63" s="8">
        <v>1</v>
      </c>
      <c r="E63" s="12">
        <v>16</v>
      </c>
      <c r="F63" s="12">
        <v>2</v>
      </c>
      <c r="G63" s="12">
        <v>2</v>
      </c>
      <c r="H63" s="12">
        <v>256</v>
      </c>
      <c r="I63" s="12">
        <v>30</v>
      </c>
      <c r="J63" s="14">
        <f t="shared" si="14"/>
        <v>1</v>
      </c>
      <c r="K63" s="8">
        <f>4096</f>
        <v>4096</v>
      </c>
      <c r="L63" s="12">
        <v>576</v>
      </c>
      <c r="M63" s="12">
        <v>512</v>
      </c>
      <c r="N63" s="15">
        <f t="shared" si="2"/>
        <v>1940.2105263157894</v>
      </c>
      <c r="O63" s="15">
        <f t="shared" si="3"/>
        <v>157286.39999999999</v>
      </c>
      <c r="P63" s="15">
        <f t="shared" si="4"/>
        <v>18432</v>
      </c>
      <c r="Q63" s="15">
        <f t="shared" si="5"/>
        <v>159226.61052631578</v>
      </c>
      <c r="R63" s="15">
        <f t="shared" si="6"/>
        <v>2048</v>
      </c>
      <c r="S63" s="15">
        <f t="shared" si="7"/>
        <v>139810.13333333333</v>
      </c>
      <c r="T63" s="15">
        <f t="shared" si="0"/>
        <v>18432</v>
      </c>
      <c r="U63" s="15">
        <f t="shared" si="8"/>
        <v>141858.13333333333</v>
      </c>
      <c r="V63" s="15">
        <f t="shared" si="9"/>
        <v>341.33333333333331</v>
      </c>
      <c r="W63" s="12">
        <f t="shared" si="10"/>
        <v>12611</v>
      </c>
      <c r="X63" s="12"/>
      <c r="Y63" s="16">
        <f t="shared" si="11"/>
        <v>314037.07719298243</v>
      </c>
      <c r="Z63" s="11">
        <f t="shared" si="1"/>
        <v>0.31403707719298241</v>
      </c>
      <c r="AB63">
        <v>0.35597000000000001</v>
      </c>
      <c r="AC63">
        <v>0.29751499999999997</v>
      </c>
      <c r="AD63" s="18">
        <f t="shared" si="12"/>
        <v>0.88220096410647642</v>
      </c>
      <c r="AE63" s="18">
        <f t="shared" si="13"/>
        <v>1.055533593912853</v>
      </c>
    </row>
    <row r="64" spans="1:31" x14ac:dyDescent="0.25">
      <c r="B64" s="8">
        <v>4</v>
      </c>
      <c r="C64" s="8">
        <v>8</v>
      </c>
      <c r="D64" s="8">
        <v>1</v>
      </c>
      <c r="E64" s="12">
        <v>16</v>
      </c>
      <c r="F64" s="12">
        <v>2</v>
      </c>
      <c r="G64" s="12">
        <v>2</v>
      </c>
      <c r="H64" s="12">
        <v>256</v>
      </c>
      <c r="I64" s="12">
        <v>30</v>
      </c>
      <c r="J64" s="14">
        <f t="shared" si="14"/>
        <v>1</v>
      </c>
      <c r="K64" s="8">
        <f>4096</f>
        <v>4096</v>
      </c>
      <c r="L64" s="12">
        <v>576</v>
      </c>
      <c r="M64" s="12">
        <v>512</v>
      </c>
      <c r="N64" s="15">
        <f t="shared" si="2"/>
        <v>1940.2105263157894</v>
      </c>
      <c r="O64" s="15">
        <f t="shared" si="3"/>
        <v>157286.39999999999</v>
      </c>
      <c r="P64" s="15">
        <f t="shared" si="4"/>
        <v>18432</v>
      </c>
      <c r="Q64" s="15">
        <f t="shared" si="5"/>
        <v>159226.61052631578</v>
      </c>
      <c r="R64" s="15">
        <f t="shared" si="6"/>
        <v>2048</v>
      </c>
      <c r="S64" s="15">
        <f t="shared" si="7"/>
        <v>139810.13333333333</v>
      </c>
      <c r="T64" s="15">
        <f t="shared" si="0"/>
        <v>18432</v>
      </c>
      <c r="U64" s="15">
        <f t="shared" si="8"/>
        <v>141858.13333333333</v>
      </c>
      <c r="V64" s="15">
        <f t="shared" si="9"/>
        <v>341.33333333333331</v>
      </c>
      <c r="W64" s="12">
        <f t="shared" si="10"/>
        <v>12611</v>
      </c>
      <c r="X64" s="12"/>
      <c r="Y64" s="16">
        <f t="shared" si="11"/>
        <v>314037.07719298243</v>
      </c>
      <c r="Z64" s="11">
        <f t="shared" si="1"/>
        <v>0.31403707719298241</v>
      </c>
      <c r="AB64">
        <v>0.37651699999999999</v>
      </c>
      <c r="AC64">
        <v>0.31764700000000001</v>
      </c>
      <c r="AD64" s="18">
        <f t="shared" si="12"/>
        <v>0.83405816256100629</v>
      </c>
      <c r="AE64" s="18">
        <f t="shared" si="13"/>
        <v>0.98863542609557908</v>
      </c>
    </row>
    <row r="65" spans="2:31" x14ac:dyDescent="0.25">
      <c r="B65">
        <v>8</v>
      </c>
      <c r="C65">
        <v>8</v>
      </c>
      <c r="D65">
        <v>1</v>
      </c>
      <c r="E65" s="12">
        <v>16</v>
      </c>
      <c r="F65" s="12">
        <v>2</v>
      </c>
      <c r="G65" s="12">
        <v>2</v>
      </c>
      <c r="H65" s="12">
        <v>256</v>
      </c>
      <c r="I65" s="12">
        <v>30</v>
      </c>
      <c r="J65" s="14">
        <f t="shared" si="14"/>
        <v>1</v>
      </c>
      <c r="K65">
        <f>4096</f>
        <v>4096</v>
      </c>
      <c r="L65" s="12">
        <v>576</v>
      </c>
      <c r="M65" s="12">
        <v>512</v>
      </c>
      <c r="N65" s="15">
        <f t="shared" si="2"/>
        <v>1940.2105263157894</v>
      </c>
      <c r="O65" s="15">
        <f t="shared" si="3"/>
        <v>157286.39999999999</v>
      </c>
      <c r="P65" s="15">
        <f t="shared" si="4"/>
        <v>18432</v>
      </c>
      <c r="Q65" s="15">
        <f t="shared" si="5"/>
        <v>159226.61052631578</v>
      </c>
      <c r="R65" s="15">
        <f t="shared" si="6"/>
        <v>2048</v>
      </c>
      <c r="S65" s="15">
        <f t="shared" si="7"/>
        <v>139810.13333333333</v>
      </c>
      <c r="T65" s="15">
        <f t="shared" si="0"/>
        <v>18432</v>
      </c>
      <c r="U65" s="15">
        <f t="shared" si="8"/>
        <v>141858.13333333333</v>
      </c>
      <c r="V65" s="15">
        <f t="shared" si="9"/>
        <v>341.33333333333331</v>
      </c>
      <c r="W65" s="12">
        <f t="shared" si="10"/>
        <v>12611</v>
      </c>
      <c r="X65" s="12"/>
      <c r="Y65" s="16">
        <f t="shared" si="11"/>
        <v>314037.07719298243</v>
      </c>
      <c r="Z65" s="11">
        <f t="shared" si="1"/>
        <v>0.31403707719298241</v>
      </c>
      <c r="AB65">
        <v>0.491147</v>
      </c>
      <c r="AC65">
        <v>0.42371700000000001</v>
      </c>
      <c r="AD65" s="18">
        <f t="shared" si="12"/>
        <v>0.6393952873436719</v>
      </c>
      <c r="AE65" s="18">
        <f t="shared" si="13"/>
        <v>0.74114816538628947</v>
      </c>
    </row>
    <row r="66" spans="2:31" x14ac:dyDescent="0.25">
      <c r="B66">
        <v>16</v>
      </c>
      <c r="C66">
        <v>8</v>
      </c>
      <c r="D66">
        <v>1</v>
      </c>
      <c r="E66" s="12">
        <v>16</v>
      </c>
      <c r="F66" s="12">
        <v>2</v>
      </c>
      <c r="G66" s="12">
        <v>2</v>
      </c>
      <c r="H66" s="12">
        <v>256</v>
      </c>
      <c r="I66" s="12">
        <v>30</v>
      </c>
      <c r="J66" s="14">
        <f t="shared" si="14"/>
        <v>1</v>
      </c>
      <c r="K66">
        <f>4096</f>
        <v>4096</v>
      </c>
      <c r="L66" s="12">
        <v>576</v>
      </c>
      <c r="M66" s="12">
        <v>512</v>
      </c>
      <c r="N66" s="15">
        <f t="shared" si="2"/>
        <v>1940.2105263157894</v>
      </c>
      <c r="O66" s="15">
        <f t="shared" si="3"/>
        <v>157286.39999999999</v>
      </c>
      <c r="P66" s="15">
        <f t="shared" si="4"/>
        <v>18432</v>
      </c>
      <c r="Q66" s="15">
        <f t="shared" si="5"/>
        <v>159226.61052631578</v>
      </c>
      <c r="R66" s="15">
        <f t="shared" si="6"/>
        <v>2048</v>
      </c>
      <c r="S66" s="15">
        <f t="shared" si="7"/>
        <v>139810.13333333333</v>
      </c>
      <c r="T66" s="15">
        <f t="shared" ref="T66:T129" si="15">64*L66*_xlfn.CEILING.MATH(K66/128)*128*J66/8192</f>
        <v>18432</v>
      </c>
      <c r="U66" s="15">
        <f t="shared" si="8"/>
        <v>141858.13333333333</v>
      </c>
      <c r="V66" s="15">
        <f t="shared" ref="V66:V129" si="16">J66*8*128/30*10</f>
        <v>341.33333333333331</v>
      </c>
      <c r="W66" s="12">
        <f t="shared" si="10"/>
        <v>12611</v>
      </c>
      <c r="X66" s="12"/>
      <c r="Y66" s="16">
        <f t="shared" si="11"/>
        <v>314037.07719298243</v>
      </c>
      <c r="Z66" s="11">
        <f t="shared" ref="Z66:Z129" si="17">Y66/1000000</f>
        <v>0.31403707719298241</v>
      </c>
      <c r="AB66">
        <v>0.56328100000000003</v>
      </c>
      <c r="AC66">
        <v>0.48807499999999998</v>
      </c>
      <c r="AD66" s="18">
        <f t="shared" si="12"/>
        <v>0.55751405993275538</v>
      </c>
      <c r="AE66" s="18">
        <f t="shared" si="13"/>
        <v>0.64341971457866598</v>
      </c>
    </row>
    <row r="67" spans="2:31" s="9" customFormat="1" x14ac:dyDescent="0.25">
      <c r="B67" s="9">
        <v>32</v>
      </c>
      <c r="C67" s="9">
        <v>8</v>
      </c>
      <c r="D67" s="9">
        <v>1</v>
      </c>
      <c r="E67" s="23">
        <v>16</v>
      </c>
      <c r="F67" s="23">
        <v>2</v>
      </c>
      <c r="G67" s="23">
        <v>2</v>
      </c>
      <c r="H67" s="23">
        <v>256</v>
      </c>
      <c r="I67" s="12">
        <v>30</v>
      </c>
      <c r="J67" s="24">
        <f t="shared" si="14"/>
        <v>2</v>
      </c>
      <c r="K67" s="9">
        <f>4096</f>
        <v>4096</v>
      </c>
      <c r="L67" s="12">
        <v>576</v>
      </c>
      <c r="M67" s="12">
        <v>512</v>
      </c>
      <c r="N67" s="16">
        <f t="shared" ref="N67:N130" si="18">F67*J67*64*L67/38</f>
        <v>3880.4210526315787</v>
      </c>
      <c r="O67" s="16">
        <f t="shared" ref="O67:O130" si="19">G67*J67*_xlfn.CEILING.MATH(K67/64)*64*L67/I67</f>
        <v>314572.79999999999</v>
      </c>
      <c r="P67" s="16">
        <f t="shared" ref="P67:P130" si="20">64*L67*_xlfn.CEILING.MATH(K67/128)*128*J67/8192</f>
        <v>36864</v>
      </c>
      <c r="Q67" s="16">
        <f t="shared" ref="Q67:Q130" si="21">N67+O67</f>
        <v>318453.22105263156</v>
      </c>
      <c r="R67" s="16">
        <f t="shared" ref="R67:R130" si="22">F67*J67*64*_xlfn.CEILING.MATH(K67/128)*128/H67</f>
        <v>4096</v>
      </c>
      <c r="S67" s="15">
        <f t="shared" ref="S67:S130" si="23">G67*J67*_xlfn.CEILING.MATH(K67/128)*128*M67/I67</f>
        <v>279620.26666666666</v>
      </c>
      <c r="T67" s="16">
        <f t="shared" si="15"/>
        <v>36864</v>
      </c>
      <c r="U67" s="15">
        <f t="shared" ref="U67:U130" si="24">S67+R67</f>
        <v>283716.26666666666</v>
      </c>
      <c r="V67" s="16">
        <f t="shared" si="16"/>
        <v>682.66666666666663</v>
      </c>
      <c r="W67" s="23">
        <f t="shared" ref="W67:W130" si="25">J67*(_xlfn.CEILING.MATH(K67/32)*97+195)</f>
        <v>25222</v>
      </c>
      <c r="X67" s="23"/>
      <c r="Y67" s="16">
        <f t="shared" ref="Y67:Y130" si="26">Q67+U67+W67+V67</f>
        <v>628074.15438596485</v>
      </c>
      <c r="Z67" s="25">
        <f t="shared" si="17"/>
        <v>0.62807415438596481</v>
      </c>
      <c r="AB67">
        <v>0.98673299999999997</v>
      </c>
      <c r="AC67">
        <v>0.881884</v>
      </c>
      <c r="AD67" s="26">
        <f t="shared" ref="AD67:AD130" si="27">Z67/AB67</f>
        <v>0.63651884996849684</v>
      </c>
      <c r="AE67" s="26">
        <f t="shared" ref="AE67:AE130" si="28">Z67/AC67</f>
        <v>0.71219588334289408</v>
      </c>
    </row>
    <row r="68" spans="2:31" x14ac:dyDescent="0.25">
      <c r="B68">
        <v>64</v>
      </c>
      <c r="C68">
        <v>8</v>
      </c>
      <c r="D68">
        <v>1</v>
      </c>
      <c r="E68" s="12">
        <v>16</v>
      </c>
      <c r="F68" s="12">
        <v>2</v>
      </c>
      <c r="G68" s="12">
        <v>2</v>
      </c>
      <c r="H68" s="12">
        <v>256</v>
      </c>
      <c r="I68" s="12">
        <v>30</v>
      </c>
      <c r="J68" s="14">
        <f t="shared" si="14"/>
        <v>4</v>
      </c>
      <c r="K68">
        <f>4096</f>
        <v>4096</v>
      </c>
      <c r="L68" s="12">
        <v>576</v>
      </c>
      <c r="M68" s="12">
        <v>512</v>
      </c>
      <c r="N68" s="15">
        <f t="shared" si="18"/>
        <v>7760.8421052631575</v>
      </c>
      <c r="O68" s="15">
        <f t="shared" si="19"/>
        <v>629145.59999999998</v>
      </c>
      <c r="P68" s="15">
        <f t="shared" si="20"/>
        <v>73728</v>
      </c>
      <c r="Q68" s="15">
        <f t="shared" si="21"/>
        <v>636906.44210526312</v>
      </c>
      <c r="R68" s="15">
        <f t="shared" si="22"/>
        <v>8192</v>
      </c>
      <c r="S68" s="15">
        <f t="shared" si="23"/>
        <v>559240.53333333333</v>
      </c>
      <c r="T68" s="15">
        <f t="shared" si="15"/>
        <v>73728</v>
      </c>
      <c r="U68" s="15">
        <f t="shared" si="24"/>
        <v>567432.53333333333</v>
      </c>
      <c r="V68" s="15">
        <f t="shared" si="16"/>
        <v>1365.3333333333333</v>
      </c>
      <c r="W68" s="12">
        <f t="shared" si="25"/>
        <v>50444</v>
      </c>
      <c r="X68" s="12"/>
      <c r="Y68" s="16">
        <f t="shared" si="26"/>
        <v>1256148.3087719297</v>
      </c>
      <c r="Z68" s="11">
        <f t="shared" si="17"/>
        <v>1.2561483087719296</v>
      </c>
      <c r="AB68">
        <v>1.919022</v>
      </c>
      <c r="AC68">
        <v>1.6328309999999999</v>
      </c>
      <c r="AD68" s="18">
        <f t="shared" si="27"/>
        <v>0.65457733614931435</v>
      </c>
      <c r="AE68" s="18">
        <f t="shared" si="28"/>
        <v>0.76930699427676819</v>
      </c>
    </row>
    <row r="69" spans="2:31" x14ac:dyDescent="0.25">
      <c r="B69">
        <v>128</v>
      </c>
      <c r="C69">
        <v>8</v>
      </c>
      <c r="D69">
        <v>1</v>
      </c>
      <c r="E69" s="12">
        <v>16</v>
      </c>
      <c r="F69" s="12">
        <v>2</v>
      </c>
      <c r="G69" s="12">
        <v>2</v>
      </c>
      <c r="H69" s="12">
        <v>256</v>
      </c>
      <c r="I69" s="12">
        <v>30</v>
      </c>
      <c r="J69" s="14">
        <f t="shared" si="14"/>
        <v>8</v>
      </c>
      <c r="K69">
        <f>4096</f>
        <v>4096</v>
      </c>
      <c r="L69" s="12">
        <v>576</v>
      </c>
      <c r="M69" s="12">
        <v>512</v>
      </c>
      <c r="N69" s="15">
        <f t="shared" si="18"/>
        <v>15521.684210526315</v>
      </c>
      <c r="O69" s="15">
        <f t="shared" si="19"/>
        <v>1258291.2</v>
      </c>
      <c r="P69" s="15">
        <f t="shared" si="20"/>
        <v>147456</v>
      </c>
      <c r="Q69" s="15">
        <f t="shared" si="21"/>
        <v>1273812.8842105262</v>
      </c>
      <c r="R69" s="15">
        <f t="shared" si="22"/>
        <v>16384</v>
      </c>
      <c r="S69" s="15">
        <f t="shared" si="23"/>
        <v>1118481.0666666667</v>
      </c>
      <c r="T69" s="15">
        <f t="shared" si="15"/>
        <v>147456</v>
      </c>
      <c r="U69" s="15">
        <f t="shared" si="24"/>
        <v>1134865.0666666667</v>
      </c>
      <c r="V69" s="15">
        <f t="shared" si="16"/>
        <v>2730.6666666666665</v>
      </c>
      <c r="W69" s="12">
        <f t="shared" si="25"/>
        <v>100888</v>
      </c>
      <c r="X69" s="12"/>
      <c r="Y69" s="16">
        <f t="shared" si="26"/>
        <v>2512296.6175438594</v>
      </c>
      <c r="Z69" s="11">
        <f t="shared" si="17"/>
        <v>2.5122966175438592</v>
      </c>
      <c r="AB69">
        <v>3.755906</v>
      </c>
      <c r="AC69">
        <v>3.1405630000000002</v>
      </c>
      <c r="AD69" s="18">
        <f t="shared" si="27"/>
        <v>0.66889230389255194</v>
      </c>
      <c r="AE69" s="18">
        <f t="shared" si="28"/>
        <v>0.79995103347516328</v>
      </c>
    </row>
    <row r="70" spans="2:31" x14ac:dyDescent="0.25">
      <c r="B70">
        <v>256</v>
      </c>
      <c r="C70">
        <v>8</v>
      </c>
      <c r="D70">
        <v>1</v>
      </c>
      <c r="E70" s="12">
        <v>16</v>
      </c>
      <c r="F70" s="12">
        <v>2</v>
      </c>
      <c r="G70" s="12">
        <v>2</v>
      </c>
      <c r="H70" s="12">
        <v>256</v>
      </c>
      <c r="I70" s="12">
        <v>30</v>
      </c>
      <c r="J70" s="14">
        <f t="shared" ref="J70:J133" si="29">_xlfn.CEILING.MATH(B70*D70/E70)</f>
        <v>16</v>
      </c>
      <c r="K70">
        <f>4096</f>
        <v>4096</v>
      </c>
      <c r="L70" s="12">
        <v>576</v>
      </c>
      <c r="M70" s="12">
        <v>512</v>
      </c>
      <c r="N70" s="15">
        <f t="shared" si="18"/>
        <v>31043.36842105263</v>
      </c>
      <c r="O70" s="15">
        <f t="shared" si="19"/>
        <v>2516582.3999999999</v>
      </c>
      <c r="P70" s="15">
        <f t="shared" si="20"/>
        <v>294912</v>
      </c>
      <c r="Q70" s="15">
        <f t="shared" si="21"/>
        <v>2547625.7684210525</v>
      </c>
      <c r="R70" s="15">
        <f t="shared" si="22"/>
        <v>32768</v>
      </c>
      <c r="S70" s="15">
        <f t="shared" si="23"/>
        <v>2236962.1333333333</v>
      </c>
      <c r="T70" s="15">
        <f t="shared" si="15"/>
        <v>294912</v>
      </c>
      <c r="U70" s="15">
        <f t="shared" si="24"/>
        <v>2269730.1333333333</v>
      </c>
      <c r="V70" s="15">
        <f t="shared" si="16"/>
        <v>5461.333333333333</v>
      </c>
      <c r="W70" s="12">
        <f t="shared" si="25"/>
        <v>201776</v>
      </c>
      <c r="X70" s="12"/>
      <c r="Y70" s="16">
        <f t="shared" si="26"/>
        <v>5024593.2350877188</v>
      </c>
      <c r="Z70" s="11">
        <f t="shared" si="17"/>
        <v>5.0245932350877185</v>
      </c>
      <c r="AB70">
        <v>7.4096489999999999</v>
      </c>
      <c r="AC70">
        <v>6.1053879999999996</v>
      </c>
      <c r="AD70" s="18">
        <f t="shared" si="27"/>
        <v>0.6781148790027326</v>
      </c>
      <c r="AE70" s="18">
        <f t="shared" si="28"/>
        <v>0.82297689108173289</v>
      </c>
    </row>
    <row r="71" spans="2:31" x14ac:dyDescent="0.25">
      <c r="B71">
        <v>512</v>
      </c>
      <c r="C71">
        <v>8</v>
      </c>
      <c r="D71">
        <v>1</v>
      </c>
      <c r="E71" s="12">
        <v>16</v>
      </c>
      <c r="F71" s="12">
        <v>2</v>
      </c>
      <c r="G71" s="12">
        <v>2</v>
      </c>
      <c r="H71" s="12">
        <v>256</v>
      </c>
      <c r="I71" s="12">
        <v>30</v>
      </c>
      <c r="J71" s="14">
        <f t="shared" si="29"/>
        <v>32</v>
      </c>
      <c r="K71">
        <f>4096</f>
        <v>4096</v>
      </c>
      <c r="L71" s="12">
        <v>576</v>
      </c>
      <c r="M71" s="12">
        <v>512</v>
      </c>
      <c r="N71" s="15">
        <f t="shared" si="18"/>
        <v>62086.73684210526</v>
      </c>
      <c r="O71" s="15">
        <f t="shared" si="19"/>
        <v>5033164.7999999998</v>
      </c>
      <c r="P71" s="15">
        <f t="shared" si="20"/>
        <v>589824</v>
      </c>
      <c r="Q71" s="15">
        <f t="shared" si="21"/>
        <v>5095251.536842105</v>
      </c>
      <c r="R71" s="15">
        <f t="shared" si="22"/>
        <v>65536</v>
      </c>
      <c r="S71" s="15">
        <f t="shared" si="23"/>
        <v>4473924.2666666666</v>
      </c>
      <c r="T71" s="15">
        <f t="shared" si="15"/>
        <v>589824</v>
      </c>
      <c r="U71" s="15">
        <f t="shared" si="24"/>
        <v>4539460.2666666666</v>
      </c>
      <c r="V71" s="15">
        <f t="shared" si="16"/>
        <v>10922.666666666666</v>
      </c>
      <c r="W71" s="12">
        <f t="shared" si="25"/>
        <v>403552</v>
      </c>
      <c r="X71" s="12"/>
      <c r="Y71" s="16">
        <f t="shared" si="26"/>
        <v>10049186.470175438</v>
      </c>
      <c r="Z71" s="11">
        <f t="shared" si="17"/>
        <v>10.049186470175437</v>
      </c>
      <c r="AB71">
        <v>14.760866999999999</v>
      </c>
      <c r="AC71">
        <v>12.085981</v>
      </c>
      <c r="AD71" s="18">
        <f t="shared" si="27"/>
        <v>0.6807992017118939</v>
      </c>
      <c r="AE71" s="18">
        <f t="shared" si="28"/>
        <v>0.83147462089965529</v>
      </c>
    </row>
    <row r="72" spans="2:31" x14ac:dyDescent="0.25">
      <c r="B72" s="8">
        <v>1</v>
      </c>
      <c r="C72" s="8">
        <v>8</v>
      </c>
      <c r="D72" s="8">
        <v>1</v>
      </c>
      <c r="E72" s="12">
        <v>16</v>
      </c>
      <c r="F72" s="12">
        <v>2</v>
      </c>
      <c r="G72" s="12">
        <v>2</v>
      </c>
      <c r="H72" s="12">
        <v>256</v>
      </c>
      <c r="I72" s="12">
        <v>30</v>
      </c>
      <c r="J72" s="14">
        <f t="shared" si="29"/>
        <v>1</v>
      </c>
      <c r="K72" s="8">
        <f>8192</f>
        <v>8192</v>
      </c>
      <c r="L72" s="12">
        <v>576</v>
      </c>
      <c r="M72" s="12">
        <v>512</v>
      </c>
      <c r="N72" s="15">
        <f>F72*J72*64*L72/38</f>
        <v>1940.2105263157894</v>
      </c>
      <c r="O72" s="15">
        <f>G72*J72*_xlfn.CEILING.MATH(K72/64)*64*L72/I72</f>
        <v>314572.79999999999</v>
      </c>
      <c r="P72" s="15">
        <f t="shared" si="20"/>
        <v>36864</v>
      </c>
      <c r="Q72" s="15">
        <f t="shared" si="21"/>
        <v>316513.01052631577</v>
      </c>
      <c r="R72" s="15">
        <f t="shared" si="22"/>
        <v>4096</v>
      </c>
      <c r="S72" s="15">
        <f t="shared" si="23"/>
        <v>279620.26666666666</v>
      </c>
      <c r="T72" s="15">
        <f t="shared" si="15"/>
        <v>36864</v>
      </c>
      <c r="U72" s="15">
        <f t="shared" si="24"/>
        <v>283716.26666666666</v>
      </c>
      <c r="V72" s="15">
        <f t="shared" si="16"/>
        <v>341.33333333333331</v>
      </c>
      <c r="W72" s="12">
        <f t="shared" si="25"/>
        <v>25027</v>
      </c>
      <c r="X72" s="12"/>
      <c r="Y72" s="16">
        <f t="shared" si="26"/>
        <v>625597.61052631575</v>
      </c>
      <c r="Z72" s="11">
        <f t="shared" si="17"/>
        <v>0.62559761052631579</v>
      </c>
      <c r="AB72">
        <v>0.49013899999999999</v>
      </c>
      <c r="AC72">
        <v>0.372423</v>
      </c>
      <c r="AD72" s="18">
        <f t="shared" si="27"/>
        <v>1.2763677457339975</v>
      </c>
      <c r="AE72" s="18">
        <f t="shared" si="28"/>
        <v>1.6798039071870314</v>
      </c>
    </row>
    <row r="73" spans="2:31" x14ac:dyDescent="0.25">
      <c r="B73" s="8">
        <v>2</v>
      </c>
      <c r="C73" s="8">
        <v>8</v>
      </c>
      <c r="D73" s="8">
        <v>1</v>
      </c>
      <c r="E73" s="12">
        <v>16</v>
      </c>
      <c r="F73" s="12">
        <v>2</v>
      </c>
      <c r="G73" s="12">
        <v>2</v>
      </c>
      <c r="H73" s="12">
        <v>256</v>
      </c>
      <c r="I73" s="12">
        <v>30</v>
      </c>
      <c r="J73" s="14">
        <f t="shared" si="29"/>
        <v>1</v>
      </c>
      <c r="K73" s="8">
        <f>8192</f>
        <v>8192</v>
      </c>
      <c r="L73" s="12">
        <v>576</v>
      </c>
      <c r="M73" s="12">
        <v>512</v>
      </c>
      <c r="N73" s="15">
        <f t="shared" si="18"/>
        <v>1940.2105263157894</v>
      </c>
      <c r="O73" s="15">
        <f t="shared" si="19"/>
        <v>314572.79999999999</v>
      </c>
      <c r="P73" s="15">
        <f t="shared" si="20"/>
        <v>36864</v>
      </c>
      <c r="Q73" s="15">
        <f t="shared" si="21"/>
        <v>316513.01052631577</v>
      </c>
      <c r="R73" s="15">
        <f t="shared" si="22"/>
        <v>4096</v>
      </c>
      <c r="S73" s="15">
        <f t="shared" si="23"/>
        <v>279620.26666666666</v>
      </c>
      <c r="T73" s="15">
        <f t="shared" si="15"/>
        <v>36864</v>
      </c>
      <c r="U73" s="15">
        <f t="shared" si="24"/>
        <v>283716.26666666666</v>
      </c>
      <c r="V73" s="15">
        <f t="shared" si="16"/>
        <v>341.33333333333331</v>
      </c>
      <c r="W73" s="12">
        <f t="shared" si="25"/>
        <v>25027</v>
      </c>
      <c r="X73" s="12"/>
      <c r="Y73" s="16">
        <f t="shared" si="26"/>
        <v>625597.61052631575</v>
      </c>
      <c r="Z73" s="11">
        <f t="shared" si="17"/>
        <v>0.62559761052631579</v>
      </c>
      <c r="AB73">
        <v>0.65015199999999995</v>
      </c>
      <c r="AC73">
        <v>0.52649199999999996</v>
      </c>
      <c r="AD73" s="18">
        <f t="shared" si="27"/>
        <v>0.96223284789759289</v>
      </c>
      <c r="AE73" s="18">
        <f t="shared" si="28"/>
        <v>1.1882376380387847</v>
      </c>
    </row>
    <row r="74" spans="2:31" x14ac:dyDescent="0.25">
      <c r="B74" s="8">
        <v>4</v>
      </c>
      <c r="C74" s="8">
        <v>8</v>
      </c>
      <c r="D74" s="8">
        <v>1</v>
      </c>
      <c r="E74" s="12">
        <v>16</v>
      </c>
      <c r="F74" s="12">
        <v>2</v>
      </c>
      <c r="G74" s="12">
        <v>2</v>
      </c>
      <c r="H74" s="12">
        <v>256</v>
      </c>
      <c r="I74" s="12">
        <v>30</v>
      </c>
      <c r="J74" s="14">
        <f t="shared" si="29"/>
        <v>1</v>
      </c>
      <c r="K74" s="8">
        <f>8192</f>
        <v>8192</v>
      </c>
      <c r="L74" s="12">
        <v>576</v>
      </c>
      <c r="M74" s="12">
        <v>512</v>
      </c>
      <c r="N74" s="15">
        <f t="shared" si="18"/>
        <v>1940.2105263157894</v>
      </c>
      <c r="O74" s="15">
        <f t="shared" si="19"/>
        <v>314572.79999999999</v>
      </c>
      <c r="P74" s="15">
        <f t="shared" si="20"/>
        <v>36864</v>
      </c>
      <c r="Q74" s="15">
        <f t="shared" si="21"/>
        <v>316513.01052631577</v>
      </c>
      <c r="R74" s="15">
        <f t="shared" si="22"/>
        <v>4096</v>
      </c>
      <c r="S74" s="15">
        <f t="shared" si="23"/>
        <v>279620.26666666666</v>
      </c>
      <c r="T74" s="15">
        <f t="shared" si="15"/>
        <v>36864</v>
      </c>
      <c r="U74" s="15">
        <f t="shared" si="24"/>
        <v>283716.26666666666</v>
      </c>
      <c r="V74" s="15">
        <f t="shared" si="16"/>
        <v>341.33333333333331</v>
      </c>
      <c r="W74" s="12">
        <f t="shared" si="25"/>
        <v>25027</v>
      </c>
      <c r="X74" s="12"/>
      <c r="Y74" s="16">
        <f t="shared" si="26"/>
        <v>625597.61052631575</v>
      </c>
      <c r="Z74" s="11">
        <f t="shared" si="17"/>
        <v>0.62559761052631579</v>
      </c>
      <c r="AB74">
        <v>0.69249300000000003</v>
      </c>
      <c r="AC74">
        <v>0.56592799999999999</v>
      </c>
      <c r="AD74" s="18">
        <f t="shared" si="27"/>
        <v>0.90339918313443712</v>
      </c>
      <c r="AE74" s="18">
        <f t="shared" si="28"/>
        <v>1.1054367526015956</v>
      </c>
    </row>
    <row r="75" spans="2:31" x14ac:dyDescent="0.25">
      <c r="B75">
        <v>8</v>
      </c>
      <c r="C75">
        <v>8</v>
      </c>
      <c r="D75">
        <v>1</v>
      </c>
      <c r="E75" s="12">
        <v>16</v>
      </c>
      <c r="F75" s="12">
        <v>2</v>
      </c>
      <c r="G75" s="12">
        <v>2</v>
      </c>
      <c r="H75" s="12">
        <v>256</v>
      </c>
      <c r="I75" s="12">
        <v>30</v>
      </c>
      <c r="J75" s="14">
        <f t="shared" si="29"/>
        <v>1</v>
      </c>
      <c r="K75">
        <f>8192</f>
        <v>8192</v>
      </c>
      <c r="L75" s="12">
        <v>576</v>
      </c>
      <c r="M75" s="12">
        <v>512</v>
      </c>
      <c r="N75" s="15">
        <f t="shared" si="18"/>
        <v>1940.2105263157894</v>
      </c>
      <c r="O75" s="15">
        <f t="shared" si="19"/>
        <v>314572.79999999999</v>
      </c>
      <c r="P75" s="15">
        <f t="shared" si="20"/>
        <v>36864</v>
      </c>
      <c r="Q75" s="15">
        <f t="shared" si="21"/>
        <v>316513.01052631577</v>
      </c>
      <c r="R75" s="15">
        <f t="shared" si="22"/>
        <v>4096</v>
      </c>
      <c r="S75" s="15">
        <f t="shared" si="23"/>
        <v>279620.26666666666</v>
      </c>
      <c r="T75" s="15">
        <f t="shared" si="15"/>
        <v>36864</v>
      </c>
      <c r="U75" s="15">
        <f t="shared" si="24"/>
        <v>283716.26666666666</v>
      </c>
      <c r="V75" s="15">
        <f t="shared" si="16"/>
        <v>341.33333333333331</v>
      </c>
      <c r="W75" s="12">
        <f t="shared" si="25"/>
        <v>25027</v>
      </c>
      <c r="X75" s="12"/>
      <c r="Y75" s="16">
        <f t="shared" si="26"/>
        <v>625597.61052631575</v>
      </c>
      <c r="Z75" s="11">
        <f t="shared" si="17"/>
        <v>0.62559761052631579</v>
      </c>
      <c r="AB75">
        <v>0.92495499999999997</v>
      </c>
      <c r="AC75">
        <v>0.77490000000000003</v>
      </c>
      <c r="AD75" s="18">
        <f t="shared" si="27"/>
        <v>0.67635464484900976</v>
      </c>
      <c r="AE75" s="18">
        <f t="shared" si="28"/>
        <v>0.80732689447195216</v>
      </c>
    </row>
    <row r="76" spans="2:31" x14ac:dyDescent="0.25">
      <c r="B76">
        <v>16</v>
      </c>
      <c r="C76">
        <v>8</v>
      </c>
      <c r="D76">
        <v>1</v>
      </c>
      <c r="E76" s="12">
        <v>16</v>
      </c>
      <c r="F76" s="12">
        <v>2</v>
      </c>
      <c r="G76" s="12">
        <v>2</v>
      </c>
      <c r="H76" s="12">
        <v>256</v>
      </c>
      <c r="I76" s="12">
        <v>30</v>
      </c>
      <c r="J76" s="14">
        <f t="shared" si="29"/>
        <v>1</v>
      </c>
      <c r="K76">
        <f>8192</f>
        <v>8192</v>
      </c>
      <c r="L76" s="12">
        <v>576</v>
      </c>
      <c r="M76" s="12">
        <v>512</v>
      </c>
      <c r="N76" s="15">
        <f t="shared" si="18"/>
        <v>1940.2105263157894</v>
      </c>
      <c r="O76" s="15">
        <f t="shared" si="19"/>
        <v>314572.79999999999</v>
      </c>
      <c r="P76" s="15">
        <f t="shared" si="20"/>
        <v>36864</v>
      </c>
      <c r="Q76" s="15">
        <f t="shared" si="21"/>
        <v>316513.01052631577</v>
      </c>
      <c r="R76" s="15">
        <f t="shared" si="22"/>
        <v>4096</v>
      </c>
      <c r="S76" s="15">
        <f t="shared" si="23"/>
        <v>279620.26666666666</v>
      </c>
      <c r="T76" s="15">
        <f t="shared" si="15"/>
        <v>36864</v>
      </c>
      <c r="U76" s="15">
        <f t="shared" si="24"/>
        <v>283716.26666666666</v>
      </c>
      <c r="V76" s="15">
        <f t="shared" si="16"/>
        <v>341.33333333333331</v>
      </c>
      <c r="W76" s="12">
        <f t="shared" si="25"/>
        <v>25027</v>
      </c>
      <c r="X76" s="12"/>
      <c r="Y76" s="16">
        <f t="shared" si="26"/>
        <v>625597.61052631575</v>
      </c>
      <c r="Z76" s="11">
        <f t="shared" si="17"/>
        <v>0.62559761052631579</v>
      </c>
      <c r="AB76">
        <v>1.11077</v>
      </c>
      <c r="AC76">
        <v>0.87891300000000006</v>
      </c>
      <c r="AD76" s="18">
        <f t="shared" si="27"/>
        <v>0.5632107551755231</v>
      </c>
      <c r="AE76" s="18">
        <f t="shared" si="28"/>
        <v>0.71178559257436824</v>
      </c>
    </row>
    <row r="77" spans="2:31" x14ac:dyDescent="0.25">
      <c r="B77">
        <v>32</v>
      </c>
      <c r="C77">
        <v>8</v>
      </c>
      <c r="D77">
        <v>1</v>
      </c>
      <c r="E77" s="12">
        <v>16</v>
      </c>
      <c r="F77" s="12">
        <v>2</v>
      </c>
      <c r="G77" s="12">
        <v>2</v>
      </c>
      <c r="H77" s="12">
        <v>256</v>
      </c>
      <c r="I77" s="12">
        <v>30</v>
      </c>
      <c r="J77" s="14">
        <f t="shared" si="29"/>
        <v>2</v>
      </c>
      <c r="K77">
        <f>8192</f>
        <v>8192</v>
      </c>
      <c r="L77" s="12">
        <v>576</v>
      </c>
      <c r="M77" s="12">
        <v>512</v>
      </c>
      <c r="N77" s="15">
        <f t="shared" si="18"/>
        <v>3880.4210526315787</v>
      </c>
      <c r="O77" s="15">
        <f t="shared" si="19"/>
        <v>629145.59999999998</v>
      </c>
      <c r="P77" s="15">
        <f t="shared" si="20"/>
        <v>73728</v>
      </c>
      <c r="Q77" s="15">
        <f t="shared" si="21"/>
        <v>633026.02105263155</v>
      </c>
      <c r="R77" s="15">
        <f t="shared" si="22"/>
        <v>8192</v>
      </c>
      <c r="S77" s="15">
        <f t="shared" si="23"/>
        <v>559240.53333333333</v>
      </c>
      <c r="T77" s="15">
        <f t="shared" si="15"/>
        <v>73728</v>
      </c>
      <c r="U77" s="15">
        <f t="shared" si="24"/>
        <v>567432.53333333333</v>
      </c>
      <c r="V77" s="15">
        <f t="shared" si="16"/>
        <v>682.66666666666663</v>
      </c>
      <c r="W77" s="12">
        <f t="shared" si="25"/>
        <v>50054</v>
      </c>
      <c r="X77" s="12"/>
      <c r="Y77" s="16">
        <f t="shared" si="26"/>
        <v>1251195.2210526315</v>
      </c>
      <c r="Z77" s="11">
        <f t="shared" si="17"/>
        <v>1.2511952210526316</v>
      </c>
      <c r="AB77">
        <v>1.9385619999999999</v>
      </c>
      <c r="AC77">
        <v>1.6319859999999999</v>
      </c>
      <c r="AD77" s="18">
        <f t="shared" si="27"/>
        <v>0.64542440275453228</v>
      </c>
      <c r="AE77" s="18">
        <f t="shared" si="28"/>
        <v>0.76667031521877738</v>
      </c>
    </row>
    <row r="78" spans="2:31" x14ac:dyDescent="0.25">
      <c r="B78">
        <v>64</v>
      </c>
      <c r="C78">
        <v>8</v>
      </c>
      <c r="D78">
        <v>1</v>
      </c>
      <c r="E78" s="12">
        <v>16</v>
      </c>
      <c r="F78" s="12">
        <v>2</v>
      </c>
      <c r="G78" s="12">
        <v>2</v>
      </c>
      <c r="H78" s="12">
        <v>256</v>
      </c>
      <c r="I78" s="12">
        <v>30</v>
      </c>
      <c r="J78" s="14">
        <f t="shared" si="29"/>
        <v>4</v>
      </c>
      <c r="K78">
        <f>8192</f>
        <v>8192</v>
      </c>
      <c r="L78" s="12">
        <v>576</v>
      </c>
      <c r="M78" s="12">
        <v>512</v>
      </c>
      <c r="N78" s="15">
        <f t="shared" si="18"/>
        <v>7760.8421052631575</v>
      </c>
      <c r="O78" s="15">
        <f t="shared" si="19"/>
        <v>1258291.2</v>
      </c>
      <c r="P78" s="15">
        <f t="shared" si="20"/>
        <v>147456</v>
      </c>
      <c r="Q78" s="15">
        <f t="shared" si="21"/>
        <v>1266052.0421052631</v>
      </c>
      <c r="R78" s="15">
        <f t="shared" si="22"/>
        <v>16384</v>
      </c>
      <c r="S78" s="15">
        <f t="shared" si="23"/>
        <v>1118481.0666666667</v>
      </c>
      <c r="T78" s="15">
        <f t="shared" si="15"/>
        <v>147456</v>
      </c>
      <c r="U78" s="15">
        <f t="shared" si="24"/>
        <v>1134865.0666666667</v>
      </c>
      <c r="V78" s="15">
        <f t="shared" si="16"/>
        <v>1365.3333333333333</v>
      </c>
      <c r="W78" s="12">
        <f t="shared" si="25"/>
        <v>100108</v>
      </c>
      <c r="X78" s="12"/>
      <c r="Y78" s="16">
        <f t="shared" si="26"/>
        <v>2502390.442105263</v>
      </c>
      <c r="Z78" s="11">
        <f t="shared" si="17"/>
        <v>2.5023904421052632</v>
      </c>
      <c r="AB78">
        <v>3.859486</v>
      </c>
      <c r="AC78">
        <v>3.1122209999999999</v>
      </c>
      <c r="AD78" s="18">
        <f t="shared" si="27"/>
        <v>0.64837401718914467</v>
      </c>
      <c r="AE78" s="18">
        <f t="shared" si="28"/>
        <v>0.80405293907639053</v>
      </c>
    </row>
    <row r="79" spans="2:31" x14ac:dyDescent="0.25">
      <c r="B79">
        <v>128</v>
      </c>
      <c r="C79">
        <v>8</v>
      </c>
      <c r="D79">
        <v>1</v>
      </c>
      <c r="E79" s="12">
        <v>16</v>
      </c>
      <c r="F79" s="12">
        <v>2</v>
      </c>
      <c r="G79" s="12">
        <v>2</v>
      </c>
      <c r="H79" s="12">
        <v>256</v>
      </c>
      <c r="I79" s="12">
        <v>30</v>
      </c>
      <c r="J79" s="14">
        <f t="shared" si="29"/>
        <v>8</v>
      </c>
      <c r="K79">
        <f>8192</f>
        <v>8192</v>
      </c>
      <c r="L79" s="12">
        <v>576</v>
      </c>
      <c r="M79" s="12">
        <v>512</v>
      </c>
      <c r="N79" s="15">
        <f t="shared" si="18"/>
        <v>15521.684210526315</v>
      </c>
      <c r="O79" s="15">
        <f t="shared" si="19"/>
        <v>2516582.3999999999</v>
      </c>
      <c r="P79" s="15">
        <f t="shared" si="20"/>
        <v>294912</v>
      </c>
      <c r="Q79" s="15">
        <f t="shared" si="21"/>
        <v>2532104.0842105262</v>
      </c>
      <c r="R79" s="15">
        <f t="shared" si="22"/>
        <v>32768</v>
      </c>
      <c r="S79" s="15">
        <f t="shared" si="23"/>
        <v>2236962.1333333333</v>
      </c>
      <c r="T79" s="15">
        <f t="shared" si="15"/>
        <v>294912</v>
      </c>
      <c r="U79" s="15">
        <f t="shared" si="24"/>
        <v>2269730.1333333333</v>
      </c>
      <c r="V79" s="15">
        <f t="shared" si="16"/>
        <v>2730.6666666666665</v>
      </c>
      <c r="W79" s="12">
        <f t="shared" si="25"/>
        <v>200216</v>
      </c>
      <c r="X79" s="12"/>
      <c r="Y79" s="16">
        <f t="shared" si="26"/>
        <v>5004780.884210526</v>
      </c>
      <c r="Z79" s="11">
        <f t="shared" si="17"/>
        <v>5.0047808842105264</v>
      </c>
      <c r="AB79">
        <v>7.5863079999999998</v>
      </c>
      <c r="AC79">
        <v>6.0660040000000004</v>
      </c>
      <c r="AD79" s="18">
        <f t="shared" si="27"/>
        <v>0.65971232438895522</v>
      </c>
      <c r="AE79" s="18">
        <f t="shared" si="28"/>
        <v>0.82505400329616108</v>
      </c>
    </row>
    <row r="80" spans="2:31" x14ac:dyDescent="0.25">
      <c r="B80">
        <v>256</v>
      </c>
      <c r="C80">
        <v>8</v>
      </c>
      <c r="D80">
        <v>1</v>
      </c>
      <c r="E80" s="12">
        <v>16</v>
      </c>
      <c r="F80" s="12">
        <v>2</v>
      </c>
      <c r="G80" s="12">
        <v>2</v>
      </c>
      <c r="H80" s="12">
        <v>256</v>
      </c>
      <c r="I80" s="12">
        <v>30</v>
      </c>
      <c r="J80" s="14">
        <f t="shared" si="29"/>
        <v>16</v>
      </c>
      <c r="K80">
        <f>8192</f>
        <v>8192</v>
      </c>
      <c r="L80" s="12">
        <v>576</v>
      </c>
      <c r="M80" s="12">
        <v>512</v>
      </c>
      <c r="N80" s="15">
        <f>F80*J80*64*L80/38</f>
        <v>31043.36842105263</v>
      </c>
      <c r="O80" s="15">
        <f t="shared" si="19"/>
        <v>5033164.7999999998</v>
      </c>
      <c r="P80" s="15">
        <f t="shared" si="20"/>
        <v>589824</v>
      </c>
      <c r="Q80" s="15">
        <f>N80+O80</f>
        <v>5064208.1684210524</v>
      </c>
      <c r="R80" s="15">
        <f t="shared" si="22"/>
        <v>65536</v>
      </c>
      <c r="S80" s="15">
        <f t="shared" si="23"/>
        <v>4473924.2666666666</v>
      </c>
      <c r="T80" s="15">
        <f t="shared" si="15"/>
        <v>589824</v>
      </c>
      <c r="U80" s="15">
        <f t="shared" si="24"/>
        <v>4539460.2666666666</v>
      </c>
      <c r="V80" s="15">
        <f t="shared" si="16"/>
        <v>5461.333333333333</v>
      </c>
      <c r="W80" s="12">
        <f t="shared" si="25"/>
        <v>400432</v>
      </c>
      <c r="X80" s="12"/>
      <c r="Y80" s="16">
        <f t="shared" si="26"/>
        <v>10009561.768421052</v>
      </c>
      <c r="Z80" s="11">
        <f t="shared" si="17"/>
        <v>10.009561768421053</v>
      </c>
      <c r="AB80">
        <v>15.006664000000001</v>
      </c>
      <c r="AC80">
        <v>11.993288</v>
      </c>
      <c r="AD80" s="18">
        <f t="shared" si="27"/>
        <v>0.66700778856786902</v>
      </c>
      <c r="AE80" s="18">
        <f t="shared" si="28"/>
        <v>0.83459696527099603</v>
      </c>
    </row>
    <row r="81" spans="2:31" x14ac:dyDescent="0.25">
      <c r="B81">
        <v>512</v>
      </c>
      <c r="C81">
        <v>8</v>
      </c>
      <c r="D81">
        <v>1</v>
      </c>
      <c r="E81" s="12">
        <v>16</v>
      </c>
      <c r="F81" s="12">
        <v>2</v>
      </c>
      <c r="G81" s="12">
        <v>2</v>
      </c>
      <c r="H81" s="12">
        <v>256</v>
      </c>
      <c r="I81" s="12">
        <v>30</v>
      </c>
      <c r="J81" s="14">
        <f t="shared" si="29"/>
        <v>32</v>
      </c>
      <c r="K81">
        <f>8192</f>
        <v>8192</v>
      </c>
      <c r="L81" s="12">
        <v>576</v>
      </c>
      <c r="M81" s="12">
        <v>512</v>
      </c>
      <c r="N81" s="15">
        <f t="shared" si="18"/>
        <v>62086.73684210526</v>
      </c>
      <c r="O81" s="15">
        <f t="shared" si="19"/>
        <v>10066329.6</v>
      </c>
      <c r="P81" s="15">
        <f t="shared" si="20"/>
        <v>1179648</v>
      </c>
      <c r="Q81" s="15">
        <f t="shared" si="21"/>
        <v>10128416.336842105</v>
      </c>
      <c r="R81" s="15">
        <f t="shared" si="22"/>
        <v>131072</v>
      </c>
      <c r="S81" s="15">
        <f t="shared" si="23"/>
        <v>8947848.5333333332</v>
      </c>
      <c r="T81" s="15">
        <f t="shared" si="15"/>
        <v>1179648</v>
      </c>
      <c r="U81" s="15">
        <f t="shared" si="24"/>
        <v>9078920.5333333332</v>
      </c>
      <c r="V81" s="15">
        <f t="shared" si="16"/>
        <v>10922.666666666666</v>
      </c>
      <c r="W81" s="12">
        <f t="shared" si="25"/>
        <v>800864</v>
      </c>
      <c r="X81" s="12"/>
      <c r="Y81" s="16">
        <f t="shared" si="26"/>
        <v>20019123.536842104</v>
      </c>
      <c r="Z81" s="11">
        <f t="shared" si="17"/>
        <v>20.019123536842105</v>
      </c>
      <c r="AB81">
        <v>29.640212999999999</v>
      </c>
      <c r="AC81">
        <v>23.818235000000001</v>
      </c>
      <c r="AD81" s="18">
        <f t="shared" si="27"/>
        <v>0.67540417259626662</v>
      </c>
      <c r="AE81" s="18">
        <f t="shared" si="28"/>
        <v>0.84049567639424605</v>
      </c>
    </row>
    <row r="82" spans="2:31" x14ac:dyDescent="0.25">
      <c r="B82" s="8">
        <v>1</v>
      </c>
      <c r="C82" s="8">
        <v>8</v>
      </c>
      <c r="D82" s="8">
        <v>1</v>
      </c>
      <c r="E82" s="12">
        <v>16</v>
      </c>
      <c r="F82" s="12">
        <v>2</v>
      </c>
      <c r="G82" s="12">
        <v>2</v>
      </c>
      <c r="H82" s="12">
        <v>256</v>
      </c>
      <c r="I82" s="12">
        <v>30</v>
      </c>
      <c r="J82" s="14">
        <f t="shared" si="29"/>
        <v>1</v>
      </c>
      <c r="K82" s="8">
        <f>16384</f>
        <v>16384</v>
      </c>
      <c r="L82" s="12">
        <v>576</v>
      </c>
      <c r="M82" s="12">
        <v>512</v>
      </c>
      <c r="N82" s="15">
        <f t="shared" si="18"/>
        <v>1940.2105263157894</v>
      </c>
      <c r="O82" s="15">
        <f t="shared" si="19"/>
        <v>629145.59999999998</v>
      </c>
      <c r="P82" s="15">
        <f t="shared" si="20"/>
        <v>73728</v>
      </c>
      <c r="Q82" s="15">
        <f t="shared" si="21"/>
        <v>631085.81052631582</v>
      </c>
      <c r="R82" s="15">
        <f t="shared" si="22"/>
        <v>8192</v>
      </c>
      <c r="S82" s="15">
        <f t="shared" si="23"/>
        <v>559240.53333333333</v>
      </c>
      <c r="T82" s="15">
        <f t="shared" si="15"/>
        <v>73728</v>
      </c>
      <c r="U82" s="15">
        <f t="shared" si="24"/>
        <v>567432.53333333333</v>
      </c>
      <c r="V82" s="15">
        <f t="shared" si="16"/>
        <v>341.33333333333331</v>
      </c>
      <c r="W82" s="12">
        <f t="shared" si="25"/>
        <v>49859</v>
      </c>
      <c r="X82" s="12"/>
      <c r="Y82" s="16">
        <f t="shared" si="26"/>
        <v>1248718.6771929825</v>
      </c>
      <c r="Z82" s="11">
        <f t="shared" si="17"/>
        <v>1.2487186771929826</v>
      </c>
      <c r="AB82">
        <v>0.91907499999999998</v>
      </c>
      <c r="AC82">
        <v>0.67993599999999998</v>
      </c>
      <c r="AD82" s="18">
        <f t="shared" si="27"/>
        <v>1.3586689630258495</v>
      </c>
      <c r="AE82" s="18">
        <f t="shared" si="28"/>
        <v>1.8365238451751085</v>
      </c>
    </row>
    <row r="83" spans="2:31" x14ac:dyDescent="0.25">
      <c r="B83" s="8">
        <v>2</v>
      </c>
      <c r="C83" s="8">
        <v>8</v>
      </c>
      <c r="D83" s="8">
        <v>1</v>
      </c>
      <c r="E83" s="12">
        <v>16</v>
      </c>
      <c r="F83" s="12">
        <v>2</v>
      </c>
      <c r="G83" s="12">
        <v>2</v>
      </c>
      <c r="H83" s="12">
        <v>256</v>
      </c>
      <c r="I83" s="12">
        <v>30</v>
      </c>
      <c r="J83" s="14">
        <f t="shared" si="29"/>
        <v>1</v>
      </c>
      <c r="K83" s="8">
        <f>16384</f>
        <v>16384</v>
      </c>
      <c r="L83" s="12">
        <v>576</v>
      </c>
      <c r="M83" s="12">
        <v>512</v>
      </c>
      <c r="N83" s="15">
        <f t="shared" si="18"/>
        <v>1940.2105263157894</v>
      </c>
      <c r="O83" s="15">
        <f t="shared" si="19"/>
        <v>629145.59999999998</v>
      </c>
      <c r="P83" s="15">
        <f t="shared" si="20"/>
        <v>73728</v>
      </c>
      <c r="Q83" s="15">
        <f t="shared" si="21"/>
        <v>631085.81052631582</v>
      </c>
      <c r="R83" s="15">
        <f t="shared" si="22"/>
        <v>8192</v>
      </c>
      <c r="S83" s="15">
        <f t="shared" si="23"/>
        <v>559240.53333333333</v>
      </c>
      <c r="T83" s="15">
        <f t="shared" si="15"/>
        <v>73728</v>
      </c>
      <c r="U83" s="15">
        <f t="shared" si="24"/>
        <v>567432.53333333333</v>
      </c>
      <c r="V83" s="15">
        <f t="shared" si="16"/>
        <v>341.33333333333331</v>
      </c>
      <c r="W83" s="12">
        <f t="shared" si="25"/>
        <v>49859</v>
      </c>
      <c r="X83" s="12"/>
      <c r="Y83" s="16">
        <f t="shared" si="26"/>
        <v>1248718.6771929825</v>
      </c>
      <c r="Z83" s="11">
        <f t="shared" si="17"/>
        <v>1.2487186771929826</v>
      </c>
      <c r="AB83">
        <v>1.238583</v>
      </c>
      <c r="AC83">
        <v>0.98188900000000001</v>
      </c>
      <c r="AD83" s="18">
        <f t="shared" si="27"/>
        <v>1.0081832846026326</v>
      </c>
      <c r="AE83" s="18">
        <f t="shared" si="28"/>
        <v>1.2717513661859767</v>
      </c>
    </row>
    <row r="84" spans="2:31" x14ac:dyDescent="0.25">
      <c r="B84" s="8">
        <v>4</v>
      </c>
      <c r="C84" s="8">
        <v>8</v>
      </c>
      <c r="D84" s="8">
        <v>1</v>
      </c>
      <c r="E84" s="12">
        <v>16</v>
      </c>
      <c r="F84" s="12">
        <v>2</v>
      </c>
      <c r="G84" s="12">
        <v>2</v>
      </c>
      <c r="H84" s="12">
        <v>256</v>
      </c>
      <c r="I84" s="12">
        <v>30</v>
      </c>
      <c r="J84" s="14">
        <f t="shared" si="29"/>
        <v>1</v>
      </c>
      <c r="K84" s="8">
        <f>16384</f>
        <v>16384</v>
      </c>
      <c r="L84" s="12">
        <v>576</v>
      </c>
      <c r="M84" s="12">
        <v>512</v>
      </c>
      <c r="N84" s="15">
        <f t="shared" si="18"/>
        <v>1940.2105263157894</v>
      </c>
      <c r="O84" s="15">
        <f t="shared" si="19"/>
        <v>629145.59999999998</v>
      </c>
      <c r="P84" s="15">
        <f t="shared" si="20"/>
        <v>73728</v>
      </c>
      <c r="Q84" s="15">
        <f t="shared" si="21"/>
        <v>631085.81052631582</v>
      </c>
      <c r="R84" s="15">
        <f t="shared" si="22"/>
        <v>8192</v>
      </c>
      <c r="S84" s="15">
        <f t="shared" si="23"/>
        <v>559240.53333333333</v>
      </c>
      <c r="T84" s="15">
        <f t="shared" si="15"/>
        <v>73728</v>
      </c>
      <c r="U84" s="15">
        <f t="shared" si="24"/>
        <v>567432.53333333333</v>
      </c>
      <c r="V84" s="15">
        <f t="shared" si="16"/>
        <v>341.33333333333331</v>
      </c>
      <c r="W84" s="12">
        <f t="shared" si="25"/>
        <v>49859</v>
      </c>
      <c r="X84" s="12"/>
      <c r="Y84" s="16">
        <f t="shared" si="26"/>
        <v>1248718.6771929825</v>
      </c>
      <c r="Z84" s="11">
        <f t="shared" si="17"/>
        <v>1.2487186771929826</v>
      </c>
      <c r="AB84">
        <v>1.326363</v>
      </c>
      <c r="AC84">
        <v>1.05403</v>
      </c>
      <c r="AD84" s="18">
        <f t="shared" si="27"/>
        <v>0.94146072922192692</v>
      </c>
      <c r="AE84" s="18">
        <f t="shared" si="28"/>
        <v>1.1847088576159905</v>
      </c>
    </row>
    <row r="85" spans="2:31" x14ac:dyDescent="0.25">
      <c r="B85">
        <v>8</v>
      </c>
      <c r="C85">
        <v>8</v>
      </c>
      <c r="D85">
        <v>1</v>
      </c>
      <c r="E85" s="12">
        <v>16</v>
      </c>
      <c r="F85" s="12">
        <v>2</v>
      </c>
      <c r="G85" s="12">
        <v>2</v>
      </c>
      <c r="H85" s="12">
        <v>256</v>
      </c>
      <c r="I85" s="12">
        <v>30</v>
      </c>
      <c r="J85" s="14">
        <f t="shared" si="29"/>
        <v>1</v>
      </c>
      <c r="K85">
        <f>16384</f>
        <v>16384</v>
      </c>
      <c r="L85" s="12">
        <v>576</v>
      </c>
      <c r="M85" s="12">
        <v>512</v>
      </c>
      <c r="N85" s="15">
        <f t="shared" si="18"/>
        <v>1940.2105263157894</v>
      </c>
      <c r="O85" s="15">
        <f t="shared" si="19"/>
        <v>629145.59999999998</v>
      </c>
      <c r="P85" s="15">
        <f t="shared" si="20"/>
        <v>73728</v>
      </c>
      <c r="Q85" s="15">
        <f t="shared" si="21"/>
        <v>631085.81052631582</v>
      </c>
      <c r="R85" s="15">
        <f t="shared" si="22"/>
        <v>8192</v>
      </c>
      <c r="S85" s="15">
        <f t="shared" si="23"/>
        <v>559240.53333333333</v>
      </c>
      <c r="T85" s="15">
        <f t="shared" si="15"/>
        <v>73728</v>
      </c>
      <c r="U85" s="15">
        <f t="shared" si="24"/>
        <v>567432.53333333333</v>
      </c>
      <c r="V85" s="15">
        <f t="shared" si="16"/>
        <v>341.33333333333331</v>
      </c>
      <c r="W85" s="12">
        <f t="shared" si="25"/>
        <v>49859</v>
      </c>
      <c r="X85" s="12"/>
      <c r="Y85" s="16">
        <f t="shared" si="26"/>
        <v>1248718.6771929825</v>
      </c>
      <c r="Z85" s="11">
        <f t="shared" si="17"/>
        <v>1.2487186771929826</v>
      </c>
      <c r="AB85">
        <v>1.7688330000000001</v>
      </c>
      <c r="AC85">
        <v>1.4731460000000001</v>
      </c>
      <c r="AD85" s="18">
        <f t="shared" si="27"/>
        <v>0.7059562305729159</v>
      </c>
      <c r="AE85" s="18">
        <f t="shared" si="28"/>
        <v>0.84765439216003202</v>
      </c>
    </row>
    <row r="86" spans="2:31" x14ac:dyDescent="0.25">
      <c r="B86">
        <v>16</v>
      </c>
      <c r="C86">
        <v>8</v>
      </c>
      <c r="D86">
        <v>1</v>
      </c>
      <c r="E86" s="12">
        <v>16</v>
      </c>
      <c r="F86" s="12">
        <v>2</v>
      </c>
      <c r="G86" s="12">
        <v>2</v>
      </c>
      <c r="H86" s="12">
        <v>256</v>
      </c>
      <c r="I86" s="12">
        <v>30</v>
      </c>
      <c r="J86" s="14">
        <f t="shared" si="29"/>
        <v>1</v>
      </c>
      <c r="K86">
        <f>16384</f>
        <v>16384</v>
      </c>
      <c r="L86" s="12">
        <v>576</v>
      </c>
      <c r="M86" s="12">
        <v>512</v>
      </c>
      <c r="N86" s="15">
        <f t="shared" si="18"/>
        <v>1940.2105263157894</v>
      </c>
      <c r="O86" s="15">
        <f t="shared" si="19"/>
        <v>629145.59999999998</v>
      </c>
      <c r="P86" s="15">
        <f t="shared" si="20"/>
        <v>73728</v>
      </c>
      <c r="Q86" s="15">
        <f t="shared" si="21"/>
        <v>631085.81052631582</v>
      </c>
      <c r="R86" s="15">
        <f t="shared" si="22"/>
        <v>8192</v>
      </c>
      <c r="S86" s="15">
        <f t="shared" si="23"/>
        <v>559240.53333333333</v>
      </c>
      <c r="T86" s="15">
        <f t="shared" si="15"/>
        <v>73728</v>
      </c>
      <c r="U86" s="15">
        <f t="shared" si="24"/>
        <v>567432.53333333333</v>
      </c>
      <c r="V86" s="15">
        <f t="shared" si="16"/>
        <v>341.33333333333331</v>
      </c>
      <c r="W86" s="12">
        <f t="shared" si="25"/>
        <v>49859</v>
      </c>
      <c r="X86" s="12"/>
      <c r="Y86" s="16">
        <f t="shared" si="26"/>
        <v>1248718.6771929825</v>
      </c>
      <c r="Z86" s="11">
        <f t="shared" si="17"/>
        <v>1.2487186771929826</v>
      </c>
      <c r="AB86">
        <v>2.185549</v>
      </c>
      <c r="AC86">
        <v>1.6215619999999999</v>
      </c>
      <c r="AD86" s="18">
        <f t="shared" si="27"/>
        <v>0.57135240490740891</v>
      </c>
      <c r="AE86" s="18">
        <f t="shared" si="28"/>
        <v>0.77007149723105417</v>
      </c>
    </row>
    <row r="87" spans="2:31" x14ac:dyDescent="0.25">
      <c r="B87">
        <v>32</v>
      </c>
      <c r="C87">
        <v>8</v>
      </c>
      <c r="D87">
        <v>1</v>
      </c>
      <c r="E87" s="12">
        <v>16</v>
      </c>
      <c r="F87" s="12">
        <v>2</v>
      </c>
      <c r="G87" s="12">
        <v>2</v>
      </c>
      <c r="H87" s="12">
        <v>256</v>
      </c>
      <c r="I87" s="12">
        <v>30</v>
      </c>
      <c r="J87" s="14">
        <f t="shared" si="29"/>
        <v>2</v>
      </c>
      <c r="K87">
        <f>16384</f>
        <v>16384</v>
      </c>
      <c r="L87" s="12">
        <v>576</v>
      </c>
      <c r="M87" s="12">
        <v>512</v>
      </c>
      <c r="N87" s="15">
        <f t="shared" si="18"/>
        <v>3880.4210526315787</v>
      </c>
      <c r="O87" s="15">
        <f t="shared" si="19"/>
        <v>1258291.2</v>
      </c>
      <c r="P87" s="15">
        <f t="shared" si="20"/>
        <v>147456</v>
      </c>
      <c r="Q87" s="15">
        <f t="shared" si="21"/>
        <v>1262171.6210526316</v>
      </c>
      <c r="R87" s="15">
        <f t="shared" si="22"/>
        <v>16384</v>
      </c>
      <c r="S87" s="15">
        <f t="shared" si="23"/>
        <v>1118481.0666666667</v>
      </c>
      <c r="T87" s="15">
        <f t="shared" si="15"/>
        <v>147456</v>
      </c>
      <c r="U87" s="15">
        <f t="shared" si="24"/>
        <v>1134865.0666666667</v>
      </c>
      <c r="V87" s="15">
        <f t="shared" si="16"/>
        <v>682.66666666666663</v>
      </c>
      <c r="W87" s="12">
        <f t="shared" si="25"/>
        <v>99718</v>
      </c>
      <c r="X87" s="12"/>
      <c r="Y87" s="16">
        <f t="shared" si="26"/>
        <v>2497437.354385965</v>
      </c>
      <c r="Z87" s="11">
        <f t="shared" si="17"/>
        <v>2.4974373543859651</v>
      </c>
      <c r="AB87">
        <v>3.84755</v>
      </c>
      <c r="AC87">
        <v>3.1086049999999998</v>
      </c>
      <c r="AD87" s="18">
        <f t="shared" si="27"/>
        <v>0.64909808953385018</v>
      </c>
      <c r="AE87" s="18">
        <f t="shared" si="28"/>
        <v>0.80339488432462958</v>
      </c>
    </row>
    <row r="88" spans="2:31" x14ac:dyDescent="0.25">
      <c r="B88">
        <v>64</v>
      </c>
      <c r="C88">
        <v>8</v>
      </c>
      <c r="D88">
        <v>1</v>
      </c>
      <c r="E88" s="12">
        <v>16</v>
      </c>
      <c r="F88" s="12">
        <v>2</v>
      </c>
      <c r="G88" s="12">
        <v>2</v>
      </c>
      <c r="H88" s="12">
        <v>256</v>
      </c>
      <c r="I88" s="12">
        <v>30</v>
      </c>
      <c r="J88" s="14">
        <f t="shared" si="29"/>
        <v>4</v>
      </c>
      <c r="K88">
        <f>16384</f>
        <v>16384</v>
      </c>
      <c r="L88" s="12">
        <v>576</v>
      </c>
      <c r="M88" s="12">
        <v>512</v>
      </c>
      <c r="N88" s="15">
        <f t="shared" si="18"/>
        <v>7760.8421052631575</v>
      </c>
      <c r="O88" s="15">
        <f t="shared" si="19"/>
        <v>2516582.3999999999</v>
      </c>
      <c r="P88" s="15">
        <f t="shared" si="20"/>
        <v>294912</v>
      </c>
      <c r="Q88" s="15">
        <f t="shared" si="21"/>
        <v>2524343.2421052633</v>
      </c>
      <c r="R88" s="15">
        <f t="shared" si="22"/>
        <v>32768</v>
      </c>
      <c r="S88" s="15">
        <f t="shared" si="23"/>
        <v>2236962.1333333333</v>
      </c>
      <c r="T88" s="15">
        <f t="shared" si="15"/>
        <v>294912</v>
      </c>
      <c r="U88" s="15">
        <f t="shared" si="24"/>
        <v>2269730.1333333333</v>
      </c>
      <c r="V88" s="15">
        <f t="shared" si="16"/>
        <v>1365.3333333333333</v>
      </c>
      <c r="W88" s="12">
        <f t="shared" si="25"/>
        <v>199436</v>
      </c>
      <c r="X88" s="12"/>
      <c r="Y88" s="16">
        <f t="shared" si="26"/>
        <v>4994874.7087719301</v>
      </c>
      <c r="Z88" s="11">
        <f t="shared" si="17"/>
        <v>4.9948747087719303</v>
      </c>
      <c r="AB88">
        <v>7.6670769999999999</v>
      </c>
      <c r="AC88">
        <v>6.0388820000000001</v>
      </c>
      <c r="AD88" s="18">
        <f t="shared" si="27"/>
        <v>0.65147052896063651</v>
      </c>
      <c r="AE88" s="18">
        <f t="shared" si="28"/>
        <v>0.82711911058568954</v>
      </c>
    </row>
    <row r="89" spans="2:31" x14ac:dyDescent="0.25">
      <c r="B89">
        <v>128</v>
      </c>
      <c r="C89">
        <v>8</v>
      </c>
      <c r="D89">
        <v>1</v>
      </c>
      <c r="E89" s="12">
        <v>16</v>
      </c>
      <c r="F89" s="12">
        <v>2</v>
      </c>
      <c r="G89" s="12">
        <v>2</v>
      </c>
      <c r="H89" s="12">
        <v>256</v>
      </c>
      <c r="I89" s="12">
        <v>30</v>
      </c>
      <c r="J89" s="14">
        <f t="shared" si="29"/>
        <v>8</v>
      </c>
      <c r="K89">
        <f>16384</f>
        <v>16384</v>
      </c>
      <c r="L89" s="12">
        <v>576</v>
      </c>
      <c r="M89" s="12">
        <v>512</v>
      </c>
      <c r="N89" s="15">
        <f t="shared" si="18"/>
        <v>15521.684210526315</v>
      </c>
      <c r="O89" s="15">
        <f t="shared" si="19"/>
        <v>5033164.7999999998</v>
      </c>
      <c r="P89" s="15">
        <f t="shared" si="20"/>
        <v>589824</v>
      </c>
      <c r="Q89" s="15">
        <f t="shared" si="21"/>
        <v>5048686.4842105266</v>
      </c>
      <c r="R89" s="15">
        <f t="shared" si="22"/>
        <v>65536</v>
      </c>
      <c r="S89" s="15">
        <f t="shared" si="23"/>
        <v>4473924.2666666666</v>
      </c>
      <c r="T89" s="15">
        <f t="shared" si="15"/>
        <v>589824</v>
      </c>
      <c r="U89" s="15">
        <f t="shared" si="24"/>
        <v>4539460.2666666666</v>
      </c>
      <c r="V89" s="15">
        <f t="shared" si="16"/>
        <v>2730.6666666666665</v>
      </c>
      <c r="W89" s="12">
        <f t="shared" si="25"/>
        <v>398872</v>
      </c>
      <c r="X89" s="12"/>
      <c r="Y89" s="16">
        <f t="shared" si="26"/>
        <v>9989749.4175438602</v>
      </c>
      <c r="Z89" s="11">
        <f t="shared" si="17"/>
        <v>9.9897494175438606</v>
      </c>
      <c r="AB89">
        <v>15.183164</v>
      </c>
      <c r="AC89">
        <v>11.946564</v>
      </c>
      <c r="AD89" s="18">
        <f t="shared" si="27"/>
        <v>0.65794912164183039</v>
      </c>
      <c r="AE89" s="18">
        <f t="shared" si="28"/>
        <v>0.83620272888035929</v>
      </c>
    </row>
    <row r="90" spans="2:31" x14ac:dyDescent="0.25">
      <c r="B90">
        <v>256</v>
      </c>
      <c r="C90">
        <v>8</v>
      </c>
      <c r="D90">
        <v>1</v>
      </c>
      <c r="E90" s="12">
        <v>16</v>
      </c>
      <c r="F90" s="12">
        <v>2</v>
      </c>
      <c r="G90" s="12">
        <v>2</v>
      </c>
      <c r="H90" s="12">
        <v>256</v>
      </c>
      <c r="I90" s="12">
        <v>30</v>
      </c>
      <c r="J90" s="14">
        <f t="shared" si="29"/>
        <v>16</v>
      </c>
      <c r="K90">
        <f>16384</f>
        <v>16384</v>
      </c>
      <c r="L90" s="12">
        <v>576</v>
      </c>
      <c r="M90" s="12">
        <v>512</v>
      </c>
      <c r="N90" s="15">
        <f t="shared" si="18"/>
        <v>31043.36842105263</v>
      </c>
      <c r="O90" s="15">
        <f t="shared" si="19"/>
        <v>10066329.6</v>
      </c>
      <c r="P90" s="15">
        <f t="shared" si="20"/>
        <v>1179648</v>
      </c>
      <c r="Q90" s="15">
        <f t="shared" si="21"/>
        <v>10097372.968421053</v>
      </c>
      <c r="R90" s="15">
        <f t="shared" si="22"/>
        <v>131072</v>
      </c>
      <c r="S90" s="15">
        <f t="shared" si="23"/>
        <v>8947848.5333333332</v>
      </c>
      <c r="T90" s="15">
        <f t="shared" si="15"/>
        <v>1179648</v>
      </c>
      <c r="U90" s="15">
        <f t="shared" si="24"/>
        <v>9078920.5333333332</v>
      </c>
      <c r="V90" s="15">
        <f t="shared" si="16"/>
        <v>5461.333333333333</v>
      </c>
      <c r="W90" s="12">
        <f t="shared" si="25"/>
        <v>797744</v>
      </c>
      <c r="X90" s="12"/>
      <c r="Y90" s="16">
        <f t="shared" si="26"/>
        <v>19979498.83508772</v>
      </c>
      <c r="Z90" s="11">
        <f t="shared" si="17"/>
        <v>19.979498835087721</v>
      </c>
      <c r="AB90">
        <v>30.186176</v>
      </c>
      <c r="AC90">
        <v>23.704370000000001</v>
      </c>
      <c r="AD90" s="18">
        <f t="shared" si="27"/>
        <v>0.66187578165209537</v>
      </c>
      <c r="AE90" s="18">
        <f t="shared" si="28"/>
        <v>0.84286141479768162</v>
      </c>
    </row>
    <row r="91" spans="2:31" x14ac:dyDescent="0.25">
      <c r="B91">
        <v>512</v>
      </c>
      <c r="C91">
        <v>8</v>
      </c>
      <c r="D91">
        <v>1</v>
      </c>
      <c r="E91" s="12">
        <v>16</v>
      </c>
      <c r="F91" s="12">
        <v>2</v>
      </c>
      <c r="G91" s="12">
        <v>2</v>
      </c>
      <c r="H91" s="12">
        <v>256</v>
      </c>
      <c r="I91" s="12">
        <v>30</v>
      </c>
      <c r="J91" s="14">
        <f t="shared" si="29"/>
        <v>32</v>
      </c>
      <c r="K91">
        <f>16384</f>
        <v>16384</v>
      </c>
      <c r="L91" s="12">
        <v>576</v>
      </c>
      <c r="M91" s="12">
        <v>512</v>
      </c>
      <c r="N91" s="15">
        <f t="shared" si="18"/>
        <v>62086.73684210526</v>
      </c>
      <c r="O91" s="15">
        <f t="shared" si="19"/>
        <v>20132659.199999999</v>
      </c>
      <c r="P91" s="15">
        <f t="shared" si="20"/>
        <v>2359296</v>
      </c>
      <c r="Q91" s="15">
        <f>N91+O91</f>
        <v>20194745.936842106</v>
      </c>
      <c r="R91" s="15">
        <f t="shared" si="22"/>
        <v>262144</v>
      </c>
      <c r="S91" s="15">
        <f t="shared" si="23"/>
        <v>17895697.066666666</v>
      </c>
      <c r="T91" s="15">
        <f t="shared" si="15"/>
        <v>2359296</v>
      </c>
      <c r="U91" s="15">
        <f t="shared" si="24"/>
        <v>18157841.066666666</v>
      </c>
      <c r="V91" s="15">
        <f t="shared" si="16"/>
        <v>10922.666666666666</v>
      </c>
      <c r="W91" s="12">
        <f t="shared" si="25"/>
        <v>1595488</v>
      </c>
      <c r="X91" s="12"/>
      <c r="Y91" s="16">
        <f t="shared" si="26"/>
        <v>39958997.670175441</v>
      </c>
      <c r="Z91" s="11">
        <f t="shared" si="17"/>
        <v>39.958997670175442</v>
      </c>
      <c r="AB91">
        <v>55.324406000000003</v>
      </c>
      <c r="AC91">
        <v>47.760505999999999</v>
      </c>
      <c r="AD91" s="18">
        <f t="shared" si="27"/>
        <v>0.72226708896206571</v>
      </c>
      <c r="AE91" s="18">
        <f t="shared" si="28"/>
        <v>0.83665356623682841</v>
      </c>
    </row>
    <row r="92" spans="2:31" x14ac:dyDescent="0.25">
      <c r="B92">
        <v>1</v>
      </c>
      <c r="C92">
        <v>16</v>
      </c>
      <c r="D92">
        <v>1</v>
      </c>
      <c r="E92" s="12">
        <v>16</v>
      </c>
      <c r="F92" s="12">
        <v>2</v>
      </c>
      <c r="G92" s="12">
        <v>2</v>
      </c>
      <c r="H92" s="12">
        <v>256</v>
      </c>
      <c r="I92" s="12">
        <v>30</v>
      </c>
      <c r="J92" s="14">
        <f t="shared" si="29"/>
        <v>1</v>
      </c>
      <c r="K92">
        <v>64</v>
      </c>
      <c r="L92" s="12">
        <v>576</v>
      </c>
      <c r="M92" s="12">
        <v>512</v>
      </c>
      <c r="N92" s="15">
        <f t="shared" si="18"/>
        <v>1940.2105263157894</v>
      </c>
      <c r="O92" s="15">
        <f t="shared" si="19"/>
        <v>2457.6</v>
      </c>
      <c r="P92" s="15">
        <f t="shared" si="20"/>
        <v>576</v>
      </c>
      <c r="Q92" s="15">
        <f t="shared" si="21"/>
        <v>4397.8105263157895</v>
      </c>
      <c r="R92" s="15">
        <f t="shared" si="22"/>
        <v>64</v>
      </c>
      <c r="S92" s="15">
        <f t="shared" si="23"/>
        <v>4369.0666666666666</v>
      </c>
      <c r="T92" s="15">
        <f t="shared" si="15"/>
        <v>576</v>
      </c>
      <c r="U92" s="15">
        <f t="shared" si="24"/>
        <v>4433.0666666666666</v>
      </c>
      <c r="V92" s="15">
        <f t="shared" si="16"/>
        <v>341.33333333333331</v>
      </c>
      <c r="W92" s="12">
        <f t="shared" si="25"/>
        <v>389</v>
      </c>
      <c r="X92" s="12"/>
      <c r="Y92" s="16">
        <f t="shared" si="26"/>
        <v>9561.21052631579</v>
      </c>
      <c r="Z92" s="11">
        <f t="shared" si="17"/>
        <v>9.5612105263157901E-3</v>
      </c>
      <c r="AB92">
        <v>7.2718000000000005E-2</v>
      </c>
      <c r="AC92">
        <v>8.0746999999999999E-2</v>
      </c>
      <c r="AD92" s="18">
        <f t="shared" si="27"/>
        <v>0.13148340887147322</v>
      </c>
      <c r="AE92" s="18">
        <f t="shared" si="28"/>
        <v>0.11840948303114407</v>
      </c>
    </row>
    <row r="93" spans="2:31" x14ac:dyDescent="0.25">
      <c r="B93">
        <v>2</v>
      </c>
      <c r="C93">
        <v>16</v>
      </c>
      <c r="D93">
        <v>1</v>
      </c>
      <c r="E93" s="12">
        <v>16</v>
      </c>
      <c r="F93" s="12">
        <v>2</v>
      </c>
      <c r="G93" s="12">
        <v>2</v>
      </c>
      <c r="H93" s="12">
        <v>256</v>
      </c>
      <c r="I93" s="12">
        <v>30</v>
      </c>
      <c r="J93" s="14">
        <f t="shared" si="29"/>
        <v>1</v>
      </c>
      <c r="K93">
        <v>64</v>
      </c>
      <c r="L93" s="12">
        <v>576</v>
      </c>
      <c r="M93" s="12">
        <v>512</v>
      </c>
      <c r="N93" s="15">
        <f t="shared" si="18"/>
        <v>1940.2105263157894</v>
      </c>
      <c r="O93" s="15">
        <f t="shared" si="19"/>
        <v>2457.6</v>
      </c>
      <c r="P93" s="15">
        <f t="shared" si="20"/>
        <v>576</v>
      </c>
      <c r="Q93" s="15">
        <f t="shared" si="21"/>
        <v>4397.8105263157895</v>
      </c>
      <c r="R93" s="15">
        <f t="shared" si="22"/>
        <v>64</v>
      </c>
      <c r="S93" s="15">
        <f t="shared" si="23"/>
        <v>4369.0666666666666</v>
      </c>
      <c r="T93" s="15">
        <f t="shared" si="15"/>
        <v>576</v>
      </c>
      <c r="U93" s="15">
        <f t="shared" si="24"/>
        <v>4433.0666666666666</v>
      </c>
      <c r="V93" s="15">
        <f t="shared" si="16"/>
        <v>341.33333333333331</v>
      </c>
      <c r="W93" s="12">
        <f t="shared" si="25"/>
        <v>389</v>
      </c>
      <c r="X93" s="12"/>
      <c r="Y93" s="16">
        <f t="shared" si="26"/>
        <v>9561.21052631579</v>
      </c>
      <c r="Z93" s="11">
        <f t="shared" si="17"/>
        <v>9.5612105263157901E-3</v>
      </c>
      <c r="AB93">
        <v>7.3957999999999996E-2</v>
      </c>
      <c r="AC93">
        <v>7.8495999999999996E-2</v>
      </c>
      <c r="AD93" s="18">
        <f t="shared" si="27"/>
        <v>0.12927892217631345</v>
      </c>
      <c r="AE93" s="18">
        <f t="shared" si="28"/>
        <v>0.12180506683545392</v>
      </c>
    </row>
    <row r="94" spans="2:31" x14ac:dyDescent="0.25">
      <c r="B94">
        <v>4</v>
      </c>
      <c r="C94">
        <v>16</v>
      </c>
      <c r="D94">
        <v>1</v>
      </c>
      <c r="E94" s="12">
        <v>16</v>
      </c>
      <c r="F94" s="12">
        <v>2</v>
      </c>
      <c r="G94" s="12">
        <v>2</v>
      </c>
      <c r="H94" s="12">
        <v>256</v>
      </c>
      <c r="I94" s="12">
        <v>30</v>
      </c>
      <c r="J94" s="14">
        <f t="shared" si="29"/>
        <v>1</v>
      </c>
      <c r="K94">
        <v>64</v>
      </c>
      <c r="L94" s="12">
        <v>576</v>
      </c>
      <c r="M94" s="12">
        <v>512</v>
      </c>
      <c r="N94" s="15">
        <f t="shared" si="18"/>
        <v>1940.2105263157894</v>
      </c>
      <c r="O94" s="15">
        <f t="shared" si="19"/>
        <v>2457.6</v>
      </c>
      <c r="P94" s="15">
        <f t="shared" si="20"/>
        <v>576</v>
      </c>
      <c r="Q94" s="15">
        <f t="shared" si="21"/>
        <v>4397.8105263157895</v>
      </c>
      <c r="R94" s="15">
        <f t="shared" si="22"/>
        <v>64</v>
      </c>
      <c r="S94" s="15">
        <f t="shared" si="23"/>
        <v>4369.0666666666666</v>
      </c>
      <c r="T94" s="15">
        <f t="shared" si="15"/>
        <v>576</v>
      </c>
      <c r="U94" s="15">
        <f t="shared" si="24"/>
        <v>4433.0666666666666</v>
      </c>
      <c r="V94" s="15">
        <f t="shared" si="16"/>
        <v>341.33333333333331</v>
      </c>
      <c r="W94" s="12">
        <f t="shared" si="25"/>
        <v>389</v>
      </c>
      <c r="X94" s="12"/>
      <c r="Y94" s="16">
        <f t="shared" si="26"/>
        <v>9561.21052631579</v>
      </c>
      <c r="Z94" s="11">
        <f t="shared" si="17"/>
        <v>9.5612105263157901E-3</v>
      </c>
      <c r="AB94">
        <v>7.2408E-2</v>
      </c>
      <c r="AC94">
        <v>7.732E-2</v>
      </c>
      <c r="AD94" s="18">
        <f t="shared" si="27"/>
        <v>0.13204632811727696</v>
      </c>
      <c r="AE94" s="18">
        <f t="shared" si="28"/>
        <v>0.12365766329947996</v>
      </c>
    </row>
    <row r="95" spans="2:31" x14ac:dyDescent="0.25">
      <c r="B95">
        <v>8</v>
      </c>
      <c r="C95">
        <v>16</v>
      </c>
      <c r="D95">
        <v>1</v>
      </c>
      <c r="E95" s="12">
        <v>16</v>
      </c>
      <c r="F95" s="12">
        <v>2</v>
      </c>
      <c r="G95" s="12">
        <v>2</v>
      </c>
      <c r="H95" s="12">
        <v>256</v>
      </c>
      <c r="I95" s="12">
        <v>30</v>
      </c>
      <c r="J95" s="14">
        <f t="shared" si="29"/>
        <v>1</v>
      </c>
      <c r="K95">
        <v>64</v>
      </c>
      <c r="L95" s="12">
        <v>576</v>
      </c>
      <c r="M95" s="12">
        <v>512</v>
      </c>
      <c r="N95" s="15">
        <f t="shared" si="18"/>
        <v>1940.2105263157894</v>
      </c>
      <c r="O95" s="15">
        <f t="shared" si="19"/>
        <v>2457.6</v>
      </c>
      <c r="P95" s="15">
        <f t="shared" si="20"/>
        <v>576</v>
      </c>
      <c r="Q95" s="15">
        <f t="shared" si="21"/>
        <v>4397.8105263157895</v>
      </c>
      <c r="R95" s="15">
        <f t="shared" si="22"/>
        <v>64</v>
      </c>
      <c r="S95" s="15">
        <f t="shared" si="23"/>
        <v>4369.0666666666666</v>
      </c>
      <c r="T95" s="15">
        <f t="shared" si="15"/>
        <v>576</v>
      </c>
      <c r="U95" s="15">
        <f t="shared" si="24"/>
        <v>4433.0666666666666</v>
      </c>
      <c r="V95" s="15">
        <f t="shared" si="16"/>
        <v>341.33333333333331</v>
      </c>
      <c r="W95" s="12">
        <f t="shared" si="25"/>
        <v>389</v>
      </c>
      <c r="X95" s="12"/>
      <c r="Y95" s="16">
        <f t="shared" si="26"/>
        <v>9561.21052631579</v>
      </c>
      <c r="Z95" s="11">
        <f t="shared" si="17"/>
        <v>9.5612105263157901E-3</v>
      </c>
      <c r="AB95">
        <v>7.5330999999999995E-2</v>
      </c>
      <c r="AC95">
        <v>7.9616999999999993E-2</v>
      </c>
      <c r="AD95" s="18">
        <f t="shared" si="27"/>
        <v>0.12692265503333011</v>
      </c>
      <c r="AE95" s="18">
        <f t="shared" si="28"/>
        <v>0.120090062754384</v>
      </c>
    </row>
    <row r="96" spans="2:31" x14ac:dyDescent="0.25">
      <c r="B96">
        <v>16</v>
      </c>
      <c r="C96">
        <v>16</v>
      </c>
      <c r="D96">
        <v>1</v>
      </c>
      <c r="E96" s="12">
        <v>16</v>
      </c>
      <c r="F96" s="12">
        <v>2</v>
      </c>
      <c r="G96" s="12">
        <v>2</v>
      </c>
      <c r="H96" s="12">
        <v>256</v>
      </c>
      <c r="I96" s="12">
        <v>30</v>
      </c>
      <c r="J96" s="14">
        <f t="shared" si="29"/>
        <v>1</v>
      </c>
      <c r="K96">
        <v>64</v>
      </c>
      <c r="L96" s="12">
        <v>576</v>
      </c>
      <c r="M96" s="12">
        <v>512</v>
      </c>
      <c r="N96" s="15">
        <f t="shared" si="18"/>
        <v>1940.2105263157894</v>
      </c>
      <c r="O96" s="15">
        <f t="shared" si="19"/>
        <v>2457.6</v>
      </c>
      <c r="P96" s="15">
        <f t="shared" si="20"/>
        <v>576</v>
      </c>
      <c r="Q96" s="15">
        <f t="shared" si="21"/>
        <v>4397.8105263157895</v>
      </c>
      <c r="R96" s="15">
        <f t="shared" si="22"/>
        <v>64</v>
      </c>
      <c r="S96" s="15">
        <f t="shared" si="23"/>
        <v>4369.0666666666666</v>
      </c>
      <c r="T96" s="15">
        <f t="shared" si="15"/>
        <v>576</v>
      </c>
      <c r="U96" s="15">
        <f t="shared" si="24"/>
        <v>4433.0666666666666</v>
      </c>
      <c r="V96" s="15">
        <f t="shared" si="16"/>
        <v>341.33333333333331</v>
      </c>
      <c r="W96" s="12">
        <f t="shared" si="25"/>
        <v>389</v>
      </c>
      <c r="X96" s="12"/>
      <c r="Y96" s="16">
        <f t="shared" si="26"/>
        <v>9561.21052631579</v>
      </c>
      <c r="Z96" s="11">
        <f t="shared" si="17"/>
        <v>9.5612105263157901E-3</v>
      </c>
      <c r="AB96">
        <v>7.9555000000000001E-2</v>
      </c>
      <c r="AC96">
        <v>8.6989999999999998E-2</v>
      </c>
      <c r="AD96" s="18">
        <f t="shared" si="27"/>
        <v>0.12018365314959198</v>
      </c>
      <c r="AE96" s="18">
        <f t="shared" si="28"/>
        <v>0.10991160508467399</v>
      </c>
    </row>
    <row r="97" spans="2:31" x14ac:dyDescent="0.25">
      <c r="B97">
        <v>32</v>
      </c>
      <c r="C97">
        <v>16</v>
      </c>
      <c r="D97">
        <v>1</v>
      </c>
      <c r="E97" s="12">
        <v>16</v>
      </c>
      <c r="F97" s="12">
        <v>2</v>
      </c>
      <c r="G97" s="12">
        <v>2</v>
      </c>
      <c r="H97" s="12">
        <v>256</v>
      </c>
      <c r="I97" s="12">
        <v>30</v>
      </c>
      <c r="J97" s="14">
        <f t="shared" si="29"/>
        <v>2</v>
      </c>
      <c r="K97">
        <v>64</v>
      </c>
      <c r="L97" s="12">
        <v>576</v>
      </c>
      <c r="M97" s="12">
        <v>512</v>
      </c>
      <c r="N97" s="15">
        <f t="shared" si="18"/>
        <v>3880.4210526315787</v>
      </c>
      <c r="O97" s="15">
        <f t="shared" si="19"/>
        <v>4915.2</v>
      </c>
      <c r="P97" s="15">
        <f t="shared" si="20"/>
        <v>1152</v>
      </c>
      <c r="Q97" s="15">
        <f t="shared" si="21"/>
        <v>8795.621052631579</v>
      </c>
      <c r="R97" s="15">
        <f t="shared" si="22"/>
        <v>128</v>
      </c>
      <c r="S97" s="15">
        <f t="shared" si="23"/>
        <v>8738.1333333333332</v>
      </c>
      <c r="T97" s="15">
        <f t="shared" si="15"/>
        <v>1152</v>
      </c>
      <c r="U97" s="15">
        <f t="shared" si="24"/>
        <v>8866.1333333333332</v>
      </c>
      <c r="V97" s="15">
        <f t="shared" si="16"/>
        <v>682.66666666666663</v>
      </c>
      <c r="W97" s="12">
        <f t="shared" si="25"/>
        <v>778</v>
      </c>
      <c r="X97" s="12"/>
      <c r="Y97" s="16">
        <f t="shared" si="26"/>
        <v>19122.42105263158</v>
      </c>
      <c r="Z97" s="11">
        <f t="shared" si="17"/>
        <v>1.912242105263158E-2</v>
      </c>
      <c r="AB97">
        <v>9.5404000000000003E-2</v>
      </c>
      <c r="AC97">
        <v>0.106015</v>
      </c>
      <c r="AD97" s="18">
        <f t="shared" si="27"/>
        <v>0.20043626108582008</v>
      </c>
      <c r="AE97" s="18">
        <f t="shared" si="28"/>
        <v>0.18037467389172834</v>
      </c>
    </row>
    <row r="98" spans="2:31" x14ac:dyDescent="0.25">
      <c r="B98">
        <v>64</v>
      </c>
      <c r="C98">
        <v>16</v>
      </c>
      <c r="D98">
        <v>1</v>
      </c>
      <c r="E98" s="12">
        <v>16</v>
      </c>
      <c r="F98" s="12">
        <v>2</v>
      </c>
      <c r="G98" s="12">
        <v>2</v>
      </c>
      <c r="H98" s="12">
        <v>256</v>
      </c>
      <c r="I98" s="12">
        <v>30</v>
      </c>
      <c r="J98" s="14">
        <f t="shared" si="29"/>
        <v>4</v>
      </c>
      <c r="K98">
        <v>64</v>
      </c>
      <c r="L98" s="12">
        <v>576</v>
      </c>
      <c r="M98" s="12">
        <v>512</v>
      </c>
      <c r="N98" s="15">
        <f t="shared" si="18"/>
        <v>7760.8421052631575</v>
      </c>
      <c r="O98" s="15">
        <f t="shared" si="19"/>
        <v>9830.4</v>
      </c>
      <c r="P98" s="15">
        <f t="shared" si="20"/>
        <v>2304</v>
      </c>
      <c r="Q98" s="15">
        <f t="shared" si="21"/>
        <v>17591.242105263158</v>
      </c>
      <c r="R98" s="15">
        <f t="shared" si="22"/>
        <v>256</v>
      </c>
      <c r="S98" s="15">
        <f t="shared" si="23"/>
        <v>17476.266666666666</v>
      </c>
      <c r="T98" s="15">
        <f t="shared" si="15"/>
        <v>2304</v>
      </c>
      <c r="U98" s="15">
        <f t="shared" si="24"/>
        <v>17732.266666666666</v>
      </c>
      <c r="V98" s="15">
        <f t="shared" si="16"/>
        <v>1365.3333333333333</v>
      </c>
      <c r="W98" s="12">
        <f t="shared" si="25"/>
        <v>1556</v>
      </c>
      <c r="X98" s="12"/>
      <c r="Y98" s="16">
        <f t="shared" si="26"/>
        <v>38244.84210526316</v>
      </c>
      <c r="Z98" s="11">
        <f t="shared" si="17"/>
        <v>3.824484210526316E-2</v>
      </c>
      <c r="AB98">
        <v>0.13220499999999999</v>
      </c>
      <c r="AC98">
        <v>0.15765599999999999</v>
      </c>
      <c r="AD98" s="18">
        <f t="shared" si="27"/>
        <v>0.28928438489666175</v>
      </c>
      <c r="AE98" s="18">
        <f t="shared" si="28"/>
        <v>0.24258412052356498</v>
      </c>
    </row>
    <row r="99" spans="2:31" x14ac:dyDescent="0.25">
      <c r="B99">
        <v>128</v>
      </c>
      <c r="C99">
        <v>16</v>
      </c>
      <c r="D99">
        <v>1</v>
      </c>
      <c r="E99" s="12">
        <v>16</v>
      </c>
      <c r="F99" s="12">
        <v>2</v>
      </c>
      <c r="G99" s="12">
        <v>2</v>
      </c>
      <c r="H99" s="12">
        <v>256</v>
      </c>
      <c r="I99" s="12">
        <v>30</v>
      </c>
      <c r="J99" s="14">
        <f t="shared" si="29"/>
        <v>8</v>
      </c>
      <c r="K99">
        <v>64</v>
      </c>
      <c r="L99" s="12">
        <v>576</v>
      </c>
      <c r="M99" s="12">
        <v>512</v>
      </c>
      <c r="N99" s="15">
        <f t="shared" si="18"/>
        <v>15521.684210526315</v>
      </c>
      <c r="O99" s="15">
        <f t="shared" si="19"/>
        <v>19660.8</v>
      </c>
      <c r="P99" s="15">
        <f t="shared" si="20"/>
        <v>4608</v>
      </c>
      <c r="Q99" s="15">
        <f t="shared" si="21"/>
        <v>35182.484210526316</v>
      </c>
      <c r="R99" s="15">
        <f t="shared" si="22"/>
        <v>512</v>
      </c>
      <c r="S99" s="15">
        <f t="shared" si="23"/>
        <v>34952.533333333333</v>
      </c>
      <c r="T99" s="15">
        <f t="shared" si="15"/>
        <v>4608</v>
      </c>
      <c r="U99" s="15">
        <f t="shared" si="24"/>
        <v>35464.533333333333</v>
      </c>
      <c r="V99" s="15">
        <f t="shared" si="16"/>
        <v>2730.6666666666665</v>
      </c>
      <c r="W99" s="12">
        <f t="shared" si="25"/>
        <v>3112</v>
      </c>
      <c r="X99" s="12"/>
      <c r="Y99" s="16">
        <f t="shared" si="26"/>
        <v>76489.68421052632</v>
      </c>
      <c r="Z99" s="11">
        <f t="shared" si="17"/>
        <v>7.6489684210526321E-2</v>
      </c>
      <c r="AB99">
        <v>0.20663100000000001</v>
      </c>
      <c r="AC99">
        <v>0.24799599999999999</v>
      </c>
      <c r="AD99" s="18">
        <f t="shared" si="27"/>
        <v>0.370175260297469</v>
      </c>
      <c r="AE99" s="18">
        <f t="shared" si="28"/>
        <v>0.30843112070568202</v>
      </c>
    </row>
    <row r="100" spans="2:31" x14ac:dyDescent="0.25">
      <c r="B100">
        <v>256</v>
      </c>
      <c r="C100">
        <v>16</v>
      </c>
      <c r="D100">
        <v>1</v>
      </c>
      <c r="E100" s="12">
        <v>16</v>
      </c>
      <c r="F100" s="12">
        <v>2</v>
      </c>
      <c r="G100" s="12">
        <v>2</v>
      </c>
      <c r="H100" s="12">
        <v>256</v>
      </c>
      <c r="I100" s="12">
        <v>30</v>
      </c>
      <c r="J100" s="14">
        <f t="shared" si="29"/>
        <v>16</v>
      </c>
      <c r="K100">
        <v>64</v>
      </c>
      <c r="L100" s="12">
        <v>576</v>
      </c>
      <c r="M100" s="12">
        <v>512</v>
      </c>
      <c r="N100" s="15">
        <f t="shared" si="18"/>
        <v>31043.36842105263</v>
      </c>
      <c r="O100" s="15">
        <f t="shared" si="19"/>
        <v>39321.599999999999</v>
      </c>
      <c r="P100" s="15">
        <f t="shared" si="20"/>
        <v>9216</v>
      </c>
      <c r="Q100" s="15">
        <f t="shared" si="21"/>
        <v>70364.968421052632</v>
      </c>
      <c r="R100" s="15">
        <f t="shared" si="22"/>
        <v>1024</v>
      </c>
      <c r="S100" s="15">
        <f t="shared" si="23"/>
        <v>69905.066666666666</v>
      </c>
      <c r="T100" s="15">
        <f t="shared" si="15"/>
        <v>9216</v>
      </c>
      <c r="U100" s="15">
        <f t="shared" si="24"/>
        <v>70929.066666666666</v>
      </c>
      <c r="V100" s="15">
        <f t="shared" si="16"/>
        <v>5461.333333333333</v>
      </c>
      <c r="W100" s="12">
        <f t="shared" si="25"/>
        <v>6224</v>
      </c>
      <c r="X100" s="12"/>
      <c r="Y100" s="16">
        <f t="shared" si="26"/>
        <v>152979.36842105264</v>
      </c>
      <c r="Z100" s="11">
        <f t="shared" si="17"/>
        <v>0.15297936842105264</v>
      </c>
      <c r="AB100">
        <v>0.46341500000000002</v>
      </c>
      <c r="AC100">
        <v>0.54459400000000002</v>
      </c>
      <c r="AD100" s="18">
        <f t="shared" si="27"/>
        <v>0.33011311334560306</v>
      </c>
      <c r="AE100" s="18">
        <f t="shared" si="28"/>
        <v>0.28090535044648424</v>
      </c>
    </row>
    <row r="101" spans="2:31" x14ac:dyDescent="0.25">
      <c r="B101">
        <v>512</v>
      </c>
      <c r="C101">
        <v>16</v>
      </c>
      <c r="D101">
        <v>1</v>
      </c>
      <c r="E101" s="12">
        <v>16</v>
      </c>
      <c r="F101" s="12">
        <v>2</v>
      </c>
      <c r="G101" s="12">
        <v>2</v>
      </c>
      <c r="H101" s="12">
        <v>256</v>
      </c>
      <c r="I101" s="12">
        <v>30</v>
      </c>
      <c r="J101" s="14">
        <f t="shared" si="29"/>
        <v>32</v>
      </c>
      <c r="K101">
        <v>64</v>
      </c>
      <c r="L101" s="12">
        <v>576</v>
      </c>
      <c r="M101" s="12">
        <v>512</v>
      </c>
      <c r="N101" s="15">
        <f t="shared" si="18"/>
        <v>62086.73684210526</v>
      </c>
      <c r="O101" s="15">
        <f t="shared" si="19"/>
        <v>78643.199999999997</v>
      </c>
      <c r="P101" s="15">
        <f t="shared" si="20"/>
        <v>18432</v>
      </c>
      <c r="Q101" s="15">
        <f t="shared" si="21"/>
        <v>140729.93684210526</v>
      </c>
      <c r="R101" s="15">
        <f t="shared" si="22"/>
        <v>2048</v>
      </c>
      <c r="S101" s="15">
        <f t="shared" si="23"/>
        <v>139810.13333333333</v>
      </c>
      <c r="T101" s="15">
        <f t="shared" si="15"/>
        <v>18432</v>
      </c>
      <c r="U101" s="15">
        <f t="shared" si="24"/>
        <v>141858.13333333333</v>
      </c>
      <c r="V101" s="15">
        <f t="shared" si="16"/>
        <v>10922.666666666666</v>
      </c>
      <c r="W101" s="12">
        <f t="shared" si="25"/>
        <v>12448</v>
      </c>
      <c r="X101" s="12"/>
      <c r="Y101" s="16">
        <f t="shared" si="26"/>
        <v>305958.73684210528</v>
      </c>
      <c r="Z101" s="11">
        <f t="shared" si="17"/>
        <v>0.30595873684210528</v>
      </c>
      <c r="AB101">
        <v>1.0392129999999999</v>
      </c>
      <c r="AC101">
        <v>1.1463760000000001</v>
      </c>
      <c r="AD101" s="18">
        <f t="shared" si="27"/>
        <v>0.29441388516320072</v>
      </c>
      <c r="AE101" s="18">
        <f t="shared" si="28"/>
        <v>0.26689213385669736</v>
      </c>
    </row>
    <row r="102" spans="2:31" x14ac:dyDescent="0.25">
      <c r="B102" s="8">
        <v>1</v>
      </c>
      <c r="C102" s="8">
        <v>16</v>
      </c>
      <c r="D102" s="8">
        <v>1</v>
      </c>
      <c r="E102" s="12">
        <v>16</v>
      </c>
      <c r="F102" s="12">
        <v>2</v>
      </c>
      <c r="G102" s="12">
        <v>2</v>
      </c>
      <c r="H102" s="12">
        <v>256</v>
      </c>
      <c r="I102" s="12">
        <v>30</v>
      </c>
      <c r="J102" s="14">
        <f t="shared" si="29"/>
        <v>1</v>
      </c>
      <c r="K102" s="8">
        <v>128</v>
      </c>
      <c r="L102" s="12">
        <v>576</v>
      </c>
      <c r="M102" s="12">
        <v>512</v>
      </c>
      <c r="N102" s="15">
        <f t="shared" si="18"/>
        <v>1940.2105263157894</v>
      </c>
      <c r="O102" s="15">
        <f t="shared" si="19"/>
        <v>4915.2</v>
      </c>
      <c r="P102" s="15">
        <f t="shared" si="20"/>
        <v>576</v>
      </c>
      <c r="Q102" s="15">
        <f t="shared" si="21"/>
        <v>6855.410526315789</v>
      </c>
      <c r="R102" s="15">
        <f t="shared" si="22"/>
        <v>64</v>
      </c>
      <c r="S102" s="15">
        <f t="shared" si="23"/>
        <v>4369.0666666666666</v>
      </c>
      <c r="T102" s="15">
        <f t="shared" si="15"/>
        <v>576</v>
      </c>
      <c r="U102" s="15">
        <f t="shared" si="24"/>
        <v>4433.0666666666666</v>
      </c>
      <c r="V102" s="15">
        <f t="shared" si="16"/>
        <v>341.33333333333331</v>
      </c>
      <c r="W102" s="12">
        <f t="shared" si="25"/>
        <v>583</v>
      </c>
      <c r="X102" s="12"/>
      <c r="Y102" s="16">
        <f t="shared" si="26"/>
        <v>12212.81052631579</v>
      </c>
      <c r="Z102" s="11">
        <f t="shared" si="17"/>
        <v>1.2212810526315791E-2</v>
      </c>
      <c r="AB102">
        <v>7.4475E-2</v>
      </c>
      <c r="AC102">
        <v>7.7629000000000004E-2</v>
      </c>
      <c r="AD102" s="18">
        <f t="shared" si="27"/>
        <v>0.1639853712831929</v>
      </c>
      <c r="AE102" s="18">
        <f t="shared" si="28"/>
        <v>0.15732278563830257</v>
      </c>
    </row>
    <row r="103" spans="2:31" x14ac:dyDescent="0.25">
      <c r="B103">
        <v>2</v>
      </c>
      <c r="C103">
        <v>16</v>
      </c>
      <c r="D103">
        <v>1</v>
      </c>
      <c r="E103" s="12">
        <v>16</v>
      </c>
      <c r="F103" s="12">
        <v>2</v>
      </c>
      <c r="G103" s="12">
        <v>2</v>
      </c>
      <c r="H103" s="12">
        <v>256</v>
      </c>
      <c r="I103" s="12">
        <v>30</v>
      </c>
      <c r="J103" s="14">
        <f t="shared" si="29"/>
        <v>1</v>
      </c>
      <c r="K103">
        <v>128</v>
      </c>
      <c r="L103" s="12">
        <v>576</v>
      </c>
      <c r="M103" s="12">
        <v>512</v>
      </c>
      <c r="N103" s="15">
        <f t="shared" si="18"/>
        <v>1940.2105263157894</v>
      </c>
      <c r="O103" s="15">
        <f t="shared" si="19"/>
        <v>4915.2</v>
      </c>
      <c r="P103" s="15">
        <f t="shared" si="20"/>
        <v>576</v>
      </c>
      <c r="Q103" s="15">
        <f t="shared" si="21"/>
        <v>6855.410526315789</v>
      </c>
      <c r="R103" s="15">
        <f t="shared" si="22"/>
        <v>64</v>
      </c>
      <c r="S103" s="15">
        <f t="shared" si="23"/>
        <v>4369.0666666666666</v>
      </c>
      <c r="T103" s="15">
        <f t="shared" si="15"/>
        <v>576</v>
      </c>
      <c r="U103" s="15">
        <f t="shared" si="24"/>
        <v>4433.0666666666666</v>
      </c>
      <c r="V103" s="15">
        <f t="shared" si="16"/>
        <v>341.33333333333331</v>
      </c>
      <c r="W103" s="12">
        <f t="shared" si="25"/>
        <v>583</v>
      </c>
      <c r="X103" s="12"/>
      <c r="Y103" s="16">
        <f t="shared" si="26"/>
        <v>12212.81052631579</v>
      </c>
      <c r="Z103" s="11">
        <f t="shared" si="17"/>
        <v>1.2212810526315791E-2</v>
      </c>
      <c r="AB103">
        <v>7.7173000000000005E-2</v>
      </c>
      <c r="AC103">
        <v>8.0310000000000006E-2</v>
      </c>
      <c r="AD103" s="18">
        <f t="shared" si="27"/>
        <v>0.15825237487613272</v>
      </c>
      <c r="AE103" s="18">
        <f t="shared" si="28"/>
        <v>0.15207085700804121</v>
      </c>
    </row>
    <row r="104" spans="2:31" x14ac:dyDescent="0.25">
      <c r="B104">
        <v>4</v>
      </c>
      <c r="C104">
        <v>16</v>
      </c>
      <c r="D104">
        <v>1</v>
      </c>
      <c r="E104" s="12">
        <v>16</v>
      </c>
      <c r="F104" s="12">
        <v>2</v>
      </c>
      <c r="G104" s="12">
        <v>2</v>
      </c>
      <c r="H104" s="12">
        <v>256</v>
      </c>
      <c r="I104" s="12">
        <v>30</v>
      </c>
      <c r="J104" s="14">
        <f t="shared" si="29"/>
        <v>1</v>
      </c>
      <c r="K104">
        <v>128</v>
      </c>
      <c r="L104" s="12">
        <v>576</v>
      </c>
      <c r="M104" s="12">
        <v>512</v>
      </c>
      <c r="N104" s="15">
        <f t="shared" si="18"/>
        <v>1940.2105263157894</v>
      </c>
      <c r="O104" s="15">
        <f t="shared" si="19"/>
        <v>4915.2</v>
      </c>
      <c r="P104" s="15">
        <f t="shared" si="20"/>
        <v>576</v>
      </c>
      <c r="Q104" s="15">
        <f t="shared" si="21"/>
        <v>6855.410526315789</v>
      </c>
      <c r="R104" s="15">
        <f t="shared" si="22"/>
        <v>64</v>
      </c>
      <c r="S104" s="15">
        <f t="shared" si="23"/>
        <v>4369.0666666666666</v>
      </c>
      <c r="T104" s="15">
        <f t="shared" si="15"/>
        <v>576</v>
      </c>
      <c r="U104" s="15">
        <f t="shared" si="24"/>
        <v>4433.0666666666666</v>
      </c>
      <c r="V104" s="15">
        <f t="shared" si="16"/>
        <v>341.33333333333331</v>
      </c>
      <c r="W104" s="12">
        <f t="shared" si="25"/>
        <v>583</v>
      </c>
      <c r="X104" s="12"/>
      <c r="Y104" s="16">
        <f t="shared" si="26"/>
        <v>12212.81052631579</v>
      </c>
      <c r="Z104" s="11">
        <f t="shared" si="17"/>
        <v>1.2212810526315791E-2</v>
      </c>
      <c r="AB104">
        <v>7.5251999999999999E-2</v>
      </c>
      <c r="AC104">
        <v>7.8827999999999995E-2</v>
      </c>
      <c r="AD104" s="18">
        <f t="shared" si="27"/>
        <v>0.16229217198633644</v>
      </c>
      <c r="AE104" s="18">
        <f t="shared" si="28"/>
        <v>0.15492985393915604</v>
      </c>
    </row>
    <row r="105" spans="2:31" x14ac:dyDescent="0.25">
      <c r="B105">
        <v>8</v>
      </c>
      <c r="C105">
        <v>16</v>
      </c>
      <c r="D105">
        <v>1</v>
      </c>
      <c r="E105" s="12">
        <v>16</v>
      </c>
      <c r="F105" s="12">
        <v>2</v>
      </c>
      <c r="G105" s="12">
        <v>2</v>
      </c>
      <c r="H105" s="12">
        <v>256</v>
      </c>
      <c r="I105" s="12">
        <v>30</v>
      </c>
      <c r="J105" s="14">
        <f t="shared" si="29"/>
        <v>1</v>
      </c>
      <c r="K105">
        <v>128</v>
      </c>
      <c r="L105" s="12">
        <v>576</v>
      </c>
      <c r="M105" s="12">
        <v>512</v>
      </c>
      <c r="N105" s="15">
        <f t="shared" si="18"/>
        <v>1940.2105263157894</v>
      </c>
      <c r="O105" s="15">
        <f t="shared" si="19"/>
        <v>4915.2</v>
      </c>
      <c r="P105" s="15">
        <f t="shared" si="20"/>
        <v>576</v>
      </c>
      <c r="Q105" s="15">
        <f t="shared" si="21"/>
        <v>6855.410526315789</v>
      </c>
      <c r="R105" s="15">
        <f t="shared" si="22"/>
        <v>64</v>
      </c>
      <c r="S105" s="15">
        <f t="shared" si="23"/>
        <v>4369.0666666666666</v>
      </c>
      <c r="T105" s="15">
        <f t="shared" si="15"/>
        <v>576</v>
      </c>
      <c r="U105" s="15">
        <f t="shared" si="24"/>
        <v>4433.0666666666666</v>
      </c>
      <c r="V105" s="15">
        <f t="shared" si="16"/>
        <v>341.33333333333331</v>
      </c>
      <c r="W105" s="12">
        <f t="shared" si="25"/>
        <v>583</v>
      </c>
      <c r="X105" s="12"/>
      <c r="Y105" s="16">
        <f t="shared" si="26"/>
        <v>12212.81052631579</v>
      </c>
      <c r="Z105" s="11">
        <f t="shared" si="17"/>
        <v>1.2212810526315791E-2</v>
      </c>
      <c r="AB105">
        <v>7.9297999999999993E-2</v>
      </c>
      <c r="AC105">
        <v>8.2332000000000002E-2</v>
      </c>
      <c r="AD105" s="18">
        <f t="shared" si="27"/>
        <v>0.15401158322171796</v>
      </c>
      <c r="AE105" s="18">
        <f t="shared" si="28"/>
        <v>0.1483361332934435</v>
      </c>
    </row>
    <row r="106" spans="2:31" x14ac:dyDescent="0.25">
      <c r="B106">
        <v>16</v>
      </c>
      <c r="C106">
        <v>16</v>
      </c>
      <c r="D106">
        <v>1</v>
      </c>
      <c r="E106" s="12">
        <v>16</v>
      </c>
      <c r="F106" s="12">
        <v>2</v>
      </c>
      <c r="G106" s="12">
        <v>2</v>
      </c>
      <c r="H106" s="12">
        <v>256</v>
      </c>
      <c r="I106" s="12">
        <v>30</v>
      </c>
      <c r="J106" s="14">
        <f t="shared" si="29"/>
        <v>1</v>
      </c>
      <c r="K106">
        <v>128</v>
      </c>
      <c r="L106" s="12">
        <v>576</v>
      </c>
      <c r="M106" s="12">
        <v>512</v>
      </c>
      <c r="N106" s="15">
        <f t="shared" si="18"/>
        <v>1940.2105263157894</v>
      </c>
      <c r="O106" s="15">
        <f t="shared" si="19"/>
        <v>4915.2</v>
      </c>
      <c r="P106" s="15">
        <f t="shared" si="20"/>
        <v>576</v>
      </c>
      <c r="Q106" s="15">
        <f t="shared" si="21"/>
        <v>6855.410526315789</v>
      </c>
      <c r="R106" s="15">
        <f t="shared" si="22"/>
        <v>64</v>
      </c>
      <c r="S106" s="15">
        <f t="shared" si="23"/>
        <v>4369.0666666666666</v>
      </c>
      <c r="T106" s="15">
        <f t="shared" si="15"/>
        <v>576</v>
      </c>
      <c r="U106" s="15">
        <f t="shared" si="24"/>
        <v>4433.0666666666666</v>
      </c>
      <c r="V106" s="15">
        <f t="shared" si="16"/>
        <v>341.33333333333331</v>
      </c>
      <c r="W106" s="12">
        <f t="shared" si="25"/>
        <v>583</v>
      </c>
      <c r="X106" s="12"/>
      <c r="Y106" s="16">
        <f t="shared" si="26"/>
        <v>12212.81052631579</v>
      </c>
      <c r="Z106" s="11">
        <f t="shared" si="17"/>
        <v>1.2212810526315791E-2</v>
      </c>
      <c r="AB106">
        <v>8.6308999999999997E-2</v>
      </c>
      <c r="AC106">
        <v>8.5772000000000001E-2</v>
      </c>
      <c r="AD106" s="18">
        <f t="shared" si="27"/>
        <v>0.14150100831101961</v>
      </c>
      <c r="AE106" s="18">
        <f t="shared" si="28"/>
        <v>0.14238691561716865</v>
      </c>
    </row>
    <row r="107" spans="2:31" x14ac:dyDescent="0.25">
      <c r="B107">
        <v>32</v>
      </c>
      <c r="C107">
        <v>16</v>
      </c>
      <c r="D107">
        <v>1</v>
      </c>
      <c r="E107" s="12">
        <v>16</v>
      </c>
      <c r="F107" s="12">
        <v>2</v>
      </c>
      <c r="G107" s="12">
        <v>2</v>
      </c>
      <c r="H107" s="12">
        <v>256</v>
      </c>
      <c r="I107" s="12">
        <v>30</v>
      </c>
      <c r="J107" s="14">
        <f t="shared" si="29"/>
        <v>2</v>
      </c>
      <c r="K107">
        <v>128</v>
      </c>
      <c r="L107" s="12">
        <v>576</v>
      </c>
      <c r="M107" s="12">
        <v>512</v>
      </c>
      <c r="N107" s="15">
        <f t="shared" si="18"/>
        <v>3880.4210526315787</v>
      </c>
      <c r="O107" s="15">
        <f t="shared" si="19"/>
        <v>9830.4</v>
      </c>
      <c r="P107" s="15">
        <f t="shared" si="20"/>
        <v>1152</v>
      </c>
      <c r="Q107" s="15">
        <f t="shared" si="21"/>
        <v>13710.821052631578</v>
      </c>
      <c r="R107" s="15">
        <f t="shared" si="22"/>
        <v>128</v>
      </c>
      <c r="S107" s="15">
        <f t="shared" si="23"/>
        <v>8738.1333333333332</v>
      </c>
      <c r="T107" s="15">
        <f t="shared" si="15"/>
        <v>1152</v>
      </c>
      <c r="U107" s="15">
        <f t="shared" si="24"/>
        <v>8866.1333333333332</v>
      </c>
      <c r="V107" s="15">
        <f t="shared" si="16"/>
        <v>682.66666666666663</v>
      </c>
      <c r="W107" s="12">
        <f t="shared" si="25"/>
        <v>1166</v>
      </c>
      <c r="X107" s="12"/>
      <c r="Y107" s="16">
        <f t="shared" si="26"/>
        <v>24425.621052631581</v>
      </c>
      <c r="Z107" s="11">
        <f t="shared" si="17"/>
        <v>2.4425621052631581E-2</v>
      </c>
      <c r="AB107">
        <v>9.4959000000000002E-2</v>
      </c>
      <c r="AC107">
        <v>0.11070000000000001</v>
      </c>
      <c r="AD107" s="18">
        <f t="shared" si="27"/>
        <v>0.25722281250467655</v>
      </c>
      <c r="AE107" s="18">
        <f t="shared" si="28"/>
        <v>0.22064698331193838</v>
      </c>
    </row>
    <row r="108" spans="2:31" x14ac:dyDescent="0.25">
      <c r="B108">
        <v>64</v>
      </c>
      <c r="C108">
        <v>16</v>
      </c>
      <c r="D108">
        <v>1</v>
      </c>
      <c r="E108" s="12">
        <v>16</v>
      </c>
      <c r="F108" s="12">
        <v>2</v>
      </c>
      <c r="G108" s="12">
        <v>2</v>
      </c>
      <c r="H108" s="12">
        <v>256</v>
      </c>
      <c r="I108" s="12">
        <v>30</v>
      </c>
      <c r="J108" s="14">
        <f t="shared" si="29"/>
        <v>4</v>
      </c>
      <c r="K108">
        <v>128</v>
      </c>
      <c r="L108" s="12">
        <v>576</v>
      </c>
      <c r="M108" s="12">
        <v>512</v>
      </c>
      <c r="N108" s="15">
        <f t="shared" si="18"/>
        <v>7760.8421052631575</v>
      </c>
      <c r="O108" s="15">
        <f t="shared" si="19"/>
        <v>19660.8</v>
      </c>
      <c r="P108" s="15">
        <f t="shared" si="20"/>
        <v>2304</v>
      </c>
      <c r="Q108" s="15">
        <f t="shared" si="21"/>
        <v>27421.642105263156</v>
      </c>
      <c r="R108" s="15">
        <f t="shared" si="22"/>
        <v>256</v>
      </c>
      <c r="S108" s="15">
        <f t="shared" si="23"/>
        <v>17476.266666666666</v>
      </c>
      <c r="T108" s="15">
        <f t="shared" si="15"/>
        <v>2304</v>
      </c>
      <c r="U108" s="15">
        <f t="shared" si="24"/>
        <v>17732.266666666666</v>
      </c>
      <c r="V108" s="15">
        <f t="shared" si="16"/>
        <v>1365.3333333333333</v>
      </c>
      <c r="W108" s="12">
        <f t="shared" si="25"/>
        <v>2332</v>
      </c>
      <c r="X108" s="12"/>
      <c r="Y108" s="16">
        <f t="shared" si="26"/>
        <v>48851.242105263162</v>
      </c>
      <c r="Z108" s="11">
        <f t="shared" si="17"/>
        <v>4.8851242105263162E-2</v>
      </c>
      <c r="AB108">
        <v>0.13327700000000001</v>
      </c>
      <c r="AC108">
        <v>0.160718</v>
      </c>
      <c r="AD108" s="18">
        <f t="shared" si="27"/>
        <v>0.36653917859242902</v>
      </c>
      <c r="AE108" s="18">
        <f t="shared" si="28"/>
        <v>0.30395625944364141</v>
      </c>
    </row>
    <row r="109" spans="2:31" x14ac:dyDescent="0.25">
      <c r="B109">
        <v>128</v>
      </c>
      <c r="C109">
        <v>16</v>
      </c>
      <c r="D109">
        <v>1</v>
      </c>
      <c r="E109" s="12">
        <v>16</v>
      </c>
      <c r="F109" s="12">
        <v>2</v>
      </c>
      <c r="G109" s="12">
        <v>2</v>
      </c>
      <c r="H109" s="12">
        <v>256</v>
      </c>
      <c r="I109" s="12">
        <v>30</v>
      </c>
      <c r="J109" s="14">
        <f t="shared" si="29"/>
        <v>8</v>
      </c>
      <c r="K109">
        <v>128</v>
      </c>
      <c r="L109" s="12">
        <v>576</v>
      </c>
      <c r="M109" s="12">
        <v>512</v>
      </c>
      <c r="N109" s="15">
        <f t="shared" si="18"/>
        <v>15521.684210526315</v>
      </c>
      <c r="O109" s="15">
        <f t="shared" si="19"/>
        <v>39321.599999999999</v>
      </c>
      <c r="P109" s="15">
        <f t="shared" si="20"/>
        <v>4608</v>
      </c>
      <c r="Q109" s="15">
        <f t="shared" si="21"/>
        <v>54843.284210526312</v>
      </c>
      <c r="R109" s="15">
        <f t="shared" si="22"/>
        <v>512</v>
      </c>
      <c r="S109" s="15">
        <f t="shared" si="23"/>
        <v>34952.533333333333</v>
      </c>
      <c r="T109" s="15">
        <f t="shared" si="15"/>
        <v>4608</v>
      </c>
      <c r="U109" s="15">
        <f t="shared" si="24"/>
        <v>35464.533333333333</v>
      </c>
      <c r="V109" s="15">
        <f t="shared" si="16"/>
        <v>2730.6666666666665</v>
      </c>
      <c r="W109" s="12">
        <f t="shared" si="25"/>
        <v>4664</v>
      </c>
      <c r="X109" s="12"/>
      <c r="Y109" s="16">
        <f t="shared" si="26"/>
        <v>97702.484210526323</v>
      </c>
      <c r="Z109" s="11">
        <f t="shared" si="17"/>
        <v>9.7702484210526325E-2</v>
      </c>
      <c r="AB109">
        <v>0.21557100000000001</v>
      </c>
      <c r="AC109">
        <v>0.25577299999999997</v>
      </c>
      <c r="AD109" s="18">
        <f t="shared" si="27"/>
        <v>0.45322647392518622</v>
      </c>
      <c r="AE109" s="18">
        <f t="shared" si="28"/>
        <v>0.38198904579657095</v>
      </c>
    </row>
    <row r="110" spans="2:31" x14ac:dyDescent="0.25">
      <c r="B110">
        <v>256</v>
      </c>
      <c r="C110">
        <v>16</v>
      </c>
      <c r="D110">
        <v>1</v>
      </c>
      <c r="E110" s="12">
        <v>16</v>
      </c>
      <c r="F110" s="12">
        <v>2</v>
      </c>
      <c r="G110" s="12">
        <v>2</v>
      </c>
      <c r="H110" s="12">
        <v>256</v>
      </c>
      <c r="I110" s="12">
        <v>30</v>
      </c>
      <c r="J110" s="14">
        <f t="shared" si="29"/>
        <v>16</v>
      </c>
      <c r="K110">
        <v>128</v>
      </c>
      <c r="L110" s="12">
        <v>576</v>
      </c>
      <c r="M110" s="12">
        <v>512</v>
      </c>
      <c r="N110" s="15">
        <f t="shared" si="18"/>
        <v>31043.36842105263</v>
      </c>
      <c r="O110" s="15">
        <f t="shared" si="19"/>
        <v>78643.199999999997</v>
      </c>
      <c r="P110" s="15">
        <f t="shared" si="20"/>
        <v>9216</v>
      </c>
      <c r="Q110" s="15">
        <f t="shared" si="21"/>
        <v>109686.56842105262</v>
      </c>
      <c r="R110" s="15">
        <f t="shared" si="22"/>
        <v>1024</v>
      </c>
      <c r="S110" s="15">
        <f t="shared" si="23"/>
        <v>69905.066666666666</v>
      </c>
      <c r="T110" s="15">
        <f t="shared" si="15"/>
        <v>9216</v>
      </c>
      <c r="U110" s="15">
        <f t="shared" si="24"/>
        <v>70929.066666666666</v>
      </c>
      <c r="V110" s="15">
        <f t="shared" si="16"/>
        <v>5461.333333333333</v>
      </c>
      <c r="W110" s="12">
        <f t="shared" si="25"/>
        <v>9328</v>
      </c>
      <c r="X110" s="12"/>
      <c r="Y110" s="16">
        <f t="shared" si="26"/>
        <v>195404.96842105265</v>
      </c>
      <c r="Z110" s="11">
        <f t="shared" si="17"/>
        <v>0.19540496842105265</v>
      </c>
      <c r="AB110">
        <v>0.45868999999999999</v>
      </c>
      <c r="AC110">
        <v>0.524559</v>
      </c>
      <c r="AD110" s="18">
        <f t="shared" si="27"/>
        <v>0.42600660232630461</v>
      </c>
      <c r="AE110" s="18">
        <f t="shared" si="28"/>
        <v>0.37251285064416517</v>
      </c>
    </row>
    <row r="111" spans="2:31" x14ac:dyDescent="0.25">
      <c r="B111">
        <v>512</v>
      </c>
      <c r="C111">
        <v>16</v>
      </c>
      <c r="D111">
        <v>1</v>
      </c>
      <c r="E111" s="12">
        <v>16</v>
      </c>
      <c r="F111" s="12">
        <v>2</v>
      </c>
      <c r="G111" s="12">
        <v>2</v>
      </c>
      <c r="H111" s="12">
        <v>256</v>
      </c>
      <c r="I111" s="12">
        <v>30</v>
      </c>
      <c r="J111" s="14">
        <f t="shared" si="29"/>
        <v>32</v>
      </c>
      <c r="K111">
        <v>128</v>
      </c>
      <c r="L111" s="12">
        <v>576</v>
      </c>
      <c r="M111" s="12">
        <v>512</v>
      </c>
      <c r="N111" s="15">
        <f t="shared" si="18"/>
        <v>62086.73684210526</v>
      </c>
      <c r="O111" s="15">
        <f t="shared" si="19"/>
        <v>157286.39999999999</v>
      </c>
      <c r="P111" s="15">
        <f t="shared" si="20"/>
        <v>18432</v>
      </c>
      <c r="Q111" s="15">
        <f t="shared" si="21"/>
        <v>219373.13684210525</v>
      </c>
      <c r="R111" s="15">
        <f t="shared" si="22"/>
        <v>2048</v>
      </c>
      <c r="S111" s="15">
        <f t="shared" si="23"/>
        <v>139810.13333333333</v>
      </c>
      <c r="T111" s="15">
        <f t="shared" si="15"/>
        <v>18432</v>
      </c>
      <c r="U111" s="15">
        <f t="shared" si="24"/>
        <v>141858.13333333333</v>
      </c>
      <c r="V111" s="15">
        <f t="shared" si="16"/>
        <v>10922.666666666666</v>
      </c>
      <c r="W111" s="12">
        <f t="shared" si="25"/>
        <v>18656</v>
      </c>
      <c r="X111" s="12"/>
      <c r="Y111" s="16">
        <f t="shared" si="26"/>
        <v>390809.93684210529</v>
      </c>
      <c r="Z111" s="11">
        <f t="shared" si="17"/>
        <v>0.3908099368421053</v>
      </c>
      <c r="AB111">
        <v>1.027652</v>
      </c>
      <c r="AC111">
        <v>1.1089249999999999</v>
      </c>
      <c r="AD111" s="18">
        <f t="shared" si="27"/>
        <v>0.38029404588528537</v>
      </c>
      <c r="AE111" s="18">
        <f t="shared" si="28"/>
        <v>0.35242233410023699</v>
      </c>
    </row>
    <row r="112" spans="2:31" x14ac:dyDescent="0.25">
      <c r="B112" s="8">
        <v>1</v>
      </c>
      <c r="C112" s="8">
        <v>16</v>
      </c>
      <c r="D112" s="8">
        <v>1</v>
      </c>
      <c r="E112" s="12">
        <v>16</v>
      </c>
      <c r="F112" s="12">
        <v>2</v>
      </c>
      <c r="G112" s="12">
        <v>2</v>
      </c>
      <c r="H112" s="12">
        <v>256</v>
      </c>
      <c r="I112" s="12">
        <v>30</v>
      </c>
      <c r="J112" s="14">
        <f t="shared" si="29"/>
        <v>1</v>
      </c>
      <c r="K112" s="8">
        <v>256</v>
      </c>
      <c r="L112" s="12">
        <v>576</v>
      </c>
      <c r="M112" s="12">
        <v>512</v>
      </c>
      <c r="N112" s="15">
        <f t="shared" si="18"/>
        <v>1940.2105263157894</v>
      </c>
      <c r="O112" s="15">
        <f t="shared" si="19"/>
        <v>9830.4</v>
      </c>
      <c r="P112" s="15">
        <f t="shared" si="20"/>
        <v>1152</v>
      </c>
      <c r="Q112" s="15">
        <f t="shared" si="21"/>
        <v>11770.61052631579</v>
      </c>
      <c r="R112" s="15">
        <f t="shared" si="22"/>
        <v>128</v>
      </c>
      <c r="S112" s="15">
        <f t="shared" si="23"/>
        <v>8738.1333333333332</v>
      </c>
      <c r="T112" s="15">
        <f t="shared" si="15"/>
        <v>1152</v>
      </c>
      <c r="U112" s="15">
        <f t="shared" si="24"/>
        <v>8866.1333333333332</v>
      </c>
      <c r="V112" s="15">
        <f t="shared" si="16"/>
        <v>341.33333333333331</v>
      </c>
      <c r="W112" s="12">
        <f t="shared" si="25"/>
        <v>971</v>
      </c>
      <c r="X112" s="12"/>
      <c r="Y112" s="16">
        <f t="shared" si="26"/>
        <v>21949.077192982455</v>
      </c>
      <c r="Z112" s="11">
        <f t="shared" si="17"/>
        <v>2.1949077192982454E-2</v>
      </c>
      <c r="AB112">
        <v>8.0528000000000002E-2</v>
      </c>
      <c r="AC112">
        <v>8.1987000000000004E-2</v>
      </c>
      <c r="AD112" s="18">
        <f t="shared" si="27"/>
        <v>0.27256453895517652</v>
      </c>
      <c r="AE112" s="18">
        <f t="shared" si="28"/>
        <v>0.26771411556688807</v>
      </c>
    </row>
    <row r="113" spans="2:31" x14ac:dyDescent="0.25">
      <c r="B113">
        <v>2</v>
      </c>
      <c r="C113">
        <v>16</v>
      </c>
      <c r="D113">
        <v>1</v>
      </c>
      <c r="E113" s="12">
        <v>16</v>
      </c>
      <c r="F113" s="12">
        <v>2</v>
      </c>
      <c r="G113" s="12">
        <v>2</v>
      </c>
      <c r="H113" s="12">
        <v>256</v>
      </c>
      <c r="I113" s="12">
        <v>30</v>
      </c>
      <c r="J113" s="14">
        <f t="shared" si="29"/>
        <v>1</v>
      </c>
      <c r="K113">
        <v>256</v>
      </c>
      <c r="L113" s="12">
        <v>576</v>
      </c>
      <c r="M113" s="12">
        <v>512</v>
      </c>
      <c r="N113" s="15">
        <f t="shared" si="18"/>
        <v>1940.2105263157894</v>
      </c>
      <c r="O113" s="15">
        <f t="shared" si="19"/>
        <v>9830.4</v>
      </c>
      <c r="P113" s="15">
        <f t="shared" si="20"/>
        <v>1152</v>
      </c>
      <c r="Q113" s="15">
        <f t="shared" si="21"/>
        <v>11770.61052631579</v>
      </c>
      <c r="R113" s="15">
        <f t="shared" si="22"/>
        <v>128</v>
      </c>
      <c r="S113" s="15">
        <f t="shared" si="23"/>
        <v>8738.1333333333332</v>
      </c>
      <c r="T113" s="15">
        <f t="shared" si="15"/>
        <v>1152</v>
      </c>
      <c r="U113" s="15">
        <f t="shared" si="24"/>
        <v>8866.1333333333332</v>
      </c>
      <c r="V113" s="15">
        <f t="shared" si="16"/>
        <v>341.33333333333331</v>
      </c>
      <c r="W113" s="12">
        <f t="shared" si="25"/>
        <v>971</v>
      </c>
      <c r="X113" s="12"/>
      <c r="Y113" s="16">
        <f t="shared" si="26"/>
        <v>21949.077192982455</v>
      </c>
      <c r="Z113" s="11">
        <f t="shared" si="17"/>
        <v>2.1949077192982454E-2</v>
      </c>
      <c r="AB113">
        <v>8.5677000000000003E-2</v>
      </c>
      <c r="AC113">
        <v>8.6649000000000004E-2</v>
      </c>
      <c r="AD113" s="18">
        <f t="shared" si="27"/>
        <v>0.25618400729463514</v>
      </c>
      <c r="AE113" s="18">
        <f t="shared" si="28"/>
        <v>0.25331021930988762</v>
      </c>
    </row>
    <row r="114" spans="2:31" x14ac:dyDescent="0.25">
      <c r="B114">
        <v>4</v>
      </c>
      <c r="C114">
        <v>16</v>
      </c>
      <c r="D114">
        <v>1</v>
      </c>
      <c r="E114" s="12">
        <v>16</v>
      </c>
      <c r="F114" s="12">
        <v>2</v>
      </c>
      <c r="G114" s="12">
        <v>2</v>
      </c>
      <c r="H114" s="12">
        <v>256</v>
      </c>
      <c r="I114" s="12">
        <v>30</v>
      </c>
      <c r="J114" s="14">
        <f t="shared" si="29"/>
        <v>1</v>
      </c>
      <c r="K114">
        <v>256</v>
      </c>
      <c r="L114" s="12">
        <v>576</v>
      </c>
      <c r="M114" s="12">
        <v>512</v>
      </c>
      <c r="N114" s="15">
        <f t="shared" si="18"/>
        <v>1940.2105263157894</v>
      </c>
      <c r="O114" s="15">
        <f t="shared" si="19"/>
        <v>9830.4</v>
      </c>
      <c r="P114" s="15">
        <f t="shared" si="20"/>
        <v>1152</v>
      </c>
      <c r="Q114" s="15">
        <f t="shared" si="21"/>
        <v>11770.61052631579</v>
      </c>
      <c r="R114" s="15">
        <f t="shared" si="22"/>
        <v>128</v>
      </c>
      <c r="S114" s="15">
        <f t="shared" si="23"/>
        <v>8738.1333333333332</v>
      </c>
      <c r="T114" s="15">
        <f t="shared" si="15"/>
        <v>1152</v>
      </c>
      <c r="U114" s="15">
        <f t="shared" si="24"/>
        <v>8866.1333333333332</v>
      </c>
      <c r="V114" s="15">
        <f t="shared" si="16"/>
        <v>341.33333333333331</v>
      </c>
      <c r="W114" s="12">
        <f t="shared" si="25"/>
        <v>971</v>
      </c>
      <c r="X114" s="12"/>
      <c r="Y114" s="16">
        <f t="shared" si="26"/>
        <v>21949.077192982455</v>
      </c>
      <c r="Z114" s="11">
        <f t="shared" si="17"/>
        <v>2.1949077192982454E-2</v>
      </c>
      <c r="AB114">
        <v>8.4192000000000003E-2</v>
      </c>
      <c r="AC114">
        <v>8.5530999999999996E-2</v>
      </c>
      <c r="AD114" s="18">
        <f t="shared" si="27"/>
        <v>0.26070264624884137</v>
      </c>
      <c r="AE114" s="18">
        <f t="shared" si="28"/>
        <v>0.2566213091508629</v>
      </c>
    </row>
    <row r="115" spans="2:31" x14ac:dyDescent="0.25">
      <c r="B115">
        <v>8</v>
      </c>
      <c r="C115">
        <v>16</v>
      </c>
      <c r="D115">
        <v>1</v>
      </c>
      <c r="E115" s="12">
        <v>16</v>
      </c>
      <c r="F115" s="12">
        <v>2</v>
      </c>
      <c r="G115" s="12">
        <v>2</v>
      </c>
      <c r="H115" s="12">
        <v>256</v>
      </c>
      <c r="I115" s="12">
        <v>30</v>
      </c>
      <c r="J115" s="14">
        <f t="shared" si="29"/>
        <v>1</v>
      </c>
      <c r="K115">
        <v>256</v>
      </c>
      <c r="L115" s="12">
        <v>576</v>
      </c>
      <c r="M115" s="12">
        <v>512</v>
      </c>
      <c r="N115" s="15">
        <f t="shared" si="18"/>
        <v>1940.2105263157894</v>
      </c>
      <c r="O115" s="15">
        <f t="shared" si="19"/>
        <v>9830.4</v>
      </c>
      <c r="P115" s="15">
        <f t="shared" si="20"/>
        <v>1152</v>
      </c>
      <c r="Q115" s="15">
        <f t="shared" si="21"/>
        <v>11770.61052631579</v>
      </c>
      <c r="R115" s="15">
        <f t="shared" si="22"/>
        <v>128</v>
      </c>
      <c r="S115" s="15">
        <f t="shared" si="23"/>
        <v>8738.1333333333332</v>
      </c>
      <c r="T115" s="15">
        <f t="shared" si="15"/>
        <v>1152</v>
      </c>
      <c r="U115" s="15">
        <f t="shared" si="24"/>
        <v>8866.1333333333332</v>
      </c>
      <c r="V115" s="15">
        <f t="shared" si="16"/>
        <v>341.33333333333331</v>
      </c>
      <c r="W115" s="12">
        <f t="shared" si="25"/>
        <v>971</v>
      </c>
      <c r="X115" s="12"/>
      <c r="Y115" s="16">
        <f t="shared" si="26"/>
        <v>21949.077192982455</v>
      </c>
      <c r="Z115" s="11">
        <f t="shared" si="17"/>
        <v>2.1949077192982454E-2</v>
      </c>
      <c r="AB115">
        <v>9.1058E-2</v>
      </c>
      <c r="AC115">
        <v>9.2055999999999999E-2</v>
      </c>
      <c r="AD115" s="18">
        <f t="shared" si="27"/>
        <v>0.24104501738433146</v>
      </c>
      <c r="AE115" s="18">
        <f t="shared" si="28"/>
        <v>0.23843179361456562</v>
      </c>
    </row>
    <row r="116" spans="2:31" x14ac:dyDescent="0.25">
      <c r="B116">
        <v>16</v>
      </c>
      <c r="C116">
        <v>16</v>
      </c>
      <c r="D116">
        <v>1</v>
      </c>
      <c r="E116" s="12">
        <v>16</v>
      </c>
      <c r="F116" s="12">
        <v>2</v>
      </c>
      <c r="G116" s="12">
        <v>2</v>
      </c>
      <c r="H116" s="12">
        <v>256</v>
      </c>
      <c r="I116" s="12">
        <v>30</v>
      </c>
      <c r="J116" s="14">
        <f t="shared" si="29"/>
        <v>1</v>
      </c>
      <c r="K116">
        <v>256</v>
      </c>
      <c r="L116" s="12">
        <v>576</v>
      </c>
      <c r="M116" s="12">
        <v>512</v>
      </c>
      <c r="N116" s="15">
        <f t="shared" si="18"/>
        <v>1940.2105263157894</v>
      </c>
      <c r="O116" s="15">
        <f t="shared" si="19"/>
        <v>9830.4</v>
      </c>
      <c r="P116" s="15">
        <f t="shared" si="20"/>
        <v>1152</v>
      </c>
      <c r="Q116" s="15">
        <f t="shared" si="21"/>
        <v>11770.61052631579</v>
      </c>
      <c r="R116" s="15">
        <f t="shared" si="22"/>
        <v>128</v>
      </c>
      <c r="S116" s="15">
        <f t="shared" si="23"/>
        <v>8738.1333333333332</v>
      </c>
      <c r="T116" s="15">
        <f t="shared" si="15"/>
        <v>1152</v>
      </c>
      <c r="U116" s="15">
        <f t="shared" si="24"/>
        <v>8866.1333333333332</v>
      </c>
      <c r="V116" s="15">
        <f t="shared" si="16"/>
        <v>341.33333333333331</v>
      </c>
      <c r="W116" s="12">
        <f t="shared" si="25"/>
        <v>971</v>
      </c>
      <c r="X116" s="12"/>
      <c r="Y116" s="16">
        <f t="shared" si="26"/>
        <v>21949.077192982455</v>
      </c>
      <c r="Z116" s="11">
        <f t="shared" si="17"/>
        <v>2.1949077192982454E-2</v>
      </c>
      <c r="AB116">
        <v>9.7464999999999996E-2</v>
      </c>
      <c r="AC116">
        <v>9.7513000000000002E-2</v>
      </c>
      <c r="AD116" s="18">
        <f t="shared" si="27"/>
        <v>0.22519958131618997</v>
      </c>
      <c r="AE116" s="18">
        <f t="shared" si="28"/>
        <v>0.2250887286103643</v>
      </c>
    </row>
    <row r="117" spans="2:31" x14ac:dyDescent="0.25">
      <c r="B117">
        <v>32</v>
      </c>
      <c r="C117">
        <v>16</v>
      </c>
      <c r="D117">
        <v>1</v>
      </c>
      <c r="E117" s="12">
        <v>16</v>
      </c>
      <c r="F117" s="12">
        <v>2</v>
      </c>
      <c r="G117" s="12">
        <v>2</v>
      </c>
      <c r="H117" s="12">
        <v>256</v>
      </c>
      <c r="I117" s="12">
        <v>30</v>
      </c>
      <c r="J117" s="14">
        <f t="shared" si="29"/>
        <v>2</v>
      </c>
      <c r="K117">
        <v>256</v>
      </c>
      <c r="L117" s="12">
        <v>576</v>
      </c>
      <c r="M117" s="12">
        <v>512</v>
      </c>
      <c r="N117" s="15">
        <f t="shared" si="18"/>
        <v>3880.4210526315787</v>
      </c>
      <c r="O117" s="15">
        <f t="shared" si="19"/>
        <v>19660.8</v>
      </c>
      <c r="P117" s="15">
        <f t="shared" si="20"/>
        <v>2304</v>
      </c>
      <c r="Q117" s="15">
        <f t="shared" si="21"/>
        <v>23541.221052631579</v>
      </c>
      <c r="R117" s="15">
        <f t="shared" si="22"/>
        <v>256</v>
      </c>
      <c r="S117" s="15">
        <f t="shared" si="23"/>
        <v>17476.266666666666</v>
      </c>
      <c r="T117" s="15">
        <f t="shared" si="15"/>
        <v>2304</v>
      </c>
      <c r="U117" s="15">
        <f t="shared" si="24"/>
        <v>17732.266666666666</v>
      </c>
      <c r="V117" s="15">
        <f t="shared" si="16"/>
        <v>682.66666666666663</v>
      </c>
      <c r="W117" s="12">
        <f t="shared" si="25"/>
        <v>1942</v>
      </c>
      <c r="X117" s="12"/>
      <c r="Y117" s="16">
        <f t="shared" si="26"/>
        <v>43898.15438596491</v>
      </c>
      <c r="Z117" s="11">
        <f t="shared" si="17"/>
        <v>4.3898154385964908E-2</v>
      </c>
      <c r="AB117">
        <v>0.115666</v>
      </c>
      <c r="AC117">
        <v>0.13164600000000001</v>
      </c>
      <c r="AD117" s="18">
        <f t="shared" si="27"/>
        <v>0.37952513604659022</v>
      </c>
      <c r="AE117" s="18">
        <f t="shared" si="28"/>
        <v>0.33345604413324298</v>
      </c>
    </row>
    <row r="118" spans="2:31" x14ac:dyDescent="0.25">
      <c r="B118">
        <v>64</v>
      </c>
      <c r="C118">
        <v>16</v>
      </c>
      <c r="D118">
        <v>1</v>
      </c>
      <c r="E118" s="12">
        <v>16</v>
      </c>
      <c r="F118" s="12">
        <v>2</v>
      </c>
      <c r="G118" s="12">
        <v>2</v>
      </c>
      <c r="H118" s="12">
        <v>256</v>
      </c>
      <c r="I118" s="12">
        <v>30</v>
      </c>
      <c r="J118" s="14">
        <f t="shared" si="29"/>
        <v>4</v>
      </c>
      <c r="K118">
        <v>256</v>
      </c>
      <c r="L118" s="12">
        <v>576</v>
      </c>
      <c r="M118" s="12">
        <v>512</v>
      </c>
      <c r="N118" s="15">
        <f t="shared" si="18"/>
        <v>7760.8421052631575</v>
      </c>
      <c r="O118" s="15">
        <f t="shared" si="19"/>
        <v>39321.599999999999</v>
      </c>
      <c r="P118" s="15">
        <f t="shared" si="20"/>
        <v>4608</v>
      </c>
      <c r="Q118" s="15">
        <f t="shared" si="21"/>
        <v>47082.442105263159</v>
      </c>
      <c r="R118" s="15">
        <f t="shared" si="22"/>
        <v>512</v>
      </c>
      <c r="S118" s="15">
        <f t="shared" si="23"/>
        <v>34952.533333333333</v>
      </c>
      <c r="T118" s="15">
        <f t="shared" si="15"/>
        <v>4608</v>
      </c>
      <c r="U118" s="15">
        <f t="shared" si="24"/>
        <v>35464.533333333333</v>
      </c>
      <c r="V118" s="15">
        <f t="shared" si="16"/>
        <v>1365.3333333333333</v>
      </c>
      <c r="W118" s="12">
        <f t="shared" si="25"/>
        <v>3884</v>
      </c>
      <c r="X118" s="12"/>
      <c r="Y118" s="16">
        <f t="shared" si="26"/>
        <v>87796.30877192982</v>
      </c>
      <c r="Z118" s="11">
        <f t="shared" si="17"/>
        <v>8.7796308771929815E-2</v>
      </c>
      <c r="AB118">
        <v>0.17912400000000001</v>
      </c>
      <c r="AC118">
        <v>0.198598</v>
      </c>
      <c r="AD118" s="18">
        <f t="shared" si="27"/>
        <v>0.49014263176307926</v>
      </c>
      <c r="AE118" s="18">
        <f t="shared" si="28"/>
        <v>0.44208052836347705</v>
      </c>
    </row>
    <row r="119" spans="2:31" x14ac:dyDescent="0.25">
      <c r="B119">
        <v>128</v>
      </c>
      <c r="C119">
        <v>16</v>
      </c>
      <c r="D119">
        <v>1</v>
      </c>
      <c r="E119" s="12">
        <v>16</v>
      </c>
      <c r="F119" s="12">
        <v>2</v>
      </c>
      <c r="G119" s="12">
        <v>2</v>
      </c>
      <c r="H119" s="12">
        <v>256</v>
      </c>
      <c r="I119" s="12">
        <v>30</v>
      </c>
      <c r="J119" s="14">
        <f t="shared" si="29"/>
        <v>8</v>
      </c>
      <c r="K119">
        <v>256</v>
      </c>
      <c r="L119" s="12">
        <v>576</v>
      </c>
      <c r="M119" s="12">
        <v>512</v>
      </c>
      <c r="N119" s="15">
        <f t="shared" si="18"/>
        <v>15521.684210526315</v>
      </c>
      <c r="O119" s="15">
        <f t="shared" si="19"/>
        <v>78643.199999999997</v>
      </c>
      <c r="P119" s="15">
        <f t="shared" si="20"/>
        <v>9216</v>
      </c>
      <c r="Q119" s="15">
        <f t="shared" si="21"/>
        <v>94164.884210526317</v>
      </c>
      <c r="R119" s="15">
        <f t="shared" si="22"/>
        <v>1024</v>
      </c>
      <c r="S119" s="15">
        <f t="shared" si="23"/>
        <v>69905.066666666666</v>
      </c>
      <c r="T119" s="15">
        <f t="shared" si="15"/>
        <v>9216</v>
      </c>
      <c r="U119" s="15">
        <f t="shared" si="24"/>
        <v>70929.066666666666</v>
      </c>
      <c r="V119" s="15">
        <f t="shared" si="16"/>
        <v>2730.6666666666665</v>
      </c>
      <c r="W119" s="12">
        <f t="shared" si="25"/>
        <v>7768</v>
      </c>
      <c r="X119" s="12"/>
      <c r="Y119" s="16">
        <f t="shared" si="26"/>
        <v>175592.61754385964</v>
      </c>
      <c r="Z119" s="11">
        <f t="shared" si="17"/>
        <v>0.17559261754385963</v>
      </c>
      <c r="AB119">
        <v>0.29949700000000001</v>
      </c>
      <c r="AC119">
        <v>0.335534</v>
      </c>
      <c r="AD119" s="18">
        <f t="shared" si="27"/>
        <v>0.58629174096521708</v>
      </c>
      <c r="AE119" s="18">
        <f t="shared" si="28"/>
        <v>0.52332287501075792</v>
      </c>
    </row>
    <row r="120" spans="2:31" x14ac:dyDescent="0.25">
      <c r="B120">
        <v>256</v>
      </c>
      <c r="C120">
        <v>16</v>
      </c>
      <c r="D120">
        <v>1</v>
      </c>
      <c r="E120" s="12">
        <v>16</v>
      </c>
      <c r="F120" s="12">
        <v>2</v>
      </c>
      <c r="G120" s="12">
        <v>2</v>
      </c>
      <c r="H120" s="12">
        <v>256</v>
      </c>
      <c r="I120" s="12">
        <v>30</v>
      </c>
      <c r="J120" s="14">
        <f t="shared" si="29"/>
        <v>16</v>
      </c>
      <c r="K120">
        <v>256</v>
      </c>
      <c r="L120" s="12">
        <v>576</v>
      </c>
      <c r="M120" s="12">
        <v>512</v>
      </c>
      <c r="N120" s="15">
        <f t="shared" si="18"/>
        <v>31043.36842105263</v>
      </c>
      <c r="O120" s="15">
        <f t="shared" si="19"/>
        <v>157286.39999999999</v>
      </c>
      <c r="P120" s="15">
        <f t="shared" si="20"/>
        <v>18432</v>
      </c>
      <c r="Q120" s="15">
        <f t="shared" si="21"/>
        <v>188329.76842105263</v>
      </c>
      <c r="R120" s="15">
        <f t="shared" si="22"/>
        <v>2048</v>
      </c>
      <c r="S120" s="15">
        <f t="shared" si="23"/>
        <v>139810.13333333333</v>
      </c>
      <c r="T120" s="15">
        <f t="shared" si="15"/>
        <v>18432</v>
      </c>
      <c r="U120" s="15">
        <f t="shared" si="24"/>
        <v>141858.13333333333</v>
      </c>
      <c r="V120" s="15">
        <f t="shared" si="16"/>
        <v>5461.333333333333</v>
      </c>
      <c r="W120" s="12">
        <f t="shared" si="25"/>
        <v>15536</v>
      </c>
      <c r="X120" s="12"/>
      <c r="Y120" s="16">
        <f t="shared" si="26"/>
        <v>351185.23508771928</v>
      </c>
      <c r="Z120" s="11">
        <f t="shared" si="17"/>
        <v>0.35118523508771926</v>
      </c>
      <c r="AB120">
        <v>0.61707699999999999</v>
      </c>
      <c r="AC120">
        <v>0.65136000000000005</v>
      </c>
      <c r="AD120" s="18">
        <f t="shared" si="27"/>
        <v>0.56911088095605455</v>
      </c>
      <c r="AE120" s="18">
        <f t="shared" si="28"/>
        <v>0.53915689493938723</v>
      </c>
    </row>
    <row r="121" spans="2:31" x14ac:dyDescent="0.25">
      <c r="B121">
        <v>512</v>
      </c>
      <c r="C121">
        <v>16</v>
      </c>
      <c r="D121">
        <v>1</v>
      </c>
      <c r="E121" s="12">
        <v>16</v>
      </c>
      <c r="F121" s="12">
        <v>2</v>
      </c>
      <c r="G121" s="12">
        <v>2</v>
      </c>
      <c r="H121" s="12">
        <v>256</v>
      </c>
      <c r="I121" s="12">
        <v>30</v>
      </c>
      <c r="J121" s="14">
        <f t="shared" si="29"/>
        <v>32</v>
      </c>
      <c r="K121">
        <v>256</v>
      </c>
      <c r="L121" s="12">
        <v>576</v>
      </c>
      <c r="M121" s="12">
        <v>512</v>
      </c>
      <c r="N121" s="15">
        <f t="shared" si="18"/>
        <v>62086.73684210526</v>
      </c>
      <c r="O121" s="15">
        <f t="shared" si="19"/>
        <v>314572.79999999999</v>
      </c>
      <c r="P121" s="15">
        <f t="shared" si="20"/>
        <v>36864</v>
      </c>
      <c r="Q121" s="15">
        <f t="shared" si="21"/>
        <v>376659.53684210527</v>
      </c>
      <c r="R121" s="15">
        <f t="shared" si="22"/>
        <v>4096</v>
      </c>
      <c r="S121" s="15">
        <f t="shared" si="23"/>
        <v>279620.26666666666</v>
      </c>
      <c r="T121" s="15">
        <f t="shared" si="15"/>
        <v>36864</v>
      </c>
      <c r="U121" s="15">
        <f t="shared" si="24"/>
        <v>283716.26666666666</v>
      </c>
      <c r="V121" s="15">
        <f t="shared" si="16"/>
        <v>10922.666666666666</v>
      </c>
      <c r="W121" s="12">
        <f t="shared" si="25"/>
        <v>31072</v>
      </c>
      <c r="X121" s="12"/>
      <c r="Y121" s="16">
        <f t="shared" si="26"/>
        <v>702370.47017543856</v>
      </c>
      <c r="Z121" s="11">
        <f t="shared" si="17"/>
        <v>0.70237047017543852</v>
      </c>
      <c r="AB121">
        <v>1.3068489999999999</v>
      </c>
      <c r="AC121">
        <v>1.3318460000000001</v>
      </c>
      <c r="AD121" s="18">
        <f t="shared" si="27"/>
        <v>0.53745342436305843</v>
      </c>
      <c r="AE121" s="18">
        <f t="shared" si="28"/>
        <v>0.5273661295490909</v>
      </c>
    </row>
    <row r="122" spans="2:31" x14ac:dyDescent="0.25">
      <c r="B122" s="8">
        <v>1</v>
      </c>
      <c r="C122" s="8">
        <v>16</v>
      </c>
      <c r="D122" s="8">
        <v>1</v>
      </c>
      <c r="E122" s="12">
        <v>16</v>
      </c>
      <c r="F122" s="12">
        <v>2</v>
      </c>
      <c r="G122" s="12">
        <v>2</v>
      </c>
      <c r="H122" s="12">
        <v>256</v>
      </c>
      <c r="I122" s="12">
        <v>30</v>
      </c>
      <c r="J122" s="14">
        <f t="shared" si="29"/>
        <v>1</v>
      </c>
      <c r="K122" s="8">
        <v>512</v>
      </c>
      <c r="L122" s="12">
        <v>576</v>
      </c>
      <c r="M122" s="12">
        <v>512</v>
      </c>
      <c r="N122" s="15">
        <f t="shared" si="18"/>
        <v>1940.2105263157894</v>
      </c>
      <c r="O122" s="15">
        <f t="shared" si="19"/>
        <v>19660.8</v>
      </c>
      <c r="P122" s="15">
        <f t="shared" si="20"/>
        <v>2304</v>
      </c>
      <c r="Q122" s="15">
        <f t="shared" si="21"/>
        <v>21601.010526315789</v>
      </c>
      <c r="R122" s="15">
        <f t="shared" si="22"/>
        <v>256</v>
      </c>
      <c r="S122" s="15">
        <f t="shared" si="23"/>
        <v>17476.266666666666</v>
      </c>
      <c r="T122" s="15">
        <f t="shared" si="15"/>
        <v>2304</v>
      </c>
      <c r="U122" s="15">
        <f t="shared" si="24"/>
        <v>17732.266666666666</v>
      </c>
      <c r="V122" s="15">
        <f t="shared" si="16"/>
        <v>341.33333333333331</v>
      </c>
      <c r="W122" s="12">
        <f t="shared" si="25"/>
        <v>1747</v>
      </c>
      <c r="X122" s="12"/>
      <c r="Y122" s="16">
        <f t="shared" si="26"/>
        <v>41421.610526315788</v>
      </c>
      <c r="Z122" s="11">
        <f t="shared" si="17"/>
        <v>4.1421610526315787E-2</v>
      </c>
      <c r="AB122">
        <v>9.4147999999999996E-2</v>
      </c>
      <c r="AC122">
        <v>9.0414999999999995E-2</v>
      </c>
      <c r="AD122" s="18">
        <f t="shared" si="27"/>
        <v>0.43996272386365926</v>
      </c>
      <c r="AE122" s="18">
        <f t="shared" si="28"/>
        <v>0.45812763951021168</v>
      </c>
    </row>
    <row r="123" spans="2:31" x14ac:dyDescent="0.25">
      <c r="B123">
        <v>2</v>
      </c>
      <c r="C123">
        <v>16</v>
      </c>
      <c r="D123">
        <v>1</v>
      </c>
      <c r="E123" s="12">
        <v>16</v>
      </c>
      <c r="F123" s="12">
        <v>2</v>
      </c>
      <c r="G123" s="12">
        <v>2</v>
      </c>
      <c r="H123" s="12">
        <v>256</v>
      </c>
      <c r="I123" s="12">
        <v>30</v>
      </c>
      <c r="J123" s="14">
        <f t="shared" si="29"/>
        <v>1</v>
      </c>
      <c r="K123">
        <v>512</v>
      </c>
      <c r="L123" s="12">
        <v>576</v>
      </c>
      <c r="M123" s="12">
        <v>512</v>
      </c>
      <c r="N123" s="15">
        <f t="shared" si="18"/>
        <v>1940.2105263157894</v>
      </c>
      <c r="O123" s="15">
        <f t="shared" si="19"/>
        <v>19660.8</v>
      </c>
      <c r="P123" s="15">
        <f t="shared" si="20"/>
        <v>2304</v>
      </c>
      <c r="Q123" s="15">
        <f t="shared" si="21"/>
        <v>21601.010526315789</v>
      </c>
      <c r="R123" s="15">
        <f t="shared" si="22"/>
        <v>256</v>
      </c>
      <c r="S123" s="15">
        <f t="shared" si="23"/>
        <v>17476.266666666666</v>
      </c>
      <c r="T123" s="15">
        <f t="shared" si="15"/>
        <v>2304</v>
      </c>
      <c r="U123" s="15">
        <f t="shared" si="24"/>
        <v>17732.266666666666</v>
      </c>
      <c r="V123" s="15">
        <f t="shared" si="16"/>
        <v>341.33333333333331</v>
      </c>
      <c r="W123" s="12">
        <f t="shared" si="25"/>
        <v>1747</v>
      </c>
      <c r="X123" s="12"/>
      <c r="Y123" s="16">
        <f t="shared" si="26"/>
        <v>41421.610526315788</v>
      </c>
      <c r="Z123" s="11">
        <f t="shared" si="17"/>
        <v>4.1421610526315787E-2</v>
      </c>
      <c r="AB123">
        <v>0.103126</v>
      </c>
      <c r="AC123">
        <v>0.100632</v>
      </c>
      <c r="AD123" s="18">
        <f t="shared" si="27"/>
        <v>0.40166020718650763</v>
      </c>
      <c r="AE123" s="18">
        <f t="shared" si="28"/>
        <v>0.41161470035690223</v>
      </c>
    </row>
    <row r="124" spans="2:31" x14ac:dyDescent="0.25">
      <c r="B124">
        <v>4</v>
      </c>
      <c r="C124">
        <v>16</v>
      </c>
      <c r="D124">
        <v>1</v>
      </c>
      <c r="E124" s="12">
        <v>16</v>
      </c>
      <c r="F124" s="12">
        <v>2</v>
      </c>
      <c r="G124" s="12">
        <v>2</v>
      </c>
      <c r="H124" s="12">
        <v>256</v>
      </c>
      <c r="I124" s="12">
        <v>30</v>
      </c>
      <c r="J124" s="14">
        <f t="shared" si="29"/>
        <v>1</v>
      </c>
      <c r="K124">
        <v>512</v>
      </c>
      <c r="L124" s="12">
        <v>576</v>
      </c>
      <c r="M124" s="12">
        <v>512</v>
      </c>
      <c r="N124" s="15">
        <f t="shared" si="18"/>
        <v>1940.2105263157894</v>
      </c>
      <c r="O124" s="15">
        <f t="shared" si="19"/>
        <v>19660.8</v>
      </c>
      <c r="P124" s="15">
        <f t="shared" si="20"/>
        <v>2304</v>
      </c>
      <c r="Q124" s="15">
        <f t="shared" si="21"/>
        <v>21601.010526315789</v>
      </c>
      <c r="R124" s="15">
        <f t="shared" si="22"/>
        <v>256</v>
      </c>
      <c r="S124" s="15">
        <f t="shared" si="23"/>
        <v>17476.266666666666</v>
      </c>
      <c r="T124" s="15">
        <f t="shared" si="15"/>
        <v>2304</v>
      </c>
      <c r="U124" s="15">
        <f t="shared" si="24"/>
        <v>17732.266666666666</v>
      </c>
      <c r="V124" s="15">
        <f t="shared" si="16"/>
        <v>341.33333333333331</v>
      </c>
      <c r="W124" s="12">
        <f t="shared" si="25"/>
        <v>1747</v>
      </c>
      <c r="X124" s="12"/>
      <c r="Y124" s="16">
        <f t="shared" si="26"/>
        <v>41421.610526315788</v>
      </c>
      <c r="Z124" s="11">
        <f t="shared" si="17"/>
        <v>4.1421610526315787E-2</v>
      </c>
      <c r="AB124">
        <v>0.102858</v>
      </c>
      <c r="AC124">
        <v>0.100424</v>
      </c>
      <c r="AD124" s="18">
        <f t="shared" si="27"/>
        <v>0.40270674644962751</v>
      </c>
      <c r="AE124" s="18">
        <f t="shared" si="28"/>
        <v>0.41246724414797048</v>
      </c>
    </row>
    <row r="125" spans="2:31" x14ac:dyDescent="0.25">
      <c r="B125">
        <v>8</v>
      </c>
      <c r="C125">
        <v>16</v>
      </c>
      <c r="D125">
        <v>1</v>
      </c>
      <c r="E125" s="12">
        <v>16</v>
      </c>
      <c r="F125" s="12">
        <v>2</v>
      </c>
      <c r="G125" s="12">
        <v>2</v>
      </c>
      <c r="H125" s="12">
        <v>256</v>
      </c>
      <c r="I125" s="12">
        <v>30</v>
      </c>
      <c r="J125" s="14">
        <f t="shared" si="29"/>
        <v>1</v>
      </c>
      <c r="K125">
        <v>512</v>
      </c>
      <c r="L125" s="12">
        <v>576</v>
      </c>
      <c r="M125" s="12">
        <v>512</v>
      </c>
      <c r="N125" s="15">
        <f t="shared" si="18"/>
        <v>1940.2105263157894</v>
      </c>
      <c r="O125" s="15">
        <f t="shared" si="19"/>
        <v>19660.8</v>
      </c>
      <c r="P125" s="15">
        <f t="shared" si="20"/>
        <v>2304</v>
      </c>
      <c r="Q125" s="15">
        <f t="shared" si="21"/>
        <v>21601.010526315789</v>
      </c>
      <c r="R125" s="15">
        <f t="shared" si="22"/>
        <v>256</v>
      </c>
      <c r="S125" s="15">
        <f t="shared" si="23"/>
        <v>17476.266666666666</v>
      </c>
      <c r="T125" s="15">
        <f t="shared" si="15"/>
        <v>2304</v>
      </c>
      <c r="U125" s="15">
        <f t="shared" si="24"/>
        <v>17732.266666666666</v>
      </c>
      <c r="V125" s="15">
        <f t="shared" si="16"/>
        <v>341.33333333333331</v>
      </c>
      <c r="W125" s="12">
        <f t="shared" si="25"/>
        <v>1747</v>
      </c>
      <c r="X125" s="12"/>
      <c r="Y125" s="16">
        <f t="shared" si="26"/>
        <v>41421.610526315788</v>
      </c>
      <c r="Z125" s="11">
        <f t="shared" si="17"/>
        <v>4.1421610526315787E-2</v>
      </c>
      <c r="AB125">
        <v>0.117405</v>
      </c>
      <c r="AC125">
        <v>0.113733</v>
      </c>
      <c r="AD125" s="18">
        <f t="shared" si="27"/>
        <v>0.35280959521584082</v>
      </c>
      <c r="AE125" s="18">
        <f t="shared" si="28"/>
        <v>0.36420045656331745</v>
      </c>
    </row>
    <row r="126" spans="2:31" x14ac:dyDescent="0.25">
      <c r="B126">
        <v>16</v>
      </c>
      <c r="C126">
        <v>16</v>
      </c>
      <c r="D126">
        <v>1</v>
      </c>
      <c r="E126" s="12">
        <v>16</v>
      </c>
      <c r="F126" s="12">
        <v>2</v>
      </c>
      <c r="G126" s="12">
        <v>2</v>
      </c>
      <c r="H126" s="12">
        <v>256</v>
      </c>
      <c r="I126" s="12">
        <v>30</v>
      </c>
      <c r="J126" s="14">
        <f t="shared" si="29"/>
        <v>1</v>
      </c>
      <c r="K126">
        <v>512</v>
      </c>
      <c r="L126" s="12">
        <v>576</v>
      </c>
      <c r="M126" s="12">
        <v>512</v>
      </c>
      <c r="N126" s="15">
        <f t="shared" si="18"/>
        <v>1940.2105263157894</v>
      </c>
      <c r="O126" s="15">
        <f t="shared" si="19"/>
        <v>19660.8</v>
      </c>
      <c r="P126" s="15">
        <f t="shared" si="20"/>
        <v>2304</v>
      </c>
      <c r="Q126" s="15">
        <f t="shared" si="21"/>
        <v>21601.010526315789</v>
      </c>
      <c r="R126" s="15">
        <f t="shared" si="22"/>
        <v>256</v>
      </c>
      <c r="S126" s="15">
        <f t="shared" si="23"/>
        <v>17476.266666666666</v>
      </c>
      <c r="T126" s="15">
        <f t="shared" si="15"/>
        <v>2304</v>
      </c>
      <c r="U126" s="15">
        <f t="shared" si="24"/>
        <v>17732.266666666666</v>
      </c>
      <c r="V126" s="15">
        <f t="shared" si="16"/>
        <v>341.33333333333331</v>
      </c>
      <c r="W126" s="12">
        <f t="shared" si="25"/>
        <v>1747</v>
      </c>
      <c r="X126" s="12"/>
      <c r="Y126" s="16">
        <f t="shared" si="26"/>
        <v>41421.610526315788</v>
      </c>
      <c r="Z126" s="11">
        <f t="shared" si="17"/>
        <v>4.1421610526315787E-2</v>
      </c>
      <c r="AB126">
        <v>0.12714800000000001</v>
      </c>
      <c r="AC126">
        <v>0.12238599999999999</v>
      </c>
      <c r="AD126" s="18">
        <f t="shared" si="27"/>
        <v>0.3257747705533377</v>
      </c>
      <c r="AE126" s="18">
        <f t="shared" si="28"/>
        <v>0.33845056237082499</v>
      </c>
    </row>
    <row r="127" spans="2:31" x14ac:dyDescent="0.25">
      <c r="B127">
        <v>32</v>
      </c>
      <c r="C127">
        <v>16</v>
      </c>
      <c r="D127">
        <v>1</v>
      </c>
      <c r="E127" s="12">
        <v>16</v>
      </c>
      <c r="F127" s="12">
        <v>2</v>
      </c>
      <c r="G127" s="12">
        <v>2</v>
      </c>
      <c r="H127" s="12">
        <v>256</v>
      </c>
      <c r="I127" s="12">
        <v>30</v>
      </c>
      <c r="J127" s="14">
        <f t="shared" si="29"/>
        <v>2</v>
      </c>
      <c r="K127">
        <v>512</v>
      </c>
      <c r="L127" s="12">
        <v>576</v>
      </c>
      <c r="M127" s="12">
        <v>512</v>
      </c>
      <c r="N127" s="15">
        <f t="shared" si="18"/>
        <v>3880.4210526315787</v>
      </c>
      <c r="O127" s="15">
        <f t="shared" si="19"/>
        <v>39321.599999999999</v>
      </c>
      <c r="P127" s="15">
        <f t="shared" si="20"/>
        <v>4608</v>
      </c>
      <c r="Q127" s="15">
        <f t="shared" si="21"/>
        <v>43202.021052631579</v>
      </c>
      <c r="R127" s="15">
        <f t="shared" si="22"/>
        <v>512</v>
      </c>
      <c r="S127" s="15">
        <f t="shared" si="23"/>
        <v>34952.533333333333</v>
      </c>
      <c r="T127" s="15">
        <f t="shared" si="15"/>
        <v>4608</v>
      </c>
      <c r="U127" s="15">
        <f t="shared" si="24"/>
        <v>35464.533333333333</v>
      </c>
      <c r="V127" s="15">
        <f t="shared" si="16"/>
        <v>682.66666666666663</v>
      </c>
      <c r="W127" s="12">
        <f t="shared" si="25"/>
        <v>3494</v>
      </c>
      <c r="X127" s="12"/>
      <c r="Y127" s="16">
        <f t="shared" si="26"/>
        <v>82843.221052631576</v>
      </c>
      <c r="Z127" s="11">
        <f t="shared" si="17"/>
        <v>8.2843221052631574E-2</v>
      </c>
      <c r="AB127">
        <v>0.162688</v>
      </c>
      <c r="AC127">
        <v>0.17983399999999999</v>
      </c>
      <c r="AD127" s="18">
        <f t="shared" si="27"/>
        <v>0.50921531429872868</v>
      </c>
      <c r="AE127" s="18">
        <f t="shared" si="28"/>
        <v>0.46066495241518052</v>
      </c>
    </row>
    <row r="128" spans="2:31" x14ac:dyDescent="0.25">
      <c r="B128">
        <v>64</v>
      </c>
      <c r="C128">
        <v>16</v>
      </c>
      <c r="D128">
        <v>1</v>
      </c>
      <c r="E128" s="12">
        <v>16</v>
      </c>
      <c r="F128" s="12">
        <v>2</v>
      </c>
      <c r="G128" s="12">
        <v>2</v>
      </c>
      <c r="H128" s="12">
        <v>256</v>
      </c>
      <c r="I128" s="12">
        <v>30</v>
      </c>
      <c r="J128" s="14">
        <f t="shared" si="29"/>
        <v>4</v>
      </c>
      <c r="K128">
        <v>512</v>
      </c>
      <c r="L128" s="12">
        <v>576</v>
      </c>
      <c r="M128" s="12">
        <v>512</v>
      </c>
      <c r="N128" s="15">
        <f t="shared" si="18"/>
        <v>7760.8421052631575</v>
      </c>
      <c r="O128" s="15">
        <f t="shared" si="19"/>
        <v>78643.199999999997</v>
      </c>
      <c r="P128" s="15">
        <f t="shared" si="20"/>
        <v>9216</v>
      </c>
      <c r="Q128" s="15">
        <f t="shared" si="21"/>
        <v>86404.042105263157</v>
      </c>
      <c r="R128" s="15">
        <f t="shared" si="22"/>
        <v>1024</v>
      </c>
      <c r="S128" s="15">
        <f t="shared" si="23"/>
        <v>69905.066666666666</v>
      </c>
      <c r="T128" s="15">
        <f t="shared" si="15"/>
        <v>9216</v>
      </c>
      <c r="U128" s="15">
        <f t="shared" si="24"/>
        <v>70929.066666666666</v>
      </c>
      <c r="V128" s="15">
        <f t="shared" si="16"/>
        <v>1365.3333333333333</v>
      </c>
      <c r="W128" s="12">
        <f t="shared" si="25"/>
        <v>6988</v>
      </c>
      <c r="X128" s="12"/>
      <c r="Y128" s="16">
        <f t="shared" si="26"/>
        <v>165686.44210526315</v>
      </c>
      <c r="Z128" s="11">
        <f t="shared" si="17"/>
        <v>0.16568644210526315</v>
      </c>
      <c r="AB128">
        <v>0.26658100000000001</v>
      </c>
      <c r="AC128">
        <v>0.28995700000000002</v>
      </c>
      <c r="AD128" s="18">
        <f t="shared" si="27"/>
        <v>0.62152382242269011</v>
      </c>
      <c r="AE128" s="18">
        <f t="shared" si="28"/>
        <v>0.57141728637440425</v>
      </c>
    </row>
    <row r="129" spans="2:31" x14ac:dyDescent="0.25">
      <c r="B129">
        <v>128</v>
      </c>
      <c r="C129">
        <v>16</v>
      </c>
      <c r="D129">
        <v>1</v>
      </c>
      <c r="E129" s="12">
        <v>16</v>
      </c>
      <c r="F129" s="12">
        <v>2</v>
      </c>
      <c r="G129" s="12">
        <v>2</v>
      </c>
      <c r="H129" s="12">
        <v>256</v>
      </c>
      <c r="I129" s="12">
        <v>30</v>
      </c>
      <c r="J129" s="14">
        <f t="shared" si="29"/>
        <v>8</v>
      </c>
      <c r="K129">
        <v>512</v>
      </c>
      <c r="L129" s="12">
        <v>576</v>
      </c>
      <c r="M129" s="12">
        <v>512</v>
      </c>
      <c r="N129" s="15">
        <f t="shared" si="18"/>
        <v>15521.684210526315</v>
      </c>
      <c r="O129" s="15">
        <f t="shared" si="19"/>
        <v>157286.39999999999</v>
      </c>
      <c r="P129" s="15">
        <f t="shared" si="20"/>
        <v>18432</v>
      </c>
      <c r="Q129" s="15">
        <f t="shared" si="21"/>
        <v>172808.08421052631</v>
      </c>
      <c r="R129" s="15">
        <f t="shared" si="22"/>
        <v>2048</v>
      </c>
      <c r="S129" s="15">
        <f t="shared" si="23"/>
        <v>139810.13333333333</v>
      </c>
      <c r="T129" s="15">
        <f t="shared" si="15"/>
        <v>18432</v>
      </c>
      <c r="U129" s="15">
        <f t="shared" si="24"/>
        <v>141858.13333333333</v>
      </c>
      <c r="V129" s="15">
        <f t="shared" si="16"/>
        <v>2730.6666666666665</v>
      </c>
      <c r="W129" s="12">
        <f t="shared" si="25"/>
        <v>13976</v>
      </c>
      <c r="X129" s="12"/>
      <c r="Y129" s="16">
        <f t="shared" si="26"/>
        <v>331372.8842105263</v>
      </c>
      <c r="Z129" s="11">
        <f t="shared" si="17"/>
        <v>0.3313728842105263</v>
      </c>
      <c r="AB129">
        <v>0.48429299999999997</v>
      </c>
      <c r="AC129">
        <v>0.51056999999999997</v>
      </c>
      <c r="AD129" s="18">
        <f t="shared" si="27"/>
        <v>0.68424049947144872</v>
      </c>
      <c r="AE129" s="18">
        <f t="shared" si="28"/>
        <v>0.64902537205579314</v>
      </c>
    </row>
    <row r="130" spans="2:31" x14ac:dyDescent="0.25">
      <c r="B130">
        <v>256</v>
      </c>
      <c r="C130">
        <v>16</v>
      </c>
      <c r="D130">
        <v>1</v>
      </c>
      <c r="E130" s="12">
        <v>16</v>
      </c>
      <c r="F130" s="12">
        <v>2</v>
      </c>
      <c r="G130" s="12">
        <v>2</v>
      </c>
      <c r="H130" s="12">
        <v>256</v>
      </c>
      <c r="I130" s="12">
        <v>30</v>
      </c>
      <c r="J130" s="14">
        <f t="shared" si="29"/>
        <v>16</v>
      </c>
      <c r="K130">
        <v>512</v>
      </c>
      <c r="L130" s="12">
        <v>576</v>
      </c>
      <c r="M130" s="12">
        <v>512</v>
      </c>
      <c r="N130" s="15">
        <f t="shared" si="18"/>
        <v>31043.36842105263</v>
      </c>
      <c r="O130" s="15">
        <f t="shared" si="19"/>
        <v>314572.79999999999</v>
      </c>
      <c r="P130" s="15">
        <f t="shared" si="20"/>
        <v>36864</v>
      </c>
      <c r="Q130" s="15">
        <f t="shared" si="21"/>
        <v>345616.16842105263</v>
      </c>
      <c r="R130" s="15">
        <f t="shared" si="22"/>
        <v>4096</v>
      </c>
      <c r="S130" s="15">
        <f t="shared" si="23"/>
        <v>279620.26666666666</v>
      </c>
      <c r="T130" s="15">
        <f t="shared" ref="T130:T181" si="30">64*L130*_xlfn.CEILING.MATH(K130/128)*128*J130/8192</f>
        <v>36864</v>
      </c>
      <c r="U130" s="15">
        <f t="shared" si="24"/>
        <v>283716.26666666666</v>
      </c>
      <c r="V130" s="15">
        <f t="shared" ref="V130:V181" si="31">J130*8*128/30*10</f>
        <v>5461.333333333333</v>
      </c>
      <c r="W130" s="12">
        <f t="shared" si="25"/>
        <v>27952</v>
      </c>
      <c r="X130" s="12"/>
      <c r="Y130" s="16">
        <f t="shared" si="26"/>
        <v>662745.76842105261</v>
      </c>
      <c r="Z130" s="11">
        <f t="shared" ref="Z130:Z181" si="32">Y130/1000000</f>
        <v>0.66274576842105259</v>
      </c>
      <c r="AB130">
        <v>0.97301400000000005</v>
      </c>
      <c r="AC130">
        <v>0.98619999999999997</v>
      </c>
      <c r="AD130" s="18">
        <f t="shared" si="27"/>
        <v>0.68112665225891156</v>
      </c>
      <c r="AE130" s="18">
        <f t="shared" si="28"/>
        <v>0.67201963944539911</v>
      </c>
    </row>
    <row r="131" spans="2:31" x14ac:dyDescent="0.25">
      <c r="B131">
        <v>512</v>
      </c>
      <c r="C131">
        <v>16</v>
      </c>
      <c r="D131">
        <v>1</v>
      </c>
      <c r="E131" s="12">
        <v>16</v>
      </c>
      <c r="F131" s="12">
        <v>2</v>
      </c>
      <c r="G131" s="12">
        <v>2</v>
      </c>
      <c r="H131" s="12">
        <v>256</v>
      </c>
      <c r="I131" s="12">
        <v>30</v>
      </c>
      <c r="J131" s="14">
        <f t="shared" si="29"/>
        <v>32</v>
      </c>
      <c r="K131">
        <v>512</v>
      </c>
      <c r="L131" s="12">
        <v>576</v>
      </c>
      <c r="M131" s="12">
        <v>512</v>
      </c>
      <c r="N131" s="15">
        <f t="shared" ref="N131:N181" si="33">F131*J131*64*L131/38</f>
        <v>62086.73684210526</v>
      </c>
      <c r="O131" s="15">
        <f t="shared" ref="O131:O181" si="34">G131*J131*_xlfn.CEILING.MATH(K131/64)*64*L131/I131</f>
        <v>629145.59999999998</v>
      </c>
      <c r="P131" s="15">
        <f t="shared" ref="P131:P181" si="35">64*L131*_xlfn.CEILING.MATH(K131/128)*128*J131/8192</f>
        <v>73728</v>
      </c>
      <c r="Q131" s="15">
        <f t="shared" ref="Q131:Q181" si="36">N131+O131</f>
        <v>691232.33684210526</v>
      </c>
      <c r="R131" s="15">
        <f t="shared" ref="R131:R181" si="37">F131*J131*64*_xlfn.CEILING.MATH(K131/128)*128/H131</f>
        <v>8192</v>
      </c>
      <c r="S131" s="15">
        <f t="shared" ref="S131:S181" si="38">G131*J131*_xlfn.CEILING.MATH(K131/128)*128*M131/I131</f>
        <v>559240.53333333333</v>
      </c>
      <c r="T131" s="15">
        <f t="shared" si="30"/>
        <v>73728</v>
      </c>
      <c r="U131" s="15">
        <f t="shared" ref="U131:U181" si="39">S131+R131</f>
        <v>567432.53333333333</v>
      </c>
      <c r="V131" s="15">
        <f t="shared" si="31"/>
        <v>10922.666666666666</v>
      </c>
      <c r="W131" s="12">
        <f t="shared" ref="W131:W181" si="40">J131*(_xlfn.CEILING.MATH(K131/32)*97+195)</f>
        <v>55904</v>
      </c>
      <c r="X131" s="12"/>
      <c r="Y131" s="16">
        <f t="shared" ref="Y131:Y181" si="41">Q131+U131+W131+V131</f>
        <v>1325491.5368421052</v>
      </c>
      <c r="Z131" s="11">
        <f t="shared" si="32"/>
        <v>1.3254915368421052</v>
      </c>
      <c r="AB131">
        <v>1.9967649999999999</v>
      </c>
      <c r="AC131">
        <v>1.9476739999999999</v>
      </c>
      <c r="AD131" s="18">
        <f t="shared" ref="AD131:AD181" si="42">Z131/AB131</f>
        <v>0.66381949645657112</v>
      </c>
      <c r="AE131" s="18">
        <f t="shared" ref="AE131:AE181" si="43">Z131/AC131</f>
        <v>0.68055102488512209</v>
      </c>
    </row>
    <row r="132" spans="2:31" x14ac:dyDescent="0.25">
      <c r="B132" s="8">
        <v>1</v>
      </c>
      <c r="C132" s="8">
        <v>16</v>
      </c>
      <c r="D132" s="8">
        <v>1</v>
      </c>
      <c r="E132" s="12">
        <v>16</v>
      </c>
      <c r="F132" s="12">
        <v>2</v>
      </c>
      <c r="G132" s="12">
        <v>2</v>
      </c>
      <c r="H132" s="12">
        <v>256</v>
      </c>
      <c r="I132" s="12">
        <v>30</v>
      </c>
      <c r="J132" s="14">
        <f t="shared" si="29"/>
        <v>1</v>
      </c>
      <c r="K132" s="8">
        <f>1024</f>
        <v>1024</v>
      </c>
      <c r="L132" s="12">
        <v>576</v>
      </c>
      <c r="M132" s="12">
        <v>512</v>
      </c>
      <c r="N132" s="15">
        <f t="shared" si="33"/>
        <v>1940.2105263157894</v>
      </c>
      <c r="O132" s="15">
        <f t="shared" si="34"/>
        <v>39321.599999999999</v>
      </c>
      <c r="P132" s="15">
        <f t="shared" si="35"/>
        <v>4608</v>
      </c>
      <c r="Q132" s="15">
        <f t="shared" si="36"/>
        <v>41261.810526315785</v>
      </c>
      <c r="R132" s="15">
        <f t="shared" si="37"/>
        <v>512</v>
      </c>
      <c r="S132" s="15">
        <f t="shared" si="38"/>
        <v>34952.533333333333</v>
      </c>
      <c r="T132" s="15">
        <f t="shared" si="30"/>
        <v>4608</v>
      </c>
      <c r="U132" s="15">
        <f t="shared" si="39"/>
        <v>35464.533333333333</v>
      </c>
      <c r="V132" s="15">
        <f t="shared" si="31"/>
        <v>341.33333333333331</v>
      </c>
      <c r="W132" s="12">
        <f t="shared" si="40"/>
        <v>3299</v>
      </c>
      <c r="X132" s="12"/>
      <c r="Y132" s="16">
        <f t="shared" si="41"/>
        <v>80366.677192982446</v>
      </c>
      <c r="Z132" s="11">
        <f t="shared" si="32"/>
        <v>8.0366677192982447E-2</v>
      </c>
      <c r="AB132">
        <v>0.12225</v>
      </c>
      <c r="AC132">
        <v>0.10975799999999999</v>
      </c>
      <c r="AD132" s="18">
        <f t="shared" si="42"/>
        <v>0.65739613245793416</v>
      </c>
      <c r="AE132" s="18">
        <f t="shared" si="43"/>
        <v>0.7322170337741436</v>
      </c>
    </row>
    <row r="133" spans="2:31" x14ac:dyDescent="0.25">
      <c r="B133" s="8">
        <v>2</v>
      </c>
      <c r="C133" s="8">
        <v>16</v>
      </c>
      <c r="D133" s="8">
        <v>1</v>
      </c>
      <c r="E133" s="12">
        <v>16</v>
      </c>
      <c r="F133" s="12">
        <v>2</v>
      </c>
      <c r="G133" s="12">
        <v>2</v>
      </c>
      <c r="H133" s="12">
        <v>256</v>
      </c>
      <c r="I133" s="12">
        <v>30</v>
      </c>
      <c r="J133" s="14">
        <f t="shared" si="29"/>
        <v>1</v>
      </c>
      <c r="K133" s="8">
        <f>1024</f>
        <v>1024</v>
      </c>
      <c r="L133" s="12">
        <v>576</v>
      </c>
      <c r="M133" s="12">
        <v>512</v>
      </c>
      <c r="N133" s="15">
        <f t="shared" si="33"/>
        <v>1940.2105263157894</v>
      </c>
      <c r="O133" s="15">
        <f t="shared" si="34"/>
        <v>39321.599999999999</v>
      </c>
      <c r="P133" s="15">
        <f t="shared" si="35"/>
        <v>4608</v>
      </c>
      <c r="Q133" s="15">
        <f t="shared" si="36"/>
        <v>41261.810526315785</v>
      </c>
      <c r="R133" s="15">
        <f t="shared" si="37"/>
        <v>512</v>
      </c>
      <c r="S133" s="15">
        <f t="shared" si="38"/>
        <v>34952.533333333333</v>
      </c>
      <c r="T133" s="15">
        <f t="shared" si="30"/>
        <v>4608</v>
      </c>
      <c r="U133" s="15">
        <f t="shared" si="39"/>
        <v>35464.533333333333</v>
      </c>
      <c r="V133" s="15">
        <f t="shared" si="31"/>
        <v>341.33333333333331</v>
      </c>
      <c r="W133" s="12">
        <f t="shared" si="40"/>
        <v>3299</v>
      </c>
      <c r="X133" s="12"/>
      <c r="Y133" s="16">
        <f t="shared" si="41"/>
        <v>80366.677192982446</v>
      </c>
      <c r="Z133" s="11">
        <f t="shared" si="32"/>
        <v>8.0366677192982447E-2</v>
      </c>
      <c r="AB133">
        <v>0.13983200000000001</v>
      </c>
      <c r="AC133">
        <v>0.12918099999999999</v>
      </c>
      <c r="AD133" s="18">
        <f t="shared" si="42"/>
        <v>0.57473737909049749</v>
      </c>
      <c r="AE133" s="18">
        <f t="shared" si="43"/>
        <v>0.62212459411974252</v>
      </c>
    </row>
    <row r="134" spans="2:31" x14ac:dyDescent="0.25">
      <c r="B134">
        <v>4</v>
      </c>
      <c r="C134">
        <v>16</v>
      </c>
      <c r="D134">
        <v>1</v>
      </c>
      <c r="E134" s="12">
        <v>16</v>
      </c>
      <c r="F134" s="12">
        <v>2</v>
      </c>
      <c r="G134" s="12">
        <v>2</v>
      </c>
      <c r="H134" s="12">
        <v>256</v>
      </c>
      <c r="I134" s="12">
        <v>30</v>
      </c>
      <c r="J134" s="14">
        <f t="shared" ref="J134:J181" si="44">_xlfn.CEILING.MATH(B134*D134/E134)</f>
        <v>1</v>
      </c>
      <c r="K134">
        <f>1024</f>
        <v>1024</v>
      </c>
      <c r="L134" s="12">
        <v>576</v>
      </c>
      <c r="M134" s="12">
        <v>512</v>
      </c>
      <c r="N134" s="15">
        <f t="shared" si="33"/>
        <v>1940.2105263157894</v>
      </c>
      <c r="O134" s="15">
        <f t="shared" si="34"/>
        <v>39321.599999999999</v>
      </c>
      <c r="P134" s="15">
        <f t="shared" si="35"/>
        <v>4608</v>
      </c>
      <c r="Q134" s="15">
        <f t="shared" si="36"/>
        <v>41261.810526315785</v>
      </c>
      <c r="R134" s="15">
        <f t="shared" si="37"/>
        <v>512</v>
      </c>
      <c r="S134" s="15">
        <f t="shared" si="38"/>
        <v>34952.533333333333</v>
      </c>
      <c r="T134" s="15">
        <f t="shared" si="30"/>
        <v>4608</v>
      </c>
      <c r="U134" s="15">
        <f t="shared" si="39"/>
        <v>35464.533333333333</v>
      </c>
      <c r="V134" s="15">
        <f t="shared" si="31"/>
        <v>341.33333333333331</v>
      </c>
      <c r="W134" s="12">
        <f t="shared" si="40"/>
        <v>3299</v>
      </c>
      <c r="X134" s="12"/>
      <c r="Y134" s="16">
        <f t="shared" si="41"/>
        <v>80366.677192982446</v>
      </c>
      <c r="Z134" s="11">
        <f t="shared" si="32"/>
        <v>8.0366677192982447E-2</v>
      </c>
      <c r="AB134">
        <v>0.142738</v>
      </c>
      <c r="AC134">
        <v>0.13191800000000001</v>
      </c>
      <c r="AD134" s="18">
        <f t="shared" si="42"/>
        <v>0.56303631263561527</v>
      </c>
      <c r="AE134" s="18">
        <f t="shared" si="43"/>
        <v>0.6092169165161877</v>
      </c>
    </row>
    <row r="135" spans="2:31" x14ac:dyDescent="0.25">
      <c r="B135">
        <v>8</v>
      </c>
      <c r="C135">
        <v>16</v>
      </c>
      <c r="D135">
        <v>1</v>
      </c>
      <c r="E135" s="12">
        <v>16</v>
      </c>
      <c r="F135" s="12">
        <v>2</v>
      </c>
      <c r="G135" s="12">
        <v>2</v>
      </c>
      <c r="H135" s="12">
        <v>256</v>
      </c>
      <c r="I135" s="12">
        <v>30</v>
      </c>
      <c r="J135" s="14">
        <f t="shared" si="44"/>
        <v>1</v>
      </c>
      <c r="K135">
        <f>1024</f>
        <v>1024</v>
      </c>
      <c r="L135" s="12">
        <v>576</v>
      </c>
      <c r="M135" s="12">
        <v>512</v>
      </c>
      <c r="N135" s="15">
        <f t="shared" si="33"/>
        <v>1940.2105263157894</v>
      </c>
      <c r="O135" s="15">
        <f t="shared" si="34"/>
        <v>39321.599999999999</v>
      </c>
      <c r="P135" s="15">
        <f t="shared" si="35"/>
        <v>4608</v>
      </c>
      <c r="Q135" s="15">
        <f t="shared" si="36"/>
        <v>41261.810526315785</v>
      </c>
      <c r="R135" s="15">
        <f t="shared" si="37"/>
        <v>512</v>
      </c>
      <c r="S135" s="15">
        <f t="shared" si="38"/>
        <v>34952.533333333333</v>
      </c>
      <c r="T135" s="15">
        <f t="shared" si="30"/>
        <v>4608</v>
      </c>
      <c r="U135" s="15">
        <f t="shared" si="39"/>
        <v>35464.533333333333</v>
      </c>
      <c r="V135" s="15">
        <f t="shared" si="31"/>
        <v>341.33333333333331</v>
      </c>
      <c r="W135" s="12">
        <f t="shared" si="40"/>
        <v>3299</v>
      </c>
      <c r="X135" s="12"/>
      <c r="Y135" s="16">
        <f t="shared" si="41"/>
        <v>80366.677192982446</v>
      </c>
      <c r="Z135" s="11">
        <f t="shared" si="32"/>
        <v>8.0366677192982447E-2</v>
      </c>
      <c r="AB135">
        <v>0.171126</v>
      </c>
      <c r="AC135">
        <v>0.15860299999999999</v>
      </c>
      <c r="AD135" s="18">
        <f t="shared" si="42"/>
        <v>0.4696345218902005</v>
      </c>
      <c r="AE135" s="18">
        <f t="shared" si="43"/>
        <v>0.50671599650058607</v>
      </c>
    </row>
    <row r="136" spans="2:31" x14ac:dyDescent="0.25">
      <c r="B136">
        <v>16</v>
      </c>
      <c r="C136">
        <v>16</v>
      </c>
      <c r="D136">
        <v>1</v>
      </c>
      <c r="E136" s="12">
        <v>16</v>
      </c>
      <c r="F136" s="12">
        <v>2</v>
      </c>
      <c r="G136" s="12">
        <v>2</v>
      </c>
      <c r="H136" s="12">
        <v>256</v>
      </c>
      <c r="I136" s="12">
        <v>30</v>
      </c>
      <c r="J136" s="14">
        <f t="shared" si="44"/>
        <v>1</v>
      </c>
      <c r="K136">
        <f>1024</f>
        <v>1024</v>
      </c>
      <c r="L136" s="12">
        <v>576</v>
      </c>
      <c r="M136" s="12">
        <v>512</v>
      </c>
      <c r="N136" s="15">
        <f t="shared" si="33"/>
        <v>1940.2105263157894</v>
      </c>
      <c r="O136" s="15">
        <f t="shared" si="34"/>
        <v>39321.599999999999</v>
      </c>
      <c r="P136" s="15">
        <f t="shared" si="35"/>
        <v>4608</v>
      </c>
      <c r="Q136" s="15">
        <f t="shared" si="36"/>
        <v>41261.810526315785</v>
      </c>
      <c r="R136" s="15">
        <f t="shared" si="37"/>
        <v>512</v>
      </c>
      <c r="S136" s="15">
        <f t="shared" si="38"/>
        <v>34952.533333333333</v>
      </c>
      <c r="T136" s="15">
        <f t="shared" si="30"/>
        <v>4608</v>
      </c>
      <c r="U136" s="15">
        <f t="shared" si="39"/>
        <v>35464.533333333333</v>
      </c>
      <c r="V136" s="15">
        <f t="shared" si="31"/>
        <v>341.33333333333331</v>
      </c>
      <c r="W136" s="12">
        <f t="shared" si="40"/>
        <v>3299</v>
      </c>
      <c r="X136" s="12"/>
      <c r="Y136" s="16">
        <f t="shared" si="41"/>
        <v>80366.677192982446</v>
      </c>
      <c r="Z136" s="11">
        <f t="shared" si="32"/>
        <v>8.0366677192982447E-2</v>
      </c>
      <c r="AB136">
        <v>0.187634</v>
      </c>
      <c r="AC136">
        <v>0.17461699999999999</v>
      </c>
      <c r="AD136" s="18">
        <f t="shared" si="42"/>
        <v>0.42831617506945674</v>
      </c>
      <c r="AE136" s="18">
        <f t="shared" si="43"/>
        <v>0.46024543539851476</v>
      </c>
    </row>
    <row r="137" spans="2:31" x14ac:dyDescent="0.25">
      <c r="B137">
        <v>32</v>
      </c>
      <c r="C137">
        <v>16</v>
      </c>
      <c r="D137">
        <v>1</v>
      </c>
      <c r="E137" s="12">
        <v>16</v>
      </c>
      <c r="F137" s="12">
        <v>2</v>
      </c>
      <c r="G137" s="12">
        <v>2</v>
      </c>
      <c r="H137" s="12">
        <v>256</v>
      </c>
      <c r="I137" s="12">
        <v>30</v>
      </c>
      <c r="J137" s="14">
        <f t="shared" si="44"/>
        <v>2</v>
      </c>
      <c r="K137">
        <f>1024</f>
        <v>1024</v>
      </c>
      <c r="L137" s="12">
        <v>576</v>
      </c>
      <c r="M137" s="12">
        <v>512</v>
      </c>
      <c r="N137" s="15">
        <f t="shared" si="33"/>
        <v>3880.4210526315787</v>
      </c>
      <c r="O137" s="15">
        <f t="shared" si="34"/>
        <v>78643.199999999997</v>
      </c>
      <c r="P137" s="15">
        <f t="shared" si="35"/>
        <v>9216</v>
      </c>
      <c r="Q137" s="15">
        <f t="shared" si="36"/>
        <v>82523.62105263157</v>
      </c>
      <c r="R137" s="15">
        <f t="shared" si="37"/>
        <v>1024</v>
      </c>
      <c r="S137" s="15">
        <f t="shared" si="38"/>
        <v>69905.066666666666</v>
      </c>
      <c r="T137" s="15">
        <f t="shared" si="30"/>
        <v>9216</v>
      </c>
      <c r="U137" s="15">
        <f t="shared" si="39"/>
        <v>70929.066666666666</v>
      </c>
      <c r="V137" s="15">
        <f t="shared" si="31"/>
        <v>682.66666666666663</v>
      </c>
      <c r="W137" s="12">
        <f t="shared" si="40"/>
        <v>6598</v>
      </c>
      <c r="X137" s="12"/>
      <c r="Y137" s="16">
        <f t="shared" si="41"/>
        <v>160733.35438596489</v>
      </c>
      <c r="Z137" s="11">
        <f t="shared" si="32"/>
        <v>0.16073335438596489</v>
      </c>
      <c r="AB137">
        <v>0.26368999999999998</v>
      </c>
      <c r="AC137">
        <v>0.28853299999999998</v>
      </c>
      <c r="AD137" s="18">
        <f t="shared" si="42"/>
        <v>0.60955422801761505</v>
      </c>
      <c r="AE137" s="18">
        <f t="shared" si="43"/>
        <v>0.55707095682630725</v>
      </c>
    </row>
    <row r="138" spans="2:31" x14ac:dyDescent="0.25">
      <c r="B138">
        <v>64</v>
      </c>
      <c r="C138">
        <v>16</v>
      </c>
      <c r="D138">
        <v>1</v>
      </c>
      <c r="E138" s="12">
        <v>16</v>
      </c>
      <c r="F138" s="12">
        <v>2</v>
      </c>
      <c r="G138" s="12">
        <v>2</v>
      </c>
      <c r="H138" s="12">
        <v>256</v>
      </c>
      <c r="I138" s="12">
        <v>30</v>
      </c>
      <c r="J138" s="14">
        <f t="shared" si="44"/>
        <v>4</v>
      </c>
      <c r="K138">
        <f>1024</f>
        <v>1024</v>
      </c>
      <c r="L138" s="12">
        <v>576</v>
      </c>
      <c r="M138" s="12">
        <v>512</v>
      </c>
      <c r="N138" s="15">
        <f t="shared" si="33"/>
        <v>7760.8421052631575</v>
      </c>
      <c r="O138" s="15">
        <f t="shared" si="34"/>
        <v>157286.39999999999</v>
      </c>
      <c r="P138" s="15">
        <f t="shared" si="35"/>
        <v>18432</v>
      </c>
      <c r="Q138" s="15">
        <f t="shared" si="36"/>
        <v>165047.24210526314</v>
      </c>
      <c r="R138" s="15">
        <f t="shared" si="37"/>
        <v>2048</v>
      </c>
      <c r="S138" s="15">
        <f t="shared" si="38"/>
        <v>139810.13333333333</v>
      </c>
      <c r="T138" s="15">
        <f t="shared" si="30"/>
        <v>18432</v>
      </c>
      <c r="U138" s="15">
        <f t="shared" si="39"/>
        <v>141858.13333333333</v>
      </c>
      <c r="V138" s="15">
        <f t="shared" si="31"/>
        <v>1365.3333333333333</v>
      </c>
      <c r="W138" s="12">
        <f t="shared" si="40"/>
        <v>13196</v>
      </c>
      <c r="X138" s="12"/>
      <c r="Y138" s="16">
        <f t="shared" si="41"/>
        <v>321466.70877192979</v>
      </c>
      <c r="Z138" s="11">
        <f t="shared" si="32"/>
        <v>0.32146670877192979</v>
      </c>
      <c r="AB138">
        <v>0.46196500000000001</v>
      </c>
      <c r="AC138">
        <v>0.48626000000000003</v>
      </c>
      <c r="AD138" s="18">
        <f t="shared" si="42"/>
        <v>0.69586810423285261</v>
      </c>
      <c r="AE138" s="18">
        <f t="shared" si="43"/>
        <v>0.66110045813336438</v>
      </c>
    </row>
    <row r="139" spans="2:31" x14ac:dyDescent="0.25">
      <c r="B139">
        <v>128</v>
      </c>
      <c r="C139">
        <v>16</v>
      </c>
      <c r="D139">
        <v>1</v>
      </c>
      <c r="E139" s="12">
        <v>16</v>
      </c>
      <c r="F139" s="12">
        <v>2</v>
      </c>
      <c r="G139" s="12">
        <v>2</v>
      </c>
      <c r="H139" s="12">
        <v>256</v>
      </c>
      <c r="I139" s="12">
        <v>30</v>
      </c>
      <c r="J139" s="14">
        <f t="shared" si="44"/>
        <v>8</v>
      </c>
      <c r="K139">
        <f>1024</f>
        <v>1024</v>
      </c>
      <c r="L139" s="12">
        <v>576</v>
      </c>
      <c r="M139" s="12">
        <v>512</v>
      </c>
      <c r="N139" s="15">
        <f t="shared" si="33"/>
        <v>15521.684210526315</v>
      </c>
      <c r="O139" s="15">
        <f t="shared" si="34"/>
        <v>314572.79999999999</v>
      </c>
      <c r="P139" s="15">
        <f t="shared" si="35"/>
        <v>36864</v>
      </c>
      <c r="Q139" s="15">
        <f t="shared" si="36"/>
        <v>330094.48421052628</v>
      </c>
      <c r="R139" s="15">
        <f t="shared" si="37"/>
        <v>4096</v>
      </c>
      <c r="S139" s="15">
        <f t="shared" si="38"/>
        <v>279620.26666666666</v>
      </c>
      <c r="T139" s="15">
        <f t="shared" si="30"/>
        <v>36864</v>
      </c>
      <c r="U139" s="15">
        <f t="shared" si="39"/>
        <v>283716.26666666666</v>
      </c>
      <c r="V139" s="15">
        <f t="shared" si="31"/>
        <v>2730.6666666666665</v>
      </c>
      <c r="W139" s="12">
        <f t="shared" si="40"/>
        <v>26392</v>
      </c>
      <c r="X139" s="12"/>
      <c r="Y139" s="16">
        <f t="shared" si="41"/>
        <v>642933.41754385957</v>
      </c>
      <c r="Z139" s="11">
        <f t="shared" si="32"/>
        <v>0.64293341754385958</v>
      </c>
      <c r="AB139">
        <v>0.88243400000000005</v>
      </c>
      <c r="AC139">
        <v>0.89043700000000003</v>
      </c>
      <c r="AD139" s="18">
        <f t="shared" si="42"/>
        <v>0.72859093999535318</v>
      </c>
      <c r="AE139" s="18">
        <f t="shared" si="43"/>
        <v>0.72204256735048022</v>
      </c>
    </row>
    <row r="140" spans="2:31" x14ac:dyDescent="0.25">
      <c r="B140">
        <v>256</v>
      </c>
      <c r="C140">
        <v>16</v>
      </c>
      <c r="D140">
        <v>1</v>
      </c>
      <c r="E140" s="12">
        <v>16</v>
      </c>
      <c r="F140" s="12">
        <v>2</v>
      </c>
      <c r="G140" s="12">
        <v>2</v>
      </c>
      <c r="H140" s="12">
        <v>256</v>
      </c>
      <c r="I140" s="12">
        <v>30</v>
      </c>
      <c r="J140" s="14">
        <f t="shared" si="44"/>
        <v>16</v>
      </c>
      <c r="K140">
        <f>1024</f>
        <v>1024</v>
      </c>
      <c r="L140" s="12">
        <v>576</v>
      </c>
      <c r="M140" s="12">
        <v>512</v>
      </c>
      <c r="N140" s="15">
        <f t="shared" si="33"/>
        <v>31043.36842105263</v>
      </c>
      <c r="O140" s="15">
        <f t="shared" si="34"/>
        <v>629145.59999999998</v>
      </c>
      <c r="P140" s="15">
        <f t="shared" si="35"/>
        <v>73728</v>
      </c>
      <c r="Q140" s="15">
        <f t="shared" si="36"/>
        <v>660188.96842105256</v>
      </c>
      <c r="R140" s="15">
        <f t="shared" si="37"/>
        <v>8192</v>
      </c>
      <c r="S140" s="15">
        <f t="shared" si="38"/>
        <v>559240.53333333333</v>
      </c>
      <c r="T140" s="15">
        <f t="shared" si="30"/>
        <v>73728</v>
      </c>
      <c r="U140" s="15">
        <f t="shared" si="39"/>
        <v>567432.53333333333</v>
      </c>
      <c r="V140" s="15">
        <f t="shared" si="31"/>
        <v>5461.333333333333</v>
      </c>
      <c r="W140" s="12">
        <f t="shared" si="40"/>
        <v>52784</v>
      </c>
      <c r="X140" s="12"/>
      <c r="Y140" s="16">
        <f t="shared" si="41"/>
        <v>1285866.8350877191</v>
      </c>
      <c r="Z140" s="11">
        <f t="shared" si="32"/>
        <v>1.2858668350877192</v>
      </c>
      <c r="AB140">
        <v>1.761334</v>
      </c>
      <c r="AC140">
        <v>1.731927</v>
      </c>
      <c r="AD140" s="18">
        <f t="shared" si="42"/>
        <v>0.73005280945449258</v>
      </c>
      <c r="AE140" s="18">
        <f t="shared" si="43"/>
        <v>0.74244863385565274</v>
      </c>
    </row>
    <row r="141" spans="2:31" x14ac:dyDescent="0.25">
      <c r="B141">
        <v>512</v>
      </c>
      <c r="C141">
        <v>16</v>
      </c>
      <c r="D141">
        <v>1</v>
      </c>
      <c r="E141" s="12">
        <v>16</v>
      </c>
      <c r="F141" s="12">
        <v>2</v>
      </c>
      <c r="G141" s="12">
        <v>2</v>
      </c>
      <c r="H141" s="12">
        <v>256</v>
      </c>
      <c r="I141" s="12">
        <v>30</v>
      </c>
      <c r="J141" s="14">
        <f t="shared" si="44"/>
        <v>32</v>
      </c>
      <c r="K141">
        <f>1024</f>
        <v>1024</v>
      </c>
      <c r="L141" s="12">
        <v>576</v>
      </c>
      <c r="M141" s="12">
        <v>512</v>
      </c>
      <c r="N141" s="15">
        <f t="shared" si="33"/>
        <v>62086.73684210526</v>
      </c>
      <c r="O141" s="15">
        <f t="shared" si="34"/>
        <v>1258291.2</v>
      </c>
      <c r="P141" s="15">
        <f t="shared" si="35"/>
        <v>147456</v>
      </c>
      <c r="Q141" s="15">
        <f t="shared" si="36"/>
        <v>1320377.9368421051</v>
      </c>
      <c r="R141" s="15">
        <f t="shared" si="37"/>
        <v>16384</v>
      </c>
      <c r="S141" s="15">
        <f t="shared" si="38"/>
        <v>1118481.0666666667</v>
      </c>
      <c r="T141" s="15">
        <f t="shared" si="30"/>
        <v>147456</v>
      </c>
      <c r="U141" s="15">
        <f t="shared" si="39"/>
        <v>1134865.0666666667</v>
      </c>
      <c r="V141" s="15">
        <f t="shared" si="31"/>
        <v>10922.666666666666</v>
      </c>
      <c r="W141" s="12">
        <f t="shared" si="40"/>
        <v>105568</v>
      </c>
      <c r="X141" s="12"/>
      <c r="Y141" s="16">
        <f t="shared" si="41"/>
        <v>2571733.6701754383</v>
      </c>
      <c r="Z141" s="11">
        <f t="shared" si="32"/>
        <v>2.5717336701754383</v>
      </c>
      <c r="AB141">
        <v>3.5967180000000001</v>
      </c>
      <c r="AC141">
        <v>3.4372889999999998</v>
      </c>
      <c r="AD141" s="18">
        <f t="shared" si="42"/>
        <v>0.71502232595812021</v>
      </c>
      <c r="AE141" s="18">
        <f t="shared" si="43"/>
        <v>0.74818662910667055</v>
      </c>
    </row>
    <row r="142" spans="2:31" x14ac:dyDescent="0.25">
      <c r="B142" s="8">
        <v>1</v>
      </c>
      <c r="C142" s="8">
        <v>16</v>
      </c>
      <c r="D142" s="8">
        <v>1</v>
      </c>
      <c r="E142" s="12">
        <v>16</v>
      </c>
      <c r="F142" s="12">
        <v>2</v>
      </c>
      <c r="G142" s="12">
        <v>2</v>
      </c>
      <c r="H142" s="12">
        <v>256</v>
      </c>
      <c r="I142" s="12">
        <v>30</v>
      </c>
      <c r="J142" s="14">
        <f t="shared" si="44"/>
        <v>1</v>
      </c>
      <c r="K142" s="8">
        <f>2048</f>
        <v>2048</v>
      </c>
      <c r="L142" s="12">
        <v>576</v>
      </c>
      <c r="M142" s="12">
        <v>512</v>
      </c>
      <c r="N142" s="15">
        <f t="shared" si="33"/>
        <v>1940.2105263157894</v>
      </c>
      <c r="O142" s="15">
        <f t="shared" si="34"/>
        <v>78643.199999999997</v>
      </c>
      <c r="P142" s="15">
        <f t="shared" si="35"/>
        <v>9216</v>
      </c>
      <c r="Q142" s="15">
        <f t="shared" si="36"/>
        <v>80583.410526315783</v>
      </c>
      <c r="R142" s="15">
        <f t="shared" si="37"/>
        <v>1024</v>
      </c>
      <c r="S142" s="15">
        <f t="shared" si="38"/>
        <v>69905.066666666666</v>
      </c>
      <c r="T142" s="15">
        <f t="shared" si="30"/>
        <v>9216</v>
      </c>
      <c r="U142" s="15">
        <f t="shared" si="39"/>
        <v>70929.066666666666</v>
      </c>
      <c r="V142" s="15">
        <f t="shared" si="31"/>
        <v>341.33333333333331</v>
      </c>
      <c r="W142" s="12">
        <f t="shared" si="40"/>
        <v>6403</v>
      </c>
      <c r="X142" s="12"/>
      <c r="Y142" s="16">
        <f t="shared" si="41"/>
        <v>158256.81052631579</v>
      </c>
      <c r="Z142" s="11">
        <f t="shared" si="32"/>
        <v>0.15825681052631579</v>
      </c>
      <c r="AB142">
        <v>0.17532300000000001</v>
      </c>
      <c r="AC142">
        <v>0.147732</v>
      </c>
      <c r="AD142" s="18">
        <f t="shared" si="42"/>
        <v>0.90265858173950819</v>
      </c>
      <c r="AE142" s="18">
        <f t="shared" si="43"/>
        <v>1.0712425914921331</v>
      </c>
    </row>
    <row r="143" spans="2:31" x14ac:dyDescent="0.25">
      <c r="B143" s="8">
        <v>2</v>
      </c>
      <c r="C143" s="8">
        <v>16</v>
      </c>
      <c r="D143" s="8">
        <v>1</v>
      </c>
      <c r="E143" s="12">
        <v>16</v>
      </c>
      <c r="F143" s="12">
        <v>2</v>
      </c>
      <c r="G143" s="12">
        <v>2</v>
      </c>
      <c r="H143" s="12">
        <v>256</v>
      </c>
      <c r="I143" s="12">
        <v>30</v>
      </c>
      <c r="J143" s="14">
        <f t="shared" si="44"/>
        <v>1</v>
      </c>
      <c r="K143" s="8">
        <f>2048</f>
        <v>2048</v>
      </c>
      <c r="L143" s="12">
        <v>576</v>
      </c>
      <c r="M143" s="12">
        <v>512</v>
      </c>
      <c r="N143" s="15">
        <f t="shared" si="33"/>
        <v>1940.2105263157894</v>
      </c>
      <c r="O143" s="15">
        <f t="shared" si="34"/>
        <v>78643.199999999997</v>
      </c>
      <c r="P143" s="15">
        <f t="shared" si="35"/>
        <v>9216</v>
      </c>
      <c r="Q143" s="15">
        <f t="shared" si="36"/>
        <v>80583.410526315783</v>
      </c>
      <c r="R143" s="15">
        <f t="shared" si="37"/>
        <v>1024</v>
      </c>
      <c r="S143" s="15">
        <f t="shared" si="38"/>
        <v>69905.066666666666</v>
      </c>
      <c r="T143" s="15">
        <f t="shared" si="30"/>
        <v>9216</v>
      </c>
      <c r="U143" s="15">
        <f t="shared" si="39"/>
        <v>70929.066666666666</v>
      </c>
      <c r="V143" s="15">
        <f t="shared" si="31"/>
        <v>341.33333333333331</v>
      </c>
      <c r="W143" s="12">
        <f t="shared" si="40"/>
        <v>6403</v>
      </c>
      <c r="X143" s="12"/>
      <c r="Y143" s="16">
        <f t="shared" si="41"/>
        <v>158256.81052631579</v>
      </c>
      <c r="Z143" s="11">
        <f t="shared" si="32"/>
        <v>0.15825681052631579</v>
      </c>
      <c r="AB143">
        <v>0.21369299999999999</v>
      </c>
      <c r="AC143">
        <v>0.18675900000000001</v>
      </c>
      <c r="AD143" s="18">
        <f t="shared" si="42"/>
        <v>0.74058022736503204</v>
      </c>
      <c r="AE143" s="18">
        <f t="shared" si="43"/>
        <v>0.84738518907423888</v>
      </c>
    </row>
    <row r="144" spans="2:31" x14ac:dyDescent="0.25">
      <c r="B144">
        <v>4</v>
      </c>
      <c r="C144">
        <v>16</v>
      </c>
      <c r="D144">
        <v>1</v>
      </c>
      <c r="E144" s="12">
        <v>16</v>
      </c>
      <c r="F144" s="12">
        <v>2</v>
      </c>
      <c r="G144" s="12">
        <v>2</v>
      </c>
      <c r="H144" s="12">
        <v>256</v>
      </c>
      <c r="I144" s="12">
        <v>30</v>
      </c>
      <c r="J144" s="14">
        <f t="shared" si="44"/>
        <v>1</v>
      </c>
      <c r="K144">
        <f>2048</f>
        <v>2048</v>
      </c>
      <c r="L144" s="12">
        <v>576</v>
      </c>
      <c r="M144" s="12">
        <v>512</v>
      </c>
      <c r="N144" s="15">
        <f t="shared" si="33"/>
        <v>1940.2105263157894</v>
      </c>
      <c r="O144" s="15">
        <f t="shared" si="34"/>
        <v>78643.199999999997</v>
      </c>
      <c r="P144" s="15">
        <f t="shared" si="35"/>
        <v>9216</v>
      </c>
      <c r="Q144" s="15">
        <f t="shared" si="36"/>
        <v>80583.410526315783</v>
      </c>
      <c r="R144" s="15">
        <f t="shared" si="37"/>
        <v>1024</v>
      </c>
      <c r="S144" s="15">
        <f t="shared" si="38"/>
        <v>69905.066666666666</v>
      </c>
      <c r="T144" s="15">
        <f t="shared" si="30"/>
        <v>9216</v>
      </c>
      <c r="U144" s="15">
        <f t="shared" si="39"/>
        <v>70929.066666666666</v>
      </c>
      <c r="V144" s="15">
        <f t="shared" si="31"/>
        <v>341.33333333333331</v>
      </c>
      <c r="W144" s="12">
        <f t="shared" si="40"/>
        <v>6403</v>
      </c>
      <c r="X144" s="12"/>
      <c r="Y144" s="16">
        <f t="shared" si="41"/>
        <v>158256.81052631579</v>
      </c>
      <c r="Z144" s="11">
        <f t="shared" si="32"/>
        <v>0.15825681052631579</v>
      </c>
      <c r="AB144">
        <v>0.22147600000000001</v>
      </c>
      <c r="AC144">
        <v>0.19451099999999999</v>
      </c>
      <c r="AD144" s="18">
        <f t="shared" si="42"/>
        <v>0.71455512347304351</v>
      </c>
      <c r="AE144" s="18">
        <f t="shared" si="43"/>
        <v>0.81361368008141344</v>
      </c>
    </row>
    <row r="145" spans="2:31" x14ac:dyDescent="0.25">
      <c r="B145">
        <v>8</v>
      </c>
      <c r="C145">
        <v>16</v>
      </c>
      <c r="D145">
        <v>1</v>
      </c>
      <c r="E145" s="12">
        <v>16</v>
      </c>
      <c r="F145" s="12">
        <v>2</v>
      </c>
      <c r="G145" s="12">
        <v>2</v>
      </c>
      <c r="H145" s="12">
        <v>256</v>
      </c>
      <c r="I145" s="12">
        <v>30</v>
      </c>
      <c r="J145" s="14">
        <f t="shared" si="44"/>
        <v>1</v>
      </c>
      <c r="K145">
        <f>2048</f>
        <v>2048</v>
      </c>
      <c r="L145" s="12">
        <v>576</v>
      </c>
      <c r="M145" s="12">
        <v>512</v>
      </c>
      <c r="N145" s="15">
        <f t="shared" si="33"/>
        <v>1940.2105263157894</v>
      </c>
      <c r="O145" s="15">
        <f t="shared" si="34"/>
        <v>78643.199999999997</v>
      </c>
      <c r="P145" s="15">
        <f t="shared" si="35"/>
        <v>9216</v>
      </c>
      <c r="Q145" s="15">
        <f t="shared" si="36"/>
        <v>80583.410526315783</v>
      </c>
      <c r="R145" s="15">
        <f t="shared" si="37"/>
        <v>1024</v>
      </c>
      <c r="S145" s="15">
        <f t="shared" si="38"/>
        <v>69905.066666666666</v>
      </c>
      <c r="T145" s="15">
        <f t="shared" si="30"/>
        <v>9216</v>
      </c>
      <c r="U145" s="15">
        <f t="shared" si="39"/>
        <v>70929.066666666666</v>
      </c>
      <c r="V145" s="15">
        <f t="shared" si="31"/>
        <v>341.33333333333331</v>
      </c>
      <c r="W145" s="12">
        <f t="shared" si="40"/>
        <v>6403</v>
      </c>
      <c r="X145" s="12"/>
      <c r="Y145" s="16">
        <f t="shared" si="41"/>
        <v>158256.81052631579</v>
      </c>
      <c r="Z145" s="11">
        <f t="shared" si="32"/>
        <v>0.15825681052631579</v>
      </c>
      <c r="AB145">
        <v>0.27812799999999999</v>
      </c>
      <c r="AC145">
        <v>0.24963099999999999</v>
      </c>
      <c r="AD145" s="18">
        <f t="shared" si="42"/>
        <v>0.56900711372575141</v>
      </c>
      <c r="AE145" s="18">
        <f t="shared" si="43"/>
        <v>0.63396297145112501</v>
      </c>
    </row>
    <row r="146" spans="2:31" x14ac:dyDescent="0.25">
      <c r="B146">
        <v>16</v>
      </c>
      <c r="C146">
        <v>16</v>
      </c>
      <c r="D146">
        <v>1</v>
      </c>
      <c r="E146" s="12">
        <v>16</v>
      </c>
      <c r="F146" s="12">
        <v>2</v>
      </c>
      <c r="G146" s="12">
        <v>2</v>
      </c>
      <c r="H146" s="12">
        <v>256</v>
      </c>
      <c r="I146" s="12">
        <v>30</v>
      </c>
      <c r="J146" s="14">
        <f t="shared" si="44"/>
        <v>1</v>
      </c>
      <c r="K146">
        <f>2048</f>
        <v>2048</v>
      </c>
      <c r="L146" s="12">
        <v>576</v>
      </c>
      <c r="M146" s="12">
        <v>512</v>
      </c>
      <c r="N146" s="15">
        <f t="shared" si="33"/>
        <v>1940.2105263157894</v>
      </c>
      <c r="O146" s="15">
        <f t="shared" si="34"/>
        <v>78643.199999999997</v>
      </c>
      <c r="P146" s="15">
        <f t="shared" si="35"/>
        <v>9216</v>
      </c>
      <c r="Q146" s="15">
        <f t="shared" si="36"/>
        <v>80583.410526315783</v>
      </c>
      <c r="R146" s="15">
        <f t="shared" si="37"/>
        <v>1024</v>
      </c>
      <c r="S146" s="15">
        <f t="shared" si="38"/>
        <v>69905.066666666666</v>
      </c>
      <c r="T146" s="15">
        <f t="shared" si="30"/>
        <v>9216</v>
      </c>
      <c r="U146" s="15">
        <f t="shared" si="39"/>
        <v>70929.066666666666</v>
      </c>
      <c r="V146" s="15">
        <f t="shared" si="31"/>
        <v>341.33333333333331</v>
      </c>
      <c r="W146" s="12">
        <f t="shared" si="40"/>
        <v>6403</v>
      </c>
      <c r="X146" s="12"/>
      <c r="Y146" s="16">
        <f t="shared" si="41"/>
        <v>158256.81052631579</v>
      </c>
      <c r="Z146" s="11">
        <f t="shared" si="32"/>
        <v>0.15825681052631579</v>
      </c>
      <c r="AB146">
        <v>0.31218899999999999</v>
      </c>
      <c r="AC146">
        <v>0.28425</v>
      </c>
      <c r="AD146" s="18">
        <f t="shared" si="42"/>
        <v>0.50692628672475903</v>
      </c>
      <c r="AE146" s="18">
        <f t="shared" si="43"/>
        <v>0.55675219182520952</v>
      </c>
    </row>
    <row r="147" spans="2:31" x14ac:dyDescent="0.25">
      <c r="B147">
        <v>32</v>
      </c>
      <c r="C147">
        <v>16</v>
      </c>
      <c r="D147">
        <v>1</v>
      </c>
      <c r="E147" s="12">
        <v>16</v>
      </c>
      <c r="F147" s="12">
        <v>2</v>
      </c>
      <c r="G147" s="12">
        <v>2</v>
      </c>
      <c r="H147" s="12">
        <v>256</v>
      </c>
      <c r="I147" s="12">
        <v>30</v>
      </c>
      <c r="J147" s="14">
        <f t="shared" si="44"/>
        <v>2</v>
      </c>
      <c r="K147">
        <f>2048</f>
        <v>2048</v>
      </c>
      <c r="L147" s="12">
        <v>576</v>
      </c>
      <c r="M147" s="12">
        <v>512</v>
      </c>
      <c r="N147" s="15">
        <f t="shared" si="33"/>
        <v>3880.4210526315787</v>
      </c>
      <c r="O147" s="15">
        <f t="shared" si="34"/>
        <v>157286.39999999999</v>
      </c>
      <c r="P147" s="15">
        <f t="shared" si="35"/>
        <v>18432</v>
      </c>
      <c r="Q147" s="15">
        <f t="shared" si="36"/>
        <v>161166.82105263157</v>
      </c>
      <c r="R147" s="15">
        <f t="shared" si="37"/>
        <v>2048</v>
      </c>
      <c r="S147" s="15">
        <f t="shared" si="38"/>
        <v>139810.13333333333</v>
      </c>
      <c r="T147" s="15">
        <f t="shared" si="30"/>
        <v>18432</v>
      </c>
      <c r="U147" s="15">
        <f t="shared" si="39"/>
        <v>141858.13333333333</v>
      </c>
      <c r="V147" s="15">
        <f t="shared" si="31"/>
        <v>682.66666666666663</v>
      </c>
      <c r="W147" s="12">
        <f t="shared" si="40"/>
        <v>12806</v>
      </c>
      <c r="X147" s="12"/>
      <c r="Y147" s="16">
        <f t="shared" si="41"/>
        <v>316513.62105263158</v>
      </c>
      <c r="Z147" s="11">
        <f t="shared" si="32"/>
        <v>0.31651362105263159</v>
      </c>
      <c r="AB147">
        <v>0.46424500000000002</v>
      </c>
      <c r="AC147">
        <v>0.49872300000000003</v>
      </c>
      <c r="AD147" s="18">
        <f t="shared" si="42"/>
        <v>0.68178143233127242</v>
      </c>
      <c r="AE147" s="18">
        <f t="shared" si="43"/>
        <v>0.63464813343806392</v>
      </c>
    </row>
    <row r="148" spans="2:31" x14ac:dyDescent="0.25">
      <c r="B148">
        <v>64</v>
      </c>
      <c r="C148">
        <v>16</v>
      </c>
      <c r="D148">
        <v>1</v>
      </c>
      <c r="E148" s="12">
        <v>16</v>
      </c>
      <c r="F148" s="12">
        <v>2</v>
      </c>
      <c r="G148" s="12">
        <v>2</v>
      </c>
      <c r="H148" s="12">
        <v>256</v>
      </c>
      <c r="I148" s="12">
        <v>30</v>
      </c>
      <c r="J148" s="14">
        <f t="shared" si="44"/>
        <v>4</v>
      </c>
      <c r="K148">
        <f>2048</f>
        <v>2048</v>
      </c>
      <c r="L148" s="12">
        <v>576</v>
      </c>
      <c r="M148" s="12">
        <v>512</v>
      </c>
      <c r="N148" s="15">
        <f t="shared" si="33"/>
        <v>7760.8421052631575</v>
      </c>
      <c r="O148" s="15">
        <f t="shared" si="34"/>
        <v>314572.79999999999</v>
      </c>
      <c r="P148" s="15">
        <f t="shared" si="35"/>
        <v>36864</v>
      </c>
      <c r="Q148" s="15">
        <f t="shared" si="36"/>
        <v>322333.64210526313</v>
      </c>
      <c r="R148" s="15">
        <f t="shared" si="37"/>
        <v>4096</v>
      </c>
      <c r="S148" s="15">
        <f t="shared" si="38"/>
        <v>279620.26666666666</v>
      </c>
      <c r="T148" s="15">
        <f t="shared" si="30"/>
        <v>36864</v>
      </c>
      <c r="U148" s="15">
        <f t="shared" si="39"/>
        <v>283716.26666666666</v>
      </c>
      <c r="V148" s="15">
        <f t="shared" si="31"/>
        <v>1365.3333333333333</v>
      </c>
      <c r="W148" s="12">
        <f t="shared" si="40"/>
        <v>25612</v>
      </c>
      <c r="X148" s="12"/>
      <c r="Y148" s="16">
        <f t="shared" si="41"/>
        <v>633027.24210526317</v>
      </c>
      <c r="Z148" s="11">
        <f t="shared" si="32"/>
        <v>0.63302724210526318</v>
      </c>
      <c r="AB148">
        <v>0.91181199999999996</v>
      </c>
      <c r="AC148">
        <v>0.90407899999999997</v>
      </c>
      <c r="AD148" s="18">
        <f t="shared" si="42"/>
        <v>0.69425193143461938</v>
      </c>
      <c r="AE148" s="18">
        <f t="shared" si="43"/>
        <v>0.70019018482374129</v>
      </c>
    </row>
    <row r="149" spans="2:31" x14ac:dyDescent="0.25">
      <c r="B149">
        <v>128</v>
      </c>
      <c r="C149">
        <v>16</v>
      </c>
      <c r="D149">
        <v>1</v>
      </c>
      <c r="E149" s="12">
        <v>16</v>
      </c>
      <c r="F149" s="12">
        <v>2</v>
      </c>
      <c r="G149" s="12">
        <v>2</v>
      </c>
      <c r="H149" s="12">
        <v>256</v>
      </c>
      <c r="I149" s="12">
        <v>30</v>
      </c>
      <c r="J149" s="14">
        <f t="shared" si="44"/>
        <v>8</v>
      </c>
      <c r="K149">
        <f>2048</f>
        <v>2048</v>
      </c>
      <c r="L149" s="12">
        <v>576</v>
      </c>
      <c r="M149" s="12">
        <v>512</v>
      </c>
      <c r="N149" s="15">
        <f t="shared" si="33"/>
        <v>15521.684210526315</v>
      </c>
      <c r="O149" s="15">
        <f t="shared" si="34"/>
        <v>629145.59999999998</v>
      </c>
      <c r="P149" s="15">
        <f t="shared" si="35"/>
        <v>73728</v>
      </c>
      <c r="Q149" s="15">
        <f t="shared" si="36"/>
        <v>644667.28421052627</v>
      </c>
      <c r="R149" s="15">
        <f t="shared" si="37"/>
        <v>8192</v>
      </c>
      <c r="S149" s="15">
        <f t="shared" si="38"/>
        <v>559240.53333333333</v>
      </c>
      <c r="T149" s="15">
        <f t="shared" si="30"/>
        <v>73728</v>
      </c>
      <c r="U149" s="15">
        <f t="shared" si="39"/>
        <v>567432.53333333333</v>
      </c>
      <c r="V149" s="15">
        <f t="shared" si="31"/>
        <v>2730.6666666666665</v>
      </c>
      <c r="W149" s="12">
        <f t="shared" si="40"/>
        <v>51224</v>
      </c>
      <c r="X149" s="12"/>
      <c r="Y149" s="16">
        <f t="shared" si="41"/>
        <v>1266054.4842105263</v>
      </c>
      <c r="Z149" s="11">
        <f t="shared" si="32"/>
        <v>1.2660544842105264</v>
      </c>
      <c r="AB149">
        <v>1.818738</v>
      </c>
      <c r="AC149">
        <v>1.685279</v>
      </c>
      <c r="AD149" s="18">
        <f t="shared" si="42"/>
        <v>0.69611702411811183</v>
      </c>
      <c r="AE149" s="18">
        <f t="shared" si="43"/>
        <v>0.75124325658275359</v>
      </c>
    </row>
    <row r="150" spans="2:31" x14ac:dyDescent="0.25">
      <c r="B150">
        <v>256</v>
      </c>
      <c r="C150">
        <v>16</v>
      </c>
      <c r="D150">
        <v>1</v>
      </c>
      <c r="E150" s="12">
        <v>16</v>
      </c>
      <c r="F150" s="12">
        <v>2</v>
      </c>
      <c r="G150" s="12">
        <v>2</v>
      </c>
      <c r="H150" s="12">
        <v>256</v>
      </c>
      <c r="I150" s="12">
        <v>30</v>
      </c>
      <c r="J150" s="14">
        <f t="shared" si="44"/>
        <v>16</v>
      </c>
      <c r="K150">
        <f>2048</f>
        <v>2048</v>
      </c>
      <c r="L150" s="12">
        <v>576</v>
      </c>
      <c r="M150" s="12">
        <v>512</v>
      </c>
      <c r="N150" s="15">
        <f t="shared" si="33"/>
        <v>31043.36842105263</v>
      </c>
      <c r="O150" s="15">
        <f t="shared" si="34"/>
        <v>1258291.2</v>
      </c>
      <c r="P150" s="15">
        <f t="shared" si="35"/>
        <v>147456</v>
      </c>
      <c r="Q150" s="15">
        <f t="shared" si="36"/>
        <v>1289334.5684210525</v>
      </c>
      <c r="R150" s="15">
        <f t="shared" si="37"/>
        <v>16384</v>
      </c>
      <c r="S150" s="15">
        <f t="shared" si="38"/>
        <v>1118481.0666666667</v>
      </c>
      <c r="T150" s="15">
        <f t="shared" si="30"/>
        <v>147456</v>
      </c>
      <c r="U150" s="15">
        <f t="shared" si="39"/>
        <v>1134865.0666666667</v>
      </c>
      <c r="V150" s="15">
        <f t="shared" si="31"/>
        <v>5461.333333333333</v>
      </c>
      <c r="W150" s="12">
        <f t="shared" si="40"/>
        <v>102448</v>
      </c>
      <c r="X150" s="12"/>
      <c r="Y150" s="16">
        <f t="shared" si="41"/>
        <v>2532108.9684210527</v>
      </c>
      <c r="Z150" s="11">
        <f t="shared" si="32"/>
        <v>2.5321089684210527</v>
      </c>
      <c r="AB150">
        <v>3.708418</v>
      </c>
      <c r="AC150">
        <v>3.268106</v>
      </c>
      <c r="AD150" s="18">
        <f t="shared" si="42"/>
        <v>0.68280031226821047</v>
      </c>
      <c r="AE150" s="18">
        <f t="shared" si="43"/>
        <v>0.77479401476606102</v>
      </c>
    </row>
    <row r="151" spans="2:31" x14ac:dyDescent="0.25">
      <c r="B151">
        <v>512</v>
      </c>
      <c r="C151">
        <v>16</v>
      </c>
      <c r="D151">
        <v>1</v>
      </c>
      <c r="E151" s="12">
        <v>16</v>
      </c>
      <c r="F151" s="12">
        <v>2</v>
      </c>
      <c r="G151" s="12">
        <v>2</v>
      </c>
      <c r="H151" s="12">
        <v>256</v>
      </c>
      <c r="I151" s="12">
        <v>30</v>
      </c>
      <c r="J151" s="14">
        <f t="shared" si="44"/>
        <v>32</v>
      </c>
      <c r="K151">
        <f>2048</f>
        <v>2048</v>
      </c>
      <c r="L151" s="12">
        <v>576</v>
      </c>
      <c r="M151" s="12">
        <v>512</v>
      </c>
      <c r="N151" s="15">
        <f t="shared" si="33"/>
        <v>62086.73684210526</v>
      </c>
      <c r="O151" s="15">
        <f t="shared" si="34"/>
        <v>2516582.3999999999</v>
      </c>
      <c r="P151" s="15">
        <f t="shared" si="35"/>
        <v>294912</v>
      </c>
      <c r="Q151" s="15">
        <f t="shared" si="36"/>
        <v>2578669.1368421051</v>
      </c>
      <c r="R151" s="15">
        <f t="shared" si="37"/>
        <v>32768</v>
      </c>
      <c r="S151" s="15">
        <f t="shared" si="38"/>
        <v>2236962.1333333333</v>
      </c>
      <c r="T151" s="15">
        <f t="shared" si="30"/>
        <v>294912</v>
      </c>
      <c r="U151" s="15">
        <f t="shared" si="39"/>
        <v>2269730.1333333333</v>
      </c>
      <c r="V151" s="15">
        <f t="shared" si="31"/>
        <v>10922.666666666666</v>
      </c>
      <c r="W151" s="12">
        <f t="shared" si="40"/>
        <v>204896</v>
      </c>
      <c r="X151" s="12"/>
      <c r="Y151" s="16">
        <f t="shared" si="41"/>
        <v>5064217.9368421054</v>
      </c>
      <c r="Z151" s="11">
        <f t="shared" si="32"/>
        <v>5.0642179368421054</v>
      </c>
      <c r="AB151">
        <v>7.4540569999999997</v>
      </c>
      <c r="AC151">
        <v>6.5004580000000001</v>
      </c>
      <c r="AD151" s="18">
        <f t="shared" si="42"/>
        <v>0.67939082527033345</v>
      </c>
      <c r="AE151" s="18">
        <f t="shared" si="43"/>
        <v>0.77905555836867268</v>
      </c>
    </row>
    <row r="152" spans="2:31" x14ac:dyDescent="0.25">
      <c r="B152" s="8">
        <v>1</v>
      </c>
      <c r="C152" s="8">
        <v>16</v>
      </c>
      <c r="D152" s="8">
        <v>1</v>
      </c>
      <c r="E152" s="12">
        <v>16</v>
      </c>
      <c r="F152" s="12">
        <v>2</v>
      </c>
      <c r="G152" s="12">
        <v>2</v>
      </c>
      <c r="H152" s="12">
        <v>256</v>
      </c>
      <c r="I152" s="12">
        <v>30</v>
      </c>
      <c r="J152" s="14">
        <f t="shared" si="44"/>
        <v>1</v>
      </c>
      <c r="K152" s="8">
        <f>4096</f>
        <v>4096</v>
      </c>
      <c r="L152" s="12">
        <v>576</v>
      </c>
      <c r="M152" s="12">
        <v>512</v>
      </c>
      <c r="N152" s="15">
        <f t="shared" si="33"/>
        <v>1940.2105263157894</v>
      </c>
      <c r="O152" s="15">
        <f t="shared" si="34"/>
        <v>157286.39999999999</v>
      </c>
      <c r="P152" s="15">
        <f t="shared" si="35"/>
        <v>18432</v>
      </c>
      <c r="Q152" s="15">
        <f t="shared" si="36"/>
        <v>159226.61052631578</v>
      </c>
      <c r="R152" s="15">
        <f t="shared" si="37"/>
        <v>2048</v>
      </c>
      <c r="S152" s="15">
        <f t="shared" si="38"/>
        <v>139810.13333333333</v>
      </c>
      <c r="T152" s="15">
        <f t="shared" si="30"/>
        <v>18432</v>
      </c>
      <c r="U152" s="15">
        <f t="shared" si="39"/>
        <v>141858.13333333333</v>
      </c>
      <c r="V152" s="15">
        <f t="shared" si="31"/>
        <v>341.33333333333331</v>
      </c>
      <c r="W152" s="12">
        <f t="shared" si="40"/>
        <v>12611</v>
      </c>
      <c r="X152" s="12"/>
      <c r="Y152" s="16">
        <f t="shared" si="41"/>
        <v>314037.07719298243</v>
      </c>
      <c r="Z152" s="11">
        <f t="shared" si="32"/>
        <v>0.31403707719298241</v>
      </c>
      <c r="AB152">
        <v>0.28047499999999997</v>
      </c>
      <c r="AC152">
        <v>0.22328899999999999</v>
      </c>
      <c r="AD152" s="18">
        <f t="shared" si="42"/>
        <v>1.1196615641072554</v>
      </c>
      <c r="AE152" s="18">
        <f t="shared" si="43"/>
        <v>1.4064153504784491</v>
      </c>
    </row>
    <row r="153" spans="2:31" x14ac:dyDescent="0.25">
      <c r="B153" s="8">
        <v>2</v>
      </c>
      <c r="C153" s="8">
        <v>16</v>
      </c>
      <c r="D153" s="8">
        <v>1</v>
      </c>
      <c r="E153" s="12">
        <v>16</v>
      </c>
      <c r="F153" s="12">
        <v>2</v>
      </c>
      <c r="G153" s="12">
        <v>2</v>
      </c>
      <c r="H153" s="12">
        <v>256</v>
      </c>
      <c r="I153" s="12">
        <v>30</v>
      </c>
      <c r="J153" s="14">
        <f t="shared" si="44"/>
        <v>1</v>
      </c>
      <c r="K153" s="8">
        <f>4096</f>
        <v>4096</v>
      </c>
      <c r="L153" s="12">
        <v>576</v>
      </c>
      <c r="M153" s="12">
        <v>512</v>
      </c>
      <c r="N153" s="15">
        <f t="shared" si="33"/>
        <v>1940.2105263157894</v>
      </c>
      <c r="O153" s="15">
        <f t="shared" si="34"/>
        <v>157286.39999999999</v>
      </c>
      <c r="P153" s="15">
        <f t="shared" si="35"/>
        <v>18432</v>
      </c>
      <c r="Q153" s="15">
        <f t="shared" si="36"/>
        <v>159226.61052631578</v>
      </c>
      <c r="R153" s="15">
        <f t="shared" si="37"/>
        <v>2048</v>
      </c>
      <c r="S153" s="15">
        <f t="shared" si="38"/>
        <v>139810.13333333333</v>
      </c>
      <c r="T153" s="15">
        <f t="shared" si="30"/>
        <v>18432</v>
      </c>
      <c r="U153" s="15">
        <f t="shared" si="39"/>
        <v>141858.13333333333</v>
      </c>
      <c r="V153" s="15">
        <f t="shared" si="31"/>
        <v>341.33333333333331</v>
      </c>
      <c r="W153" s="12">
        <f t="shared" si="40"/>
        <v>12611</v>
      </c>
      <c r="X153" s="12"/>
      <c r="Y153" s="16">
        <f t="shared" si="41"/>
        <v>314037.07719298243</v>
      </c>
      <c r="Z153" s="11">
        <f t="shared" si="32"/>
        <v>0.31403707719298241</v>
      </c>
      <c r="AB153">
        <v>0.36057299999999998</v>
      </c>
      <c r="AC153">
        <v>0.30187999999999998</v>
      </c>
      <c r="AD153" s="18">
        <f t="shared" si="42"/>
        <v>0.87093896989786379</v>
      </c>
      <c r="AE153" s="18">
        <f t="shared" si="43"/>
        <v>1.0402712243043011</v>
      </c>
    </row>
    <row r="154" spans="2:31" x14ac:dyDescent="0.25">
      <c r="B154">
        <v>4</v>
      </c>
      <c r="C154">
        <v>16</v>
      </c>
      <c r="D154">
        <v>1</v>
      </c>
      <c r="E154" s="12">
        <v>16</v>
      </c>
      <c r="F154" s="12">
        <v>2</v>
      </c>
      <c r="G154" s="12">
        <v>2</v>
      </c>
      <c r="H154" s="12">
        <v>256</v>
      </c>
      <c r="I154" s="12">
        <v>30</v>
      </c>
      <c r="J154" s="14">
        <f t="shared" si="44"/>
        <v>1</v>
      </c>
      <c r="K154">
        <f>4096</f>
        <v>4096</v>
      </c>
      <c r="L154" s="12">
        <v>576</v>
      </c>
      <c r="M154" s="12">
        <v>512</v>
      </c>
      <c r="N154" s="15">
        <f t="shared" si="33"/>
        <v>1940.2105263157894</v>
      </c>
      <c r="O154" s="15">
        <f t="shared" si="34"/>
        <v>157286.39999999999</v>
      </c>
      <c r="P154" s="15">
        <f t="shared" si="35"/>
        <v>18432</v>
      </c>
      <c r="Q154" s="15">
        <f t="shared" si="36"/>
        <v>159226.61052631578</v>
      </c>
      <c r="R154" s="15">
        <f t="shared" si="37"/>
        <v>2048</v>
      </c>
      <c r="S154" s="15">
        <f t="shared" si="38"/>
        <v>139810.13333333333</v>
      </c>
      <c r="T154" s="15">
        <f t="shared" si="30"/>
        <v>18432</v>
      </c>
      <c r="U154" s="15">
        <f t="shared" si="39"/>
        <v>141858.13333333333</v>
      </c>
      <c r="V154" s="15">
        <f t="shared" si="31"/>
        <v>341.33333333333331</v>
      </c>
      <c r="W154" s="12">
        <f t="shared" si="40"/>
        <v>12611</v>
      </c>
      <c r="X154" s="12"/>
      <c r="Y154" s="16">
        <f t="shared" si="41"/>
        <v>314037.07719298243</v>
      </c>
      <c r="Z154" s="11">
        <f t="shared" si="32"/>
        <v>0.31403707719298241</v>
      </c>
      <c r="AB154">
        <v>0.37984800000000002</v>
      </c>
      <c r="AC154">
        <v>0.32084499999999999</v>
      </c>
      <c r="AD154" s="18">
        <f t="shared" si="42"/>
        <v>0.82674405865762723</v>
      </c>
      <c r="AE154" s="18">
        <f t="shared" si="43"/>
        <v>0.97878127193187492</v>
      </c>
    </row>
    <row r="155" spans="2:31" x14ac:dyDescent="0.25">
      <c r="B155">
        <v>8</v>
      </c>
      <c r="C155">
        <v>16</v>
      </c>
      <c r="D155">
        <v>1</v>
      </c>
      <c r="E155" s="12">
        <v>16</v>
      </c>
      <c r="F155" s="12">
        <v>2</v>
      </c>
      <c r="G155" s="12">
        <v>2</v>
      </c>
      <c r="H155" s="12">
        <v>256</v>
      </c>
      <c r="I155" s="12">
        <v>30</v>
      </c>
      <c r="J155" s="14">
        <f t="shared" si="44"/>
        <v>1</v>
      </c>
      <c r="K155">
        <f>4096</f>
        <v>4096</v>
      </c>
      <c r="L155" s="12">
        <v>576</v>
      </c>
      <c r="M155" s="12">
        <v>512</v>
      </c>
      <c r="N155" s="15">
        <f t="shared" si="33"/>
        <v>1940.2105263157894</v>
      </c>
      <c r="O155" s="15">
        <f t="shared" si="34"/>
        <v>157286.39999999999</v>
      </c>
      <c r="P155" s="15">
        <f t="shared" si="35"/>
        <v>18432</v>
      </c>
      <c r="Q155" s="15">
        <f t="shared" si="36"/>
        <v>159226.61052631578</v>
      </c>
      <c r="R155" s="15">
        <f t="shared" si="37"/>
        <v>2048</v>
      </c>
      <c r="S155" s="15">
        <f t="shared" si="38"/>
        <v>139810.13333333333</v>
      </c>
      <c r="T155" s="15">
        <f t="shared" si="30"/>
        <v>18432</v>
      </c>
      <c r="U155" s="15">
        <f t="shared" si="39"/>
        <v>141858.13333333333</v>
      </c>
      <c r="V155" s="15">
        <f t="shared" si="31"/>
        <v>341.33333333333331</v>
      </c>
      <c r="W155" s="12">
        <f t="shared" si="40"/>
        <v>12611</v>
      </c>
      <c r="X155" s="12"/>
      <c r="Y155" s="16">
        <f t="shared" si="41"/>
        <v>314037.07719298243</v>
      </c>
      <c r="Z155" s="11">
        <f t="shared" si="32"/>
        <v>0.31403707719298241</v>
      </c>
      <c r="AB155">
        <v>0.49372700000000003</v>
      </c>
      <c r="AC155">
        <v>0.42675200000000002</v>
      </c>
      <c r="AD155" s="18">
        <f t="shared" si="42"/>
        <v>0.63605408898638804</v>
      </c>
      <c r="AE155" s="18">
        <f t="shared" si="43"/>
        <v>0.73587722422620727</v>
      </c>
    </row>
    <row r="156" spans="2:31" x14ac:dyDescent="0.25">
      <c r="B156">
        <v>16</v>
      </c>
      <c r="C156">
        <v>16</v>
      </c>
      <c r="D156">
        <v>1</v>
      </c>
      <c r="E156" s="12">
        <v>16</v>
      </c>
      <c r="F156" s="12">
        <v>2</v>
      </c>
      <c r="G156" s="12">
        <v>2</v>
      </c>
      <c r="H156" s="12">
        <v>256</v>
      </c>
      <c r="I156" s="12">
        <v>30</v>
      </c>
      <c r="J156" s="14">
        <f t="shared" si="44"/>
        <v>1</v>
      </c>
      <c r="K156">
        <f>4096</f>
        <v>4096</v>
      </c>
      <c r="L156" s="12">
        <v>576</v>
      </c>
      <c r="M156" s="12">
        <v>512</v>
      </c>
      <c r="N156" s="15">
        <f t="shared" si="33"/>
        <v>1940.2105263157894</v>
      </c>
      <c r="O156" s="15">
        <f t="shared" si="34"/>
        <v>157286.39999999999</v>
      </c>
      <c r="P156" s="15">
        <f t="shared" si="35"/>
        <v>18432</v>
      </c>
      <c r="Q156" s="15">
        <f t="shared" si="36"/>
        <v>159226.61052631578</v>
      </c>
      <c r="R156" s="15">
        <f t="shared" si="37"/>
        <v>2048</v>
      </c>
      <c r="S156" s="15">
        <f t="shared" si="38"/>
        <v>139810.13333333333</v>
      </c>
      <c r="T156" s="15">
        <f t="shared" si="30"/>
        <v>18432</v>
      </c>
      <c r="U156" s="15">
        <f t="shared" si="39"/>
        <v>141858.13333333333</v>
      </c>
      <c r="V156" s="15">
        <f t="shared" si="31"/>
        <v>341.33333333333331</v>
      </c>
      <c r="W156" s="12">
        <f t="shared" si="40"/>
        <v>12611</v>
      </c>
      <c r="X156" s="12"/>
      <c r="Y156" s="16">
        <f t="shared" si="41"/>
        <v>314037.07719298243</v>
      </c>
      <c r="Z156" s="11">
        <f t="shared" si="32"/>
        <v>0.31403707719298241</v>
      </c>
      <c r="AB156">
        <v>0.56413999999999997</v>
      </c>
      <c r="AC156">
        <v>0.48446</v>
      </c>
      <c r="AD156" s="18">
        <f t="shared" si="42"/>
        <v>0.55666514906403097</v>
      </c>
      <c r="AE156" s="18">
        <f t="shared" si="43"/>
        <v>0.6482208586735384</v>
      </c>
    </row>
    <row r="157" spans="2:31" x14ac:dyDescent="0.25">
      <c r="B157">
        <v>32</v>
      </c>
      <c r="C157">
        <v>16</v>
      </c>
      <c r="D157">
        <v>1</v>
      </c>
      <c r="E157" s="12">
        <v>16</v>
      </c>
      <c r="F157" s="12">
        <v>2</v>
      </c>
      <c r="G157" s="12">
        <v>2</v>
      </c>
      <c r="H157" s="12">
        <v>256</v>
      </c>
      <c r="I157" s="12">
        <v>30</v>
      </c>
      <c r="J157" s="14">
        <f t="shared" si="44"/>
        <v>2</v>
      </c>
      <c r="K157">
        <f>4096</f>
        <v>4096</v>
      </c>
      <c r="L157" s="12">
        <v>576</v>
      </c>
      <c r="M157" s="12">
        <v>512</v>
      </c>
      <c r="N157" s="15">
        <f t="shared" si="33"/>
        <v>3880.4210526315787</v>
      </c>
      <c r="O157" s="15">
        <f t="shared" si="34"/>
        <v>314572.79999999999</v>
      </c>
      <c r="P157" s="15">
        <f t="shared" si="35"/>
        <v>36864</v>
      </c>
      <c r="Q157" s="15">
        <f t="shared" si="36"/>
        <v>318453.22105263156</v>
      </c>
      <c r="R157" s="15">
        <f t="shared" si="37"/>
        <v>4096</v>
      </c>
      <c r="S157" s="15">
        <f t="shared" si="38"/>
        <v>279620.26666666666</v>
      </c>
      <c r="T157" s="15">
        <f t="shared" si="30"/>
        <v>36864</v>
      </c>
      <c r="U157" s="15">
        <f t="shared" si="39"/>
        <v>283716.26666666666</v>
      </c>
      <c r="V157" s="15">
        <f t="shared" si="31"/>
        <v>682.66666666666663</v>
      </c>
      <c r="W157" s="12">
        <f t="shared" si="40"/>
        <v>25222</v>
      </c>
      <c r="X157" s="12"/>
      <c r="Y157" s="16">
        <f t="shared" si="41"/>
        <v>628074.15438596485</v>
      </c>
      <c r="Z157" s="11">
        <f t="shared" si="32"/>
        <v>0.62807415438596481</v>
      </c>
      <c r="AB157">
        <v>1.0061249999999999</v>
      </c>
      <c r="AC157">
        <v>0.89010999999999996</v>
      </c>
      <c r="AD157" s="18">
        <f t="shared" si="42"/>
        <v>0.62425061934249204</v>
      </c>
      <c r="AE157" s="18">
        <f t="shared" si="43"/>
        <v>0.70561408633311029</v>
      </c>
    </row>
    <row r="158" spans="2:31" x14ac:dyDescent="0.25">
      <c r="B158">
        <v>64</v>
      </c>
      <c r="C158">
        <v>16</v>
      </c>
      <c r="D158">
        <v>1</v>
      </c>
      <c r="E158" s="12">
        <v>16</v>
      </c>
      <c r="F158" s="12">
        <v>2</v>
      </c>
      <c r="G158" s="12">
        <v>2</v>
      </c>
      <c r="H158" s="12">
        <v>256</v>
      </c>
      <c r="I158" s="12">
        <v>30</v>
      </c>
      <c r="J158" s="14">
        <f t="shared" si="44"/>
        <v>4</v>
      </c>
      <c r="K158">
        <f>4096</f>
        <v>4096</v>
      </c>
      <c r="L158" s="12">
        <v>576</v>
      </c>
      <c r="M158" s="12">
        <v>512</v>
      </c>
      <c r="N158" s="15">
        <f t="shared" si="33"/>
        <v>7760.8421052631575</v>
      </c>
      <c r="O158" s="15">
        <f t="shared" si="34"/>
        <v>629145.59999999998</v>
      </c>
      <c r="P158" s="15">
        <f t="shared" si="35"/>
        <v>73728</v>
      </c>
      <c r="Q158" s="15">
        <f t="shared" si="36"/>
        <v>636906.44210526312</v>
      </c>
      <c r="R158" s="15">
        <f t="shared" si="37"/>
        <v>8192</v>
      </c>
      <c r="S158" s="15">
        <f t="shared" si="38"/>
        <v>559240.53333333333</v>
      </c>
      <c r="T158" s="15">
        <f t="shared" si="30"/>
        <v>73728</v>
      </c>
      <c r="U158" s="15">
        <f t="shared" si="39"/>
        <v>567432.53333333333</v>
      </c>
      <c r="V158" s="15">
        <f t="shared" si="31"/>
        <v>1365.3333333333333</v>
      </c>
      <c r="W158" s="12">
        <f t="shared" si="40"/>
        <v>50444</v>
      </c>
      <c r="X158" s="12"/>
      <c r="Y158" s="16">
        <f t="shared" si="41"/>
        <v>1256148.3087719297</v>
      </c>
      <c r="Z158" s="11">
        <f t="shared" si="32"/>
        <v>1.2561483087719296</v>
      </c>
      <c r="AB158">
        <v>1.898255</v>
      </c>
      <c r="AC158">
        <v>1.638166</v>
      </c>
      <c r="AD158" s="18">
        <f t="shared" si="42"/>
        <v>0.66173844334503507</v>
      </c>
      <c r="AE158" s="18">
        <f t="shared" si="43"/>
        <v>0.76680159933238123</v>
      </c>
    </row>
    <row r="159" spans="2:31" x14ac:dyDescent="0.25">
      <c r="B159">
        <v>128</v>
      </c>
      <c r="C159">
        <v>16</v>
      </c>
      <c r="D159">
        <v>1</v>
      </c>
      <c r="E159" s="12">
        <v>16</v>
      </c>
      <c r="F159" s="12">
        <v>2</v>
      </c>
      <c r="G159" s="12">
        <v>2</v>
      </c>
      <c r="H159" s="12">
        <v>256</v>
      </c>
      <c r="I159" s="12">
        <v>30</v>
      </c>
      <c r="J159" s="14">
        <f t="shared" si="44"/>
        <v>8</v>
      </c>
      <c r="K159">
        <f>4096</f>
        <v>4096</v>
      </c>
      <c r="L159" s="12">
        <v>576</v>
      </c>
      <c r="M159" s="12">
        <v>512</v>
      </c>
      <c r="N159" s="15">
        <f t="shared" si="33"/>
        <v>15521.684210526315</v>
      </c>
      <c r="O159" s="15">
        <f t="shared" si="34"/>
        <v>1258291.2</v>
      </c>
      <c r="P159" s="15">
        <f t="shared" si="35"/>
        <v>147456</v>
      </c>
      <c r="Q159" s="15">
        <f t="shared" si="36"/>
        <v>1273812.8842105262</v>
      </c>
      <c r="R159" s="15">
        <f t="shared" si="37"/>
        <v>16384</v>
      </c>
      <c r="S159" s="15">
        <f t="shared" si="38"/>
        <v>1118481.0666666667</v>
      </c>
      <c r="T159" s="15">
        <f t="shared" si="30"/>
        <v>147456</v>
      </c>
      <c r="U159" s="15">
        <f t="shared" si="39"/>
        <v>1134865.0666666667</v>
      </c>
      <c r="V159" s="15">
        <f t="shared" si="31"/>
        <v>2730.6666666666665</v>
      </c>
      <c r="W159" s="12">
        <f t="shared" si="40"/>
        <v>100888</v>
      </c>
      <c r="X159" s="12"/>
      <c r="Y159" s="16">
        <f t="shared" si="41"/>
        <v>2512296.6175438594</v>
      </c>
      <c r="Z159" s="11">
        <f t="shared" si="32"/>
        <v>2.5122966175438592</v>
      </c>
      <c r="AB159">
        <v>3.730998</v>
      </c>
      <c r="AC159">
        <v>3.1653859999999998</v>
      </c>
      <c r="AD159" s="18">
        <f t="shared" si="42"/>
        <v>0.67335780333944406</v>
      </c>
      <c r="AE159" s="18">
        <f t="shared" si="43"/>
        <v>0.79367780660679599</v>
      </c>
    </row>
    <row r="160" spans="2:31" x14ac:dyDescent="0.25">
      <c r="B160">
        <v>256</v>
      </c>
      <c r="C160">
        <v>16</v>
      </c>
      <c r="D160">
        <v>1</v>
      </c>
      <c r="E160" s="12">
        <v>16</v>
      </c>
      <c r="F160" s="12">
        <v>2</v>
      </c>
      <c r="G160" s="12">
        <v>2</v>
      </c>
      <c r="H160" s="12">
        <v>256</v>
      </c>
      <c r="I160" s="12">
        <v>30</v>
      </c>
      <c r="J160" s="14">
        <f t="shared" si="44"/>
        <v>16</v>
      </c>
      <c r="K160">
        <f>4096</f>
        <v>4096</v>
      </c>
      <c r="L160" s="12">
        <v>576</v>
      </c>
      <c r="M160" s="12">
        <v>512</v>
      </c>
      <c r="N160" s="15">
        <f t="shared" si="33"/>
        <v>31043.36842105263</v>
      </c>
      <c r="O160" s="15">
        <f t="shared" si="34"/>
        <v>2516582.3999999999</v>
      </c>
      <c r="P160" s="15">
        <f t="shared" si="35"/>
        <v>294912</v>
      </c>
      <c r="Q160" s="15">
        <f t="shared" si="36"/>
        <v>2547625.7684210525</v>
      </c>
      <c r="R160" s="15">
        <f t="shared" si="37"/>
        <v>32768</v>
      </c>
      <c r="S160" s="15">
        <f t="shared" si="38"/>
        <v>2236962.1333333333</v>
      </c>
      <c r="T160" s="15">
        <f t="shared" si="30"/>
        <v>294912</v>
      </c>
      <c r="U160" s="15">
        <f t="shared" si="39"/>
        <v>2269730.1333333333</v>
      </c>
      <c r="V160" s="15">
        <f t="shared" si="31"/>
        <v>5461.333333333333</v>
      </c>
      <c r="W160" s="12">
        <f t="shared" si="40"/>
        <v>201776</v>
      </c>
      <c r="X160" s="12"/>
      <c r="Y160" s="16">
        <f t="shared" si="41"/>
        <v>5024593.2350877188</v>
      </c>
      <c r="Z160" s="11">
        <f t="shared" si="32"/>
        <v>5.0245932350877185</v>
      </c>
      <c r="AB160">
        <v>7.4281740000000003</v>
      </c>
      <c r="AC160">
        <v>6.2359210000000003</v>
      </c>
      <c r="AD160" s="18">
        <f t="shared" si="42"/>
        <v>0.67642373954725865</v>
      </c>
      <c r="AE160" s="18">
        <f t="shared" si="43"/>
        <v>0.80574998225405969</v>
      </c>
    </row>
    <row r="161" spans="2:31" x14ac:dyDescent="0.25">
      <c r="B161">
        <v>512</v>
      </c>
      <c r="C161">
        <v>16</v>
      </c>
      <c r="D161">
        <v>1</v>
      </c>
      <c r="E161" s="12">
        <v>16</v>
      </c>
      <c r="F161" s="12">
        <v>2</v>
      </c>
      <c r="G161" s="12">
        <v>2</v>
      </c>
      <c r="H161" s="12">
        <v>256</v>
      </c>
      <c r="I161" s="12">
        <v>30</v>
      </c>
      <c r="J161" s="14">
        <f t="shared" si="44"/>
        <v>32</v>
      </c>
      <c r="K161">
        <f>4096</f>
        <v>4096</v>
      </c>
      <c r="L161" s="12">
        <v>576</v>
      </c>
      <c r="M161" s="12">
        <v>512</v>
      </c>
      <c r="N161" s="15">
        <f t="shared" si="33"/>
        <v>62086.73684210526</v>
      </c>
      <c r="O161" s="15">
        <f t="shared" si="34"/>
        <v>5033164.7999999998</v>
      </c>
      <c r="P161" s="15">
        <f t="shared" si="35"/>
        <v>589824</v>
      </c>
      <c r="Q161" s="15">
        <f t="shared" si="36"/>
        <v>5095251.536842105</v>
      </c>
      <c r="R161" s="15">
        <f t="shared" si="37"/>
        <v>65536</v>
      </c>
      <c r="S161" s="15">
        <f t="shared" si="38"/>
        <v>4473924.2666666666</v>
      </c>
      <c r="T161" s="15">
        <f t="shared" si="30"/>
        <v>589824</v>
      </c>
      <c r="U161" s="15">
        <f t="shared" si="39"/>
        <v>4539460.2666666666</v>
      </c>
      <c r="V161" s="15">
        <f t="shared" si="31"/>
        <v>10922.666666666666</v>
      </c>
      <c r="W161" s="12">
        <f t="shared" si="40"/>
        <v>403552</v>
      </c>
      <c r="X161" s="12"/>
      <c r="Y161" s="16">
        <f t="shared" si="41"/>
        <v>10049186.470175438</v>
      </c>
      <c r="Z161" s="11">
        <f t="shared" si="32"/>
        <v>10.049186470175437</v>
      </c>
      <c r="AB161">
        <v>14.925025</v>
      </c>
      <c r="AC161">
        <v>12.440372999999999</v>
      </c>
      <c r="AD161" s="18">
        <f t="shared" si="42"/>
        <v>0.67331119848545895</v>
      </c>
      <c r="AE161" s="18">
        <f t="shared" si="43"/>
        <v>0.80778819655772682</v>
      </c>
    </row>
    <row r="162" spans="2:31" x14ac:dyDescent="0.25">
      <c r="B162" s="8">
        <v>1</v>
      </c>
      <c r="C162" s="8">
        <v>16</v>
      </c>
      <c r="D162" s="8">
        <v>1</v>
      </c>
      <c r="E162" s="12">
        <v>16</v>
      </c>
      <c r="F162" s="12">
        <v>2</v>
      </c>
      <c r="G162" s="12">
        <v>2</v>
      </c>
      <c r="H162" s="12">
        <v>256</v>
      </c>
      <c r="I162" s="12">
        <v>30</v>
      </c>
      <c r="J162" s="14">
        <f t="shared" si="44"/>
        <v>1</v>
      </c>
      <c r="K162" s="8">
        <f>8192</f>
        <v>8192</v>
      </c>
      <c r="L162" s="12">
        <v>576</v>
      </c>
      <c r="M162" s="12">
        <v>512</v>
      </c>
      <c r="N162" s="15">
        <f t="shared" si="33"/>
        <v>1940.2105263157894</v>
      </c>
      <c r="O162" s="15">
        <f t="shared" si="34"/>
        <v>314572.79999999999</v>
      </c>
      <c r="P162" s="15">
        <f t="shared" si="35"/>
        <v>36864</v>
      </c>
      <c r="Q162" s="15">
        <f t="shared" si="36"/>
        <v>316513.01052631577</v>
      </c>
      <c r="R162" s="15">
        <f t="shared" si="37"/>
        <v>4096</v>
      </c>
      <c r="S162" s="15">
        <f t="shared" si="38"/>
        <v>279620.26666666666</v>
      </c>
      <c r="T162" s="15">
        <f t="shared" si="30"/>
        <v>36864</v>
      </c>
      <c r="U162" s="15">
        <f t="shared" si="39"/>
        <v>283716.26666666666</v>
      </c>
      <c r="V162" s="15">
        <f t="shared" si="31"/>
        <v>341.33333333333331</v>
      </c>
      <c r="W162" s="12">
        <f t="shared" si="40"/>
        <v>25027</v>
      </c>
      <c r="X162" s="12"/>
      <c r="Y162" s="16">
        <f t="shared" si="41"/>
        <v>625597.61052631575</v>
      </c>
      <c r="Z162" s="11">
        <f t="shared" si="32"/>
        <v>0.62559761052631579</v>
      </c>
      <c r="AB162">
        <v>0.494834</v>
      </c>
      <c r="AC162">
        <v>0.37697700000000001</v>
      </c>
      <c r="AD162" s="18">
        <f t="shared" si="42"/>
        <v>1.2642575298510528</v>
      </c>
      <c r="AE162" s="18">
        <f t="shared" si="43"/>
        <v>1.659511350894924</v>
      </c>
    </row>
    <row r="163" spans="2:31" x14ac:dyDescent="0.25">
      <c r="B163" s="8">
        <v>2</v>
      </c>
      <c r="C163" s="8">
        <v>16</v>
      </c>
      <c r="D163" s="8">
        <v>1</v>
      </c>
      <c r="E163" s="12">
        <v>16</v>
      </c>
      <c r="F163" s="12">
        <v>2</v>
      </c>
      <c r="G163" s="12">
        <v>2</v>
      </c>
      <c r="H163" s="12">
        <v>256</v>
      </c>
      <c r="I163" s="12">
        <v>30</v>
      </c>
      <c r="J163" s="14">
        <f t="shared" si="44"/>
        <v>1</v>
      </c>
      <c r="K163" s="8">
        <f>8192</f>
        <v>8192</v>
      </c>
      <c r="L163" s="12">
        <v>576</v>
      </c>
      <c r="M163" s="12">
        <v>512</v>
      </c>
      <c r="N163" s="15">
        <f t="shared" si="33"/>
        <v>1940.2105263157894</v>
      </c>
      <c r="O163" s="15">
        <f t="shared" si="34"/>
        <v>314572.79999999999</v>
      </c>
      <c r="P163" s="15">
        <f t="shared" si="35"/>
        <v>36864</v>
      </c>
      <c r="Q163" s="15">
        <f t="shared" si="36"/>
        <v>316513.01052631577</v>
      </c>
      <c r="R163" s="15">
        <f t="shared" si="37"/>
        <v>4096</v>
      </c>
      <c r="S163" s="15">
        <f t="shared" si="38"/>
        <v>279620.26666666666</v>
      </c>
      <c r="T163" s="15">
        <f t="shared" si="30"/>
        <v>36864</v>
      </c>
      <c r="U163" s="15">
        <f t="shared" si="39"/>
        <v>283716.26666666666</v>
      </c>
      <c r="V163" s="15">
        <f t="shared" si="31"/>
        <v>341.33333333333331</v>
      </c>
      <c r="W163" s="12">
        <f t="shared" si="40"/>
        <v>25027</v>
      </c>
      <c r="X163" s="12"/>
      <c r="Y163" s="16">
        <f t="shared" si="41"/>
        <v>625597.61052631575</v>
      </c>
      <c r="Z163" s="11">
        <f t="shared" si="32"/>
        <v>0.62559761052631579</v>
      </c>
      <c r="AB163">
        <v>0.65462500000000001</v>
      </c>
      <c r="AC163">
        <v>0.53095199999999998</v>
      </c>
      <c r="AD163" s="18">
        <f t="shared" si="42"/>
        <v>0.95565798820136072</v>
      </c>
      <c r="AE163" s="18">
        <f t="shared" si="43"/>
        <v>1.1782564347178575</v>
      </c>
    </row>
    <row r="164" spans="2:31" x14ac:dyDescent="0.25">
      <c r="B164">
        <v>4</v>
      </c>
      <c r="C164">
        <v>16</v>
      </c>
      <c r="D164">
        <v>1</v>
      </c>
      <c r="E164" s="12">
        <v>16</v>
      </c>
      <c r="F164" s="12">
        <v>2</v>
      </c>
      <c r="G164" s="12">
        <v>2</v>
      </c>
      <c r="H164" s="12">
        <v>256</v>
      </c>
      <c r="I164" s="12">
        <v>30</v>
      </c>
      <c r="J164" s="14">
        <f t="shared" si="44"/>
        <v>1</v>
      </c>
      <c r="K164">
        <f>8192</f>
        <v>8192</v>
      </c>
      <c r="L164" s="12">
        <v>576</v>
      </c>
      <c r="M164" s="12">
        <v>512</v>
      </c>
      <c r="N164" s="15">
        <f t="shared" si="33"/>
        <v>1940.2105263157894</v>
      </c>
      <c r="O164" s="15">
        <f t="shared" si="34"/>
        <v>314572.79999999999</v>
      </c>
      <c r="P164" s="15">
        <f t="shared" si="35"/>
        <v>36864</v>
      </c>
      <c r="Q164" s="15">
        <f t="shared" si="36"/>
        <v>316513.01052631577</v>
      </c>
      <c r="R164" s="15">
        <f t="shared" si="37"/>
        <v>4096</v>
      </c>
      <c r="S164" s="15">
        <f t="shared" si="38"/>
        <v>279620.26666666666</v>
      </c>
      <c r="T164" s="15">
        <f t="shared" si="30"/>
        <v>36864</v>
      </c>
      <c r="U164" s="15">
        <f t="shared" si="39"/>
        <v>283716.26666666666</v>
      </c>
      <c r="V164" s="15">
        <f t="shared" si="31"/>
        <v>341.33333333333331</v>
      </c>
      <c r="W164" s="12">
        <f t="shared" si="40"/>
        <v>25027</v>
      </c>
      <c r="X164" s="12"/>
      <c r="Y164" s="16">
        <f t="shared" si="41"/>
        <v>625597.61052631575</v>
      </c>
      <c r="Z164" s="11">
        <f t="shared" si="32"/>
        <v>0.62559761052631579</v>
      </c>
      <c r="AB164">
        <v>0.69570399999999999</v>
      </c>
      <c r="AC164">
        <v>0.56937300000000002</v>
      </c>
      <c r="AD164" s="18">
        <f t="shared" si="42"/>
        <v>0.89922957252842561</v>
      </c>
      <c r="AE164" s="18">
        <f t="shared" si="43"/>
        <v>1.0987482907098085</v>
      </c>
    </row>
    <row r="165" spans="2:31" x14ac:dyDescent="0.25">
      <c r="B165">
        <v>8</v>
      </c>
      <c r="C165">
        <v>16</v>
      </c>
      <c r="D165">
        <v>1</v>
      </c>
      <c r="E165" s="12">
        <v>16</v>
      </c>
      <c r="F165" s="12">
        <v>2</v>
      </c>
      <c r="G165" s="12">
        <v>2</v>
      </c>
      <c r="H165" s="12">
        <v>256</v>
      </c>
      <c r="I165" s="12">
        <v>30</v>
      </c>
      <c r="J165" s="14">
        <f t="shared" si="44"/>
        <v>1</v>
      </c>
      <c r="K165">
        <f>8192</f>
        <v>8192</v>
      </c>
      <c r="L165" s="12">
        <v>576</v>
      </c>
      <c r="M165" s="12">
        <v>512</v>
      </c>
      <c r="N165" s="15">
        <f t="shared" si="33"/>
        <v>1940.2105263157894</v>
      </c>
      <c r="O165" s="15">
        <f t="shared" si="34"/>
        <v>314572.79999999999</v>
      </c>
      <c r="P165" s="15">
        <f t="shared" si="35"/>
        <v>36864</v>
      </c>
      <c r="Q165" s="15">
        <f t="shared" si="36"/>
        <v>316513.01052631577</v>
      </c>
      <c r="R165" s="15">
        <f t="shared" si="37"/>
        <v>4096</v>
      </c>
      <c r="S165" s="15">
        <f t="shared" si="38"/>
        <v>279620.26666666666</v>
      </c>
      <c r="T165" s="15">
        <f t="shared" si="30"/>
        <v>36864</v>
      </c>
      <c r="U165" s="15">
        <f t="shared" si="39"/>
        <v>283716.26666666666</v>
      </c>
      <c r="V165" s="15">
        <f t="shared" si="31"/>
        <v>341.33333333333331</v>
      </c>
      <c r="W165" s="12">
        <f t="shared" si="40"/>
        <v>25027</v>
      </c>
      <c r="X165" s="12"/>
      <c r="Y165" s="16">
        <f t="shared" si="41"/>
        <v>625597.61052631575</v>
      </c>
      <c r="Z165" s="11">
        <f t="shared" si="32"/>
        <v>0.62559761052631579</v>
      </c>
      <c r="AB165">
        <v>0.92732400000000004</v>
      </c>
      <c r="AC165">
        <v>0.77815599999999996</v>
      </c>
      <c r="AD165" s="18">
        <f t="shared" si="42"/>
        <v>0.67462678689035949</v>
      </c>
      <c r="AE165" s="18">
        <f t="shared" si="43"/>
        <v>0.8039488361283802</v>
      </c>
    </row>
    <row r="166" spans="2:31" x14ac:dyDescent="0.25">
      <c r="B166">
        <v>16</v>
      </c>
      <c r="C166">
        <v>16</v>
      </c>
      <c r="D166">
        <v>1</v>
      </c>
      <c r="E166" s="12">
        <v>16</v>
      </c>
      <c r="F166" s="12">
        <v>2</v>
      </c>
      <c r="G166" s="12">
        <v>2</v>
      </c>
      <c r="H166" s="12">
        <v>256</v>
      </c>
      <c r="I166" s="12">
        <v>30</v>
      </c>
      <c r="J166" s="14">
        <f t="shared" si="44"/>
        <v>1</v>
      </c>
      <c r="K166">
        <f>8192</f>
        <v>8192</v>
      </c>
      <c r="L166" s="12">
        <v>576</v>
      </c>
      <c r="M166" s="12">
        <v>512</v>
      </c>
      <c r="N166" s="15">
        <f t="shared" si="33"/>
        <v>1940.2105263157894</v>
      </c>
      <c r="O166" s="15">
        <f t="shared" si="34"/>
        <v>314572.79999999999</v>
      </c>
      <c r="P166" s="15">
        <f t="shared" si="35"/>
        <v>36864</v>
      </c>
      <c r="Q166" s="15">
        <f t="shared" si="36"/>
        <v>316513.01052631577</v>
      </c>
      <c r="R166" s="15">
        <f t="shared" si="37"/>
        <v>4096</v>
      </c>
      <c r="S166" s="15">
        <f t="shared" si="38"/>
        <v>279620.26666666666</v>
      </c>
      <c r="T166" s="15">
        <f t="shared" si="30"/>
        <v>36864</v>
      </c>
      <c r="U166" s="15">
        <f t="shared" si="39"/>
        <v>283716.26666666666</v>
      </c>
      <c r="V166" s="15">
        <f t="shared" si="31"/>
        <v>341.33333333333331</v>
      </c>
      <c r="W166" s="12">
        <f t="shared" si="40"/>
        <v>25027</v>
      </c>
      <c r="X166" s="12"/>
      <c r="Y166" s="16">
        <f t="shared" si="41"/>
        <v>625597.61052631575</v>
      </c>
      <c r="Z166" s="11">
        <f t="shared" si="32"/>
        <v>0.62559761052631579</v>
      </c>
      <c r="AB166">
        <v>1.11528</v>
      </c>
      <c r="AC166">
        <v>0.88453400000000004</v>
      </c>
      <c r="AD166" s="18">
        <f t="shared" si="42"/>
        <v>0.5609332280022199</v>
      </c>
      <c r="AE166" s="18">
        <f t="shared" si="43"/>
        <v>0.70726236699359868</v>
      </c>
    </row>
    <row r="167" spans="2:31" x14ac:dyDescent="0.25">
      <c r="B167">
        <v>32</v>
      </c>
      <c r="C167">
        <v>16</v>
      </c>
      <c r="D167">
        <v>1</v>
      </c>
      <c r="E167" s="12">
        <v>16</v>
      </c>
      <c r="F167" s="12">
        <v>2</v>
      </c>
      <c r="G167" s="12">
        <v>2</v>
      </c>
      <c r="H167" s="12">
        <v>256</v>
      </c>
      <c r="I167" s="12">
        <v>30</v>
      </c>
      <c r="J167" s="14">
        <f t="shared" si="44"/>
        <v>2</v>
      </c>
      <c r="K167">
        <f>8192</f>
        <v>8192</v>
      </c>
      <c r="L167" s="12">
        <v>576</v>
      </c>
      <c r="M167" s="12">
        <v>512</v>
      </c>
      <c r="N167" s="15">
        <f t="shared" si="33"/>
        <v>3880.4210526315787</v>
      </c>
      <c r="O167" s="15">
        <f t="shared" si="34"/>
        <v>629145.59999999998</v>
      </c>
      <c r="P167" s="15">
        <f t="shared" si="35"/>
        <v>73728</v>
      </c>
      <c r="Q167" s="15">
        <f t="shared" si="36"/>
        <v>633026.02105263155</v>
      </c>
      <c r="R167" s="15">
        <f t="shared" si="37"/>
        <v>8192</v>
      </c>
      <c r="S167" s="15">
        <f t="shared" si="38"/>
        <v>559240.53333333333</v>
      </c>
      <c r="T167" s="15">
        <f t="shared" si="30"/>
        <v>73728</v>
      </c>
      <c r="U167" s="15">
        <f t="shared" si="39"/>
        <v>567432.53333333333</v>
      </c>
      <c r="V167" s="15">
        <f t="shared" si="31"/>
        <v>682.66666666666663</v>
      </c>
      <c r="W167" s="12">
        <f t="shared" si="40"/>
        <v>50054</v>
      </c>
      <c r="X167" s="12"/>
      <c r="Y167" s="16">
        <f t="shared" si="41"/>
        <v>1251195.2210526315</v>
      </c>
      <c r="Z167" s="11">
        <f t="shared" si="32"/>
        <v>1.2511952210526316</v>
      </c>
      <c r="AB167">
        <v>1.9653929999999999</v>
      </c>
      <c r="AC167">
        <v>1.632541</v>
      </c>
      <c r="AD167" s="18">
        <f t="shared" si="42"/>
        <v>0.63661324786067297</v>
      </c>
      <c r="AE167" s="18">
        <f t="shared" si="43"/>
        <v>0.76640967733896515</v>
      </c>
    </row>
    <row r="168" spans="2:31" x14ac:dyDescent="0.25">
      <c r="B168">
        <v>64</v>
      </c>
      <c r="C168">
        <v>16</v>
      </c>
      <c r="D168">
        <v>1</v>
      </c>
      <c r="E168" s="12">
        <v>16</v>
      </c>
      <c r="F168" s="12">
        <v>2</v>
      </c>
      <c r="G168" s="12">
        <v>2</v>
      </c>
      <c r="H168" s="12">
        <v>256</v>
      </c>
      <c r="I168" s="12">
        <v>30</v>
      </c>
      <c r="J168" s="14">
        <f t="shared" si="44"/>
        <v>4</v>
      </c>
      <c r="K168">
        <f>8192</f>
        <v>8192</v>
      </c>
      <c r="L168" s="12">
        <v>576</v>
      </c>
      <c r="M168" s="12">
        <v>512</v>
      </c>
      <c r="N168" s="15">
        <f t="shared" si="33"/>
        <v>7760.8421052631575</v>
      </c>
      <c r="O168" s="15">
        <f t="shared" si="34"/>
        <v>1258291.2</v>
      </c>
      <c r="P168" s="15">
        <f t="shared" si="35"/>
        <v>147456</v>
      </c>
      <c r="Q168" s="15">
        <f t="shared" si="36"/>
        <v>1266052.0421052631</v>
      </c>
      <c r="R168" s="15">
        <f t="shared" si="37"/>
        <v>16384</v>
      </c>
      <c r="S168" s="15">
        <f t="shared" si="38"/>
        <v>1118481.0666666667</v>
      </c>
      <c r="T168" s="15">
        <f t="shared" si="30"/>
        <v>147456</v>
      </c>
      <c r="U168" s="15">
        <f t="shared" si="39"/>
        <v>1134865.0666666667</v>
      </c>
      <c r="V168" s="15">
        <f t="shared" si="31"/>
        <v>1365.3333333333333</v>
      </c>
      <c r="W168" s="12">
        <f t="shared" si="40"/>
        <v>100108</v>
      </c>
      <c r="X168" s="12"/>
      <c r="Y168" s="16">
        <f t="shared" si="41"/>
        <v>2502390.442105263</v>
      </c>
      <c r="Z168" s="11">
        <f t="shared" si="32"/>
        <v>2.5023904421052632</v>
      </c>
      <c r="AB168">
        <v>3.8263780000000001</v>
      </c>
      <c r="AC168">
        <v>3.1185710000000002</v>
      </c>
      <c r="AD168" s="18">
        <f t="shared" si="42"/>
        <v>0.65398411816743229</v>
      </c>
      <c r="AE168" s="18">
        <f t="shared" si="43"/>
        <v>0.80241573531763843</v>
      </c>
    </row>
    <row r="169" spans="2:31" x14ac:dyDescent="0.25">
      <c r="B169">
        <v>128</v>
      </c>
      <c r="C169">
        <v>16</v>
      </c>
      <c r="D169">
        <v>1</v>
      </c>
      <c r="E169" s="12">
        <v>16</v>
      </c>
      <c r="F169" s="12">
        <v>2</v>
      </c>
      <c r="G169" s="12">
        <v>2</v>
      </c>
      <c r="H169" s="12">
        <v>256</v>
      </c>
      <c r="I169" s="12">
        <v>30</v>
      </c>
      <c r="J169" s="14">
        <f t="shared" si="44"/>
        <v>8</v>
      </c>
      <c r="K169">
        <f>8192</f>
        <v>8192</v>
      </c>
      <c r="L169" s="12">
        <v>576</v>
      </c>
      <c r="M169" s="12">
        <v>512</v>
      </c>
      <c r="N169" s="15">
        <f t="shared" si="33"/>
        <v>15521.684210526315</v>
      </c>
      <c r="O169" s="15">
        <f t="shared" si="34"/>
        <v>2516582.3999999999</v>
      </c>
      <c r="P169" s="15">
        <f t="shared" si="35"/>
        <v>294912</v>
      </c>
      <c r="Q169" s="15">
        <f t="shared" si="36"/>
        <v>2532104.0842105262</v>
      </c>
      <c r="R169" s="15">
        <f t="shared" si="37"/>
        <v>32768</v>
      </c>
      <c r="S169" s="15">
        <f t="shared" si="38"/>
        <v>2236962.1333333333</v>
      </c>
      <c r="T169" s="15">
        <f t="shared" si="30"/>
        <v>294912</v>
      </c>
      <c r="U169" s="15">
        <f t="shared" si="39"/>
        <v>2269730.1333333333</v>
      </c>
      <c r="V169" s="15">
        <f t="shared" si="31"/>
        <v>2730.6666666666665</v>
      </c>
      <c r="W169" s="12">
        <f t="shared" si="40"/>
        <v>200216</v>
      </c>
      <c r="X169" s="12"/>
      <c r="Y169" s="16">
        <f t="shared" si="41"/>
        <v>5004780.884210526</v>
      </c>
      <c r="Z169" s="11">
        <f t="shared" si="32"/>
        <v>5.0047808842105264</v>
      </c>
      <c r="AB169">
        <v>7.54528</v>
      </c>
      <c r="AC169">
        <v>6.1056340000000002</v>
      </c>
      <c r="AD169" s="18">
        <f t="shared" si="42"/>
        <v>0.66329955736705948</v>
      </c>
      <c r="AE169" s="18">
        <f t="shared" si="43"/>
        <v>0.81969880346750656</v>
      </c>
    </row>
    <row r="170" spans="2:31" x14ac:dyDescent="0.25">
      <c r="B170">
        <v>256</v>
      </c>
      <c r="C170">
        <v>16</v>
      </c>
      <c r="D170">
        <v>1</v>
      </c>
      <c r="E170" s="12">
        <v>16</v>
      </c>
      <c r="F170" s="12">
        <v>2</v>
      </c>
      <c r="G170" s="12">
        <v>2</v>
      </c>
      <c r="H170" s="12">
        <v>256</v>
      </c>
      <c r="I170" s="12">
        <v>30</v>
      </c>
      <c r="J170" s="14">
        <f t="shared" si="44"/>
        <v>16</v>
      </c>
      <c r="K170">
        <f>8192</f>
        <v>8192</v>
      </c>
      <c r="L170" s="12">
        <v>576</v>
      </c>
      <c r="M170" s="12">
        <v>512</v>
      </c>
      <c r="N170" s="15">
        <f t="shared" si="33"/>
        <v>31043.36842105263</v>
      </c>
      <c r="O170" s="15">
        <f t="shared" si="34"/>
        <v>5033164.7999999998</v>
      </c>
      <c r="P170" s="15">
        <f t="shared" si="35"/>
        <v>589824</v>
      </c>
      <c r="Q170" s="15">
        <f t="shared" si="36"/>
        <v>5064208.1684210524</v>
      </c>
      <c r="R170" s="15">
        <f t="shared" si="37"/>
        <v>65536</v>
      </c>
      <c r="S170" s="15">
        <f t="shared" si="38"/>
        <v>4473924.2666666666</v>
      </c>
      <c r="T170" s="15">
        <f t="shared" si="30"/>
        <v>589824</v>
      </c>
      <c r="U170" s="15">
        <f t="shared" si="39"/>
        <v>4539460.2666666666</v>
      </c>
      <c r="V170" s="15">
        <f t="shared" si="31"/>
        <v>5461.333333333333</v>
      </c>
      <c r="W170" s="12">
        <f t="shared" si="40"/>
        <v>400432</v>
      </c>
      <c r="X170" s="12"/>
      <c r="Y170" s="16">
        <f t="shared" si="41"/>
        <v>10009561.768421052</v>
      </c>
      <c r="Z170" s="11">
        <f t="shared" si="32"/>
        <v>10.009561768421053</v>
      </c>
      <c r="AB170">
        <v>14.894682</v>
      </c>
      <c r="AC170">
        <v>12.132483000000001</v>
      </c>
      <c r="AD170" s="18">
        <f t="shared" si="42"/>
        <v>0.6720225224292169</v>
      </c>
      <c r="AE170" s="18">
        <f t="shared" si="43"/>
        <v>0.82502170152812515</v>
      </c>
    </row>
    <row r="171" spans="2:31" x14ac:dyDescent="0.25">
      <c r="B171">
        <v>512</v>
      </c>
      <c r="C171">
        <v>16</v>
      </c>
      <c r="D171">
        <v>1</v>
      </c>
      <c r="E171" s="12">
        <v>16</v>
      </c>
      <c r="F171" s="12">
        <v>2</v>
      </c>
      <c r="G171" s="12">
        <v>2</v>
      </c>
      <c r="H171" s="12">
        <v>256</v>
      </c>
      <c r="I171" s="12">
        <v>30</v>
      </c>
      <c r="J171" s="14">
        <f t="shared" si="44"/>
        <v>32</v>
      </c>
      <c r="K171">
        <f>8192</f>
        <v>8192</v>
      </c>
      <c r="L171" s="12">
        <v>576</v>
      </c>
      <c r="M171" s="12">
        <v>512</v>
      </c>
      <c r="N171" s="15">
        <f t="shared" si="33"/>
        <v>62086.73684210526</v>
      </c>
      <c r="O171" s="15">
        <f t="shared" si="34"/>
        <v>10066329.6</v>
      </c>
      <c r="P171" s="15">
        <f t="shared" si="35"/>
        <v>1179648</v>
      </c>
      <c r="Q171" s="15">
        <f t="shared" si="36"/>
        <v>10128416.336842105</v>
      </c>
      <c r="R171" s="15">
        <f t="shared" si="37"/>
        <v>131072</v>
      </c>
      <c r="S171" s="15">
        <f t="shared" si="38"/>
        <v>8947848.5333333332</v>
      </c>
      <c r="T171" s="15">
        <f t="shared" si="30"/>
        <v>1179648</v>
      </c>
      <c r="U171" s="15">
        <f t="shared" si="39"/>
        <v>9078920.5333333332</v>
      </c>
      <c r="V171" s="15">
        <f t="shared" si="31"/>
        <v>10922.666666666666</v>
      </c>
      <c r="W171" s="12">
        <f t="shared" si="40"/>
        <v>800864</v>
      </c>
      <c r="X171" s="12"/>
      <c r="Y171" s="16">
        <f t="shared" si="41"/>
        <v>20019123.536842104</v>
      </c>
      <c r="Z171" s="11">
        <f t="shared" si="32"/>
        <v>20.019123536842105</v>
      </c>
      <c r="AB171">
        <v>29.801991000000001</v>
      </c>
      <c r="AC171">
        <v>24.175184000000002</v>
      </c>
      <c r="AD171" s="18">
        <f t="shared" si="42"/>
        <v>0.67173778882230062</v>
      </c>
      <c r="AE171" s="18">
        <f t="shared" si="43"/>
        <v>0.82808567400529831</v>
      </c>
    </row>
    <row r="172" spans="2:31" x14ac:dyDescent="0.25">
      <c r="B172" s="8">
        <v>1</v>
      </c>
      <c r="C172" s="8">
        <v>16</v>
      </c>
      <c r="D172" s="8">
        <v>1</v>
      </c>
      <c r="E172" s="12">
        <v>16</v>
      </c>
      <c r="F172" s="12">
        <v>2</v>
      </c>
      <c r="G172" s="12">
        <v>2</v>
      </c>
      <c r="H172" s="12">
        <v>256</v>
      </c>
      <c r="I172" s="12">
        <v>30</v>
      </c>
      <c r="J172" s="14">
        <f t="shared" si="44"/>
        <v>1</v>
      </c>
      <c r="K172" s="8">
        <f>16384</f>
        <v>16384</v>
      </c>
      <c r="L172" s="12">
        <v>576</v>
      </c>
      <c r="M172" s="12">
        <v>512</v>
      </c>
      <c r="N172" s="15">
        <f t="shared" si="33"/>
        <v>1940.2105263157894</v>
      </c>
      <c r="O172" s="15">
        <f t="shared" si="34"/>
        <v>629145.59999999998</v>
      </c>
      <c r="P172" s="15">
        <f t="shared" si="35"/>
        <v>73728</v>
      </c>
      <c r="Q172" s="15">
        <f t="shared" si="36"/>
        <v>631085.81052631582</v>
      </c>
      <c r="R172" s="15">
        <f t="shared" si="37"/>
        <v>8192</v>
      </c>
      <c r="S172" s="15">
        <f t="shared" si="38"/>
        <v>559240.53333333333</v>
      </c>
      <c r="T172" s="15">
        <f t="shared" si="30"/>
        <v>73728</v>
      </c>
      <c r="U172" s="15">
        <f t="shared" si="39"/>
        <v>567432.53333333333</v>
      </c>
      <c r="V172" s="15">
        <f t="shared" si="31"/>
        <v>341.33333333333331</v>
      </c>
      <c r="W172" s="12">
        <f t="shared" si="40"/>
        <v>49859</v>
      </c>
      <c r="X172" s="12"/>
      <c r="Y172" s="16">
        <f t="shared" si="41"/>
        <v>1248718.6771929825</v>
      </c>
      <c r="Z172" s="11">
        <f t="shared" si="32"/>
        <v>1.2487186771929826</v>
      </c>
      <c r="AB172">
        <v>0.92367100000000002</v>
      </c>
      <c r="AC172">
        <v>0.68441399999999997</v>
      </c>
      <c r="AD172" s="18">
        <f t="shared" si="42"/>
        <v>1.3519085011795136</v>
      </c>
      <c r="AE172" s="18">
        <f t="shared" si="43"/>
        <v>1.8245077938104461</v>
      </c>
    </row>
    <row r="173" spans="2:31" x14ac:dyDescent="0.25">
      <c r="B173" s="8">
        <v>2</v>
      </c>
      <c r="C173" s="8">
        <v>16</v>
      </c>
      <c r="D173" s="8">
        <v>1</v>
      </c>
      <c r="E173" s="12">
        <v>16</v>
      </c>
      <c r="F173" s="12">
        <v>2</v>
      </c>
      <c r="G173" s="12">
        <v>2</v>
      </c>
      <c r="H173" s="12">
        <v>256</v>
      </c>
      <c r="I173" s="12">
        <v>30</v>
      </c>
      <c r="J173" s="14">
        <f t="shared" si="44"/>
        <v>1</v>
      </c>
      <c r="K173" s="8">
        <f>16384</f>
        <v>16384</v>
      </c>
      <c r="L173" s="12">
        <v>576</v>
      </c>
      <c r="M173" s="12">
        <v>512</v>
      </c>
      <c r="N173" s="15">
        <f t="shared" si="33"/>
        <v>1940.2105263157894</v>
      </c>
      <c r="O173" s="15">
        <f t="shared" si="34"/>
        <v>629145.59999999998</v>
      </c>
      <c r="P173" s="15">
        <f t="shared" si="35"/>
        <v>73728</v>
      </c>
      <c r="Q173" s="15">
        <f t="shared" si="36"/>
        <v>631085.81052631582</v>
      </c>
      <c r="R173" s="15">
        <f t="shared" si="37"/>
        <v>8192</v>
      </c>
      <c r="S173" s="15">
        <f t="shared" si="38"/>
        <v>559240.53333333333</v>
      </c>
      <c r="T173" s="15">
        <f t="shared" si="30"/>
        <v>73728</v>
      </c>
      <c r="U173" s="15">
        <f t="shared" si="39"/>
        <v>567432.53333333333</v>
      </c>
      <c r="V173" s="15">
        <f t="shared" si="31"/>
        <v>341.33333333333331</v>
      </c>
      <c r="W173" s="12">
        <f t="shared" si="40"/>
        <v>49859</v>
      </c>
      <c r="X173" s="12"/>
      <c r="Y173" s="16">
        <f t="shared" si="41"/>
        <v>1248718.6771929825</v>
      </c>
      <c r="Z173" s="11">
        <f t="shared" si="32"/>
        <v>1.2487186771929826</v>
      </c>
      <c r="AB173">
        <v>1.243007</v>
      </c>
      <c r="AC173">
        <v>0.98672899999999997</v>
      </c>
      <c r="AD173" s="18">
        <f t="shared" si="42"/>
        <v>1.0045950482925539</v>
      </c>
      <c r="AE173" s="18">
        <f t="shared" si="43"/>
        <v>1.2655133042537339</v>
      </c>
    </row>
    <row r="174" spans="2:31" x14ac:dyDescent="0.25">
      <c r="B174">
        <v>4</v>
      </c>
      <c r="C174">
        <v>16</v>
      </c>
      <c r="D174">
        <v>1</v>
      </c>
      <c r="E174" s="12">
        <v>16</v>
      </c>
      <c r="F174" s="12">
        <v>2</v>
      </c>
      <c r="G174" s="12">
        <v>2</v>
      </c>
      <c r="H174" s="12">
        <v>256</v>
      </c>
      <c r="I174" s="12">
        <v>30</v>
      </c>
      <c r="J174" s="14">
        <f t="shared" si="44"/>
        <v>1</v>
      </c>
      <c r="K174">
        <f>16384</f>
        <v>16384</v>
      </c>
      <c r="L174" s="12">
        <v>576</v>
      </c>
      <c r="M174" s="12">
        <v>512</v>
      </c>
      <c r="N174" s="15">
        <f t="shared" si="33"/>
        <v>1940.2105263157894</v>
      </c>
      <c r="O174" s="15">
        <f t="shared" si="34"/>
        <v>629145.59999999998</v>
      </c>
      <c r="P174" s="15">
        <f t="shared" si="35"/>
        <v>73728</v>
      </c>
      <c r="Q174" s="15">
        <f t="shared" si="36"/>
        <v>631085.81052631582</v>
      </c>
      <c r="R174" s="15">
        <f t="shared" si="37"/>
        <v>8192</v>
      </c>
      <c r="S174" s="15">
        <f t="shared" si="38"/>
        <v>559240.53333333333</v>
      </c>
      <c r="T174" s="15">
        <f t="shared" si="30"/>
        <v>73728</v>
      </c>
      <c r="U174" s="15">
        <f t="shared" si="39"/>
        <v>567432.53333333333</v>
      </c>
      <c r="V174" s="15">
        <f t="shared" si="31"/>
        <v>341.33333333333331</v>
      </c>
      <c r="W174" s="12">
        <f t="shared" si="40"/>
        <v>49859</v>
      </c>
      <c r="X174" s="12"/>
      <c r="Y174" s="16">
        <f t="shared" si="41"/>
        <v>1248718.6771929825</v>
      </c>
      <c r="Z174" s="11">
        <f t="shared" si="32"/>
        <v>1.2487186771929826</v>
      </c>
      <c r="AB174">
        <v>1.328945</v>
      </c>
      <c r="AC174">
        <v>1.0569770000000001</v>
      </c>
      <c r="AD174" s="18">
        <f t="shared" si="42"/>
        <v>0.93963157030048838</v>
      </c>
      <c r="AE174" s="18">
        <f t="shared" si="43"/>
        <v>1.1814057232967061</v>
      </c>
    </row>
    <row r="175" spans="2:31" x14ac:dyDescent="0.25">
      <c r="B175">
        <v>8</v>
      </c>
      <c r="C175">
        <v>16</v>
      </c>
      <c r="D175">
        <v>1</v>
      </c>
      <c r="E175" s="12">
        <v>16</v>
      </c>
      <c r="F175" s="12">
        <v>2</v>
      </c>
      <c r="G175" s="12">
        <v>2</v>
      </c>
      <c r="H175" s="12">
        <v>256</v>
      </c>
      <c r="I175" s="12">
        <v>30</v>
      </c>
      <c r="J175" s="14">
        <f t="shared" si="44"/>
        <v>1</v>
      </c>
      <c r="K175">
        <f>16384</f>
        <v>16384</v>
      </c>
      <c r="L175" s="12">
        <v>576</v>
      </c>
      <c r="M175" s="12">
        <v>512</v>
      </c>
      <c r="N175" s="15">
        <f t="shared" si="33"/>
        <v>1940.2105263157894</v>
      </c>
      <c r="O175" s="15">
        <f t="shared" si="34"/>
        <v>629145.59999999998</v>
      </c>
      <c r="P175" s="15">
        <f t="shared" si="35"/>
        <v>73728</v>
      </c>
      <c r="Q175" s="15">
        <f t="shared" si="36"/>
        <v>631085.81052631582</v>
      </c>
      <c r="R175" s="15">
        <f t="shared" si="37"/>
        <v>8192</v>
      </c>
      <c r="S175" s="15">
        <f t="shared" si="38"/>
        <v>559240.53333333333</v>
      </c>
      <c r="T175" s="15">
        <f t="shared" si="30"/>
        <v>73728</v>
      </c>
      <c r="U175" s="15">
        <f t="shared" si="39"/>
        <v>567432.53333333333</v>
      </c>
      <c r="V175" s="15">
        <f t="shared" si="31"/>
        <v>341.33333333333331</v>
      </c>
      <c r="W175" s="12">
        <f t="shared" si="40"/>
        <v>49859</v>
      </c>
      <c r="X175" s="12"/>
      <c r="Y175" s="16">
        <f t="shared" si="41"/>
        <v>1248718.6771929825</v>
      </c>
      <c r="Z175" s="11">
        <f t="shared" si="32"/>
        <v>1.2487186771929826</v>
      </c>
      <c r="AB175">
        <v>1.7718039999999999</v>
      </c>
      <c r="AC175">
        <v>1.477171</v>
      </c>
      <c r="AD175" s="18">
        <f t="shared" si="42"/>
        <v>0.70477246760532353</v>
      </c>
      <c r="AE175" s="18">
        <f t="shared" si="43"/>
        <v>0.8453447009134234</v>
      </c>
    </row>
    <row r="176" spans="2:31" x14ac:dyDescent="0.25">
      <c r="B176">
        <v>16</v>
      </c>
      <c r="C176">
        <v>16</v>
      </c>
      <c r="D176">
        <v>1</v>
      </c>
      <c r="E176" s="12">
        <v>16</v>
      </c>
      <c r="F176" s="12">
        <v>2</v>
      </c>
      <c r="G176" s="12">
        <v>2</v>
      </c>
      <c r="H176" s="12">
        <v>256</v>
      </c>
      <c r="I176" s="12">
        <v>30</v>
      </c>
      <c r="J176" s="14">
        <f t="shared" si="44"/>
        <v>1</v>
      </c>
      <c r="K176">
        <f>16384</f>
        <v>16384</v>
      </c>
      <c r="L176" s="12">
        <v>576</v>
      </c>
      <c r="M176" s="12">
        <v>512</v>
      </c>
      <c r="N176" s="15">
        <f t="shared" si="33"/>
        <v>1940.2105263157894</v>
      </c>
      <c r="O176" s="15">
        <f t="shared" si="34"/>
        <v>629145.59999999998</v>
      </c>
      <c r="P176" s="15">
        <f t="shared" si="35"/>
        <v>73728</v>
      </c>
      <c r="Q176" s="15">
        <f t="shared" si="36"/>
        <v>631085.81052631582</v>
      </c>
      <c r="R176" s="15">
        <f t="shared" si="37"/>
        <v>8192</v>
      </c>
      <c r="S176" s="15">
        <f t="shared" si="38"/>
        <v>559240.53333333333</v>
      </c>
      <c r="T176" s="15">
        <f t="shared" si="30"/>
        <v>73728</v>
      </c>
      <c r="U176" s="15">
        <f t="shared" si="39"/>
        <v>567432.53333333333</v>
      </c>
      <c r="V176" s="15">
        <f t="shared" si="31"/>
        <v>341.33333333333331</v>
      </c>
      <c r="W176" s="12">
        <f t="shared" si="40"/>
        <v>49859</v>
      </c>
      <c r="X176" s="12"/>
      <c r="Y176" s="16">
        <f t="shared" si="41"/>
        <v>1248718.6771929825</v>
      </c>
      <c r="Z176" s="11">
        <f t="shared" si="32"/>
        <v>1.2487186771929826</v>
      </c>
      <c r="AB176">
        <v>2.1905990000000002</v>
      </c>
      <c r="AC176">
        <v>1.627383</v>
      </c>
      <c r="AD176" s="18">
        <f t="shared" si="42"/>
        <v>0.57003526304585295</v>
      </c>
      <c r="AE176" s="18">
        <f t="shared" si="43"/>
        <v>0.76731702198743779</v>
      </c>
    </row>
    <row r="177" spans="2:31" x14ac:dyDescent="0.25">
      <c r="B177">
        <v>32</v>
      </c>
      <c r="C177">
        <v>16</v>
      </c>
      <c r="D177">
        <v>1</v>
      </c>
      <c r="E177" s="12">
        <v>16</v>
      </c>
      <c r="F177" s="12">
        <v>2</v>
      </c>
      <c r="G177" s="12">
        <v>2</v>
      </c>
      <c r="H177" s="12">
        <v>256</v>
      </c>
      <c r="I177" s="12">
        <v>30</v>
      </c>
      <c r="J177" s="14">
        <f t="shared" si="44"/>
        <v>2</v>
      </c>
      <c r="K177">
        <f>16384</f>
        <v>16384</v>
      </c>
      <c r="L177" s="12">
        <v>576</v>
      </c>
      <c r="M177" s="12">
        <v>512</v>
      </c>
      <c r="N177" s="15">
        <f t="shared" si="33"/>
        <v>3880.4210526315787</v>
      </c>
      <c r="O177" s="15">
        <f t="shared" si="34"/>
        <v>1258291.2</v>
      </c>
      <c r="P177" s="15">
        <f t="shared" si="35"/>
        <v>147456</v>
      </c>
      <c r="Q177" s="15">
        <f t="shared" si="36"/>
        <v>1262171.6210526316</v>
      </c>
      <c r="R177" s="15">
        <f t="shared" si="37"/>
        <v>16384</v>
      </c>
      <c r="S177" s="15">
        <f t="shared" si="38"/>
        <v>1118481.0666666667</v>
      </c>
      <c r="T177" s="15">
        <f t="shared" si="30"/>
        <v>147456</v>
      </c>
      <c r="U177" s="15">
        <f t="shared" si="39"/>
        <v>1134865.0666666667</v>
      </c>
      <c r="V177" s="15">
        <f t="shared" si="31"/>
        <v>682.66666666666663</v>
      </c>
      <c r="W177" s="12">
        <f t="shared" si="40"/>
        <v>99718</v>
      </c>
      <c r="X177" s="12"/>
      <c r="Y177" s="16">
        <f t="shared" si="41"/>
        <v>2497437.354385965</v>
      </c>
      <c r="Z177" s="11">
        <f t="shared" si="32"/>
        <v>2.4974373543859651</v>
      </c>
      <c r="AB177">
        <v>3.8674849999999998</v>
      </c>
      <c r="AC177">
        <v>3.113823</v>
      </c>
      <c r="AD177" s="18">
        <f t="shared" si="42"/>
        <v>0.64575230528003735</v>
      </c>
      <c r="AE177" s="18">
        <f t="shared" si="43"/>
        <v>0.80204859248132121</v>
      </c>
    </row>
    <row r="178" spans="2:31" x14ac:dyDescent="0.25">
      <c r="B178">
        <v>64</v>
      </c>
      <c r="C178">
        <v>16</v>
      </c>
      <c r="D178">
        <v>1</v>
      </c>
      <c r="E178" s="12">
        <v>16</v>
      </c>
      <c r="F178" s="12">
        <v>2</v>
      </c>
      <c r="G178" s="12">
        <v>2</v>
      </c>
      <c r="H178" s="12">
        <v>256</v>
      </c>
      <c r="I178" s="12">
        <v>30</v>
      </c>
      <c r="J178" s="14">
        <f t="shared" si="44"/>
        <v>4</v>
      </c>
      <c r="K178">
        <f>16384</f>
        <v>16384</v>
      </c>
      <c r="L178" s="12">
        <v>576</v>
      </c>
      <c r="M178" s="12">
        <v>512</v>
      </c>
      <c r="N178" s="15">
        <f t="shared" si="33"/>
        <v>7760.8421052631575</v>
      </c>
      <c r="O178" s="15">
        <f t="shared" si="34"/>
        <v>2516582.3999999999</v>
      </c>
      <c r="P178" s="15">
        <f t="shared" si="35"/>
        <v>294912</v>
      </c>
      <c r="Q178" s="15">
        <f t="shared" si="36"/>
        <v>2524343.2421052633</v>
      </c>
      <c r="R178" s="15">
        <f t="shared" si="37"/>
        <v>32768</v>
      </c>
      <c r="S178" s="15">
        <f t="shared" si="38"/>
        <v>2236962.1333333333</v>
      </c>
      <c r="T178" s="15">
        <f t="shared" si="30"/>
        <v>294912</v>
      </c>
      <c r="U178" s="15">
        <f t="shared" si="39"/>
        <v>2269730.1333333333</v>
      </c>
      <c r="V178" s="15">
        <f t="shared" si="31"/>
        <v>1365.3333333333333</v>
      </c>
      <c r="W178" s="12">
        <f t="shared" si="40"/>
        <v>199436</v>
      </c>
      <c r="X178" s="12"/>
      <c r="Y178" s="16">
        <f t="shared" si="41"/>
        <v>4994874.7087719301</v>
      </c>
      <c r="Z178" s="11">
        <f t="shared" si="32"/>
        <v>4.9948747087719303</v>
      </c>
      <c r="AB178">
        <v>7.6328769999999997</v>
      </c>
      <c r="AC178">
        <v>6.0532360000000001</v>
      </c>
      <c r="AD178" s="18">
        <f t="shared" si="42"/>
        <v>0.65438951902040743</v>
      </c>
      <c r="AE178" s="18">
        <f t="shared" si="43"/>
        <v>0.82515776830309118</v>
      </c>
    </row>
    <row r="179" spans="2:31" x14ac:dyDescent="0.25">
      <c r="B179">
        <v>128</v>
      </c>
      <c r="C179">
        <v>16</v>
      </c>
      <c r="D179">
        <v>1</v>
      </c>
      <c r="E179" s="12">
        <v>16</v>
      </c>
      <c r="F179" s="12">
        <v>2</v>
      </c>
      <c r="G179" s="12">
        <v>2</v>
      </c>
      <c r="H179" s="12">
        <v>256</v>
      </c>
      <c r="I179" s="12">
        <v>30</v>
      </c>
      <c r="J179" s="14">
        <f t="shared" si="44"/>
        <v>8</v>
      </c>
      <c r="K179">
        <f>16384</f>
        <v>16384</v>
      </c>
      <c r="L179" s="12">
        <v>576</v>
      </c>
      <c r="M179" s="12">
        <v>512</v>
      </c>
      <c r="N179" s="15">
        <f t="shared" si="33"/>
        <v>15521.684210526315</v>
      </c>
      <c r="O179" s="15">
        <f t="shared" si="34"/>
        <v>5033164.7999999998</v>
      </c>
      <c r="P179" s="15">
        <f t="shared" si="35"/>
        <v>589824</v>
      </c>
      <c r="Q179" s="15">
        <f t="shared" si="36"/>
        <v>5048686.4842105266</v>
      </c>
      <c r="R179" s="15">
        <f t="shared" si="37"/>
        <v>65536</v>
      </c>
      <c r="S179" s="15">
        <f t="shared" si="38"/>
        <v>4473924.2666666666</v>
      </c>
      <c r="T179" s="15">
        <f t="shared" si="30"/>
        <v>589824</v>
      </c>
      <c r="U179" s="15">
        <f t="shared" si="39"/>
        <v>4539460.2666666666</v>
      </c>
      <c r="V179" s="15">
        <f t="shared" si="31"/>
        <v>2730.6666666666665</v>
      </c>
      <c r="W179" s="12">
        <f t="shared" si="40"/>
        <v>398872</v>
      </c>
      <c r="X179" s="12"/>
      <c r="Y179" s="16">
        <f t="shared" si="41"/>
        <v>9989749.4175438602</v>
      </c>
      <c r="Z179" s="11">
        <f t="shared" si="32"/>
        <v>9.9897494175438606</v>
      </c>
      <c r="AB179">
        <v>15.121753</v>
      </c>
      <c r="AC179">
        <v>11.989922999999999</v>
      </c>
      <c r="AD179" s="18">
        <f t="shared" si="42"/>
        <v>0.66062112094701331</v>
      </c>
      <c r="AE179" s="18">
        <f t="shared" si="43"/>
        <v>0.83317878000916779</v>
      </c>
    </row>
    <row r="180" spans="2:31" x14ac:dyDescent="0.25">
      <c r="B180">
        <v>256</v>
      </c>
      <c r="C180">
        <v>16</v>
      </c>
      <c r="D180">
        <v>1</v>
      </c>
      <c r="E180" s="12">
        <v>16</v>
      </c>
      <c r="F180" s="12">
        <v>2</v>
      </c>
      <c r="G180" s="12">
        <v>2</v>
      </c>
      <c r="H180" s="12">
        <v>256</v>
      </c>
      <c r="I180" s="12">
        <v>30</v>
      </c>
      <c r="J180" s="14">
        <f t="shared" si="44"/>
        <v>16</v>
      </c>
      <c r="K180">
        <f>16384</f>
        <v>16384</v>
      </c>
      <c r="L180" s="12">
        <v>576</v>
      </c>
      <c r="M180" s="12">
        <v>512</v>
      </c>
      <c r="N180" s="15">
        <f t="shared" si="33"/>
        <v>31043.36842105263</v>
      </c>
      <c r="O180" s="15">
        <f t="shared" si="34"/>
        <v>10066329.6</v>
      </c>
      <c r="P180" s="15">
        <f t="shared" si="35"/>
        <v>1179648</v>
      </c>
      <c r="Q180" s="15">
        <f t="shared" si="36"/>
        <v>10097372.968421053</v>
      </c>
      <c r="R180" s="15">
        <f t="shared" si="37"/>
        <v>131072</v>
      </c>
      <c r="S180" s="15">
        <f t="shared" si="38"/>
        <v>8947848.5333333332</v>
      </c>
      <c r="T180" s="15">
        <f t="shared" si="30"/>
        <v>1179648</v>
      </c>
      <c r="U180" s="15">
        <f t="shared" si="39"/>
        <v>9078920.5333333332</v>
      </c>
      <c r="V180" s="15">
        <f t="shared" si="31"/>
        <v>5461.333333333333</v>
      </c>
      <c r="W180" s="12">
        <f t="shared" si="40"/>
        <v>797744</v>
      </c>
      <c r="X180" s="12"/>
      <c r="Y180" s="16">
        <f t="shared" si="41"/>
        <v>19979498.83508772</v>
      </c>
      <c r="Z180" s="11">
        <f t="shared" si="32"/>
        <v>19.979498835087721</v>
      </c>
      <c r="AB180">
        <v>30.014572000000001</v>
      </c>
      <c r="AC180">
        <v>23.873218999999999</v>
      </c>
      <c r="AD180" s="18">
        <f t="shared" si="42"/>
        <v>0.6656599612710693</v>
      </c>
      <c r="AE180" s="18">
        <f t="shared" si="43"/>
        <v>0.83690007765972918</v>
      </c>
    </row>
    <row r="181" spans="2:31" x14ac:dyDescent="0.25">
      <c r="B181">
        <v>512</v>
      </c>
      <c r="C181">
        <v>16</v>
      </c>
      <c r="D181">
        <v>1</v>
      </c>
      <c r="E181" s="12">
        <v>16</v>
      </c>
      <c r="F181" s="12">
        <v>2</v>
      </c>
      <c r="G181" s="12">
        <v>2</v>
      </c>
      <c r="H181" s="12">
        <v>256</v>
      </c>
      <c r="I181" s="12">
        <v>30</v>
      </c>
      <c r="J181" s="14">
        <f t="shared" si="44"/>
        <v>32</v>
      </c>
      <c r="K181">
        <f>16384</f>
        <v>16384</v>
      </c>
      <c r="L181" s="12">
        <v>576</v>
      </c>
      <c r="M181" s="12">
        <v>512</v>
      </c>
      <c r="N181" s="15">
        <f t="shared" si="33"/>
        <v>62086.73684210526</v>
      </c>
      <c r="O181" s="15">
        <f t="shared" si="34"/>
        <v>20132659.199999999</v>
      </c>
      <c r="P181" s="15">
        <f t="shared" si="35"/>
        <v>2359296</v>
      </c>
      <c r="Q181" s="15">
        <f t="shared" si="36"/>
        <v>20194745.936842106</v>
      </c>
      <c r="R181" s="15">
        <f t="shared" si="37"/>
        <v>262144</v>
      </c>
      <c r="S181" s="15">
        <f t="shared" si="38"/>
        <v>17895697.066666666</v>
      </c>
      <c r="T181" s="15">
        <f t="shared" si="30"/>
        <v>2359296</v>
      </c>
      <c r="U181" s="15">
        <f t="shared" si="39"/>
        <v>18157841.066666666</v>
      </c>
      <c r="V181" s="15">
        <f t="shared" si="31"/>
        <v>10922.666666666666</v>
      </c>
      <c r="W181" s="12">
        <f t="shared" si="40"/>
        <v>1595488</v>
      </c>
      <c r="X181" s="12"/>
      <c r="Y181" s="16">
        <f t="shared" si="41"/>
        <v>39958997.670175441</v>
      </c>
      <c r="Z181" s="11">
        <f t="shared" si="32"/>
        <v>39.958997670175442</v>
      </c>
      <c r="AB181">
        <v>55.773335000000003</v>
      </c>
      <c r="AC181">
        <v>47.962569999999999</v>
      </c>
      <c r="AD181" s="18">
        <f t="shared" si="42"/>
        <v>0.71645343908832848</v>
      </c>
      <c r="AE181" s="18">
        <f t="shared" si="43"/>
        <v>0.8331287850124679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87"/>
  <sheetViews>
    <sheetView workbookViewId="0">
      <selection activeCell="I22" sqref="I22"/>
    </sheetView>
  </sheetViews>
  <sheetFormatPr defaultRowHeight="13.8" x14ac:dyDescent="0.25"/>
  <cols>
    <col min="2" max="2" width="18.77734375" customWidth="1"/>
    <col min="3" max="3" width="26.77734375" customWidth="1"/>
    <col min="4" max="4" width="12.6640625" bestFit="1" customWidth="1"/>
    <col min="5" max="5" width="17.109375" customWidth="1"/>
    <col min="7" max="7" width="7.77734375" customWidth="1"/>
    <col min="9" max="9" width="17.109375" bestFit="1" customWidth="1"/>
    <col min="19" max="19" width="7.44140625" bestFit="1" customWidth="1"/>
    <col min="24" max="24" width="15.33203125" bestFit="1" customWidth="1"/>
  </cols>
  <sheetData>
    <row r="1" spans="2:14" x14ac:dyDescent="0.25">
      <c r="I1" s="54" t="s">
        <v>63</v>
      </c>
      <c r="J1" s="54"/>
      <c r="K1" s="54"/>
      <c r="L1" s="54"/>
    </row>
    <row r="2" spans="2:14" x14ac:dyDescent="0.25">
      <c r="B2" s="7" t="s">
        <v>64</v>
      </c>
      <c r="I2" s="10"/>
      <c r="J2" s="10" t="s">
        <v>65</v>
      </c>
      <c r="K2" s="10" t="s">
        <v>66</v>
      </c>
      <c r="L2" s="10" t="s">
        <v>67</v>
      </c>
    </row>
    <row r="3" spans="2:14" x14ac:dyDescent="0.25">
      <c r="I3" s="10" t="s">
        <v>68</v>
      </c>
      <c r="J3" s="10">
        <f>C14</f>
        <v>64</v>
      </c>
      <c r="K3" s="10">
        <f>C15</f>
        <v>1024</v>
      </c>
      <c r="L3" s="10">
        <f>C16</f>
        <v>576</v>
      </c>
    </row>
    <row r="4" spans="2:14" x14ac:dyDescent="0.25">
      <c r="B4" t="s">
        <v>69</v>
      </c>
      <c r="C4" s="27"/>
      <c r="I4" s="10" t="s">
        <v>70</v>
      </c>
      <c r="J4" s="10">
        <f>C14</f>
        <v>64</v>
      </c>
      <c r="K4" s="10">
        <f>C17</f>
        <v>512</v>
      </c>
      <c r="L4" s="10">
        <f>C15</f>
        <v>1024</v>
      </c>
    </row>
    <row r="6" spans="2:14" x14ac:dyDescent="0.25">
      <c r="B6" s="54" t="s">
        <v>71</v>
      </c>
      <c r="C6" s="54"/>
      <c r="D6" s="54"/>
      <c r="I6" s="54" t="s">
        <v>72</v>
      </c>
      <c r="J6" s="54"/>
    </row>
    <row r="7" spans="2:14" x14ac:dyDescent="0.25">
      <c r="B7" s="10"/>
      <c r="C7" s="10" t="s">
        <v>73</v>
      </c>
      <c r="D7" s="10" t="s">
        <v>74</v>
      </c>
      <c r="I7" s="10" t="s">
        <v>75</v>
      </c>
      <c r="J7" s="10">
        <v>16384</v>
      </c>
      <c r="K7" s="28"/>
      <c r="L7" t="s">
        <v>76</v>
      </c>
      <c r="N7" t="s">
        <v>77</v>
      </c>
    </row>
    <row r="8" spans="2:14" x14ac:dyDescent="0.25">
      <c r="B8" s="10" t="s">
        <v>78</v>
      </c>
      <c r="C8" s="10">
        <v>30</v>
      </c>
      <c r="D8" s="10">
        <f>C8*16</f>
        <v>480</v>
      </c>
      <c r="I8" s="10" t="s">
        <v>79</v>
      </c>
      <c r="J8" s="10">
        <v>8192</v>
      </c>
      <c r="L8" t="s">
        <v>80</v>
      </c>
      <c r="N8" t="s">
        <v>81</v>
      </c>
    </row>
    <row r="9" spans="2:14" x14ac:dyDescent="0.25">
      <c r="B9" s="10" t="s">
        <v>82</v>
      </c>
      <c r="C9" s="10">
        <v>38</v>
      </c>
      <c r="D9" s="10">
        <f>C9*16</f>
        <v>608</v>
      </c>
    </row>
    <row r="10" spans="2:14" x14ac:dyDescent="0.25">
      <c r="B10" s="29" t="s">
        <v>83</v>
      </c>
      <c r="C10" s="10">
        <v>256</v>
      </c>
      <c r="D10" s="30" t="s">
        <v>84</v>
      </c>
      <c r="I10" s="58" t="s">
        <v>85</v>
      </c>
      <c r="J10" s="60"/>
      <c r="L10" t="s">
        <v>86</v>
      </c>
    </row>
    <row r="11" spans="2:14" x14ac:dyDescent="0.25">
      <c r="I11" s="10" t="s">
        <v>87</v>
      </c>
      <c r="J11" s="31">
        <v>2</v>
      </c>
      <c r="K11" s="28"/>
      <c r="L11" t="s">
        <v>88</v>
      </c>
    </row>
    <row r="12" spans="2:14" x14ac:dyDescent="0.25">
      <c r="B12" s="54" t="s">
        <v>89</v>
      </c>
      <c r="C12" s="54"/>
      <c r="I12" s="10" t="s">
        <v>90</v>
      </c>
      <c r="J12" s="32" t="s">
        <v>82</v>
      </c>
      <c r="L12" t="s">
        <v>91</v>
      </c>
    </row>
    <row r="13" spans="2:14" x14ac:dyDescent="0.25">
      <c r="B13" s="10" t="s">
        <v>9</v>
      </c>
      <c r="C13" s="10">
        <v>16</v>
      </c>
      <c r="I13" s="10" t="s">
        <v>92</v>
      </c>
      <c r="J13" s="32" t="s">
        <v>78</v>
      </c>
      <c r="L13" t="s">
        <v>67</v>
      </c>
    </row>
    <row r="14" spans="2:14" x14ac:dyDescent="0.25">
      <c r="B14" s="10" t="s">
        <v>93</v>
      </c>
      <c r="C14" s="10">
        <v>64</v>
      </c>
      <c r="E14" t="s">
        <v>94</v>
      </c>
    </row>
    <row r="15" spans="2:14" x14ac:dyDescent="0.25">
      <c r="B15" s="10" t="s">
        <v>95</v>
      </c>
      <c r="C15" s="10">
        <v>1024</v>
      </c>
      <c r="E15" t="s">
        <v>96</v>
      </c>
      <c r="I15" s="58" t="s">
        <v>85</v>
      </c>
      <c r="J15" s="60"/>
    </row>
    <row r="16" spans="2:14" x14ac:dyDescent="0.25">
      <c r="B16" s="10" t="s">
        <v>97</v>
      </c>
      <c r="C16" s="10">
        <v>576</v>
      </c>
      <c r="I16" s="10" t="s">
        <v>87</v>
      </c>
      <c r="J16" s="31">
        <v>2</v>
      </c>
    </row>
    <row r="17" spans="2:24" x14ac:dyDescent="0.25">
      <c r="B17" s="10" t="s">
        <v>98</v>
      </c>
      <c r="C17" s="10">
        <v>512</v>
      </c>
      <c r="I17" s="10" t="s">
        <v>90</v>
      </c>
      <c r="J17" s="32" t="s">
        <v>82</v>
      </c>
      <c r="L17" t="s">
        <v>99</v>
      </c>
    </row>
    <row r="18" spans="2:24" x14ac:dyDescent="0.25">
      <c r="B18" s="10" t="s">
        <v>100</v>
      </c>
      <c r="C18" s="10">
        <v>64</v>
      </c>
      <c r="I18" s="10" t="s">
        <v>92</v>
      </c>
      <c r="J18" s="32" t="s">
        <v>78</v>
      </c>
      <c r="L18" t="s">
        <v>101</v>
      </c>
    </row>
    <row r="19" spans="2:24" x14ac:dyDescent="0.25">
      <c r="B19" s="10" t="s">
        <v>102</v>
      </c>
      <c r="C19" s="10">
        <v>4096</v>
      </c>
    </row>
    <row r="20" spans="2:24" x14ac:dyDescent="0.25">
      <c r="I20" s="10" t="s">
        <v>103</v>
      </c>
      <c r="J20" s="58" t="s">
        <v>104</v>
      </c>
      <c r="K20" s="59"/>
      <c r="L20" s="60"/>
      <c r="M20" s="58" t="s">
        <v>105</v>
      </c>
      <c r="N20" s="59"/>
      <c r="O20" s="60"/>
      <c r="P20" s="58" t="s">
        <v>106</v>
      </c>
      <c r="Q20" s="59"/>
      <c r="R20" s="60"/>
      <c r="S20" s="58" t="s">
        <v>107</v>
      </c>
      <c r="T20" s="59"/>
      <c r="U20" s="59"/>
      <c r="V20" s="59"/>
      <c r="W20" s="60"/>
      <c r="X20" s="30" t="s">
        <v>108</v>
      </c>
    </row>
    <row r="21" spans="2:24" x14ac:dyDescent="0.25">
      <c r="B21" s="10" t="s">
        <v>109</v>
      </c>
      <c r="C21" s="10">
        <f>C18/C14</f>
        <v>1</v>
      </c>
      <c r="I21" s="10" t="s">
        <v>110</v>
      </c>
      <c r="J21" s="10" t="s">
        <v>65</v>
      </c>
      <c r="K21" s="10" t="s">
        <v>66</v>
      </c>
      <c r="L21" s="10" t="s">
        <v>67</v>
      </c>
      <c r="M21" s="30" t="s">
        <v>111</v>
      </c>
      <c r="N21" s="30" t="s">
        <v>112</v>
      </c>
      <c r="O21" s="30" t="s">
        <v>113</v>
      </c>
      <c r="P21" s="10" t="s">
        <v>114</v>
      </c>
      <c r="Q21" s="10" t="s">
        <v>115</v>
      </c>
      <c r="R21" s="10" t="s">
        <v>116</v>
      </c>
      <c r="S21" s="29" t="s">
        <v>117</v>
      </c>
      <c r="T21" s="29" t="s">
        <v>118</v>
      </c>
      <c r="U21" s="29" t="s">
        <v>119</v>
      </c>
      <c r="V21" s="29" t="s">
        <v>120</v>
      </c>
      <c r="W21" s="29" t="s">
        <v>121</v>
      </c>
      <c r="X21" s="10" t="s">
        <v>122</v>
      </c>
    </row>
    <row r="22" spans="2:24" x14ac:dyDescent="0.25">
      <c r="B22" s="10" t="s">
        <v>123</v>
      </c>
      <c r="C22" s="10">
        <f>C19/C15</f>
        <v>4</v>
      </c>
      <c r="I22" s="10" t="s">
        <v>124</v>
      </c>
      <c r="J22" s="10">
        <f t="shared" ref="J22:L23" si="0">J3</f>
        <v>64</v>
      </c>
      <c r="K22" s="10">
        <f t="shared" si="0"/>
        <v>1024</v>
      </c>
      <c r="L22" s="10">
        <f t="shared" si="0"/>
        <v>576</v>
      </c>
      <c r="M22" s="30" t="s">
        <v>125</v>
      </c>
      <c r="N22" s="30" t="s">
        <v>125</v>
      </c>
      <c r="O22" s="30" t="s">
        <v>126</v>
      </c>
      <c r="P22" s="10">
        <f>IF($M22="YES",$C$10,IF($J$12="NUMA", $C$9,$C$8))</f>
        <v>38</v>
      </c>
      <c r="Q22" s="10">
        <f>IF($N22="YES",$C$10,IF($J$13="NUMA", $C$9,$C$8))</f>
        <v>30</v>
      </c>
      <c r="R22" s="10">
        <f>IF($O22="YES",$C$10,$C$9)</f>
        <v>256</v>
      </c>
      <c r="S22" s="33">
        <f xml:space="preserve"> $J22*$L22*$J$11/P22</f>
        <v>1940.2105263157894</v>
      </c>
      <c r="T22" s="33">
        <f xml:space="preserve"> $K22*$L22*$J$11/Q22</f>
        <v>39321.599999999999</v>
      </c>
      <c r="U22" s="33">
        <f>S22+T22</f>
        <v>41261.810526315785</v>
      </c>
      <c r="V22" s="33">
        <f>J22*K22*L22/(IF($J$11=2, $J$7,$J$8))</f>
        <v>2304</v>
      </c>
      <c r="W22" s="33">
        <f>$J22*$K22*$J$11/$R22</f>
        <v>512</v>
      </c>
      <c r="X22" s="33">
        <f>MAX(S22:W22)</f>
        <v>41261.810526315785</v>
      </c>
    </row>
    <row r="23" spans="2:24" x14ac:dyDescent="0.25">
      <c r="B23" s="10" t="s">
        <v>127</v>
      </c>
      <c r="C23" s="10">
        <f>C22</f>
        <v>4</v>
      </c>
      <c r="E23" t="s">
        <v>128</v>
      </c>
      <c r="I23" s="10" t="s">
        <v>129</v>
      </c>
      <c r="J23" s="10">
        <f t="shared" si="0"/>
        <v>64</v>
      </c>
      <c r="K23" s="10">
        <f t="shared" si="0"/>
        <v>512</v>
      </c>
      <c r="L23" s="10">
        <f t="shared" si="0"/>
        <v>1024</v>
      </c>
      <c r="M23" s="30" t="s">
        <v>126</v>
      </c>
      <c r="N23" s="30" t="s">
        <v>125</v>
      </c>
      <c r="O23" s="30" t="s">
        <v>125</v>
      </c>
      <c r="P23" s="10">
        <f>IF($M23="YES",$C$10,IF($J$17="NUMA", $C$9,$C$8))</f>
        <v>256</v>
      </c>
      <c r="Q23" s="10">
        <f>IF($N23="YES",$C$10,IF($J$18="NUMA", $C$9,$C$8))</f>
        <v>30</v>
      </c>
      <c r="R23" s="10">
        <f>IF($O23="YES",$C$10,$C$9)</f>
        <v>38</v>
      </c>
      <c r="S23" s="33">
        <f xml:space="preserve"> $J23*$L23*$J$16/P23</f>
        <v>512</v>
      </c>
      <c r="T23" s="33">
        <f xml:space="preserve"> $K23*$L23*$J$16/Q23</f>
        <v>34952.533333333333</v>
      </c>
      <c r="U23" s="33">
        <f>S23+T23</f>
        <v>35464.533333333333</v>
      </c>
      <c r="V23" s="33">
        <f>J23*K23*L23/(IF($J$16=2, $J$7,$J$8))</f>
        <v>2048</v>
      </c>
      <c r="W23" s="33">
        <f>$J23*$K23*$J$16/$R23</f>
        <v>1724.6315789473683</v>
      </c>
      <c r="X23" s="33">
        <f>MAX(S23:W23)</f>
        <v>35464.533333333333</v>
      </c>
    </row>
    <row r="24" spans="2:24" x14ac:dyDescent="0.25">
      <c r="B24" s="10" t="s">
        <v>130</v>
      </c>
      <c r="C24" s="10">
        <f>C23*C13/16</f>
        <v>4</v>
      </c>
      <c r="E24" t="s">
        <v>131</v>
      </c>
    </row>
    <row r="25" spans="2:24" x14ac:dyDescent="0.25">
      <c r="I25" s="58" t="s">
        <v>132</v>
      </c>
      <c r="J25" s="59"/>
      <c r="K25" s="59"/>
      <c r="L25" s="60"/>
    </row>
    <row r="26" spans="2:24" x14ac:dyDescent="0.25">
      <c r="B26" s="10" t="s">
        <v>133</v>
      </c>
      <c r="C26" s="10">
        <v>2</v>
      </c>
      <c r="E26" t="s">
        <v>134</v>
      </c>
      <c r="I26" s="55" t="s">
        <v>135</v>
      </c>
      <c r="J26" s="56"/>
      <c r="K26" s="56"/>
      <c r="L26" s="57"/>
      <c r="N26" s="34" t="s">
        <v>136</v>
      </c>
    </row>
    <row r="27" spans="2:24" x14ac:dyDescent="0.25">
      <c r="I27" s="10" t="s">
        <v>137</v>
      </c>
      <c r="J27" s="10" t="s">
        <v>138</v>
      </c>
      <c r="K27" s="10" t="s">
        <v>139</v>
      </c>
      <c r="L27" s="10" t="s">
        <v>140</v>
      </c>
      <c r="N27" t="s">
        <v>141</v>
      </c>
      <c r="O27" s="35" t="s">
        <v>142</v>
      </c>
    </row>
    <row r="28" spans="2:24" x14ac:dyDescent="0.25">
      <c r="B28" s="54" t="s">
        <v>143</v>
      </c>
      <c r="C28" s="54"/>
      <c r="D28" s="54"/>
      <c r="E28" s="54"/>
      <c r="I28" s="10" t="s">
        <v>144</v>
      </c>
      <c r="J28" s="10">
        <f xml:space="preserve"> (C15/32 + 5) * C14 / 16 / C26</f>
        <v>74</v>
      </c>
      <c r="K28" s="10">
        <v>2</v>
      </c>
      <c r="L28" s="10">
        <f>J28*K28</f>
        <v>148</v>
      </c>
      <c r="N28" t="s">
        <v>144</v>
      </c>
      <c r="O28" t="s">
        <v>145</v>
      </c>
      <c r="S28" t="s">
        <v>146</v>
      </c>
    </row>
    <row r="29" spans="2:24" x14ac:dyDescent="0.25">
      <c r="B29" s="10" t="s">
        <v>147</v>
      </c>
      <c r="C29" s="10" t="s">
        <v>148</v>
      </c>
      <c r="D29" s="10" t="s">
        <v>149</v>
      </c>
      <c r="E29" s="29" t="s">
        <v>150</v>
      </c>
      <c r="I29" s="10" t="s">
        <v>151</v>
      </c>
      <c r="J29" s="10">
        <f xml:space="preserve"> 5 * C14 / 16 / C26</f>
        <v>10</v>
      </c>
      <c r="K29" s="10">
        <v>2</v>
      </c>
      <c r="L29" s="10">
        <f>J29*K29</f>
        <v>20</v>
      </c>
      <c r="N29" t="s">
        <v>151</v>
      </c>
      <c r="O29" t="s">
        <v>152</v>
      </c>
    </row>
    <row r="30" spans="2:24" x14ac:dyDescent="0.25">
      <c r="B30" s="10" t="s">
        <v>153</v>
      </c>
      <c r="C30" s="10" t="s">
        <v>68</v>
      </c>
      <c r="D30" s="36">
        <f>X22</f>
        <v>41261.810526315785</v>
      </c>
      <c r="E30" s="37">
        <f>D30/SUM(D30:D32)</f>
        <v>0.51017130862519611</v>
      </c>
      <c r="I30" s="29" t="s">
        <v>154</v>
      </c>
      <c r="J30" s="10">
        <f>$C$15/32*$C$14/ 16 / C26</f>
        <v>64</v>
      </c>
      <c r="K30" s="10">
        <v>2</v>
      </c>
      <c r="L30" s="10">
        <f>J30*K30</f>
        <v>128</v>
      </c>
      <c r="N30" t="s">
        <v>154</v>
      </c>
      <c r="O30" t="s">
        <v>155</v>
      </c>
    </row>
    <row r="31" spans="2:24" x14ac:dyDescent="0.25">
      <c r="B31" s="10" t="s">
        <v>153</v>
      </c>
      <c r="C31" s="10" t="s">
        <v>70</v>
      </c>
      <c r="D31" s="36">
        <f>X23</f>
        <v>35464.533333333333</v>
      </c>
      <c r="E31" s="37">
        <f>D31/SUM(D30:D32)</f>
        <v>0.43849232861241716</v>
      </c>
      <c r="I31" s="29" t="s">
        <v>156</v>
      </c>
      <c r="J31" s="10">
        <v>0</v>
      </c>
      <c r="K31" s="10">
        <v>0</v>
      </c>
      <c r="L31" s="10">
        <f>J31*K31</f>
        <v>0</v>
      </c>
      <c r="N31" t="s">
        <v>156</v>
      </c>
      <c r="O31" t="s">
        <v>155</v>
      </c>
      <c r="S31" s="38" t="s">
        <v>157</v>
      </c>
    </row>
    <row r="32" spans="2:24" x14ac:dyDescent="0.25">
      <c r="B32" s="10" t="s">
        <v>158</v>
      </c>
      <c r="C32" s="10" t="s">
        <v>159</v>
      </c>
      <c r="D32" s="36">
        <f>L56</f>
        <v>4152</v>
      </c>
      <c r="E32" s="37">
        <f>D32/SUM(D30:D32)</f>
        <v>5.1336362762386727E-2</v>
      </c>
      <c r="I32" s="29" t="s">
        <v>160</v>
      </c>
      <c r="J32" s="10">
        <f>$C$15/32*$C$14/ 16 / C26</f>
        <v>64</v>
      </c>
      <c r="K32" s="10">
        <v>8</v>
      </c>
      <c r="L32" s="10">
        <f>J32*K32</f>
        <v>512</v>
      </c>
      <c r="N32" t="s">
        <v>160</v>
      </c>
      <c r="O32" t="s">
        <v>155</v>
      </c>
      <c r="S32" s="39" t="s">
        <v>161</v>
      </c>
    </row>
    <row r="33" spans="2:19" x14ac:dyDescent="0.25">
      <c r="C33" s="29" t="s">
        <v>162</v>
      </c>
      <c r="D33" s="36">
        <f>D30+D31+D32</f>
        <v>80878.343859649118</v>
      </c>
      <c r="E33" s="37">
        <f>D33/SUM(D30:D32)</f>
        <v>1</v>
      </c>
      <c r="I33" s="40"/>
      <c r="J33" s="28"/>
      <c r="K33" s="10" t="s">
        <v>162</v>
      </c>
      <c r="L33" s="10">
        <f>SUM(L28:L32)</f>
        <v>808</v>
      </c>
    </row>
    <row r="35" spans="2:19" x14ac:dyDescent="0.25">
      <c r="B35" s="54" t="s">
        <v>163</v>
      </c>
      <c r="C35" s="54"/>
      <c r="D35" s="54"/>
      <c r="E35" s="54"/>
      <c r="N35" t="s">
        <v>164</v>
      </c>
    </row>
    <row r="36" spans="2:19" x14ac:dyDescent="0.25">
      <c r="B36" s="10" t="s">
        <v>147</v>
      </c>
      <c r="C36" s="10" t="s">
        <v>148</v>
      </c>
      <c r="D36" s="10" t="s">
        <v>149</v>
      </c>
      <c r="E36" s="29" t="s">
        <v>150</v>
      </c>
      <c r="I36" s="58" t="s">
        <v>165</v>
      </c>
      <c r="J36" s="59"/>
      <c r="K36" s="59"/>
      <c r="L36" s="60"/>
      <c r="S36" t="s">
        <v>166</v>
      </c>
    </row>
    <row r="37" spans="2:19" x14ac:dyDescent="0.25">
      <c r="B37" s="10" t="s">
        <v>153</v>
      </c>
      <c r="C37" s="10" t="s">
        <v>68</v>
      </c>
      <c r="D37" s="36">
        <f>D30*C24</f>
        <v>165047.24210526314</v>
      </c>
      <c r="E37" s="37">
        <f>D37/SUM(D37:D39)</f>
        <v>0.51017130862519611</v>
      </c>
      <c r="I37" s="10" t="s">
        <v>167</v>
      </c>
      <c r="J37" s="58" t="s">
        <v>84</v>
      </c>
      <c r="K37" s="60"/>
      <c r="L37" s="10">
        <f>$C$14*$C$15*2/$C$10</f>
        <v>512</v>
      </c>
    </row>
    <row r="38" spans="2:19" x14ac:dyDescent="0.25">
      <c r="B38" s="10" t="s">
        <v>153</v>
      </c>
      <c r="C38" s="10" t="s">
        <v>70</v>
      </c>
      <c r="D38" s="36">
        <f>D31*C24</f>
        <v>141858.13333333333</v>
      </c>
      <c r="E38" s="37">
        <f>D38/SUM(D37:D39)</f>
        <v>0.43849232861241716</v>
      </c>
      <c r="I38" s="10" t="s">
        <v>168</v>
      </c>
      <c r="J38" s="58" t="s">
        <v>84</v>
      </c>
      <c r="K38" s="60"/>
      <c r="L38" s="10">
        <f>$C$14*$C$15*2/$C$10</f>
        <v>512</v>
      </c>
    </row>
    <row r="39" spans="2:19" x14ac:dyDescent="0.25">
      <c r="B39" s="10" t="s">
        <v>158</v>
      </c>
      <c r="C39" s="10" t="s">
        <v>159</v>
      </c>
      <c r="D39" s="36">
        <f>D32*C24</f>
        <v>16608</v>
      </c>
      <c r="E39" s="37">
        <f>D39/SUM(D37:D39)</f>
        <v>5.1336362762386727E-2</v>
      </c>
      <c r="K39" s="10" t="s">
        <v>162</v>
      </c>
      <c r="L39" s="10">
        <f xml:space="preserve"> (L37+L38) * 2</f>
        <v>2048</v>
      </c>
      <c r="N39" s="39" t="s">
        <v>169</v>
      </c>
    </row>
    <row r="40" spans="2:19" x14ac:dyDescent="0.25">
      <c r="C40" s="29" t="s">
        <v>162</v>
      </c>
      <c r="D40" s="36">
        <f>D37+D38+D39</f>
        <v>323513.37543859647</v>
      </c>
      <c r="E40" s="37">
        <f>D40/SUM(D37:D39)</f>
        <v>1</v>
      </c>
    </row>
    <row r="42" spans="2:19" x14ac:dyDescent="0.25">
      <c r="C42" s="10" t="s">
        <v>170</v>
      </c>
      <c r="D42" s="10" t="s">
        <v>171</v>
      </c>
      <c r="E42" s="10" t="s">
        <v>172</v>
      </c>
      <c r="I42" s="58" t="s">
        <v>173</v>
      </c>
      <c r="J42" s="59"/>
      <c r="K42" s="59"/>
      <c r="L42" s="60"/>
    </row>
    <row r="43" spans="2:19" x14ac:dyDescent="0.25">
      <c r="C43" s="10" t="s">
        <v>174</v>
      </c>
      <c r="D43" s="37">
        <f>D40/1000000</f>
        <v>0.32351337543859648</v>
      </c>
      <c r="E43" s="37">
        <f>$D$43/D43</f>
        <v>1</v>
      </c>
      <c r="I43" s="55" t="s">
        <v>135</v>
      </c>
      <c r="J43" s="56"/>
      <c r="K43" s="56"/>
      <c r="L43" s="57"/>
      <c r="N43" s="34" t="s">
        <v>175</v>
      </c>
    </row>
    <row r="44" spans="2:19" x14ac:dyDescent="0.25">
      <c r="C44" s="10" t="s">
        <v>176</v>
      </c>
      <c r="D44" s="37">
        <v>0.88</v>
      </c>
      <c r="E44" s="37">
        <f>$D$43/D44</f>
        <v>0.36762883572567784</v>
      </c>
      <c r="I44" s="10" t="s">
        <v>177</v>
      </c>
      <c r="J44" s="10" t="s">
        <v>138</v>
      </c>
      <c r="K44" s="10" t="s">
        <v>139</v>
      </c>
      <c r="L44" s="10" t="s">
        <v>140</v>
      </c>
      <c r="N44" t="s">
        <v>141</v>
      </c>
      <c r="O44" s="41" t="s">
        <v>178</v>
      </c>
    </row>
    <row r="45" spans="2:19" x14ac:dyDescent="0.25">
      <c r="C45" s="10"/>
      <c r="D45" s="37"/>
      <c r="E45" s="37"/>
      <c r="I45" s="10" t="s">
        <v>154</v>
      </c>
      <c r="J45" s="10">
        <f>$C$15/32*$C$14 / 16 / C26</f>
        <v>64</v>
      </c>
      <c r="K45" s="10">
        <v>2</v>
      </c>
      <c r="L45" s="10">
        <f>J45*K45</f>
        <v>128</v>
      </c>
      <c r="O45" s="41" t="s">
        <v>179</v>
      </c>
    </row>
    <row r="46" spans="2:19" x14ac:dyDescent="0.25">
      <c r="I46" s="10" t="s">
        <v>156</v>
      </c>
      <c r="J46" s="10">
        <f>$C$15/32*$C$14 / 16 / C26</f>
        <v>64</v>
      </c>
      <c r="K46" s="10">
        <v>15</v>
      </c>
      <c r="L46" s="10">
        <f t="shared" ref="L46:L49" si="1">J46*K46</f>
        <v>960</v>
      </c>
      <c r="N46" t="s">
        <v>154</v>
      </c>
      <c r="O46" t="s">
        <v>180</v>
      </c>
    </row>
    <row r="47" spans="2:19" x14ac:dyDescent="0.25">
      <c r="C47" s="54" t="s">
        <v>181</v>
      </c>
      <c r="D47" s="54"/>
      <c r="E47" s="54"/>
      <c r="I47" s="10" t="s">
        <v>182</v>
      </c>
      <c r="J47" s="10">
        <f>$C$15/32*$C$14 / 16 / C26</f>
        <v>64</v>
      </c>
      <c r="K47" s="10">
        <v>2</v>
      </c>
      <c r="L47" s="10">
        <f t="shared" si="1"/>
        <v>128</v>
      </c>
      <c r="N47" t="s">
        <v>156</v>
      </c>
      <c r="O47" t="s">
        <v>180</v>
      </c>
    </row>
    <row r="48" spans="2:19" x14ac:dyDescent="0.25">
      <c r="C48" s="10" t="s">
        <v>170</v>
      </c>
      <c r="D48" s="10" t="s">
        <v>171</v>
      </c>
      <c r="E48" s="10" t="s">
        <v>183</v>
      </c>
      <c r="I48" s="10" t="s">
        <v>184</v>
      </c>
      <c r="J48" s="10">
        <f>5 * $C$14 / 16</f>
        <v>20</v>
      </c>
      <c r="K48" s="10">
        <v>2</v>
      </c>
      <c r="L48" s="10">
        <f t="shared" si="1"/>
        <v>40</v>
      </c>
      <c r="N48" t="s">
        <v>185</v>
      </c>
      <c r="O48" t="s">
        <v>180</v>
      </c>
    </row>
    <row r="49" spans="3:14" x14ac:dyDescent="0.25">
      <c r="C49" s="10" t="s">
        <v>186</v>
      </c>
      <c r="D49" s="37">
        <v>2.31</v>
      </c>
      <c r="E49" s="37">
        <v>1</v>
      </c>
      <c r="I49" s="10" t="s">
        <v>187</v>
      </c>
      <c r="J49" s="10">
        <f>5 * $C$14/ 16</f>
        <v>20</v>
      </c>
      <c r="K49" s="10">
        <v>2</v>
      </c>
      <c r="L49" s="10">
        <f t="shared" si="1"/>
        <v>40</v>
      </c>
      <c r="N49" s="39" t="s">
        <v>188</v>
      </c>
    </row>
    <row r="50" spans="3:14" x14ac:dyDescent="0.25">
      <c r="C50" s="10" t="s">
        <v>189</v>
      </c>
      <c r="D50" s="10" t="s">
        <v>190</v>
      </c>
      <c r="E50" s="10" t="s">
        <v>84</v>
      </c>
      <c r="K50" s="10" t="s">
        <v>162</v>
      </c>
      <c r="L50" s="10">
        <f>SUM(L45:L49)</f>
        <v>1296</v>
      </c>
    </row>
    <row r="51" spans="3:14" x14ac:dyDescent="0.25">
      <c r="C51" s="10" t="s">
        <v>191</v>
      </c>
      <c r="D51" s="10" t="s">
        <v>190</v>
      </c>
      <c r="E51" s="10" t="s">
        <v>84</v>
      </c>
    </row>
    <row r="52" spans="3:14" x14ac:dyDescent="0.25">
      <c r="C52" s="10" t="s">
        <v>192</v>
      </c>
      <c r="D52" s="10" t="s">
        <v>190</v>
      </c>
      <c r="E52" s="10" t="s">
        <v>84</v>
      </c>
      <c r="I52" s="58" t="s">
        <v>193</v>
      </c>
      <c r="J52" s="59"/>
      <c r="K52" s="59"/>
      <c r="L52" s="60"/>
    </row>
    <row r="53" spans="3:14" x14ac:dyDescent="0.25">
      <c r="C53" s="10" t="s">
        <v>176</v>
      </c>
      <c r="D53" s="37">
        <v>2.5099999999999998</v>
      </c>
      <c r="E53" s="37">
        <f>$D$49/D53</f>
        <v>0.92031872509960166</v>
      </c>
      <c r="I53" s="42" t="s">
        <v>194</v>
      </c>
      <c r="J53" s="58" t="s">
        <v>84</v>
      </c>
      <c r="K53" s="60"/>
      <c r="L53" s="31">
        <f>L33</f>
        <v>808</v>
      </c>
      <c r="M53" s="43">
        <f>L53/$L$56</f>
        <v>0.19460500963391136</v>
      </c>
    </row>
    <row r="54" spans="3:14" x14ac:dyDescent="0.25">
      <c r="C54" s="10" t="s">
        <v>195</v>
      </c>
      <c r="D54" s="37">
        <v>2.65</v>
      </c>
      <c r="E54" s="37">
        <f>$D$49/D54</f>
        <v>0.8716981132075472</v>
      </c>
      <c r="I54" s="42" t="s">
        <v>196</v>
      </c>
      <c r="J54" s="58" t="s">
        <v>84</v>
      </c>
      <c r="K54" s="60"/>
      <c r="L54" s="31">
        <f>L50</f>
        <v>1296</v>
      </c>
      <c r="M54" s="43">
        <f t="shared" ref="M54:M55" si="2">L54/$L$56</f>
        <v>0.31213872832369943</v>
      </c>
    </row>
    <row r="55" spans="3:14" x14ac:dyDescent="0.25">
      <c r="I55" s="42" t="s">
        <v>197</v>
      </c>
      <c r="J55" s="54" t="s">
        <v>84</v>
      </c>
      <c r="K55" s="54"/>
      <c r="L55" s="31">
        <f>L39</f>
        <v>2048</v>
      </c>
      <c r="M55" s="43">
        <f t="shared" si="2"/>
        <v>0.4932562620423892</v>
      </c>
    </row>
    <row r="56" spans="3:14" x14ac:dyDescent="0.25">
      <c r="C56" s="54" t="s">
        <v>198</v>
      </c>
      <c r="D56" s="54"/>
      <c r="E56" s="54"/>
      <c r="I56" s="44"/>
      <c r="J56" s="45"/>
      <c r="K56" s="13" t="s">
        <v>199</v>
      </c>
      <c r="L56" s="31">
        <f>L53+L54+L55</f>
        <v>4152</v>
      </c>
    </row>
    <row r="57" spans="3:14" x14ac:dyDescent="0.25">
      <c r="C57" s="10" t="s">
        <v>170</v>
      </c>
      <c r="D57" s="10" t="s">
        <v>171</v>
      </c>
      <c r="E57" s="10" t="s">
        <v>183</v>
      </c>
      <c r="K57" s="10" t="s">
        <v>200</v>
      </c>
      <c r="L57" s="10">
        <f>MAX(L53:L55)</f>
        <v>2048</v>
      </c>
    </row>
    <row r="58" spans="3:14" x14ac:dyDescent="0.25">
      <c r="C58" s="10" t="s">
        <v>201</v>
      </c>
      <c r="D58" s="37">
        <v>4.08</v>
      </c>
      <c r="E58" s="37">
        <v>1</v>
      </c>
    </row>
    <row r="59" spans="3:14" x14ac:dyDescent="0.25">
      <c r="C59" s="10" t="s">
        <v>202</v>
      </c>
      <c r="D59" s="10" t="s">
        <v>190</v>
      </c>
      <c r="E59" s="10" t="s">
        <v>84</v>
      </c>
    </row>
    <row r="60" spans="3:14" x14ac:dyDescent="0.25">
      <c r="C60" s="10" t="s">
        <v>203</v>
      </c>
      <c r="D60" s="10" t="s">
        <v>190</v>
      </c>
      <c r="E60" s="10" t="s">
        <v>84</v>
      </c>
      <c r="I60" s="54" t="s">
        <v>204</v>
      </c>
      <c r="J60" s="54"/>
      <c r="K60" s="54"/>
      <c r="L60" s="54"/>
    </row>
    <row r="61" spans="3:14" x14ac:dyDescent="0.25">
      <c r="C61" s="10" t="s">
        <v>205</v>
      </c>
      <c r="D61" s="10" t="s">
        <v>190</v>
      </c>
      <c r="E61" s="10" t="s">
        <v>84</v>
      </c>
      <c r="I61" s="10"/>
      <c r="J61" s="10" t="s">
        <v>112</v>
      </c>
      <c r="K61" s="10" t="s">
        <v>206</v>
      </c>
      <c r="L61" s="10" t="s">
        <v>207</v>
      </c>
      <c r="N61" s="10" t="s">
        <v>208</v>
      </c>
    </row>
    <row r="62" spans="3:14" x14ac:dyDescent="0.25">
      <c r="C62" s="10" t="s">
        <v>176</v>
      </c>
      <c r="D62" s="37">
        <v>2.5099999999999998</v>
      </c>
      <c r="E62" s="37">
        <f>$D$58/D62</f>
        <v>1.6254980079681276</v>
      </c>
      <c r="I62" s="10" t="s">
        <v>209</v>
      </c>
      <c r="J62" s="10">
        <f>C13</f>
        <v>16</v>
      </c>
      <c r="K62" s="10">
        <f>C18</f>
        <v>64</v>
      </c>
      <c r="L62" s="10">
        <f>C16</f>
        <v>576</v>
      </c>
      <c r="N62" s="10" t="s">
        <v>210</v>
      </c>
    </row>
    <row r="63" spans="3:14" x14ac:dyDescent="0.25">
      <c r="C63" s="10" t="s">
        <v>195</v>
      </c>
      <c r="D63" s="37">
        <v>2.65</v>
      </c>
      <c r="E63" s="37">
        <f>$D$58/D63</f>
        <v>1.5396226415094341</v>
      </c>
      <c r="I63" s="10" t="s">
        <v>67</v>
      </c>
      <c r="J63" s="10">
        <f>C13</f>
        <v>16</v>
      </c>
      <c r="K63" s="10">
        <f>C19</f>
        <v>4096</v>
      </c>
      <c r="L63" s="10">
        <f>C16</f>
        <v>576</v>
      </c>
      <c r="N63" s="10" t="s">
        <v>211</v>
      </c>
    </row>
    <row r="64" spans="3:14" x14ac:dyDescent="0.25">
      <c r="I64" s="10" t="s">
        <v>101</v>
      </c>
      <c r="J64" s="10">
        <f>C13</f>
        <v>16</v>
      </c>
      <c r="K64" s="10">
        <f>C19</f>
        <v>4096</v>
      </c>
      <c r="L64" s="10">
        <f>C17</f>
        <v>512</v>
      </c>
      <c r="N64" s="10" t="s">
        <v>212</v>
      </c>
    </row>
    <row r="65" spans="2:14" x14ac:dyDescent="0.25">
      <c r="B65" t="s">
        <v>213</v>
      </c>
      <c r="I65" s="10" t="s">
        <v>214</v>
      </c>
      <c r="J65" s="10">
        <v>1</v>
      </c>
      <c r="K65" s="10">
        <f>C14</f>
        <v>64</v>
      </c>
      <c r="L65" s="10">
        <f>C16</f>
        <v>576</v>
      </c>
      <c r="N65" s="10" t="s">
        <v>215</v>
      </c>
    </row>
    <row r="66" spans="2:14" x14ac:dyDescent="0.25">
      <c r="B66" t="s">
        <v>216</v>
      </c>
      <c r="I66" s="10" t="s">
        <v>217</v>
      </c>
      <c r="J66" s="10">
        <v>1</v>
      </c>
      <c r="K66" s="10">
        <f>C15</f>
        <v>1024</v>
      </c>
      <c r="L66" s="10">
        <f>C16</f>
        <v>576</v>
      </c>
      <c r="N66" s="10" t="s">
        <v>218</v>
      </c>
    </row>
    <row r="67" spans="2:14" x14ac:dyDescent="0.25">
      <c r="I67" s="10" t="s">
        <v>219</v>
      </c>
      <c r="J67" s="10">
        <v>1</v>
      </c>
      <c r="K67" s="10">
        <f>C15</f>
        <v>1024</v>
      </c>
      <c r="L67" s="10">
        <f>C17</f>
        <v>512</v>
      </c>
      <c r="N67" s="10" t="s">
        <v>220</v>
      </c>
    </row>
    <row r="68" spans="2:14" x14ac:dyDescent="0.25">
      <c r="I68" s="10" t="s">
        <v>221</v>
      </c>
      <c r="J68" s="10">
        <f xml:space="preserve"> C14</f>
        <v>64</v>
      </c>
      <c r="K68" s="10">
        <f>C14</f>
        <v>64</v>
      </c>
      <c r="L68" s="10">
        <f>C15</f>
        <v>1024</v>
      </c>
      <c r="N68" s="10" t="s">
        <v>222</v>
      </c>
    </row>
    <row r="69" spans="2:14" x14ac:dyDescent="0.25">
      <c r="B69" t="s">
        <v>223</v>
      </c>
      <c r="I69" s="10" t="s">
        <v>224</v>
      </c>
      <c r="J69" s="10">
        <v>1</v>
      </c>
      <c r="K69" s="10">
        <f>C14</f>
        <v>64</v>
      </c>
      <c r="L69" s="10">
        <f>C16</f>
        <v>576</v>
      </c>
      <c r="N69" s="10" t="s">
        <v>225</v>
      </c>
    </row>
    <row r="70" spans="2:14" x14ac:dyDescent="0.25">
      <c r="B70" t="s">
        <v>226</v>
      </c>
    </row>
    <row r="71" spans="2:14" x14ac:dyDescent="0.25">
      <c r="B71" t="s">
        <v>227</v>
      </c>
    </row>
    <row r="72" spans="2:14" x14ac:dyDescent="0.25">
      <c r="B72" t="s">
        <v>228</v>
      </c>
    </row>
    <row r="74" spans="2:14" x14ac:dyDescent="0.25">
      <c r="B74" t="s">
        <v>229</v>
      </c>
    </row>
    <row r="75" spans="2:14" x14ac:dyDescent="0.25">
      <c r="B75" t="s">
        <v>230</v>
      </c>
    </row>
    <row r="76" spans="2:14" x14ac:dyDescent="0.25">
      <c r="B76" t="s">
        <v>231</v>
      </c>
    </row>
    <row r="78" spans="2:14" x14ac:dyDescent="0.25">
      <c r="B78" s="54" t="s">
        <v>232</v>
      </c>
      <c r="C78" s="54"/>
      <c r="D78" s="54"/>
      <c r="E78" s="54"/>
    </row>
    <row r="79" spans="2:14" x14ac:dyDescent="0.25">
      <c r="B79" s="10" t="s">
        <v>147</v>
      </c>
      <c r="C79" s="10" t="s">
        <v>233</v>
      </c>
      <c r="D79" s="10" t="s">
        <v>234</v>
      </c>
      <c r="E79" s="10" t="s">
        <v>235</v>
      </c>
    </row>
    <row r="80" spans="2:14" x14ac:dyDescent="0.25">
      <c r="B80" s="10" t="s">
        <v>236</v>
      </c>
      <c r="C80" s="46">
        <f>(D37+D38)/1000000</f>
        <v>0.30690537543859647</v>
      </c>
      <c r="D80" s="10">
        <v>1.46</v>
      </c>
      <c r="E80" s="37">
        <f>C80/D80</f>
        <v>0.21020916125931266</v>
      </c>
    </row>
    <row r="81" spans="2:5" x14ac:dyDescent="0.25">
      <c r="B81" s="10" t="s">
        <v>237</v>
      </c>
      <c r="C81" s="46">
        <f>D39/1000000</f>
        <v>1.6608000000000001E-2</v>
      </c>
      <c r="D81" s="10">
        <v>1.78</v>
      </c>
      <c r="E81" s="37">
        <f t="shared" ref="E81:E82" si="3">C81/D81</f>
        <v>9.3303370786516852E-3</v>
      </c>
    </row>
    <row r="82" spans="2:5" x14ac:dyDescent="0.25">
      <c r="B82" s="10" t="s">
        <v>83</v>
      </c>
      <c r="C82" s="10">
        <v>4</v>
      </c>
      <c r="D82" s="10"/>
      <c r="E82" s="37" t="e">
        <f t="shared" si="3"/>
        <v>#DIV/0!</v>
      </c>
    </row>
    <row r="86" spans="2:5" x14ac:dyDescent="0.25">
      <c r="B86" t="s">
        <v>238</v>
      </c>
    </row>
    <row r="87" spans="2:5" x14ac:dyDescent="0.25">
      <c r="B87" t="s">
        <v>239</v>
      </c>
    </row>
  </sheetData>
  <mergeCells count="27">
    <mergeCell ref="I15:J15"/>
    <mergeCell ref="I1:L1"/>
    <mergeCell ref="B6:D6"/>
    <mergeCell ref="I6:J6"/>
    <mergeCell ref="I10:J10"/>
    <mergeCell ref="B12:C12"/>
    <mergeCell ref="I42:L42"/>
    <mergeCell ref="J20:L20"/>
    <mergeCell ref="M20:O20"/>
    <mergeCell ref="P20:R20"/>
    <mergeCell ref="S20:W20"/>
    <mergeCell ref="I25:L25"/>
    <mergeCell ref="I26:L26"/>
    <mergeCell ref="B28:E28"/>
    <mergeCell ref="B35:E35"/>
    <mergeCell ref="I36:L36"/>
    <mergeCell ref="J37:K37"/>
    <mergeCell ref="J38:K38"/>
    <mergeCell ref="C56:E56"/>
    <mergeCell ref="I60:L60"/>
    <mergeCell ref="B78:E78"/>
    <mergeCell ref="I43:L43"/>
    <mergeCell ref="C47:E47"/>
    <mergeCell ref="I52:L52"/>
    <mergeCell ref="J53:K53"/>
    <mergeCell ref="J54:K54"/>
    <mergeCell ref="J55:K55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0"/>
  <sheetViews>
    <sheetView workbookViewId="0">
      <selection activeCell="M22" sqref="M22"/>
    </sheetView>
  </sheetViews>
  <sheetFormatPr defaultRowHeight="13.8" x14ac:dyDescent="0.25"/>
  <sheetData>
    <row r="1" spans="2:15" x14ac:dyDescent="0.25">
      <c r="B1" t="s">
        <v>25</v>
      </c>
      <c r="C1" s="1">
        <v>0.41666666666666669</v>
      </c>
      <c r="D1" t="s">
        <v>26</v>
      </c>
      <c r="E1" t="s">
        <v>27</v>
      </c>
      <c r="F1" t="s">
        <v>28</v>
      </c>
      <c r="G1" t="s">
        <v>29</v>
      </c>
      <c r="H1">
        <v>7.3068999999999995E-2</v>
      </c>
      <c r="I1">
        <v>7.3663999999999993E-2</v>
      </c>
      <c r="K1" s="4">
        <f>I1/H1</f>
        <v>1.008142988134503</v>
      </c>
      <c r="O1" s="3"/>
    </row>
    <row r="2" spans="2:15" x14ac:dyDescent="0.25">
      <c r="B2" t="s">
        <v>25</v>
      </c>
      <c r="C2" s="1">
        <v>1</v>
      </c>
      <c r="D2" t="s">
        <v>26</v>
      </c>
      <c r="E2" t="s">
        <v>27</v>
      </c>
      <c r="F2" t="s">
        <v>28</v>
      </c>
      <c r="G2" t="s">
        <v>29</v>
      </c>
      <c r="H2">
        <v>7.3497999999999994E-2</v>
      </c>
      <c r="I2">
        <v>7.3504E-2</v>
      </c>
      <c r="K2" s="4">
        <f t="shared" ref="K2:K65" si="0">I2/H2</f>
        <v>1.0000816348744184</v>
      </c>
      <c r="O2" s="1"/>
    </row>
    <row r="3" spans="2:15" x14ac:dyDescent="0.25">
      <c r="B3" t="s">
        <v>25</v>
      </c>
      <c r="C3" s="1">
        <v>1.5833333333333333</v>
      </c>
      <c r="D3" t="s">
        <v>26</v>
      </c>
      <c r="E3" t="s">
        <v>27</v>
      </c>
      <c r="F3" t="s">
        <v>28</v>
      </c>
      <c r="G3" t="s">
        <v>29</v>
      </c>
      <c r="H3">
        <v>7.4898999999999993E-2</v>
      </c>
      <c r="I3">
        <v>7.7978000000000006E-2</v>
      </c>
      <c r="K3" s="4">
        <f t="shared" si="0"/>
        <v>1.0411086930399607</v>
      </c>
      <c r="O3" s="1"/>
    </row>
    <row r="4" spans="2:15" x14ac:dyDescent="0.25">
      <c r="B4" t="s">
        <v>25</v>
      </c>
      <c r="C4" s="1">
        <v>2.1666666666666665</v>
      </c>
      <c r="D4" t="s">
        <v>26</v>
      </c>
      <c r="E4" t="s">
        <v>27</v>
      </c>
      <c r="F4" t="s">
        <v>28</v>
      </c>
      <c r="G4" t="s">
        <v>29</v>
      </c>
      <c r="H4">
        <v>7.4822E-2</v>
      </c>
      <c r="I4">
        <v>7.4098999999999998E-2</v>
      </c>
      <c r="K4" s="4">
        <f t="shared" si="0"/>
        <v>0.99033706663815457</v>
      </c>
      <c r="O4" s="1"/>
    </row>
    <row r="5" spans="2:15" x14ac:dyDescent="0.25">
      <c r="B5" t="s">
        <v>25</v>
      </c>
      <c r="C5" s="1">
        <v>2.75</v>
      </c>
      <c r="D5" t="s">
        <v>26</v>
      </c>
      <c r="E5" t="s">
        <v>27</v>
      </c>
      <c r="F5" t="s">
        <v>28</v>
      </c>
      <c r="G5" t="s">
        <v>29</v>
      </c>
      <c r="H5">
        <v>7.5570999999999999E-2</v>
      </c>
      <c r="I5">
        <v>7.8885999999999998E-2</v>
      </c>
      <c r="K5" s="4">
        <f t="shared" si="0"/>
        <v>1.0438660332667293</v>
      </c>
      <c r="O5" s="1"/>
    </row>
    <row r="6" spans="2:15" x14ac:dyDescent="0.25">
      <c r="B6" t="s">
        <v>25</v>
      </c>
      <c r="C6" s="1">
        <v>3.3333333333333335</v>
      </c>
      <c r="D6" t="s">
        <v>26</v>
      </c>
      <c r="E6" t="s">
        <v>27</v>
      </c>
      <c r="F6" t="s">
        <v>28</v>
      </c>
      <c r="G6" t="s">
        <v>29</v>
      </c>
      <c r="H6">
        <v>8.9305999999999996E-2</v>
      </c>
      <c r="I6">
        <v>9.2672000000000004E-2</v>
      </c>
      <c r="K6" s="4">
        <f t="shared" si="0"/>
        <v>1.0376906366873446</v>
      </c>
      <c r="O6" s="1"/>
    </row>
    <row r="7" spans="2:15" x14ac:dyDescent="0.25">
      <c r="B7" t="s">
        <v>25</v>
      </c>
      <c r="C7" s="1">
        <v>3.9166666666666665</v>
      </c>
      <c r="D7" t="s">
        <v>26</v>
      </c>
      <c r="E7" t="s">
        <v>27</v>
      </c>
      <c r="F7" t="s">
        <v>28</v>
      </c>
      <c r="G7" t="s">
        <v>29</v>
      </c>
      <c r="H7">
        <v>0.118394</v>
      </c>
      <c r="I7">
        <v>0.12825</v>
      </c>
      <c r="K7" s="4">
        <f t="shared" si="0"/>
        <v>1.0832474618646215</v>
      </c>
      <c r="O7" s="1"/>
    </row>
    <row r="8" spans="2:15" x14ac:dyDescent="0.25">
      <c r="B8" t="s">
        <v>25</v>
      </c>
      <c r="C8" s="1">
        <v>4.5</v>
      </c>
      <c r="D8" t="s">
        <v>26</v>
      </c>
      <c r="E8" t="s">
        <v>27</v>
      </c>
      <c r="F8" t="s">
        <v>28</v>
      </c>
      <c r="G8" t="s">
        <v>29</v>
      </c>
      <c r="H8">
        <v>0.188531</v>
      </c>
      <c r="I8">
        <v>0.208429</v>
      </c>
      <c r="K8" s="4">
        <f t="shared" si="0"/>
        <v>1.1055423246044418</v>
      </c>
      <c r="O8" s="1"/>
    </row>
    <row r="9" spans="2:15" x14ac:dyDescent="0.25">
      <c r="B9" t="s">
        <v>25</v>
      </c>
      <c r="C9" s="1">
        <v>5.083333333333333</v>
      </c>
      <c r="D9" t="s">
        <v>26</v>
      </c>
      <c r="E9" t="s">
        <v>27</v>
      </c>
      <c r="F9" t="s">
        <v>28</v>
      </c>
      <c r="G9" t="s">
        <v>29</v>
      </c>
      <c r="H9">
        <v>0.33111000000000002</v>
      </c>
      <c r="I9">
        <v>0.37972499999999998</v>
      </c>
      <c r="K9" s="4">
        <f t="shared" si="0"/>
        <v>1.14682431820241</v>
      </c>
      <c r="O9" s="1"/>
    </row>
    <row r="10" spans="2:15" x14ac:dyDescent="0.25">
      <c r="B10" t="s">
        <v>25</v>
      </c>
      <c r="C10" s="1">
        <v>5.666666666666667</v>
      </c>
      <c r="D10" t="s">
        <v>26</v>
      </c>
      <c r="E10" t="s">
        <v>27</v>
      </c>
      <c r="F10" t="s">
        <v>28</v>
      </c>
      <c r="G10" t="s">
        <v>29</v>
      </c>
      <c r="H10">
        <v>0.60961900000000002</v>
      </c>
      <c r="I10">
        <v>0.64406399999999997</v>
      </c>
      <c r="K10" s="4">
        <f t="shared" si="0"/>
        <v>1.0565025040230045</v>
      </c>
      <c r="O10" s="1"/>
    </row>
    <row r="11" spans="2:15" x14ac:dyDescent="0.25">
      <c r="B11" t="s">
        <v>25</v>
      </c>
      <c r="C11" s="1">
        <v>6.25</v>
      </c>
      <c r="D11" t="s">
        <v>26</v>
      </c>
      <c r="E11" t="s">
        <v>27</v>
      </c>
      <c r="F11" t="s">
        <v>28</v>
      </c>
      <c r="G11" t="s">
        <v>29</v>
      </c>
      <c r="H11">
        <v>7.3362999999999998E-2</v>
      </c>
      <c r="I11">
        <v>7.3516999999999999E-2</v>
      </c>
      <c r="K11" s="4">
        <f t="shared" si="0"/>
        <v>1.0020991507980863</v>
      </c>
      <c r="O11" s="1"/>
    </row>
    <row r="12" spans="2:15" x14ac:dyDescent="0.25">
      <c r="B12" t="s">
        <v>25</v>
      </c>
      <c r="C12" s="1">
        <v>6.833333333333333</v>
      </c>
      <c r="D12" t="s">
        <v>26</v>
      </c>
      <c r="E12" t="s">
        <v>27</v>
      </c>
      <c r="F12" t="s">
        <v>28</v>
      </c>
      <c r="G12" t="s">
        <v>29</v>
      </c>
      <c r="H12">
        <v>7.3861999999999997E-2</v>
      </c>
      <c r="I12">
        <v>7.4854000000000004E-2</v>
      </c>
      <c r="K12" s="4">
        <f t="shared" si="0"/>
        <v>1.0134304513823076</v>
      </c>
      <c r="O12" s="1"/>
    </row>
    <row r="13" spans="2:15" x14ac:dyDescent="0.25">
      <c r="B13" t="s">
        <v>25</v>
      </c>
      <c r="C13" s="1">
        <v>7.416666666666667</v>
      </c>
      <c r="D13" t="s">
        <v>26</v>
      </c>
      <c r="E13" t="s">
        <v>27</v>
      </c>
      <c r="F13" t="s">
        <v>28</v>
      </c>
      <c r="G13" t="s">
        <v>29</v>
      </c>
      <c r="H13">
        <v>7.5322E-2</v>
      </c>
      <c r="I13">
        <v>7.7325000000000005E-2</v>
      </c>
      <c r="K13" s="4">
        <f t="shared" si="0"/>
        <v>1.0265924962162449</v>
      </c>
      <c r="O13" s="1"/>
    </row>
    <row r="14" spans="2:15" x14ac:dyDescent="0.25">
      <c r="B14" t="s">
        <v>25</v>
      </c>
      <c r="C14" s="1">
        <v>8</v>
      </c>
      <c r="D14" t="s">
        <v>26</v>
      </c>
      <c r="E14" t="s">
        <v>27</v>
      </c>
      <c r="F14" t="s">
        <v>28</v>
      </c>
      <c r="G14" t="s">
        <v>29</v>
      </c>
      <c r="H14">
        <v>7.5021000000000004E-2</v>
      </c>
      <c r="I14">
        <v>7.5744000000000006E-2</v>
      </c>
      <c r="K14" s="4">
        <f t="shared" si="0"/>
        <v>1.0096373015555644</v>
      </c>
      <c r="O14" s="1"/>
    </row>
    <row r="15" spans="2:15" x14ac:dyDescent="0.25">
      <c r="B15" t="s">
        <v>25</v>
      </c>
      <c r="C15" s="1">
        <v>8.5833333333333339</v>
      </c>
      <c r="D15" t="s">
        <v>26</v>
      </c>
      <c r="E15" t="s">
        <v>27</v>
      </c>
      <c r="F15" t="s">
        <v>28</v>
      </c>
      <c r="G15" t="s">
        <v>29</v>
      </c>
      <c r="H15">
        <v>7.5583999999999998E-2</v>
      </c>
      <c r="I15">
        <v>7.6269000000000003E-2</v>
      </c>
      <c r="K15" s="4">
        <f t="shared" si="0"/>
        <v>1.009062764606266</v>
      </c>
      <c r="O15" s="1"/>
    </row>
    <row r="16" spans="2:15" x14ac:dyDescent="0.25">
      <c r="B16" t="s">
        <v>25</v>
      </c>
      <c r="C16" s="1">
        <v>9.1666666666666661</v>
      </c>
      <c r="D16" t="s">
        <v>26</v>
      </c>
      <c r="E16" t="s">
        <v>27</v>
      </c>
      <c r="F16" t="s">
        <v>28</v>
      </c>
      <c r="G16" t="s">
        <v>29</v>
      </c>
      <c r="H16">
        <v>9.1442999999999997E-2</v>
      </c>
      <c r="I16">
        <v>9.1814000000000007E-2</v>
      </c>
      <c r="K16" s="4">
        <f t="shared" si="0"/>
        <v>1.004057172227508</v>
      </c>
      <c r="O16" s="1"/>
    </row>
    <row r="17" spans="2:15" x14ac:dyDescent="0.25">
      <c r="B17" t="s">
        <v>25</v>
      </c>
      <c r="C17" s="1">
        <v>9.75</v>
      </c>
      <c r="D17" t="s">
        <v>26</v>
      </c>
      <c r="E17" t="s">
        <v>27</v>
      </c>
      <c r="F17" t="s">
        <v>28</v>
      </c>
      <c r="G17" t="s">
        <v>29</v>
      </c>
      <c r="H17">
        <v>0.122323</v>
      </c>
      <c r="I17">
        <v>0.122547</v>
      </c>
      <c r="K17" s="4">
        <f t="shared" si="0"/>
        <v>1.0018312173507844</v>
      </c>
      <c r="O17" s="1"/>
    </row>
    <row r="18" spans="2:15" x14ac:dyDescent="0.25">
      <c r="B18" t="s">
        <v>25</v>
      </c>
      <c r="C18" s="1">
        <v>10.333333333333334</v>
      </c>
      <c r="D18" t="s">
        <v>26</v>
      </c>
      <c r="E18" t="s">
        <v>27</v>
      </c>
      <c r="F18" t="s">
        <v>28</v>
      </c>
      <c r="G18" t="s">
        <v>29</v>
      </c>
      <c r="H18">
        <v>0.19705600000000001</v>
      </c>
      <c r="I18">
        <v>0.198963</v>
      </c>
      <c r="K18" s="4">
        <f t="shared" si="0"/>
        <v>1.0096774520948359</v>
      </c>
      <c r="O18" s="1"/>
    </row>
    <row r="19" spans="2:15" x14ac:dyDescent="0.25">
      <c r="B19" t="s">
        <v>25</v>
      </c>
      <c r="C19" s="1">
        <v>10.916666666666666</v>
      </c>
      <c r="D19" t="s">
        <v>26</v>
      </c>
      <c r="E19" t="s">
        <v>27</v>
      </c>
      <c r="F19" t="s">
        <v>28</v>
      </c>
      <c r="G19" t="s">
        <v>29</v>
      </c>
      <c r="H19">
        <v>0.34514600000000001</v>
      </c>
      <c r="I19">
        <v>0.34626600000000002</v>
      </c>
      <c r="K19" s="4">
        <f t="shared" si="0"/>
        <v>1.0032450035637093</v>
      </c>
      <c r="O19" s="1"/>
    </row>
    <row r="20" spans="2:15" x14ac:dyDescent="0.25">
      <c r="B20" t="s">
        <v>25</v>
      </c>
      <c r="C20" s="1">
        <v>11.5</v>
      </c>
      <c r="D20" t="s">
        <v>26</v>
      </c>
      <c r="E20" t="s">
        <v>27</v>
      </c>
      <c r="F20" t="s">
        <v>28</v>
      </c>
      <c r="G20" t="s">
        <v>29</v>
      </c>
      <c r="H20">
        <v>0.63994899999999999</v>
      </c>
      <c r="I20">
        <v>0.64447299999999996</v>
      </c>
      <c r="K20" s="4">
        <f t="shared" si="0"/>
        <v>1.0070693133359063</v>
      </c>
      <c r="O20" s="1"/>
    </row>
    <row r="21" spans="2:15" x14ac:dyDescent="0.25">
      <c r="B21" t="s">
        <v>25</v>
      </c>
      <c r="C21" s="1">
        <v>12.083333333333334</v>
      </c>
      <c r="D21" t="s">
        <v>26</v>
      </c>
      <c r="E21" t="s">
        <v>27</v>
      </c>
      <c r="F21" t="s">
        <v>28</v>
      </c>
      <c r="G21" t="s">
        <v>29</v>
      </c>
      <c r="H21">
        <v>7.8880000000000006E-2</v>
      </c>
      <c r="I21">
        <v>7.8950000000000006E-2</v>
      </c>
      <c r="K21" s="4">
        <f t="shared" si="0"/>
        <v>1.0008874239350913</v>
      </c>
      <c r="O21" s="1"/>
    </row>
    <row r="22" spans="2:15" x14ac:dyDescent="0.25">
      <c r="B22" t="s">
        <v>25</v>
      </c>
      <c r="C22" s="1">
        <v>12.666666666666666</v>
      </c>
      <c r="D22" t="s">
        <v>26</v>
      </c>
      <c r="E22" t="s">
        <v>27</v>
      </c>
      <c r="F22" t="s">
        <v>28</v>
      </c>
      <c r="G22" t="s">
        <v>29</v>
      </c>
      <c r="H22">
        <v>7.9808000000000004E-2</v>
      </c>
      <c r="I22">
        <v>0.08</v>
      </c>
      <c r="K22" s="4">
        <f t="shared" si="0"/>
        <v>1.0024057738572574</v>
      </c>
      <c r="O22" s="1"/>
    </row>
    <row r="23" spans="2:15" x14ac:dyDescent="0.25">
      <c r="B23" t="s">
        <v>25</v>
      </c>
      <c r="C23" s="1">
        <v>13.25</v>
      </c>
      <c r="D23" t="s">
        <v>26</v>
      </c>
      <c r="E23" t="s">
        <v>27</v>
      </c>
      <c r="F23" t="s">
        <v>28</v>
      </c>
      <c r="G23" t="s">
        <v>29</v>
      </c>
      <c r="H23">
        <v>8.2546999999999995E-2</v>
      </c>
      <c r="I23">
        <v>8.2674999999999998E-2</v>
      </c>
      <c r="K23" s="4">
        <f t="shared" si="0"/>
        <v>1.0015506317612997</v>
      </c>
      <c r="O23" s="1"/>
    </row>
    <row r="24" spans="2:15" x14ac:dyDescent="0.25">
      <c r="B24" t="s">
        <v>25</v>
      </c>
      <c r="C24" s="1">
        <v>13.833333333333334</v>
      </c>
      <c r="D24" t="s">
        <v>26</v>
      </c>
      <c r="E24" t="s">
        <v>27</v>
      </c>
      <c r="F24" t="s">
        <v>28</v>
      </c>
      <c r="G24" t="s">
        <v>29</v>
      </c>
      <c r="H24">
        <v>8.2374000000000003E-2</v>
      </c>
      <c r="I24">
        <v>8.2432000000000005E-2</v>
      </c>
      <c r="K24" s="4">
        <f t="shared" si="0"/>
        <v>1.0007041056644086</v>
      </c>
      <c r="O24" s="1"/>
    </row>
    <row r="25" spans="2:15" x14ac:dyDescent="0.25">
      <c r="B25" t="s">
        <v>25</v>
      </c>
      <c r="C25" s="1">
        <v>14.416666666666666</v>
      </c>
      <c r="D25" t="s">
        <v>26</v>
      </c>
      <c r="E25" t="s">
        <v>27</v>
      </c>
      <c r="F25" t="s">
        <v>28</v>
      </c>
      <c r="G25" t="s">
        <v>29</v>
      </c>
      <c r="H25">
        <v>8.3340999999999998E-2</v>
      </c>
      <c r="I25">
        <v>8.3340999999999998E-2</v>
      </c>
      <c r="K25" s="4">
        <f t="shared" si="0"/>
        <v>1</v>
      </c>
      <c r="O25" s="1"/>
    </row>
    <row r="26" spans="2:15" x14ac:dyDescent="0.25">
      <c r="B26" t="s">
        <v>25</v>
      </c>
      <c r="C26" s="1">
        <v>15</v>
      </c>
      <c r="D26" t="s">
        <v>26</v>
      </c>
      <c r="E26" t="s">
        <v>27</v>
      </c>
      <c r="F26" t="s">
        <v>28</v>
      </c>
      <c r="G26" t="s">
        <v>29</v>
      </c>
      <c r="H26">
        <v>0.104685</v>
      </c>
      <c r="I26">
        <v>0.10474899999999999</v>
      </c>
      <c r="K26" s="4">
        <f t="shared" si="0"/>
        <v>1.0006113578831732</v>
      </c>
      <c r="O26" s="1"/>
    </row>
    <row r="27" spans="2:15" x14ac:dyDescent="0.25">
      <c r="B27" t="s">
        <v>25</v>
      </c>
      <c r="C27" s="1">
        <v>15.583333333333334</v>
      </c>
      <c r="D27" t="s">
        <v>26</v>
      </c>
      <c r="E27" t="s">
        <v>27</v>
      </c>
      <c r="F27" t="s">
        <v>28</v>
      </c>
      <c r="G27" t="s">
        <v>29</v>
      </c>
      <c r="H27">
        <v>0.156781</v>
      </c>
      <c r="I27">
        <v>0.15695999999999999</v>
      </c>
      <c r="K27" s="4">
        <f t="shared" si="0"/>
        <v>1.001141719978824</v>
      </c>
      <c r="O27" s="1"/>
    </row>
    <row r="28" spans="2:15" x14ac:dyDescent="0.25">
      <c r="B28" t="s">
        <v>25</v>
      </c>
      <c r="C28" s="1">
        <v>16.166666666666668</v>
      </c>
      <c r="D28" t="s">
        <v>26</v>
      </c>
      <c r="E28" t="s">
        <v>27</v>
      </c>
      <c r="F28" t="s">
        <v>28</v>
      </c>
      <c r="G28" t="s">
        <v>29</v>
      </c>
      <c r="H28">
        <v>0.25605800000000001</v>
      </c>
      <c r="I28">
        <v>0.25596799999999997</v>
      </c>
      <c r="K28" s="4">
        <f t="shared" si="0"/>
        <v>0.99964851713283698</v>
      </c>
      <c r="O28" s="1"/>
    </row>
    <row r="29" spans="2:15" x14ac:dyDescent="0.25">
      <c r="B29" t="s">
        <v>25</v>
      </c>
      <c r="C29" s="1">
        <v>16.75</v>
      </c>
      <c r="D29" t="s">
        <v>26</v>
      </c>
      <c r="E29" t="s">
        <v>27</v>
      </c>
      <c r="F29" t="s">
        <v>28</v>
      </c>
      <c r="G29" t="s">
        <v>29</v>
      </c>
      <c r="H29">
        <v>0.44011499999999998</v>
      </c>
      <c r="I29">
        <v>0.44195899999999999</v>
      </c>
      <c r="K29" s="4">
        <f t="shared" si="0"/>
        <v>1.0041898140258796</v>
      </c>
      <c r="O29" s="1"/>
    </row>
    <row r="30" spans="2:15" x14ac:dyDescent="0.25">
      <c r="B30" t="s">
        <v>25</v>
      </c>
      <c r="C30" s="1">
        <v>17.333333333333332</v>
      </c>
      <c r="D30" t="s">
        <v>26</v>
      </c>
      <c r="E30" t="s">
        <v>27</v>
      </c>
      <c r="F30" t="s">
        <v>28</v>
      </c>
      <c r="G30" t="s">
        <v>29</v>
      </c>
      <c r="H30">
        <v>0.84537600000000002</v>
      </c>
      <c r="I30">
        <v>0.84698200000000001</v>
      </c>
      <c r="K30" s="4">
        <f t="shared" si="0"/>
        <v>1.0018997463850405</v>
      </c>
      <c r="O30" s="1"/>
    </row>
    <row r="31" spans="2:15" x14ac:dyDescent="0.25">
      <c r="B31" t="s">
        <v>25</v>
      </c>
      <c r="C31" s="1">
        <v>17.916666666666668</v>
      </c>
      <c r="D31" t="s">
        <v>26</v>
      </c>
      <c r="E31" t="s">
        <v>27</v>
      </c>
      <c r="F31" t="s">
        <v>28</v>
      </c>
      <c r="G31" t="s">
        <v>29</v>
      </c>
      <c r="H31">
        <v>9.3260999999999997E-2</v>
      </c>
      <c r="I31">
        <v>9.3280000000000002E-2</v>
      </c>
      <c r="K31" s="4">
        <f t="shared" si="0"/>
        <v>1.0002037293187935</v>
      </c>
      <c r="O31" s="1"/>
    </row>
    <row r="32" spans="2:15" x14ac:dyDescent="0.25">
      <c r="B32" t="s">
        <v>25</v>
      </c>
      <c r="C32" s="1">
        <v>18.5</v>
      </c>
      <c r="D32" t="s">
        <v>26</v>
      </c>
      <c r="E32" t="s">
        <v>27</v>
      </c>
      <c r="F32" t="s">
        <v>28</v>
      </c>
      <c r="G32" t="s">
        <v>29</v>
      </c>
      <c r="H32">
        <v>9.4752000000000003E-2</v>
      </c>
      <c r="I32">
        <v>9.5130000000000006E-2</v>
      </c>
      <c r="K32" s="4">
        <f t="shared" si="0"/>
        <v>1.0039893617021276</v>
      </c>
      <c r="O32" s="1"/>
    </row>
    <row r="33" spans="2:15" x14ac:dyDescent="0.25">
      <c r="B33" t="s">
        <v>25</v>
      </c>
      <c r="C33" s="1">
        <v>19.083333333333332</v>
      </c>
      <c r="D33" t="s">
        <v>26</v>
      </c>
      <c r="E33" t="s">
        <v>27</v>
      </c>
      <c r="F33" t="s">
        <v>28</v>
      </c>
      <c r="G33" t="s">
        <v>29</v>
      </c>
      <c r="H33">
        <v>9.9328E-2</v>
      </c>
      <c r="I33">
        <v>9.9308999999999995E-2</v>
      </c>
      <c r="K33" s="4">
        <f t="shared" si="0"/>
        <v>0.9998087145618556</v>
      </c>
      <c r="O33" s="1"/>
    </row>
    <row r="34" spans="2:15" x14ac:dyDescent="0.25">
      <c r="B34" t="s">
        <v>25</v>
      </c>
      <c r="C34" s="1">
        <v>19.666666666666668</v>
      </c>
      <c r="D34" t="s">
        <v>26</v>
      </c>
      <c r="E34" t="s">
        <v>27</v>
      </c>
      <c r="F34" t="s">
        <v>28</v>
      </c>
      <c r="G34" t="s">
        <v>29</v>
      </c>
      <c r="H34">
        <v>9.9602999999999997E-2</v>
      </c>
      <c r="I34">
        <v>9.9360000000000004E-2</v>
      </c>
      <c r="K34" s="4">
        <f t="shared" si="0"/>
        <v>0.99756031444836002</v>
      </c>
      <c r="O34" s="1"/>
    </row>
    <row r="35" spans="2:15" x14ac:dyDescent="0.25">
      <c r="B35" t="s">
        <v>25</v>
      </c>
      <c r="C35" s="1">
        <v>20.25</v>
      </c>
      <c r="D35" t="s">
        <v>26</v>
      </c>
      <c r="E35" t="s">
        <v>27</v>
      </c>
      <c r="F35" t="s">
        <v>28</v>
      </c>
      <c r="G35" t="s">
        <v>29</v>
      </c>
      <c r="H35">
        <v>0.100947</v>
      </c>
      <c r="I35">
        <v>0.100928</v>
      </c>
      <c r="K35" s="4">
        <f t="shared" si="0"/>
        <v>0.99981178242047819</v>
      </c>
      <c r="O35" s="1"/>
    </row>
    <row r="36" spans="2:15" x14ac:dyDescent="0.25">
      <c r="B36" t="s">
        <v>25</v>
      </c>
      <c r="C36" s="1">
        <v>20.833333333333332</v>
      </c>
      <c r="D36" t="s">
        <v>26</v>
      </c>
      <c r="E36" t="s">
        <v>27</v>
      </c>
      <c r="F36" t="s">
        <v>28</v>
      </c>
      <c r="G36" t="s">
        <v>29</v>
      </c>
      <c r="H36">
        <v>0.14499200000000001</v>
      </c>
      <c r="I36">
        <v>0.14510100000000001</v>
      </c>
      <c r="K36" s="4">
        <f t="shared" si="0"/>
        <v>1.0007517656146545</v>
      </c>
      <c r="O36" s="1"/>
    </row>
    <row r="37" spans="2:15" x14ac:dyDescent="0.25">
      <c r="B37" t="s">
        <v>25</v>
      </c>
      <c r="C37" s="1">
        <v>21.416666666666668</v>
      </c>
      <c r="D37" t="s">
        <v>26</v>
      </c>
      <c r="E37" t="s">
        <v>27</v>
      </c>
      <c r="F37" t="s">
        <v>28</v>
      </c>
      <c r="G37" t="s">
        <v>29</v>
      </c>
      <c r="H37">
        <v>0.226054</v>
      </c>
      <c r="I37">
        <v>0.22540199999999999</v>
      </c>
      <c r="K37" s="4">
        <f t="shared" si="0"/>
        <v>0.99711573340883142</v>
      </c>
      <c r="O37" s="1"/>
    </row>
    <row r="38" spans="2:15" x14ac:dyDescent="0.25">
      <c r="B38" t="s">
        <v>25</v>
      </c>
      <c r="C38" s="1">
        <v>22</v>
      </c>
      <c r="D38" t="s">
        <v>26</v>
      </c>
      <c r="E38" t="s">
        <v>27</v>
      </c>
      <c r="F38" t="s">
        <v>28</v>
      </c>
      <c r="G38" t="s">
        <v>29</v>
      </c>
      <c r="H38">
        <v>0.39366400000000001</v>
      </c>
      <c r="I38">
        <v>0.39155200000000001</v>
      </c>
      <c r="K38" s="4">
        <f t="shared" si="0"/>
        <v>0.99463501869614701</v>
      </c>
      <c r="O38" s="1"/>
    </row>
    <row r="39" spans="2:15" x14ac:dyDescent="0.25">
      <c r="B39" t="s">
        <v>25</v>
      </c>
      <c r="C39" s="1">
        <v>22.583333333333332</v>
      </c>
      <c r="D39" t="s">
        <v>26</v>
      </c>
      <c r="E39" t="s">
        <v>27</v>
      </c>
      <c r="F39" t="s">
        <v>28</v>
      </c>
      <c r="G39" t="s">
        <v>29</v>
      </c>
      <c r="H39">
        <v>0.70501100000000005</v>
      </c>
      <c r="I39">
        <v>0.70411500000000005</v>
      </c>
      <c r="K39" s="4">
        <f t="shared" si="0"/>
        <v>0.99872909784386343</v>
      </c>
      <c r="O39" s="1"/>
    </row>
    <row r="40" spans="2:15" x14ac:dyDescent="0.25">
      <c r="B40" t="s">
        <v>25</v>
      </c>
      <c r="C40" s="1">
        <v>23.166666666666668</v>
      </c>
      <c r="D40" t="s">
        <v>26</v>
      </c>
      <c r="E40" t="s">
        <v>27</v>
      </c>
      <c r="F40" t="s">
        <v>28</v>
      </c>
      <c r="G40" t="s">
        <v>29</v>
      </c>
      <c r="H40">
        <v>1.3288390000000001</v>
      </c>
      <c r="I40">
        <v>1.33321</v>
      </c>
      <c r="K40" s="4">
        <f t="shared" si="0"/>
        <v>1.0032893375344942</v>
      </c>
      <c r="O40" s="1"/>
    </row>
    <row r="41" spans="2:15" x14ac:dyDescent="0.25">
      <c r="B41" t="s">
        <v>25</v>
      </c>
      <c r="C41" s="1">
        <v>23.75</v>
      </c>
      <c r="D41" t="s">
        <v>26</v>
      </c>
      <c r="E41" t="s">
        <v>27</v>
      </c>
      <c r="F41" t="s">
        <v>28</v>
      </c>
      <c r="G41" t="s">
        <v>29</v>
      </c>
      <c r="H41">
        <v>0.122227</v>
      </c>
      <c r="I41">
        <v>0.122291</v>
      </c>
      <c r="K41" s="4">
        <f t="shared" si="0"/>
        <v>1.000523615895015</v>
      </c>
      <c r="O41" s="1"/>
    </row>
    <row r="42" spans="2:15" x14ac:dyDescent="0.25">
      <c r="B42" t="s">
        <v>25</v>
      </c>
      <c r="C42" s="1">
        <v>24.333333333333332</v>
      </c>
      <c r="D42" t="s">
        <v>26</v>
      </c>
      <c r="E42" t="s">
        <v>27</v>
      </c>
      <c r="F42" t="s">
        <v>28</v>
      </c>
      <c r="G42" t="s">
        <v>29</v>
      </c>
      <c r="H42">
        <v>0.12361</v>
      </c>
      <c r="I42">
        <v>0.12350700000000001</v>
      </c>
      <c r="K42" s="4">
        <f t="shared" si="0"/>
        <v>0.99916673408300305</v>
      </c>
      <c r="O42" s="1"/>
    </row>
    <row r="43" spans="2:15" x14ac:dyDescent="0.25">
      <c r="B43" t="s">
        <v>25</v>
      </c>
      <c r="C43" s="1">
        <v>24.916666666666668</v>
      </c>
      <c r="D43" t="s">
        <v>26</v>
      </c>
      <c r="E43" t="s">
        <v>27</v>
      </c>
      <c r="F43" t="s">
        <v>28</v>
      </c>
      <c r="G43" t="s">
        <v>29</v>
      </c>
      <c r="H43">
        <v>0.14041600000000001</v>
      </c>
      <c r="I43">
        <v>0.13994200000000001</v>
      </c>
      <c r="K43" s="4">
        <f t="shared" si="0"/>
        <v>0.99662431631722881</v>
      </c>
      <c r="O43" s="1"/>
    </row>
    <row r="44" spans="2:15" x14ac:dyDescent="0.25">
      <c r="B44" t="s">
        <v>25</v>
      </c>
      <c r="C44" s="1">
        <v>25.5</v>
      </c>
      <c r="D44" t="s">
        <v>26</v>
      </c>
      <c r="E44" t="s">
        <v>27</v>
      </c>
      <c r="F44" t="s">
        <v>28</v>
      </c>
      <c r="G44" t="s">
        <v>29</v>
      </c>
      <c r="H44">
        <v>0.13992299999999999</v>
      </c>
      <c r="I44">
        <v>0.139706</v>
      </c>
      <c r="K44" s="4">
        <f t="shared" si="0"/>
        <v>0.99844914703086707</v>
      </c>
      <c r="O44" s="1"/>
    </row>
    <row r="45" spans="2:15" x14ac:dyDescent="0.25">
      <c r="B45" t="s">
        <v>25</v>
      </c>
      <c r="C45" s="1">
        <v>26.083333333333332</v>
      </c>
      <c r="D45" t="s">
        <v>26</v>
      </c>
      <c r="E45" t="s">
        <v>27</v>
      </c>
      <c r="F45" t="s">
        <v>28</v>
      </c>
      <c r="G45" t="s">
        <v>29</v>
      </c>
      <c r="H45">
        <v>0.140544</v>
      </c>
      <c r="I45">
        <v>0.140602</v>
      </c>
      <c r="K45" s="4">
        <f t="shared" si="0"/>
        <v>1.0004126821493624</v>
      </c>
      <c r="O45" s="1"/>
    </row>
    <row r="46" spans="2:15" x14ac:dyDescent="0.25">
      <c r="B46" t="s">
        <v>25</v>
      </c>
      <c r="C46" s="1">
        <v>26.666666666666668</v>
      </c>
      <c r="D46" t="s">
        <v>26</v>
      </c>
      <c r="E46" t="s">
        <v>27</v>
      </c>
      <c r="F46" t="s">
        <v>28</v>
      </c>
      <c r="G46" t="s">
        <v>29</v>
      </c>
      <c r="H46">
        <v>0.21554599999999999</v>
      </c>
      <c r="I46">
        <v>0.21576999999999999</v>
      </c>
      <c r="K46" s="4">
        <f t="shared" si="0"/>
        <v>1.0010392213263062</v>
      </c>
      <c r="O46" s="1"/>
    </row>
    <row r="47" spans="2:15" x14ac:dyDescent="0.25">
      <c r="B47" t="s">
        <v>25</v>
      </c>
      <c r="C47" s="1">
        <v>27.25</v>
      </c>
      <c r="D47" t="s">
        <v>26</v>
      </c>
      <c r="E47" t="s">
        <v>27</v>
      </c>
      <c r="F47" t="s">
        <v>28</v>
      </c>
      <c r="G47" t="s">
        <v>29</v>
      </c>
      <c r="H47">
        <v>0.37211499999999997</v>
      </c>
      <c r="I47">
        <v>0.37231399999999998</v>
      </c>
      <c r="K47" s="4">
        <f t="shared" si="0"/>
        <v>1.0005347809145022</v>
      </c>
      <c r="O47" s="1"/>
    </row>
    <row r="48" spans="2:15" x14ac:dyDescent="0.25">
      <c r="B48" t="s">
        <v>25</v>
      </c>
      <c r="C48" s="1">
        <v>27.833333333333332</v>
      </c>
      <c r="D48" t="s">
        <v>26</v>
      </c>
      <c r="E48" t="s">
        <v>27</v>
      </c>
      <c r="F48" t="s">
        <v>28</v>
      </c>
      <c r="G48" t="s">
        <v>29</v>
      </c>
      <c r="H48">
        <v>0.66910099999999995</v>
      </c>
      <c r="I48">
        <v>0.67141099999999998</v>
      </c>
      <c r="K48" s="4">
        <f t="shared" si="0"/>
        <v>1.003452393584825</v>
      </c>
      <c r="O48" s="1"/>
    </row>
    <row r="49" spans="2:15" x14ac:dyDescent="0.25">
      <c r="B49" t="s">
        <v>25</v>
      </c>
      <c r="C49" s="1">
        <v>28.416666666666668</v>
      </c>
      <c r="D49" t="s">
        <v>26</v>
      </c>
      <c r="E49" t="s">
        <v>27</v>
      </c>
      <c r="F49" t="s">
        <v>28</v>
      </c>
      <c r="G49" t="s">
        <v>29</v>
      </c>
      <c r="H49">
        <v>1.1936899999999999</v>
      </c>
      <c r="I49">
        <v>1.2019390000000001</v>
      </c>
      <c r="K49" s="4">
        <f t="shared" si="0"/>
        <v>1.0069105044023157</v>
      </c>
      <c r="O49" s="1"/>
    </row>
    <row r="50" spans="2:15" x14ac:dyDescent="0.25">
      <c r="B50" t="s">
        <v>25</v>
      </c>
      <c r="C50" s="1">
        <v>29</v>
      </c>
      <c r="D50" t="s">
        <v>26</v>
      </c>
      <c r="E50" t="s">
        <v>27</v>
      </c>
      <c r="F50" t="s">
        <v>28</v>
      </c>
      <c r="G50" t="s">
        <v>29</v>
      </c>
      <c r="H50">
        <v>2.3338369999999999</v>
      </c>
      <c r="I50">
        <v>2.3364729999999998</v>
      </c>
      <c r="K50" s="4">
        <f t="shared" si="0"/>
        <v>1.0011294704814431</v>
      </c>
      <c r="O50" s="1"/>
    </row>
    <row r="51" spans="2:15" x14ac:dyDescent="0.25">
      <c r="B51" t="s">
        <v>25</v>
      </c>
      <c r="C51" s="1">
        <v>29.583333333333332</v>
      </c>
      <c r="D51" t="s">
        <v>26</v>
      </c>
      <c r="E51" t="s">
        <v>27</v>
      </c>
      <c r="F51" t="s">
        <v>28</v>
      </c>
      <c r="G51" t="s">
        <v>29</v>
      </c>
      <c r="H51">
        <v>0.155501</v>
      </c>
      <c r="I51">
        <v>0.15554599999999999</v>
      </c>
      <c r="K51" s="4">
        <f t="shared" si="0"/>
        <v>1.0002893872065131</v>
      </c>
      <c r="O51" s="1"/>
    </row>
    <row r="52" spans="2:15" x14ac:dyDescent="0.25">
      <c r="B52" t="s">
        <v>25</v>
      </c>
      <c r="C52" s="1">
        <v>30.166666666666668</v>
      </c>
      <c r="D52" t="s">
        <v>26</v>
      </c>
      <c r="E52" t="s">
        <v>27</v>
      </c>
      <c r="F52" t="s">
        <v>28</v>
      </c>
      <c r="G52" t="s">
        <v>29</v>
      </c>
      <c r="H52">
        <v>0.15665299999999999</v>
      </c>
      <c r="I52">
        <v>0.156864</v>
      </c>
      <c r="K52" s="4">
        <f t="shared" si="0"/>
        <v>1.0013469260084391</v>
      </c>
      <c r="O52" s="1"/>
    </row>
    <row r="53" spans="2:15" x14ac:dyDescent="0.25">
      <c r="B53" t="s">
        <v>25</v>
      </c>
      <c r="C53" s="1">
        <v>30.75</v>
      </c>
      <c r="D53" t="s">
        <v>26</v>
      </c>
      <c r="E53" t="s">
        <v>27</v>
      </c>
      <c r="F53" t="s">
        <v>28</v>
      </c>
      <c r="G53" t="s">
        <v>29</v>
      </c>
      <c r="H53">
        <v>0.18238699999999999</v>
      </c>
      <c r="I53">
        <v>0.182701</v>
      </c>
      <c r="K53" s="4">
        <f t="shared" si="0"/>
        <v>1.0017216139308174</v>
      </c>
      <c r="O53" s="1"/>
    </row>
    <row r="54" spans="2:15" x14ac:dyDescent="0.25">
      <c r="B54" t="s">
        <v>25</v>
      </c>
      <c r="C54" s="1">
        <v>31.333333333333332</v>
      </c>
      <c r="D54" t="s">
        <v>26</v>
      </c>
      <c r="E54" t="s">
        <v>27</v>
      </c>
      <c r="F54" t="s">
        <v>28</v>
      </c>
      <c r="G54" t="s">
        <v>29</v>
      </c>
      <c r="H54">
        <v>0.184422</v>
      </c>
      <c r="I54">
        <v>0.18457000000000001</v>
      </c>
      <c r="K54" s="4">
        <f t="shared" si="0"/>
        <v>1.0008025072930562</v>
      </c>
      <c r="O54" s="1"/>
    </row>
    <row r="55" spans="2:15" x14ac:dyDescent="0.25">
      <c r="B55" t="s">
        <v>25</v>
      </c>
      <c r="C55" s="1">
        <v>31.916666666666668</v>
      </c>
      <c r="D55" t="s">
        <v>26</v>
      </c>
      <c r="E55" t="s">
        <v>27</v>
      </c>
      <c r="F55" t="s">
        <v>28</v>
      </c>
      <c r="G55" t="s">
        <v>29</v>
      </c>
      <c r="H55">
        <v>0.18581800000000001</v>
      </c>
      <c r="I55">
        <v>0.18595200000000001</v>
      </c>
      <c r="K55" s="4">
        <f t="shared" si="0"/>
        <v>1.0007211357349663</v>
      </c>
      <c r="O55" s="1"/>
    </row>
    <row r="56" spans="2:15" x14ac:dyDescent="0.25">
      <c r="B56" t="s">
        <v>25</v>
      </c>
      <c r="C56" s="1">
        <v>32.5</v>
      </c>
      <c r="D56" t="s">
        <v>26</v>
      </c>
      <c r="E56" t="s">
        <v>27</v>
      </c>
      <c r="F56" t="s">
        <v>28</v>
      </c>
      <c r="G56" t="s">
        <v>29</v>
      </c>
      <c r="H56">
        <v>0.30341800000000002</v>
      </c>
      <c r="I56">
        <v>0.30405100000000002</v>
      </c>
      <c r="K56" s="4">
        <f t="shared" si="0"/>
        <v>1.0020862308762168</v>
      </c>
      <c r="O56" s="1"/>
    </row>
    <row r="57" spans="2:15" x14ac:dyDescent="0.25">
      <c r="B57" t="s">
        <v>25</v>
      </c>
      <c r="C57" s="1">
        <v>33.083333333333336</v>
      </c>
      <c r="D57" t="s">
        <v>26</v>
      </c>
      <c r="E57" t="s">
        <v>27</v>
      </c>
      <c r="F57" t="s">
        <v>28</v>
      </c>
      <c r="G57" t="s">
        <v>29</v>
      </c>
      <c r="H57">
        <v>0.56010899999999997</v>
      </c>
      <c r="I57">
        <v>0.555315</v>
      </c>
      <c r="K57" s="4">
        <f t="shared" si="0"/>
        <v>0.99144095167190682</v>
      </c>
      <c r="O57" s="1"/>
    </row>
    <row r="58" spans="2:15" x14ac:dyDescent="0.25">
      <c r="B58" t="s">
        <v>25</v>
      </c>
      <c r="C58" s="1">
        <v>33.666666666666664</v>
      </c>
      <c r="D58" t="s">
        <v>26</v>
      </c>
      <c r="E58" t="s">
        <v>27</v>
      </c>
      <c r="F58" t="s">
        <v>28</v>
      </c>
      <c r="G58" t="s">
        <v>29</v>
      </c>
      <c r="H58">
        <v>0.99169300000000005</v>
      </c>
      <c r="I58">
        <v>0.994201</v>
      </c>
      <c r="K58" s="4">
        <f t="shared" si="0"/>
        <v>1.0025290084733884</v>
      </c>
      <c r="O58" s="1"/>
    </row>
    <row r="59" spans="2:15" x14ac:dyDescent="0.25">
      <c r="B59" t="s">
        <v>25</v>
      </c>
      <c r="C59" s="1">
        <v>34.25</v>
      </c>
      <c r="D59" t="s">
        <v>26</v>
      </c>
      <c r="E59" t="s">
        <v>27</v>
      </c>
      <c r="F59" t="s">
        <v>28</v>
      </c>
      <c r="G59" t="s">
        <v>29</v>
      </c>
      <c r="H59">
        <v>1.819769</v>
      </c>
      <c r="I59">
        <v>1.8353600000000001</v>
      </c>
      <c r="K59" s="4">
        <f t="shared" si="0"/>
        <v>1.008567570938949</v>
      </c>
      <c r="O59" s="1"/>
    </row>
    <row r="60" spans="2:15" x14ac:dyDescent="0.25">
      <c r="B60" t="s">
        <v>25</v>
      </c>
      <c r="C60" s="1">
        <v>34.833333333333336</v>
      </c>
      <c r="D60" t="s">
        <v>26</v>
      </c>
      <c r="E60" t="s">
        <v>27</v>
      </c>
      <c r="F60" t="s">
        <v>28</v>
      </c>
      <c r="G60" t="s">
        <v>29</v>
      </c>
      <c r="H60">
        <v>3.5218880000000001</v>
      </c>
      <c r="I60">
        <v>3.5203899999999999</v>
      </c>
      <c r="K60" s="4">
        <f t="shared" si="0"/>
        <v>0.99957465995511496</v>
      </c>
      <c r="O60" s="1"/>
    </row>
    <row r="61" spans="2:15" x14ac:dyDescent="0.25">
      <c r="B61" t="s">
        <v>25</v>
      </c>
      <c r="C61" s="1">
        <v>35.416666666666664</v>
      </c>
      <c r="D61" t="s">
        <v>26</v>
      </c>
      <c r="E61" t="s">
        <v>27</v>
      </c>
      <c r="F61" t="s">
        <v>28</v>
      </c>
      <c r="G61" t="s">
        <v>29</v>
      </c>
      <c r="H61">
        <v>0.222138</v>
      </c>
      <c r="I61">
        <v>0.22215699999999999</v>
      </c>
      <c r="K61" s="4">
        <f t="shared" si="0"/>
        <v>1.0000855324167859</v>
      </c>
      <c r="O61" s="1"/>
    </row>
    <row r="62" spans="2:15" x14ac:dyDescent="0.25">
      <c r="B62" t="s">
        <v>25</v>
      </c>
      <c r="C62" s="1">
        <v>36</v>
      </c>
      <c r="D62" t="s">
        <v>26</v>
      </c>
      <c r="E62" t="s">
        <v>27</v>
      </c>
      <c r="F62" t="s">
        <v>28</v>
      </c>
      <c r="G62" t="s">
        <v>29</v>
      </c>
      <c r="H62">
        <v>0.22286700000000001</v>
      </c>
      <c r="I62">
        <v>0.222662</v>
      </c>
      <c r="K62" s="4">
        <f t="shared" si="0"/>
        <v>0.99908016888996576</v>
      </c>
      <c r="O62" s="1"/>
    </row>
    <row r="63" spans="2:15" x14ac:dyDescent="0.25">
      <c r="B63" t="s">
        <v>25</v>
      </c>
      <c r="C63" s="1">
        <v>36.583333333333336</v>
      </c>
      <c r="D63" t="s">
        <v>26</v>
      </c>
      <c r="E63" t="s">
        <v>27</v>
      </c>
      <c r="F63" t="s">
        <v>28</v>
      </c>
      <c r="G63" t="s">
        <v>29</v>
      </c>
      <c r="H63">
        <v>0.26910099999999998</v>
      </c>
      <c r="I63">
        <v>0.26873000000000002</v>
      </c>
      <c r="K63" s="4">
        <f t="shared" si="0"/>
        <v>0.99862133548370335</v>
      </c>
      <c r="O63" s="1"/>
    </row>
    <row r="64" spans="2:15" x14ac:dyDescent="0.25">
      <c r="B64" t="s">
        <v>25</v>
      </c>
      <c r="C64" s="1">
        <v>37.166666666666664</v>
      </c>
      <c r="D64" t="s">
        <v>26</v>
      </c>
      <c r="E64" t="s">
        <v>27</v>
      </c>
      <c r="F64" t="s">
        <v>28</v>
      </c>
      <c r="G64" t="s">
        <v>29</v>
      </c>
      <c r="H64">
        <v>0.273619</v>
      </c>
      <c r="I64">
        <v>0.27386899999999997</v>
      </c>
      <c r="K64" s="4">
        <f t="shared" si="0"/>
        <v>1.0009136792401112</v>
      </c>
      <c r="O64" s="1"/>
    </row>
    <row r="65" spans="2:15" x14ac:dyDescent="0.25">
      <c r="B65" t="s">
        <v>25</v>
      </c>
      <c r="C65" s="1">
        <v>37.75</v>
      </c>
      <c r="D65" t="s">
        <v>26</v>
      </c>
      <c r="E65" t="s">
        <v>27</v>
      </c>
      <c r="F65" t="s">
        <v>28</v>
      </c>
      <c r="G65" t="s">
        <v>29</v>
      </c>
      <c r="H65">
        <v>0.27693400000000001</v>
      </c>
      <c r="I65">
        <v>0.27659499999999998</v>
      </c>
      <c r="K65" s="4">
        <f t="shared" si="0"/>
        <v>0.99877588161800268</v>
      </c>
      <c r="O65" s="1"/>
    </row>
    <row r="66" spans="2:15" x14ac:dyDescent="0.25">
      <c r="B66" t="s">
        <v>25</v>
      </c>
      <c r="C66" s="1">
        <v>38.333333333333336</v>
      </c>
      <c r="D66" t="s">
        <v>26</v>
      </c>
      <c r="E66" t="s">
        <v>27</v>
      </c>
      <c r="F66" t="s">
        <v>28</v>
      </c>
      <c r="G66" t="s">
        <v>29</v>
      </c>
      <c r="H66">
        <v>0.47118100000000002</v>
      </c>
      <c r="I66">
        <v>0.46949800000000003</v>
      </c>
      <c r="K66" s="4">
        <f t="shared" ref="K66:K129" si="1">I66/H66</f>
        <v>0.99642812422402438</v>
      </c>
      <c r="O66" s="1"/>
    </row>
    <row r="67" spans="2:15" x14ac:dyDescent="0.25">
      <c r="B67" t="s">
        <v>25</v>
      </c>
      <c r="C67" s="1">
        <v>38.916666666666664</v>
      </c>
      <c r="D67" t="s">
        <v>26</v>
      </c>
      <c r="E67" t="s">
        <v>27</v>
      </c>
      <c r="F67" t="s">
        <v>28</v>
      </c>
      <c r="G67" t="s">
        <v>29</v>
      </c>
      <c r="H67">
        <v>0.86829400000000001</v>
      </c>
      <c r="I67">
        <v>0.866093</v>
      </c>
      <c r="K67" s="4">
        <f t="shared" si="1"/>
        <v>0.99746514429444399</v>
      </c>
      <c r="O67" s="1"/>
    </row>
    <row r="68" spans="2:15" x14ac:dyDescent="0.25">
      <c r="B68" t="s">
        <v>25</v>
      </c>
      <c r="C68" s="1">
        <v>39.5</v>
      </c>
      <c r="D68" t="s">
        <v>26</v>
      </c>
      <c r="E68" t="s">
        <v>27</v>
      </c>
      <c r="F68" t="s">
        <v>28</v>
      </c>
      <c r="G68" t="s">
        <v>29</v>
      </c>
      <c r="H68">
        <v>1.595513</v>
      </c>
      <c r="I68">
        <v>1.604198</v>
      </c>
      <c r="K68" s="4">
        <f t="shared" si="1"/>
        <v>1.0054433903076943</v>
      </c>
      <c r="O68" s="1"/>
    </row>
    <row r="69" spans="2:15" x14ac:dyDescent="0.25">
      <c r="B69" t="s">
        <v>25</v>
      </c>
      <c r="C69" s="1">
        <v>40.083333333333336</v>
      </c>
      <c r="D69" t="s">
        <v>26</v>
      </c>
      <c r="E69" t="s">
        <v>27</v>
      </c>
      <c r="F69" t="s">
        <v>28</v>
      </c>
      <c r="G69" t="s">
        <v>29</v>
      </c>
      <c r="H69">
        <v>3.0135100000000001</v>
      </c>
      <c r="I69">
        <v>3.0085890000000002</v>
      </c>
      <c r="K69" s="4">
        <f t="shared" si="1"/>
        <v>0.9983670205176024</v>
      </c>
      <c r="O69" s="1"/>
    </row>
    <row r="70" spans="2:15" x14ac:dyDescent="0.25">
      <c r="B70" t="s">
        <v>25</v>
      </c>
      <c r="C70" s="1">
        <v>40.666666666666664</v>
      </c>
      <c r="D70" t="s">
        <v>26</v>
      </c>
      <c r="E70" t="s">
        <v>27</v>
      </c>
      <c r="F70" t="s">
        <v>28</v>
      </c>
      <c r="G70" t="s">
        <v>29</v>
      </c>
      <c r="H70">
        <v>5.9279989999999998</v>
      </c>
      <c r="I70">
        <v>5.9403009999999998</v>
      </c>
      <c r="K70" s="4">
        <f t="shared" si="1"/>
        <v>1.002075236517415</v>
      </c>
      <c r="O70" s="1"/>
    </row>
    <row r="71" spans="2:15" x14ac:dyDescent="0.25">
      <c r="B71" t="s">
        <v>25</v>
      </c>
      <c r="C71" s="1">
        <v>41.25</v>
      </c>
      <c r="D71" t="s">
        <v>26</v>
      </c>
      <c r="E71" t="s">
        <v>27</v>
      </c>
      <c r="F71" t="s">
        <v>28</v>
      </c>
      <c r="G71" t="s">
        <v>29</v>
      </c>
      <c r="H71">
        <v>0.35548800000000003</v>
      </c>
      <c r="I71">
        <v>0.35543000000000002</v>
      </c>
      <c r="K71" s="4">
        <f t="shared" si="1"/>
        <v>0.9998368440003601</v>
      </c>
      <c r="O71" s="1"/>
    </row>
    <row r="72" spans="2:15" x14ac:dyDescent="0.25">
      <c r="B72" t="s">
        <v>25</v>
      </c>
      <c r="C72" s="1">
        <v>41.833333333333336</v>
      </c>
      <c r="D72" t="s">
        <v>26</v>
      </c>
      <c r="E72" t="s">
        <v>27</v>
      </c>
      <c r="F72" t="s">
        <v>28</v>
      </c>
      <c r="G72" t="s">
        <v>29</v>
      </c>
      <c r="H72">
        <v>0.354906</v>
      </c>
      <c r="I72">
        <v>0.354765</v>
      </c>
      <c r="K72" s="4">
        <f t="shared" si="1"/>
        <v>0.9996027117039441</v>
      </c>
      <c r="O72" s="1"/>
    </row>
    <row r="73" spans="2:15" x14ac:dyDescent="0.25">
      <c r="B73" t="s">
        <v>25</v>
      </c>
      <c r="C73" s="1">
        <v>42.416666666666664</v>
      </c>
      <c r="D73" t="s">
        <v>26</v>
      </c>
      <c r="E73" t="s">
        <v>27</v>
      </c>
      <c r="F73" t="s">
        <v>28</v>
      </c>
      <c r="G73" t="s">
        <v>29</v>
      </c>
      <c r="H73">
        <v>0.43703700000000001</v>
      </c>
      <c r="I73">
        <v>0.43783699999999998</v>
      </c>
      <c r="K73" s="4">
        <f t="shared" si="1"/>
        <v>1.0018305086297041</v>
      </c>
      <c r="O73" s="1"/>
    </row>
    <row r="74" spans="2:15" x14ac:dyDescent="0.25">
      <c r="B74" t="s">
        <v>25</v>
      </c>
      <c r="C74" s="1">
        <v>43</v>
      </c>
      <c r="D74" t="s">
        <v>26</v>
      </c>
      <c r="E74" t="s">
        <v>27</v>
      </c>
      <c r="F74" t="s">
        <v>28</v>
      </c>
      <c r="G74" t="s">
        <v>29</v>
      </c>
      <c r="H74">
        <v>0.436832</v>
      </c>
      <c r="I74">
        <v>0.43692799999999998</v>
      </c>
      <c r="K74" s="4">
        <f t="shared" si="1"/>
        <v>1.0002197641198447</v>
      </c>
      <c r="O74" s="1"/>
    </row>
    <row r="75" spans="2:15" x14ac:dyDescent="0.25">
      <c r="B75" t="s">
        <v>25</v>
      </c>
      <c r="C75" s="1">
        <v>43.583333333333336</v>
      </c>
      <c r="D75" t="s">
        <v>26</v>
      </c>
      <c r="E75" t="s">
        <v>27</v>
      </c>
      <c r="F75" t="s">
        <v>28</v>
      </c>
      <c r="G75" t="s">
        <v>29</v>
      </c>
      <c r="H75">
        <v>0.44284200000000001</v>
      </c>
      <c r="I75">
        <v>0.43979499999999999</v>
      </c>
      <c r="K75" s="4">
        <f t="shared" si="1"/>
        <v>0.99311944214866699</v>
      </c>
      <c r="O75" s="1"/>
    </row>
    <row r="76" spans="2:15" x14ac:dyDescent="0.25">
      <c r="B76" t="s">
        <v>25</v>
      </c>
      <c r="C76" s="1">
        <v>44.166666666666664</v>
      </c>
      <c r="D76" t="s">
        <v>26</v>
      </c>
      <c r="E76" t="s">
        <v>27</v>
      </c>
      <c r="F76" t="s">
        <v>28</v>
      </c>
      <c r="G76" t="s">
        <v>29</v>
      </c>
      <c r="H76">
        <v>0.78077399999999997</v>
      </c>
      <c r="I76">
        <v>0.78636799999999996</v>
      </c>
      <c r="K76" s="4">
        <f t="shared" si="1"/>
        <v>1.0071646852994594</v>
      </c>
      <c r="O76" s="1"/>
    </row>
    <row r="77" spans="2:15" x14ac:dyDescent="0.25">
      <c r="B77" t="s">
        <v>25</v>
      </c>
      <c r="C77" s="1">
        <v>44.75</v>
      </c>
      <c r="D77" t="s">
        <v>26</v>
      </c>
      <c r="E77" t="s">
        <v>27</v>
      </c>
      <c r="F77" t="s">
        <v>28</v>
      </c>
      <c r="G77" t="s">
        <v>29</v>
      </c>
      <c r="H77">
        <v>1.4519869999999999</v>
      </c>
      <c r="I77">
        <v>1.4525570000000001</v>
      </c>
      <c r="K77" s="4">
        <f t="shared" si="1"/>
        <v>1.000392565498176</v>
      </c>
      <c r="O77" s="1"/>
    </row>
    <row r="78" spans="2:15" x14ac:dyDescent="0.25">
      <c r="B78" t="s">
        <v>25</v>
      </c>
      <c r="C78" s="1">
        <v>45.333333333333336</v>
      </c>
      <c r="D78" t="s">
        <v>26</v>
      </c>
      <c r="E78" t="s">
        <v>27</v>
      </c>
      <c r="F78" t="s">
        <v>28</v>
      </c>
      <c r="G78" t="s">
        <v>29</v>
      </c>
      <c r="H78">
        <v>2.737933</v>
      </c>
      <c r="I78">
        <v>2.7376320000000001</v>
      </c>
      <c r="K78" s="4">
        <f t="shared" si="1"/>
        <v>0.9998900630512142</v>
      </c>
      <c r="O78" s="1"/>
    </row>
    <row r="79" spans="2:15" x14ac:dyDescent="0.25">
      <c r="B79" t="s">
        <v>25</v>
      </c>
      <c r="C79" s="1">
        <v>45.916666666666664</v>
      </c>
      <c r="D79" t="s">
        <v>26</v>
      </c>
      <c r="E79" t="s">
        <v>27</v>
      </c>
      <c r="F79" t="s">
        <v>28</v>
      </c>
      <c r="G79" t="s">
        <v>29</v>
      </c>
      <c r="H79">
        <v>5.3394890000000004</v>
      </c>
      <c r="I79">
        <v>5.3247679999999997</v>
      </c>
      <c r="K79" s="4">
        <f t="shared" si="1"/>
        <v>0.99724299460116861</v>
      </c>
      <c r="O79" s="1"/>
    </row>
    <row r="80" spans="2:15" x14ac:dyDescent="0.25">
      <c r="B80" t="s">
        <v>25</v>
      </c>
      <c r="C80" s="1">
        <v>46.5</v>
      </c>
      <c r="D80" t="s">
        <v>26</v>
      </c>
      <c r="E80" t="s">
        <v>27</v>
      </c>
      <c r="F80" t="s">
        <v>28</v>
      </c>
      <c r="G80" t="s">
        <v>29</v>
      </c>
      <c r="H80">
        <v>10.564309</v>
      </c>
      <c r="I80">
        <v>10.568847999999999</v>
      </c>
      <c r="K80" s="4">
        <f t="shared" si="1"/>
        <v>1.0004296542253732</v>
      </c>
      <c r="O80" s="1"/>
    </row>
    <row r="81" spans="2:15" x14ac:dyDescent="0.25">
      <c r="B81" t="s">
        <v>25</v>
      </c>
      <c r="C81" s="1">
        <v>47.083333333333336</v>
      </c>
      <c r="D81" t="s">
        <v>26</v>
      </c>
      <c r="E81" t="s">
        <v>27</v>
      </c>
      <c r="F81" t="s">
        <v>28</v>
      </c>
      <c r="G81" t="s">
        <v>29</v>
      </c>
      <c r="H81">
        <v>0.61450199999999999</v>
      </c>
      <c r="I81">
        <v>0.61443800000000004</v>
      </c>
      <c r="K81" s="4">
        <f t="shared" si="1"/>
        <v>0.99989585062375719</v>
      </c>
      <c r="O81" s="1"/>
    </row>
    <row r="82" spans="2:15" x14ac:dyDescent="0.25">
      <c r="B82" t="s">
        <v>25</v>
      </c>
      <c r="C82" s="1">
        <v>47.666666666666664</v>
      </c>
      <c r="D82" t="s">
        <v>26</v>
      </c>
      <c r="E82" t="s">
        <v>27</v>
      </c>
      <c r="F82" t="s">
        <v>28</v>
      </c>
      <c r="G82" t="s">
        <v>29</v>
      </c>
      <c r="H82">
        <v>0.60917100000000002</v>
      </c>
      <c r="I82">
        <v>0.60919699999999999</v>
      </c>
      <c r="K82" s="4">
        <f t="shared" si="1"/>
        <v>1.000042680954937</v>
      </c>
      <c r="O82" s="1"/>
    </row>
    <row r="83" spans="2:15" x14ac:dyDescent="0.25">
      <c r="B83" t="s">
        <v>25</v>
      </c>
      <c r="C83" s="1">
        <v>48.25</v>
      </c>
      <c r="D83" t="s">
        <v>26</v>
      </c>
      <c r="E83" t="s">
        <v>27</v>
      </c>
      <c r="F83" t="s">
        <v>28</v>
      </c>
      <c r="G83" t="s">
        <v>29</v>
      </c>
      <c r="H83">
        <v>0.74970899999999996</v>
      </c>
      <c r="I83">
        <v>0.75407999999999997</v>
      </c>
      <c r="K83" s="4">
        <f t="shared" si="1"/>
        <v>1.005830262141711</v>
      </c>
      <c r="O83" s="1"/>
    </row>
    <row r="84" spans="2:15" x14ac:dyDescent="0.25">
      <c r="B84" t="s">
        <v>25</v>
      </c>
      <c r="C84" s="1">
        <v>48.833333333333336</v>
      </c>
      <c r="D84" t="s">
        <v>26</v>
      </c>
      <c r="E84" t="s">
        <v>27</v>
      </c>
      <c r="F84" t="s">
        <v>28</v>
      </c>
      <c r="G84" t="s">
        <v>29</v>
      </c>
      <c r="H84">
        <v>0.74789799999999995</v>
      </c>
      <c r="I84">
        <v>0.75038099999999996</v>
      </c>
      <c r="K84" s="4">
        <f t="shared" si="1"/>
        <v>1.0033199714399557</v>
      </c>
      <c r="O84" s="1"/>
    </row>
    <row r="85" spans="2:15" x14ac:dyDescent="0.25">
      <c r="B85" t="s">
        <v>25</v>
      </c>
      <c r="C85" s="1">
        <v>49.416666666666664</v>
      </c>
      <c r="D85" t="s">
        <v>26</v>
      </c>
      <c r="E85" t="s">
        <v>27</v>
      </c>
      <c r="F85" t="s">
        <v>28</v>
      </c>
      <c r="G85" t="s">
        <v>29</v>
      </c>
      <c r="H85">
        <v>0.77288999999999997</v>
      </c>
      <c r="I85">
        <v>0.77571800000000002</v>
      </c>
      <c r="K85" s="4">
        <f t="shared" si="1"/>
        <v>1.0036589941647582</v>
      </c>
      <c r="O85" s="1"/>
    </row>
    <row r="86" spans="2:15" x14ac:dyDescent="0.25">
      <c r="B86" t="s">
        <v>25</v>
      </c>
      <c r="C86" s="1">
        <v>50</v>
      </c>
      <c r="D86" t="s">
        <v>26</v>
      </c>
      <c r="E86" t="s">
        <v>27</v>
      </c>
      <c r="F86" t="s">
        <v>28</v>
      </c>
      <c r="G86" t="s">
        <v>29</v>
      </c>
      <c r="H86">
        <v>1.389894</v>
      </c>
      <c r="I86">
        <v>1.3856250000000001</v>
      </c>
      <c r="K86" s="4">
        <f t="shared" si="1"/>
        <v>0.99692854275218123</v>
      </c>
      <c r="O86" s="1"/>
    </row>
    <row r="87" spans="2:15" x14ac:dyDescent="0.25">
      <c r="B87" t="s">
        <v>25</v>
      </c>
      <c r="C87" s="1">
        <v>50.583333333333336</v>
      </c>
      <c r="D87" t="s">
        <v>26</v>
      </c>
      <c r="E87" t="s">
        <v>27</v>
      </c>
      <c r="F87" t="s">
        <v>28</v>
      </c>
      <c r="G87" t="s">
        <v>29</v>
      </c>
      <c r="H87">
        <v>2.6497920000000001</v>
      </c>
      <c r="I87">
        <v>2.6574849999999999</v>
      </c>
      <c r="K87" s="4">
        <f t="shared" si="1"/>
        <v>1.0029032467454049</v>
      </c>
      <c r="O87" s="1"/>
    </row>
    <row r="88" spans="2:15" x14ac:dyDescent="0.25">
      <c r="B88" t="s">
        <v>25</v>
      </c>
      <c r="C88" s="1">
        <v>51.166666666666664</v>
      </c>
      <c r="D88" t="s">
        <v>26</v>
      </c>
      <c r="E88" t="s">
        <v>27</v>
      </c>
      <c r="F88" t="s">
        <v>28</v>
      </c>
      <c r="G88" t="s">
        <v>29</v>
      </c>
      <c r="H88">
        <v>5.1324810000000003</v>
      </c>
      <c r="I88">
        <v>5.1232189999999997</v>
      </c>
      <c r="K88" s="4">
        <f t="shared" si="1"/>
        <v>0.99819541465423822</v>
      </c>
      <c r="O88" s="1"/>
    </row>
    <row r="89" spans="2:15" x14ac:dyDescent="0.25">
      <c r="B89" t="s">
        <v>25</v>
      </c>
      <c r="C89" s="1">
        <v>51.75</v>
      </c>
      <c r="D89" t="s">
        <v>26</v>
      </c>
      <c r="E89" t="s">
        <v>27</v>
      </c>
      <c r="F89" t="s">
        <v>28</v>
      </c>
      <c r="G89" t="s">
        <v>29</v>
      </c>
      <c r="H89">
        <v>10.152775</v>
      </c>
      <c r="I89">
        <v>10.154521000000001</v>
      </c>
      <c r="K89" s="4">
        <f t="shared" si="1"/>
        <v>1.0001719726872702</v>
      </c>
      <c r="O89" s="1"/>
    </row>
    <row r="90" spans="2:15" x14ac:dyDescent="0.25">
      <c r="B90" t="s">
        <v>25</v>
      </c>
      <c r="C90" s="1">
        <v>52.333333333333336</v>
      </c>
      <c r="D90" t="s">
        <v>26</v>
      </c>
      <c r="E90" t="s">
        <v>27</v>
      </c>
      <c r="F90" t="s">
        <v>28</v>
      </c>
      <c r="G90" t="s">
        <v>29</v>
      </c>
      <c r="H90">
        <v>20.498978000000001</v>
      </c>
      <c r="I90">
        <v>20.484394000000002</v>
      </c>
      <c r="K90" s="4">
        <f t="shared" si="1"/>
        <v>0.99928854989746319</v>
      </c>
      <c r="O90" s="1"/>
    </row>
    <row r="91" spans="2:15" x14ac:dyDescent="0.25">
      <c r="B91" t="s">
        <v>25</v>
      </c>
      <c r="C91" s="1">
        <v>52.916666666666664</v>
      </c>
      <c r="D91" t="s">
        <v>26</v>
      </c>
      <c r="E91" t="s">
        <v>27</v>
      </c>
      <c r="F91" t="s">
        <v>28</v>
      </c>
      <c r="G91" t="s">
        <v>29</v>
      </c>
      <c r="H91">
        <v>7.6178999999999997E-2</v>
      </c>
      <c r="I91">
        <v>7.6332999999999998E-2</v>
      </c>
      <c r="K91" s="4">
        <f t="shared" si="1"/>
        <v>1.002021554496646</v>
      </c>
      <c r="O91" s="1"/>
    </row>
    <row r="92" spans="2:15" x14ac:dyDescent="0.25">
      <c r="B92" t="s">
        <v>25</v>
      </c>
      <c r="C92" s="1">
        <v>53.5</v>
      </c>
      <c r="D92" t="s">
        <v>26</v>
      </c>
      <c r="E92" t="s">
        <v>27</v>
      </c>
      <c r="F92" t="s">
        <v>28</v>
      </c>
      <c r="G92" t="s">
        <v>29</v>
      </c>
      <c r="H92">
        <v>7.6844999999999997E-2</v>
      </c>
      <c r="I92">
        <v>7.7005000000000004E-2</v>
      </c>
      <c r="K92" s="4">
        <f t="shared" si="1"/>
        <v>1.0020821133450453</v>
      </c>
      <c r="O92" s="1"/>
    </row>
    <row r="93" spans="2:15" x14ac:dyDescent="0.25">
      <c r="B93" t="s">
        <v>25</v>
      </c>
      <c r="C93" s="1">
        <v>54.083333333333336</v>
      </c>
      <c r="D93" t="s">
        <v>26</v>
      </c>
      <c r="E93" t="s">
        <v>27</v>
      </c>
      <c r="F93" t="s">
        <v>28</v>
      </c>
      <c r="G93" t="s">
        <v>29</v>
      </c>
      <c r="H93">
        <v>7.6901999999999998E-2</v>
      </c>
      <c r="I93">
        <v>7.7062000000000005E-2</v>
      </c>
      <c r="K93" s="4">
        <f t="shared" si="1"/>
        <v>1.002080570076201</v>
      </c>
      <c r="O93" s="1"/>
    </row>
    <row r="94" spans="2:15" x14ac:dyDescent="0.25">
      <c r="B94" t="s">
        <v>25</v>
      </c>
      <c r="C94" s="1">
        <v>54.666666666666664</v>
      </c>
      <c r="D94" t="s">
        <v>26</v>
      </c>
      <c r="E94" t="s">
        <v>27</v>
      </c>
      <c r="F94" t="s">
        <v>28</v>
      </c>
      <c r="G94" t="s">
        <v>29</v>
      </c>
      <c r="H94">
        <v>7.6992000000000005E-2</v>
      </c>
      <c r="I94">
        <v>7.7049999999999993E-2</v>
      </c>
      <c r="K94" s="4">
        <f t="shared" si="1"/>
        <v>1.0007533250207812</v>
      </c>
      <c r="O94" s="1"/>
    </row>
    <row r="95" spans="2:15" x14ac:dyDescent="0.25">
      <c r="B95" t="s">
        <v>25</v>
      </c>
      <c r="C95" s="1">
        <v>55.25</v>
      </c>
      <c r="D95" t="s">
        <v>26</v>
      </c>
      <c r="E95" t="s">
        <v>27</v>
      </c>
      <c r="F95" t="s">
        <v>28</v>
      </c>
      <c r="G95" t="s">
        <v>29</v>
      </c>
      <c r="H95">
        <v>7.7670000000000003E-2</v>
      </c>
      <c r="I95">
        <v>7.7701999999999993E-2</v>
      </c>
      <c r="K95" s="4">
        <f t="shared" si="1"/>
        <v>1.0004119994850005</v>
      </c>
      <c r="O95" s="1"/>
    </row>
    <row r="96" spans="2:15" x14ac:dyDescent="0.25">
      <c r="B96" t="s">
        <v>25</v>
      </c>
      <c r="C96" s="1">
        <v>55.833333333333336</v>
      </c>
      <c r="D96" t="s">
        <v>26</v>
      </c>
      <c r="E96" t="s">
        <v>27</v>
      </c>
      <c r="F96" t="s">
        <v>28</v>
      </c>
      <c r="G96" t="s">
        <v>29</v>
      </c>
      <c r="H96">
        <v>9.2985999999999999E-2</v>
      </c>
      <c r="I96">
        <v>9.3325000000000005E-2</v>
      </c>
      <c r="K96" s="4">
        <f t="shared" si="1"/>
        <v>1.0036457101068978</v>
      </c>
      <c r="O96" s="1"/>
    </row>
    <row r="97" spans="2:15" x14ac:dyDescent="0.25">
      <c r="B97" t="s">
        <v>25</v>
      </c>
      <c r="C97" s="1">
        <v>56.416666666666664</v>
      </c>
      <c r="D97" t="s">
        <v>26</v>
      </c>
      <c r="E97" t="s">
        <v>27</v>
      </c>
      <c r="F97" t="s">
        <v>28</v>
      </c>
      <c r="G97" t="s">
        <v>29</v>
      </c>
      <c r="H97">
        <v>0.130387</v>
      </c>
      <c r="I97">
        <v>0.13059799999999999</v>
      </c>
      <c r="K97" s="4">
        <f t="shared" si="1"/>
        <v>1.0016182594890595</v>
      </c>
      <c r="O97" s="1"/>
    </row>
    <row r="98" spans="2:15" x14ac:dyDescent="0.25">
      <c r="B98" t="s">
        <v>25</v>
      </c>
      <c r="C98" s="1">
        <v>57</v>
      </c>
      <c r="D98" t="s">
        <v>26</v>
      </c>
      <c r="E98" t="s">
        <v>27</v>
      </c>
      <c r="F98" t="s">
        <v>28</v>
      </c>
      <c r="G98" t="s">
        <v>29</v>
      </c>
      <c r="H98">
        <v>0.21093100000000001</v>
      </c>
      <c r="I98">
        <v>0.21133399999999999</v>
      </c>
      <c r="K98" s="4">
        <f t="shared" si="1"/>
        <v>1.0019105773926069</v>
      </c>
      <c r="O98" s="1"/>
    </row>
    <row r="99" spans="2:15" x14ac:dyDescent="0.25">
      <c r="B99" t="s">
        <v>25</v>
      </c>
      <c r="C99" s="1">
        <v>57.583333333333336</v>
      </c>
      <c r="D99" t="s">
        <v>26</v>
      </c>
      <c r="E99" t="s">
        <v>27</v>
      </c>
      <c r="F99" t="s">
        <v>28</v>
      </c>
      <c r="G99" t="s">
        <v>29</v>
      </c>
      <c r="H99">
        <v>0.41184599999999999</v>
      </c>
      <c r="I99">
        <v>0.41160999999999998</v>
      </c>
      <c r="K99" s="4">
        <f t="shared" si="1"/>
        <v>0.99942697027529703</v>
      </c>
      <c r="O99" s="1"/>
    </row>
    <row r="100" spans="2:15" x14ac:dyDescent="0.25">
      <c r="B100" t="s">
        <v>25</v>
      </c>
      <c r="C100" s="1">
        <v>58.166666666666664</v>
      </c>
      <c r="D100" t="s">
        <v>26</v>
      </c>
      <c r="E100" t="s">
        <v>27</v>
      </c>
      <c r="F100" t="s">
        <v>28</v>
      </c>
      <c r="G100" t="s">
        <v>29</v>
      </c>
      <c r="H100">
        <v>0.86051900000000003</v>
      </c>
      <c r="I100">
        <v>0.87556500000000004</v>
      </c>
      <c r="K100" s="4">
        <f t="shared" si="1"/>
        <v>1.0174847969655523</v>
      </c>
      <c r="O100" s="1"/>
    </row>
    <row r="101" spans="2:15" x14ac:dyDescent="0.25">
      <c r="B101" t="s">
        <v>25</v>
      </c>
      <c r="C101" s="1">
        <v>58.75</v>
      </c>
      <c r="D101" t="s">
        <v>26</v>
      </c>
      <c r="E101" t="s">
        <v>27</v>
      </c>
      <c r="F101" t="s">
        <v>28</v>
      </c>
      <c r="G101" t="s">
        <v>29</v>
      </c>
      <c r="H101">
        <v>7.7772999999999995E-2</v>
      </c>
      <c r="I101">
        <v>7.7811000000000005E-2</v>
      </c>
      <c r="K101" s="4">
        <f t="shared" si="1"/>
        <v>1.0004886014426602</v>
      </c>
      <c r="O101" s="1"/>
    </row>
    <row r="102" spans="2:15" x14ac:dyDescent="0.25">
      <c r="B102" t="s">
        <v>25</v>
      </c>
      <c r="C102" s="1">
        <v>59.333333333333336</v>
      </c>
      <c r="D102" t="s">
        <v>26</v>
      </c>
      <c r="E102" t="s">
        <v>27</v>
      </c>
      <c r="F102" t="s">
        <v>28</v>
      </c>
      <c r="G102" t="s">
        <v>29</v>
      </c>
      <c r="H102">
        <v>7.8240000000000004E-2</v>
      </c>
      <c r="I102">
        <v>7.8445000000000001E-2</v>
      </c>
      <c r="K102" s="4">
        <f t="shared" si="1"/>
        <v>1.0026201431492843</v>
      </c>
      <c r="O102" s="1"/>
    </row>
    <row r="103" spans="2:15" x14ac:dyDescent="0.25">
      <c r="B103" t="s">
        <v>25</v>
      </c>
      <c r="C103" s="1">
        <v>59.916666666666664</v>
      </c>
      <c r="D103" t="s">
        <v>26</v>
      </c>
      <c r="E103" t="s">
        <v>27</v>
      </c>
      <c r="F103" t="s">
        <v>28</v>
      </c>
      <c r="G103" t="s">
        <v>29</v>
      </c>
      <c r="H103">
        <v>7.8362000000000001E-2</v>
      </c>
      <c r="I103">
        <v>7.8386999999999998E-2</v>
      </c>
      <c r="K103" s="4">
        <f t="shared" si="1"/>
        <v>1.0003190321839668</v>
      </c>
      <c r="O103" s="1"/>
    </row>
    <row r="104" spans="2:15" x14ac:dyDescent="0.25">
      <c r="B104" t="s">
        <v>25</v>
      </c>
      <c r="C104" s="1">
        <v>60.5</v>
      </c>
      <c r="D104" t="s">
        <v>26</v>
      </c>
      <c r="E104" t="s">
        <v>27</v>
      </c>
      <c r="F104" t="s">
        <v>28</v>
      </c>
      <c r="G104" t="s">
        <v>29</v>
      </c>
      <c r="H104">
        <v>7.8233999999999998E-2</v>
      </c>
      <c r="I104">
        <v>7.8271999999999994E-2</v>
      </c>
      <c r="K104" s="4">
        <f t="shared" si="1"/>
        <v>1.0004857223202188</v>
      </c>
      <c r="O104" s="1"/>
    </row>
    <row r="105" spans="2:15" x14ac:dyDescent="0.25">
      <c r="B105" t="s">
        <v>25</v>
      </c>
      <c r="C105" s="1">
        <v>61.083333333333336</v>
      </c>
      <c r="D105" t="s">
        <v>26</v>
      </c>
      <c r="E105" t="s">
        <v>27</v>
      </c>
      <c r="F105" t="s">
        <v>28</v>
      </c>
      <c r="G105" t="s">
        <v>29</v>
      </c>
      <c r="H105">
        <v>7.9090999999999995E-2</v>
      </c>
      <c r="I105">
        <v>7.9130000000000006E-2</v>
      </c>
      <c r="K105" s="4">
        <f t="shared" si="1"/>
        <v>1.0004931028814912</v>
      </c>
      <c r="O105" s="1"/>
    </row>
    <row r="106" spans="2:15" x14ac:dyDescent="0.25">
      <c r="B106" t="s">
        <v>25</v>
      </c>
      <c r="C106" s="1">
        <v>61.666666666666664</v>
      </c>
      <c r="D106" t="s">
        <v>26</v>
      </c>
      <c r="E106" t="s">
        <v>27</v>
      </c>
      <c r="F106" t="s">
        <v>28</v>
      </c>
      <c r="G106" t="s">
        <v>29</v>
      </c>
      <c r="H106">
        <v>9.5314999999999997E-2</v>
      </c>
      <c r="I106">
        <v>9.5397999999999997E-2</v>
      </c>
      <c r="K106" s="4">
        <f t="shared" si="1"/>
        <v>1.0008707968315584</v>
      </c>
      <c r="O106" s="1"/>
    </row>
    <row r="107" spans="2:15" x14ac:dyDescent="0.25">
      <c r="B107" t="s">
        <v>25</v>
      </c>
      <c r="C107" s="1">
        <v>62.25</v>
      </c>
      <c r="D107" t="s">
        <v>26</v>
      </c>
      <c r="E107" t="s">
        <v>27</v>
      </c>
      <c r="F107" t="s">
        <v>28</v>
      </c>
      <c r="G107" t="s">
        <v>29</v>
      </c>
      <c r="H107">
        <v>0.13420799999999999</v>
      </c>
      <c r="I107">
        <v>0.13459199999999999</v>
      </c>
      <c r="K107" s="4">
        <f t="shared" si="1"/>
        <v>1.0028612303290414</v>
      </c>
      <c r="O107" s="1"/>
    </row>
    <row r="108" spans="2:15" x14ac:dyDescent="0.25">
      <c r="B108" t="s">
        <v>25</v>
      </c>
      <c r="C108" s="1">
        <v>62.833333333333336</v>
      </c>
      <c r="D108" t="s">
        <v>26</v>
      </c>
      <c r="E108" t="s">
        <v>27</v>
      </c>
      <c r="F108" t="s">
        <v>28</v>
      </c>
      <c r="G108" t="s">
        <v>29</v>
      </c>
      <c r="H108">
        <v>0.21628800000000001</v>
      </c>
      <c r="I108">
        <v>0.21710699999999999</v>
      </c>
      <c r="K108" s="4">
        <f t="shared" si="1"/>
        <v>1.003786617842876</v>
      </c>
      <c r="O108" s="1"/>
    </row>
    <row r="109" spans="2:15" x14ac:dyDescent="0.25">
      <c r="B109" t="s">
        <v>25</v>
      </c>
      <c r="C109" s="1">
        <v>63.416666666666664</v>
      </c>
      <c r="D109" t="s">
        <v>26</v>
      </c>
      <c r="E109" t="s">
        <v>27</v>
      </c>
      <c r="F109" t="s">
        <v>28</v>
      </c>
      <c r="G109" t="s">
        <v>29</v>
      </c>
      <c r="H109">
        <v>0.42453099999999999</v>
      </c>
      <c r="I109">
        <v>0.42536299999999999</v>
      </c>
      <c r="K109" s="4">
        <f t="shared" si="1"/>
        <v>1.0019598097665423</v>
      </c>
      <c r="O109" s="1"/>
    </row>
    <row r="110" spans="2:15" x14ac:dyDescent="0.25">
      <c r="B110" t="s">
        <v>25</v>
      </c>
      <c r="C110" s="1">
        <v>64</v>
      </c>
      <c r="D110" t="s">
        <v>26</v>
      </c>
      <c r="E110" t="s">
        <v>27</v>
      </c>
      <c r="F110" t="s">
        <v>28</v>
      </c>
      <c r="G110" t="s">
        <v>29</v>
      </c>
      <c r="H110">
        <v>0.88370599999999999</v>
      </c>
      <c r="I110">
        <v>0.90204200000000001</v>
      </c>
      <c r="K110" s="4">
        <f t="shared" si="1"/>
        <v>1.0207489821275402</v>
      </c>
      <c r="O110" s="1"/>
    </row>
    <row r="111" spans="2:15" x14ac:dyDescent="0.25">
      <c r="B111" t="s">
        <v>25</v>
      </c>
      <c r="C111" s="1">
        <v>64.583333333333329</v>
      </c>
      <c r="D111" t="s">
        <v>26</v>
      </c>
      <c r="E111" t="s">
        <v>27</v>
      </c>
      <c r="F111" t="s">
        <v>28</v>
      </c>
      <c r="G111" t="s">
        <v>29</v>
      </c>
      <c r="H111">
        <v>8.3199999999999996E-2</v>
      </c>
      <c r="I111">
        <v>8.3373000000000003E-2</v>
      </c>
      <c r="K111" s="4">
        <f t="shared" si="1"/>
        <v>1.002079326923077</v>
      </c>
      <c r="O111" s="1"/>
    </row>
    <row r="112" spans="2:15" x14ac:dyDescent="0.25">
      <c r="B112" t="s">
        <v>25</v>
      </c>
      <c r="C112" s="1">
        <v>65.166666666666671</v>
      </c>
      <c r="D112" t="s">
        <v>26</v>
      </c>
      <c r="E112" t="s">
        <v>27</v>
      </c>
      <c r="F112" t="s">
        <v>28</v>
      </c>
      <c r="G112" t="s">
        <v>29</v>
      </c>
      <c r="H112">
        <v>8.4371000000000002E-2</v>
      </c>
      <c r="I112">
        <v>8.4492999999999999E-2</v>
      </c>
      <c r="K112" s="4">
        <f t="shared" si="1"/>
        <v>1.0014459944767751</v>
      </c>
      <c r="O112" s="1"/>
    </row>
    <row r="113" spans="2:15" x14ac:dyDescent="0.25">
      <c r="B113" t="s">
        <v>25</v>
      </c>
      <c r="C113" s="1">
        <v>65.75</v>
      </c>
      <c r="D113" t="s">
        <v>26</v>
      </c>
      <c r="E113" t="s">
        <v>27</v>
      </c>
      <c r="F113" t="s">
        <v>28</v>
      </c>
      <c r="G113" t="s">
        <v>29</v>
      </c>
      <c r="H113">
        <v>8.5690000000000002E-2</v>
      </c>
      <c r="I113">
        <v>8.5727999999999999E-2</v>
      </c>
      <c r="K113" s="4">
        <f t="shared" si="1"/>
        <v>1.0004434589800444</v>
      </c>
      <c r="O113" s="1"/>
    </row>
    <row r="114" spans="2:15" x14ac:dyDescent="0.25">
      <c r="B114" t="s">
        <v>25</v>
      </c>
      <c r="C114" s="1">
        <v>66.333333333333329</v>
      </c>
      <c r="D114" t="s">
        <v>26</v>
      </c>
      <c r="E114" t="s">
        <v>27</v>
      </c>
      <c r="F114" t="s">
        <v>28</v>
      </c>
      <c r="G114" t="s">
        <v>29</v>
      </c>
      <c r="H114">
        <v>8.5690000000000002E-2</v>
      </c>
      <c r="I114">
        <v>8.5753999999999997E-2</v>
      </c>
      <c r="K114" s="4">
        <f t="shared" si="1"/>
        <v>1.0007468782821798</v>
      </c>
      <c r="O114" s="1"/>
    </row>
    <row r="115" spans="2:15" x14ac:dyDescent="0.25">
      <c r="B115" t="s">
        <v>25</v>
      </c>
      <c r="C115" s="1">
        <v>66.916666666666671</v>
      </c>
      <c r="D115" t="s">
        <v>26</v>
      </c>
      <c r="E115" t="s">
        <v>27</v>
      </c>
      <c r="F115" t="s">
        <v>28</v>
      </c>
      <c r="G115" t="s">
        <v>29</v>
      </c>
      <c r="H115">
        <v>8.6457999999999993E-2</v>
      </c>
      <c r="I115">
        <v>8.6579000000000003E-2</v>
      </c>
      <c r="K115" s="4">
        <f t="shared" si="1"/>
        <v>1.0013995234680424</v>
      </c>
      <c r="O115" s="1"/>
    </row>
    <row r="116" spans="2:15" x14ac:dyDescent="0.25">
      <c r="B116" t="s">
        <v>25</v>
      </c>
      <c r="C116" s="1">
        <v>67.5</v>
      </c>
      <c r="D116" t="s">
        <v>26</v>
      </c>
      <c r="E116" t="s">
        <v>27</v>
      </c>
      <c r="F116" t="s">
        <v>28</v>
      </c>
      <c r="G116" t="s">
        <v>29</v>
      </c>
      <c r="H116">
        <v>0.109766</v>
      </c>
      <c r="I116">
        <v>0.110157</v>
      </c>
      <c r="K116" s="4">
        <f t="shared" si="1"/>
        <v>1.0035621230617859</v>
      </c>
      <c r="O116" s="1"/>
    </row>
    <row r="117" spans="2:15" x14ac:dyDescent="0.25">
      <c r="B117" t="s">
        <v>25</v>
      </c>
      <c r="C117" s="1">
        <v>68.083333333333329</v>
      </c>
      <c r="D117" t="s">
        <v>26</v>
      </c>
      <c r="E117" t="s">
        <v>27</v>
      </c>
      <c r="F117" t="s">
        <v>28</v>
      </c>
      <c r="G117" t="s">
        <v>29</v>
      </c>
      <c r="H117">
        <v>0.17535400000000001</v>
      </c>
      <c r="I117">
        <v>0.176173</v>
      </c>
      <c r="K117" s="4">
        <f t="shared" si="1"/>
        <v>1.0046705521402419</v>
      </c>
      <c r="O117" s="1"/>
    </row>
    <row r="118" spans="2:15" x14ac:dyDescent="0.25">
      <c r="B118" t="s">
        <v>25</v>
      </c>
      <c r="C118" s="1">
        <v>68.666666666666671</v>
      </c>
      <c r="D118" t="s">
        <v>26</v>
      </c>
      <c r="E118" t="s">
        <v>27</v>
      </c>
      <c r="F118" t="s">
        <v>28</v>
      </c>
      <c r="G118" t="s">
        <v>29</v>
      </c>
      <c r="H118">
        <v>0.27907799999999999</v>
      </c>
      <c r="I118">
        <v>0.27921899999999999</v>
      </c>
      <c r="K118" s="4">
        <f t="shared" si="1"/>
        <v>1.0005052350955648</v>
      </c>
      <c r="O118" s="1"/>
    </row>
    <row r="119" spans="2:15" x14ac:dyDescent="0.25">
      <c r="B119" t="s">
        <v>25</v>
      </c>
      <c r="C119" s="1">
        <v>69.25</v>
      </c>
      <c r="D119" t="s">
        <v>26</v>
      </c>
      <c r="E119" t="s">
        <v>27</v>
      </c>
      <c r="F119" t="s">
        <v>28</v>
      </c>
      <c r="G119" t="s">
        <v>29</v>
      </c>
      <c r="H119">
        <v>0.54286699999999999</v>
      </c>
      <c r="I119">
        <v>0.54513900000000004</v>
      </c>
      <c r="K119" s="4">
        <f t="shared" si="1"/>
        <v>1.0041851871637069</v>
      </c>
      <c r="O119" s="1"/>
    </row>
    <row r="120" spans="2:15" x14ac:dyDescent="0.25">
      <c r="B120" t="s">
        <v>25</v>
      </c>
      <c r="C120" s="1">
        <v>69.833333333333329</v>
      </c>
      <c r="D120" t="s">
        <v>26</v>
      </c>
      <c r="E120" t="s">
        <v>27</v>
      </c>
      <c r="F120" t="s">
        <v>28</v>
      </c>
      <c r="G120" t="s">
        <v>29</v>
      </c>
      <c r="H120">
        <v>1.125248</v>
      </c>
      <c r="I120">
        <v>1.1366400000000001</v>
      </c>
      <c r="K120" s="4">
        <f t="shared" si="1"/>
        <v>1.0101239904447732</v>
      </c>
      <c r="O120" s="1"/>
    </row>
    <row r="121" spans="2:15" x14ac:dyDescent="0.25">
      <c r="B121" t="s">
        <v>25</v>
      </c>
      <c r="C121" s="1">
        <v>70.416666666666671</v>
      </c>
      <c r="D121" t="s">
        <v>26</v>
      </c>
      <c r="E121" t="s">
        <v>27</v>
      </c>
      <c r="F121" t="s">
        <v>28</v>
      </c>
      <c r="G121" t="s">
        <v>29</v>
      </c>
      <c r="H121">
        <v>9.7568000000000002E-2</v>
      </c>
      <c r="I121">
        <v>9.7842999999999999E-2</v>
      </c>
      <c r="K121" s="4">
        <f t="shared" si="1"/>
        <v>1.0028185470646114</v>
      </c>
      <c r="O121" s="1"/>
    </row>
    <row r="122" spans="2:15" x14ac:dyDescent="0.25">
      <c r="B122" t="s">
        <v>25</v>
      </c>
      <c r="C122" s="1">
        <v>71</v>
      </c>
      <c r="D122" t="s">
        <v>26</v>
      </c>
      <c r="E122" t="s">
        <v>27</v>
      </c>
      <c r="F122" t="s">
        <v>28</v>
      </c>
      <c r="G122" t="s">
        <v>29</v>
      </c>
      <c r="H122">
        <v>9.9302000000000001E-2</v>
      </c>
      <c r="I122">
        <v>9.9443000000000004E-2</v>
      </c>
      <c r="K122" s="4">
        <f t="shared" si="1"/>
        <v>1.0014199109786308</v>
      </c>
      <c r="O122" s="1"/>
    </row>
    <row r="123" spans="2:15" x14ac:dyDescent="0.25">
      <c r="B123" t="s">
        <v>25</v>
      </c>
      <c r="C123" s="1">
        <v>71.583333333333329</v>
      </c>
      <c r="D123" t="s">
        <v>26</v>
      </c>
      <c r="E123" t="s">
        <v>27</v>
      </c>
      <c r="F123" t="s">
        <v>28</v>
      </c>
      <c r="G123" t="s">
        <v>29</v>
      </c>
      <c r="H123">
        <v>0.10197100000000001</v>
      </c>
      <c r="I123">
        <v>0.102464</v>
      </c>
      <c r="K123" s="4">
        <f t="shared" si="1"/>
        <v>1.00483470790715</v>
      </c>
      <c r="O123" s="1"/>
    </row>
    <row r="124" spans="2:15" x14ac:dyDescent="0.25">
      <c r="B124" t="s">
        <v>25</v>
      </c>
      <c r="C124" s="1">
        <v>72.166666666666671</v>
      </c>
      <c r="D124" t="s">
        <v>26</v>
      </c>
      <c r="E124" t="s">
        <v>27</v>
      </c>
      <c r="F124" t="s">
        <v>28</v>
      </c>
      <c r="G124" t="s">
        <v>29</v>
      </c>
      <c r="H124">
        <v>0.103232</v>
      </c>
      <c r="I124">
        <v>0.10319399999999999</v>
      </c>
      <c r="K124" s="4">
        <f t="shared" si="1"/>
        <v>0.99963189708617473</v>
      </c>
      <c r="O124" s="1"/>
    </row>
    <row r="125" spans="2:15" x14ac:dyDescent="0.25">
      <c r="B125" t="s">
        <v>25</v>
      </c>
      <c r="C125" s="1">
        <v>72.75</v>
      </c>
      <c r="D125" t="s">
        <v>26</v>
      </c>
      <c r="E125" t="s">
        <v>27</v>
      </c>
      <c r="F125" t="s">
        <v>28</v>
      </c>
      <c r="G125" t="s">
        <v>29</v>
      </c>
      <c r="H125">
        <v>0.103309</v>
      </c>
      <c r="I125">
        <v>0.103226</v>
      </c>
      <c r="K125" s="4">
        <f t="shared" si="1"/>
        <v>0.99919658500227471</v>
      </c>
      <c r="O125" s="1"/>
    </row>
    <row r="126" spans="2:15" x14ac:dyDescent="0.25">
      <c r="B126" t="s">
        <v>25</v>
      </c>
      <c r="C126" s="1">
        <v>73.333333333333329</v>
      </c>
      <c r="D126" t="s">
        <v>26</v>
      </c>
      <c r="E126" t="s">
        <v>27</v>
      </c>
      <c r="F126" t="s">
        <v>28</v>
      </c>
      <c r="G126" t="s">
        <v>29</v>
      </c>
      <c r="H126">
        <v>0.14943400000000001</v>
      </c>
      <c r="I126">
        <v>0.149728</v>
      </c>
      <c r="K126" s="4">
        <f t="shared" si="1"/>
        <v>1.0019674237456</v>
      </c>
      <c r="O126" s="1"/>
    </row>
    <row r="127" spans="2:15" x14ac:dyDescent="0.25">
      <c r="B127" t="s">
        <v>25</v>
      </c>
      <c r="C127" s="1">
        <v>73.916666666666671</v>
      </c>
      <c r="D127" t="s">
        <v>26</v>
      </c>
      <c r="E127" t="s">
        <v>27</v>
      </c>
      <c r="F127" t="s">
        <v>28</v>
      </c>
      <c r="G127" t="s">
        <v>29</v>
      </c>
      <c r="H127">
        <v>0.243834</v>
      </c>
      <c r="I127">
        <v>0.24474199999999999</v>
      </c>
      <c r="K127" s="4">
        <f t="shared" si="1"/>
        <v>1.0037238449108821</v>
      </c>
      <c r="O127" s="1"/>
    </row>
    <row r="128" spans="2:15" x14ac:dyDescent="0.25">
      <c r="B128" t="s">
        <v>25</v>
      </c>
      <c r="C128" s="1">
        <v>74.5</v>
      </c>
      <c r="D128" t="s">
        <v>26</v>
      </c>
      <c r="E128" t="s">
        <v>27</v>
      </c>
      <c r="F128" t="s">
        <v>28</v>
      </c>
      <c r="G128" t="s">
        <v>29</v>
      </c>
      <c r="H128">
        <v>0.416211</v>
      </c>
      <c r="I128">
        <v>0.41692200000000001</v>
      </c>
      <c r="K128" s="4">
        <f t="shared" si="1"/>
        <v>1.0017082681620622</v>
      </c>
      <c r="O128" s="1"/>
    </row>
    <row r="129" spans="2:15" x14ac:dyDescent="0.25">
      <c r="B129" t="s">
        <v>25</v>
      </c>
      <c r="C129" s="1">
        <v>75.083333333333329</v>
      </c>
      <c r="D129" t="s">
        <v>26</v>
      </c>
      <c r="E129" t="s">
        <v>27</v>
      </c>
      <c r="F129" t="s">
        <v>28</v>
      </c>
      <c r="G129" t="s">
        <v>29</v>
      </c>
      <c r="H129">
        <v>0.80746899999999999</v>
      </c>
      <c r="I129">
        <v>0.80846099999999999</v>
      </c>
      <c r="K129" s="4">
        <f t="shared" si="1"/>
        <v>1.0012285301355222</v>
      </c>
      <c r="O129" s="1"/>
    </row>
    <row r="130" spans="2:15" x14ac:dyDescent="0.25">
      <c r="B130" t="s">
        <v>25</v>
      </c>
      <c r="C130" s="1">
        <v>75.666666666666671</v>
      </c>
      <c r="D130" t="s">
        <v>26</v>
      </c>
      <c r="E130" t="s">
        <v>27</v>
      </c>
      <c r="F130" t="s">
        <v>28</v>
      </c>
      <c r="G130" t="s">
        <v>29</v>
      </c>
      <c r="H130">
        <v>1.6147579999999999</v>
      </c>
      <c r="I130">
        <v>1.6161160000000001</v>
      </c>
      <c r="K130" s="4">
        <f t="shared" ref="K130:K193" si="2">I130/H130</f>
        <v>1.0008409928918143</v>
      </c>
      <c r="O130" s="1"/>
    </row>
    <row r="131" spans="2:15" x14ac:dyDescent="0.25">
      <c r="B131" t="s">
        <v>25</v>
      </c>
      <c r="C131" s="1">
        <v>76.25</v>
      </c>
      <c r="D131" t="s">
        <v>26</v>
      </c>
      <c r="E131" t="s">
        <v>27</v>
      </c>
      <c r="F131" t="s">
        <v>28</v>
      </c>
      <c r="G131" t="s">
        <v>29</v>
      </c>
      <c r="H131">
        <v>0.126496</v>
      </c>
      <c r="I131">
        <v>0.12673300000000001</v>
      </c>
      <c r="K131" s="4">
        <f t="shared" si="2"/>
        <v>1.0018735770301039</v>
      </c>
      <c r="O131" s="1"/>
    </row>
    <row r="132" spans="2:15" x14ac:dyDescent="0.25">
      <c r="B132" t="s">
        <v>25</v>
      </c>
      <c r="C132" s="1">
        <v>76.833333333333329</v>
      </c>
      <c r="D132" t="s">
        <v>26</v>
      </c>
      <c r="E132" t="s">
        <v>27</v>
      </c>
      <c r="F132" t="s">
        <v>28</v>
      </c>
      <c r="G132" t="s">
        <v>29</v>
      </c>
      <c r="H132">
        <v>0.12806400000000001</v>
      </c>
      <c r="I132">
        <v>0.12816</v>
      </c>
      <c r="K132" s="4">
        <f t="shared" si="2"/>
        <v>1.0007496251874062</v>
      </c>
      <c r="O132" s="1"/>
    </row>
    <row r="133" spans="2:15" x14ac:dyDescent="0.25">
      <c r="B133" t="s">
        <v>25</v>
      </c>
      <c r="C133" s="1">
        <v>77.416666666666671</v>
      </c>
      <c r="D133" t="s">
        <v>26</v>
      </c>
      <c r="E133" t="s">
        <v>27</v>
      </c>
      <c r="F133" t="s">
        <v>28</v>
      </c>
      <c r="G133" t="s">
        <v>29</v>
      </c>
      <c r="H133">
        <v>0.142758</v>
      </c>
      <c r="I133">
        <v>0.14304600000000001</v>
      </c>
      <c r="K133" s="4">
        <f t="shared" si="2"/>
        <v>1.0020174000756525</v>
      </c>
      <c r="O133" s="1"/>
    </row>
    <row r="134" spans="2:15" x14ac:dyDescent="0.25">
      <c r="B134" t="s">
        <v>25</v>
      </c>
      <c r="C134" s="1">
        <v>78</v>
      </c>
      <c r="D134" t="s">
        <v>26</v>
      </c>
      <c r="E134" t="s">
        <v>27</v>
      </c>
      <c r="F134" t="s">
        <v>28</v>
      </c>
      <c r="G134" t="s">
        <v>29</v>
      </c>
      <c r="H134">
        <v>0.14313000000000001</v>
      </c>
      <c r="I134">
        <v>0.143322</v>
      </c>
      <c r="K134" s="4">
        <f t="shared" si="2"/>
        <v>1.0013414378536993</v>
      </c>
      <c r="O134" s="1"/>
    </row>
    <row r="135" spans="2:15" x14ac:dyDescent="0.25">
      <c r="B135" t="s">
        <v>25</v>
      </c>
      <c r="C135" s="1">
        <v>78.583333333333329</v>
      </c>
      <c r="D135" t="s">
        <v>26</v>
      </c>
      <c r="E135" t="s">
        <v>27</v>
      </c>
      <c r="F135" t="s">
        <v>28</v>
      </c>
      <c r="G135" t="s">
        <v>29</v>
      </c>
      <c r="H135">
        <v>0.14405799999999999</v>
      </c>
      <c r="I135">
        <v>0.14405100000000001</v>
      </c>
      <c r="K135" s="4">
        <f t="shared" si="2"/>
        <v>0.99995140846048136</v>
      </c>
      <c r="O135" s="1"/>
    </row>
    <row r="136" spans="2:15" x14ac:dyDescent="0.25">
      <c r="B136" t="s">
        <v>25</v>
      </c>
      <c r="C136" s="1">
        <v>79.166666666666671</v>
      </c>
      <c r="D136" t="s">
        <v>26</v>
      </c>
      <c r="E136" t="s">
        <v>27</v>
      </c>
      <c r="F136" t="s">
        <v>28</v>
      </c>
      <c r="G136" t="s">
        <v>29</v>
      </c>
      <c r="H136">
        <v>0.21842600000000001</v>
      </c>
      <c r="I136">
        <v>0.21848999999999999</v>
      </c>
      <c r="K136" s="4">
        <f t="shared" si="2"/>
        <v>1.0002930054114436</v>
      </c>
      <c r="O136" s="1"/>
    </row>
    <row r="137" spans="2:15" x14ac:dyDescent="0.25">
      <c r="B137" t="s">
        <v>25</v>
      </c>
      <c r="C137" s="1">
        <v>79.75</v>
      </c>
      <c r="D137" t="s">
        <v>26</v>
      </c>
      <c r="E137" t="s">
        <v>27</v>
      </c>
      <c r="F137" t="s">
        <v>28</v>
      </c>
      <c r="G137" t="s">
        <v>29</v>
      </c>
      <c r="H137">
        <v>0.38194600000000001</v>
      </c>
      <c r="I137">
        <v>0.38049899999999998</v>
      </c>
      <c r="K137" s="4">
        <f t="shared" si="2"/>
        <v>0.99621150633859223</v>
      </c>
      <c r="O137" s="1"/>
    </row>
    <row r="138" spans="2:15" x14ac:dyDescent="0.25">
      <c r="B138" t="s">
        <v>25</v>
      </c>
      <c r="C138" s="1">
        <v>80.333333333333329</v>
      </c>
      <c r="D138" t="s">
        <v>26</v>
      </c>
      <c r="E138" t="s">
        <v>27</v>
      </c>
      <c r="F138" t="s">
        <v>28</v>
      </c>
      <c r="G138" t="s">
        <v>29</v>
      </c>
      <c r="H138">
        <v>0.69458500000000001</v>
      </c>
      <c r="I138">
        <v>0.69797799999999999</v>
      </c>
      <c r="K138" s="4">
        <f t="shared" si="2"/>
        <v>1.0048849312899069</v>
      </c>
      <c r="O138" s="1"/>
    </row>
    <row r="139" spans="2:15" x14ac:dyDescent="0.25">
      <c r="B139" t="s">
        <v>25</v>
      </c>
      <c r="C139" s="1">
        <v>80.916666666666671</v>
      </c>
      <c r="D139" t="s">
        <v>26</v>
      </c>
      <c r="E139" t="s">
        <v>27</v>
      </c>
      <c r="F139" t="s">
        <v>28</v>
      </c>
      <c r="G139" t="s">
        <v>29</v>
      </c>
      <c r="H139">
        <v>1.3155969999999999</v>
      </c>
      <c r="I139">
        <v>1.3186119999999999</v>
      </c>
      <c r="K139" s="4">
        <f t="shared" si="2"/>
        <v>1.0022917352350302</v>
      </c>
      <c r="O139" s="1"/>
    </row>
    <row r="140" spans="2:15" x14ac:dyDescent="0.25">
      <c r="B140" t="s">
        <v>25</v>
      </c>
      <c r="C140" s="1">
        <v>81.5</v>
      </c>
      <c r="D140" t="s">
        <v>26</v>
      </c>
      <c r="E140" t="s">
        <v>27</v>
      </c>
      <c r="F140" t="s">
        <v>28</v>
      </c>
      <c r="G140" t="s">
        <v>29</v>
      </c>
      <c r="H140">
        <v>2.6456439999999999</v>
      </c>
      <c r="I140">
        <v>2.6517439999999999</v>
      </c>
      <c r="K140" s="4">
        <f t="shared" si="2"/>
        <v>1.0023056768030771</v>
      </c>
      <c r="O140" s="1"/>
    </row>
    <row r="141" spans="2:15" x14ac:dyDescent="0.25">
      <c r="B141" t="s">
        <v>25</v>
      </c>
      <c r="C141" s="1">
        <v>82.083333333333329</v>
      </c>
      <c r="D141" t="s">
        <v>26</v>
      </c>
      <c r="E141" t="s">
        <v>27</v>
      </c>
      <c r="F141" t="s">
        <v>28</v>
      </c>
      <c r="G141" t="s">
        <v>29</v>
      </c>
      <c r="H141">
        <v>0.159885</v>
      </c>
      <c r="I141">
        <v>0.160077</v>
      </c>
      <c r="K141" s="4">
        <f t="shared" si="2"/>
        <v>1.0012008631203677</v>
      </c>
      <c r="O141" s="1"/>
    </row>
    <row r="142" spans="2:15" x14ac:dyDescent="0.25">
      <c r="B142" t="s">
        <v>25</v>
      </c>
      <c r="C142" s="1">
        <v>82.666666666666671</v>
      </c>
      <c r="D142" t="s">
        <v>26</v>
      </c>
      <c r="E142" t="s">
        <v>27</v>
      </c>
      <c r="F142" t="s">
        <v>28</v>
      </c>
      <c r="G142" t="s">
        <v>29</v>
      </c>
      <c r="H142">
        <v>0.16110099999999999</v>
      </c>
      <c r="I142">
        <v>0.161158</v>
      </c>
      <c r="K142" s="4">
        <f t="shared" si="2"/>
        <v>1.0003538153084091</v>
      </c>
      <c r="O142" s="1"/>
    </row>
    <row r="143" spans="2:15" x14ac:dyDescent="0.25">
      <c r="B143" t="s">
        <v>25</v>
      </c>
      <c r="C143" s="1">
        <v>83.25</v>
      </c>
      <c r="D143" t="s">
        <v>26</v>
      </c>
      <c r="E143" t="s">
        <v>27</v>
      </c>
      <c r="F143" t="s">
        <v>28</v>
      </c>
      <c r="G143" t="s">
        <v>29</v>
      </c>
      <c r="H143">
        <v>0.18440999999999999</v>
      </c>
      <c r="I143">
        <v>0.184998</v>
      </c>
      <c r="K143" s="4">
        <f t="shared" si="2"/>
        <v>1.0031885472588256</v>
      </c>
      <c r="O143" s="1"/>
    </row>
    <row r="144" spans="2:15" x14ac:dyDescent="0.25">
      <c r="B144" t="s">
        <v>25</v>
      </c>
      <c r="C144" s="1">
        <v>83.833333333333329</v>
      </c>
      <c r="D144" t="s">
        <v>26</v>
      </c>
      <c r="E144" t="s">
        <v>27</v>
      </c>
      <c r="F144" t="s">
        <v>28</v>
      </c>
      <c r="G144" t="s">
        <v>29</v>
      </c>
      <c r="H144">
        <v>0.18809000000000001</v>
      </c>
      <c r="I144">
        <v>0.188275</v>
      </c>
      <c r="K144" s="4">
        <f t="shared" si="2"/>
        <v>1.0009835716944016</v>
      </c>
      <c r="O144" s="1"/>
    </row>
    <row r="145" spans="2:15" x14ac:dyDescent="0.25">
      <c r="B145" t="s">
        <v>25</v>
      </c>
      <c r="C145" s="1">
        <v>84.416666666666671</v>
      </c>
      <c r="D145" t="s">
        <v>26</v>
      </c>
      <c r="E145" t="s">
        <v>27</v>
      </c>
      <c r="F145" t="s">
        <v>28</v>
      </c>
      <c r="G145" t="s">
        <v>29</v>
      </c>
      <c r="H145">
        <v>0.18828800000000001</v>
      </c>
      <c r="I145">
        <v>0.188557</v>
      </c>
      <c r="K145" s="4">
        <f t="shared" si="2"/>
        <v>1.001428662474507</v>
      </c>
      <c r="O145" s="1"/>
    </row>
    <row r="146" spans="2:15" x14ac:dyDescent="0.25">
      <c r="B146" t="s">
        <v>25</v>
      </c>
      <c r="C146" s="1">
        <v>85</v>
      </c>
      <c r="D146" t="s">
        <v>26</v>
      </c>
      <c r="E146" t="s">
        <v>27</v>
      </c>
      <c r="F146" t="s">
        <v>28</v>
      </c>
      <c r="G146" t="s">
        <v>29</v>
      </c>
      <c r="H146">
        <v>0.30908799999999997</v>
      </c>
      <c r="I146">
        <v>0.311027</v>
      </c>
      <c r="K146" s="4">
        <f t="shared" si="2"/>
        <v>1.0062732943368879</v>
      </c>
      <c r="O146" s="1"/>
    </row>
    <row r="147" spans="2:15" x14ac:dyDescent="0.25">
      <c r="B147" t="s">
        <v>25</v>
      </c>
      <c r="C147" s="1">
        <v>85.583333333333329</v>
      </c>
      <c r="D147" t="s">
        <v>26</v>
      </c>
      <c r="E147" t="s">
        <v>27</v>
      </c>
      <c r="F147" t="s">
        <v>28</v>
      </c>
      <c r="G147" t="s">
        <v>29</v>
      </c>
      <c r="H147">
        <v>0.55265299999999995</v>
      </c>
      <c r="I147">
        <v>0.552678</v>
      </c>
      <c r="K147" s="4">
        <f t="shared" si="2"/>
        <v>1.0000452363417913</v>
      </c>
      <c r="O147" s="1"/>
    </row>
    <row r="148" spans="2:15" x14ac:dyDescent="0.25">
      <c r="B148" t="s">
        <v>25</v>
      </c>
      <c r="C148" s="1">
        <v>86.166666666666671</v>
      </c>
      <c r="D148" t="s">
        <v>26</v>
      </c>
      <c r="E148" t="s">
        <v>27</v>
      </c>
      <c r="F148" t="s">
        <v>28</v>
      </c>
      <c r="G148" t="s">
        <v>29</v>
      </c>
      <c r="H148">
        <v>0.97143699999999999</v>
      </c>
      <c r="I148">
        <v>0.97875800000000002</v>
      </c>
      <c r="K148" s="4">
        <f t="shared" si="2"/>
        <v>1.0075362581412897</v>
      </c>
      <c r="O148" s="1"/>
    </row>
    <row r="149" spans="2:15" x14ac:dyDescent="0.25">
      <c r="B149" t="s">
        <v>25</v>
      </c>
      <c r="C149" s="1">
        <v>86.75</v>
      </c>
      <c r="D149" t="s">
        <v>26</v>
      </c>
      <c r="E149" t="s">
        <v>27</v>
      </c>
      <c r="F149" t="s">
        <v>28</v>
      </c>
      <c r="G149" t="s">
        <v>29</v>
      </c>
      <c r="H149">
        <v>1.9090819999999999</v>
      </c>
      <c r="I149">
        <v>1.9162049999999999</v>
      </c>
      <c r="K149" s="4">
        <f t="shared" si="2"/>
        <v>1.0037311126499542</v>
      </c>
      <c r="O149" s="1"/>
    </row>
    <row r="150" spans="2:15" x14ac:dyDescent="0.25">
      <c r="B150" t="s">
        <v>25</v>
      </c>
      <c r="C150" s="1">
        <v>87.333333333333329</v>
      </c>
      <c r="D150" t="s">
        <v>26</v>
      </c>
      <c r="E150" t="s">
        <v>27</v>
      </c>
      <c r="F150" t="s">
        <v>28</v>
      </c>
      <c r="G150" t="s">
        <v>29</v>
      </c>
      <c r="H150">
        <v>3.8423620000000001</v>
      </c>
      <c r="I150">
        <v>3.8532540000000002</v>
      </c>
      <c r="K150" s="4">
        <f t="shared" si="2"/>
        <v>1.002834714688517</v>
      </c>
      <c r="O150" s="1"/>
    </row>
    <row r="151" spans="2:15" x14ac:dyDescent="0.25">
      <c r="B151" t="s">
        <v>25</v>
      </c>
      <c r="C151" s="1">
        <v>87.916666666666671</v>
      </c>
      <c r="D151" t="s">
        <v>26</v>
      </c>
      <c r="E151" t="s">
        <v>27</v>
      </c>
      <c r="F151" t="s">
        <v>28</v>
      </c>
      <c r="G151" t="s">
        <v>29</v>
      </c>
      <c r="H151">
        <v>0.22675799999999999</v>
      </c>
      <c r="I151">
        <v>0.22701399999999999</v>
      </c>
      <c r="K151" s="4">
        <f t="shared" si="2"/>
        <v>1.0011289568615001</v>
      </c>
      <c r="O151" s="1"/>
    </row>
    <row r="152" spans="2:15" x14ac:dyDescent="0.25">
      <c r="B152" t="s">
        <v>25</v>
      </c>
      <c r="C152" s="1">
        <v>88.5</v>
      </c>
      <c r="D152" t="s">
        <v>26</v>
      </c>
      <c r="E152" t="s">
        <v>27</v>
      </c>
      <c r="F152" t="s">
        <v>28</v>
      </c>
      <c r="G152" t="s">
        <v>29</v>
      </c>
      <c r="H152">
        <v>0.227379</v>
      </c>
      <c r="I152">
        <v>0.22778899999999999</v>
      </c>
      <c r="K152" s="4">
        <f t="shared" si="2"/>
        <v>1.0018031568438597</v>
      </c>
      <c r="O152" s="1"/>
    </row>
    <row r="153" spans="2:15" x14ac:dyDescent="0.25">
      <c r="B153" t="s">
        <v>25</v>
      </c>
      <c r="C153" s="1">
        <v>89.083333333333329</v>
      </c>
      <c r="D153" t="s">
        <v>26</v>
      </c>
      <c r="E153" t="s">
        <v>27</v>
      </c>
      <c r="F153" t="s">
        <v>28</v>
      </c>
      <c r="G153" t="s">
        <v>29</v>
      </c>
      <c r="H153">
        <v>0.27466200000000002</v>
      </c>
      <c r="I153">
        <v>0.27598099999999998</v>
      </c>
      <c r="K153" s="4">
        <f t="shared" si="2"/>
        <v>1.0048022660579183</v>
      </c>
      <c r="O153" s="1"/>
    </row>
    <row r="154" spans="2:15" x14ac:dyDescent="0.25">
      <c r="B154" t="s">
        <v>25</v>
      </c>
      <c r="C154" s="1">
        <v>89.666666666666671</v>
      </c>
      <c r="D154" t="s">
        <v>26</v>
      </c>
      <c r="E154" t="s">
        <v>27</v>
      </c>
      <c r="F154" t="s">
        <v>28</v>
      </c>
      <c r="G154" t="s">
        <v>29</v>
      </c>
      <c r="H154">
        <v>0.27561000000000002</v>
      </c>
      <c r="I154">
        <v>0.28172799999999998</v>
      </c>
      <c r="K154" s="4">
        <f t="shared" si="2"/>
        <v>1.0221980334530676</v>
      </c>
      <c r="O154" s="1"/>
    </row>
    <row r="155" spans="2:15" x14ac:dyDescent="0.25">
      <c r="B155" t="s">
        <v>25</v>
      </c>
      <c r="C155" s="1">
        <v>90.25</v>
      </c>
      <c r="D155" t="s">
        <v>26</v>
      </c>
      <c r="E155" t="s">
        <v>27</v>
      </c>
      <c r="F155" t="s">
        <v>28</v>
      </c>
      <c r="G155" t="s">
        <v>29</v>
      </c>
      <c r="H155">
        <v>0.27644200000000002</v>
      </c>
      <c r="I155">
        <v>0.27695399999999998</v>
      </c>
      <c r="K155" s="4">
        <f t="shared" si="2"/>
        <v>1.0018521064093009</v>
      </c>
      <c r="O155" s="1"/>
    </row>
    <row r="156" spans="2:15" x14ac:dyDescent="0.25">
      <c r="B156" t="s">
        <v>25</v>
      </c>
      <c r="C156" s="1">
        <v>90.833333333333329</v>
      </c>
      <c r="D156" t="s">
        <v>26</v>
      </c>
      <c r="E156" t="s">
        <v>27</v>
      </c>
      <c r="F156" t="s">
        <v>28</v>
      </c>
      <c r="G156" t="s">
        <v>29</v>
      </c>
      <c r="H156">
        <v>0.47106599999999998</v>
      </c>
      <c r="I156">
        <v>0.50148499999999996</v>
      </c>
      <c r="K156" s="4">
        <f t="shared" si="2"/>
        <v>1.0645748154186461</v>
      </c>
      <c r="O156" s="1"/>
    </row>
    <row r="157" spans="2:15" x14ac:dyDescent="0.25">
      <c r="B157" t="s">
        <v>25</v>
      </c>
      <c r="C157" s="1">
        <v>91.416666666666671</v>
      </c>
      <c r="D157" t="s">
        <v>26</v>
      </c>
      <c r="E157" t="s">
        <v>27</v>
      </c>
      <c r="F157" t="s">
        <v>28</v>
      </c>
      <c r="G157" t="s">
        <v>29</v>
      </c>
      <c r="H157">
        <v>0.85754900000000001</v>
      </c>
      <c r="I157">
        <v>0.86737900000000001</v>
      </c>
      <c r="K157" s="4">
        <f t="shared" si="2"/>
        <v>1.0114629018283503</v>
      </c>
      <c r="O157" s="1"/>
    </row>
    <row r="158" spans="2:15" x14ac:dyDescent="0.25">
      <c r="B158" t="s">
        <v>25</v>
      </c>
      <c r="C158" s="1">
        <v>92</v>
      </c>
      <c r="D158" t="s">
        <v>26</v>
      </c>
      <c r="E158" t="s">
        <v>27</v>
      </c>
      <c r="F158" t="s">
        <v>28</v>
      </c>
      <c r="G158" t="s">
        <v>29</v>
      </c>
      <c r="H158">
        <v>1.5807040000000001</v>
      </c>
      <c r="I158">
        <v>1.6267579999999999</v>
      </c>
      <c r="K158" s="4">
        <f t="shared" si="2"/>
        <v>1.0291351195416725</v>
      </c>
      <c r="O158" s="1"/>
    </row>
    <row r="159" spans="2:15" x14ac:dyDescent="0.25">
      <c r="B159" t="s">
        <v>25</v>
      </c>
      <c r="C159" s="1">
        <v>92.583333333333329</v>
      </c>
      <c r="D159" t="s">
        <v>26</v>
      </c>
      <c r="E159" t="s">
        <v>27</v>
      </c>
      <c r="F159" t="s">
        <v>28</v>
      </c>
      <c r="G159" t="s">
        <v>29</v>
      </c>
      <c r="H159">
        <v>3.1221139999999998</v>
      </c>
      <c r="I159">
        <v>3.1683590000000001</v>
      </c>
      <c r="K159" s="4">
        <f t="shared" si="2"/>
        <v>1.0148120792514304</v>
      </c>
      <c r="O159" s="1"/>
    </row>
    <row r="160" spans="2:15" x14ac:dyDescent="0.25">
      <c r="B160" t="s">
        <v>25</v>
      </c>
      <c r="C160" s="1">
        <v>93.166666666666671</v>
      </c>
      <c r="D160" t="s">
        <v>26</v>
      </c>
      <c r="E160" t="s">
        <v>27</v>
      </c>
      <c r="F160" t="s">
        <v>28</v>
      </c>
      <c r="G160" t="s">
        <v>29</v>
      </c>
      <c r="H160">
        <v>6.2603780000000002</v>
      </c>
      <c r="I160">
        <v>6.3007289999999996</v>
      </c>
      <c r="K160" s="4">
        <f t="shared" si="2"/>
        <v>1.0064454574468187</v>
      </c>
      <c r="O160" s="1"/>
    </row>
    <row r="161" spans="2:15" x14ac:dyDescent="0.25">
      <c r="B161" t="s">
        <v>25</v>
      </c>
      <c r="C161" s="1">
        <v>93.75</v>
      </c>
      <c r="D161" t="s">
        <v>26</v>
      </c>
      <c r="E161" t="s">
        <v>27</v>
      </c>
      <c r="F161" t="s">
        <v>28</v>
      </c>
      <c r="G161" t="s">
        <v>29</v>
      </c>
      <c r="H161">
        <v>0.360877</v>
      </c>
      <c r="I161">
        <v>0.36094100000000001</v>
      </c>
      <c r="K161" s="4">
        <f t="shared" si="2"/>
        <v>1.0001773457438408</v>
      </c>
      <c r="O161" s="1"/>
    </row>
    <row r="162" spans="2:15" x14ac:dyDescent="0.25">
      <c r="B162" t="s">
        <v>25</v>
      </c>
      <c r="C162" s="1">
        <v>94.333333333333329</v>
      </c>
      <c r="D162" t="s">
        <v>26</v>
      </c>
      <c r="E162" t="s">
        <v>27</v>
      </c>
      <c r="F162" t="s">
        <v>28</v>
      </c>
      <c r="G162" t="s">
        <v>29</v>
      </c>
      <c r="H162">
        <v>0.36022999999999999</v>
      </c>
      <c r="I162">
        <v>0.36021799999999998</v>
      </c>
      <c r="K162" s="4">
        <f t="shared" si="2"/>
        <v>0.99996668794936561</v>
      </c>
      <c r="O162" s="1"/>
    </row>
    <row r="163" spans="2:15" x14ac:dyDescent="0.25">
      <c r="B163" t="s">
        <v>25</v>
      </c>
      <c r="C163" s="1">
        <v>94.916666666666671</v>
      </c>
      <c r="D163" t="s">
        <v>26</v>
      </c>
      <c r="E163" t="s">
        <v>27</v>
      </c>
      <c r="F163" t="s">
        <v>28</v>
      </c>
      <c r="G163" t="s">
        <v>29</v>
      </c>
      <c r="H163">
        <v>0.43958999999999998</v>
      </c>
      <c r="I163">
        <v>0.44055699999999998</v>
      </c>
      <c r="K163" s="4">
        <f t="shared" si="2"/>
        <v>1.0021997770649924</v>
      </c>
      <c r="O163" s="1"/>
    </row>
    <row r="164" spans="2:15" x14ac:dyDescent="0.25">
      <c r="B164" t="s">
        <v>25</v>
      </c>
      <c r="C164" s="1">
        <v>95.5</v>
      </c>
      <c r="D164" t="s">
        <v>26</v>
      </c>
      <c r="E164" t="s">
        <v>27</v>
      </c>
      <c r="F164" t="s">
        <v>28</v>
      </c>
      <c r="G164" t="s">
        <v>29</v>
      </c>
      <c r="H164">
        <v>0.43960300000000002</v>
      </c>
      <c r="I164">
        <v>0.440915</v>
      </c>
      <c r="K164" s="4">
        <f t="shared" si="2"/>
        <v>1.00298451102472</v>
      </c>
      <c r="O164" s="1"/>
    </row>
    <row r="165" spans="2:15" x14ac:dyDescent="0.25">
      <c r="B165" t="s">
        <v>25</v>
      </c>
      <c r="C165" s="1">
        <v>96.083333333333329</v>
      </c>
      <c r="D165" t="s">
        <v>26</v>
      </c>
      <c r="E165" t="s">
        <v>27</v>
      </c>
      <c r="F165" t="s">
        <v>28</v>
      </c>
      <c r="G165" t="s">
        <v>29</v>
      </c>
      <c r="H165">
        <v>0.43918099999999999</v>
      </c>
      <c r="I165">
        <v>0.44102999999999998</v>
      </c>
      <c r="K165" s="4">
        <f t="shared" si="2"/>
        <v>1.0042101092715758</v>
      </c>
      <c r="O165" s="1"/>
    </row>
    <row r="166" spans="2:15" x14ac:dyDescent="0.25">
      <c r="B166" t="s">
        <v>25</v>
      </c>
      <c r="C166" s="1">
        <v>96.666666666666671</v>
      </c>
      <c r="D166" t="s">
        <v>26</v>
      </c>
      <c r="E166" t="s">
        <v>27</v>
      </c>
      <c r="F166" t="s">
        <v>28</v>
      </c>
      <c r="G166" t="s">
        <v>29</v>
      </c>
      <c r="H166">
        <v>0.78486999999999996</v>
      </c>
      <c r="I166">
        <v>0.786304</v>
      </c>
      <c r="K166" s="4">
        <f t="shared" si="2"/>
        <v>1.0018270541618357</v>
      </c>
      <c r="O166" s="1"/>
    </row>
    <row r="167" spans="2:15" x14ac:dyDescent="0.25">
      <c r="B167" t="s">
        <v>25</v>
      </c>
      <c r="C167" s="1">
        <v>97.25</v>
      </c>
      <c r="D167" t="s">
        <v>26</v>
      </c>
      <c r="E167" t="s">
        <v>27</v>
      </c>
      <c r="F167" t="s">
        <v>28</v>
      </c>
      <c r="G167" t="s">
        <v>29</v>
      </c>
      <c r="H167">
        <v>1.4560379999999999</v>
      </c>
      <c r="I167">
        <v>1.494221</v>
      </c>
      <c r="K167" s="4">
        <f t="shared" si="2"/>
        <v>1.0262239034970242</v>
      </c>
      <c r="O167" s="1"/>
    </row>
    <row r="168" spans="2:15" x14ac:dyDescent="0.25">
      <c r="B168" t="s">
        <v>25</v>
      </c>
      <c r="C168" s="1">
        <v>97.833333333333329</v>
      </c>
      <c r="D168" t="s">
        <v>26</v>
      </c>
      <c r="E168" t="s">
        <v>27</v>
      </c>
      <c r="F168" t="s">
        <v>28</v>
      </c>
      <c r="G168" t="s">
        <v>29</v>
      </c>
      <c r="H168">
        <v>2.7402169999999999</v>
      </c>
      <c r="I168">
        <v>2.7433540000000001</v>
      </c>
      <c r="K168" s="4">
        <f t="shared" si="2"/>
        <v>1.0011447998461436</v>
      </c>
      <c r="O168" s="1"/>
    </row>
    <row r="169" spans="2:15" x14ac:dyDescent="0.25">
      <c r="B169" t="s">
        <v>25</v>
      </c>
      <c r="C169" s="1">
        <v>98.416666666666671</v>
      </c>
      <c r="D169" t="s">
        <v>26</v>
      </c>
      <c r="E169" t="s">
        <v>27</v>
      </c>
      <c r="F169" t="s">
        <v>28</v>
      </c>
      <c r="G169" t="s">
        <v>29</v>
      </c>
      <c r="H169">
        <v>5.4693250000000004</v>
      </c>
      <c r="I169">
        <v>5.481293</v>
      </c>
      <c r="K169" s="4">
        <f t="shared" si="2"/>
        <v>1.0021882042116714</v>
      </c>
      <c r="O169" s="1"/>
    </row>
    <row r="170" spans="2:15" x14ac:dyDescent="0.25">
      <c r="B170" t="s">
        <v>25</v>
      </c>
      <c r="C170" s="1">
        <v>99</v>
      </c>
      <c r="D170" t="s">
        <v>26</v>
      </c>
      <c r="E170" t="s">
        <v>27</v>
      </c>
      <c r="F170" t="s">
        <v>28</v>
      </c>
      <c r="G170" t="s">
        <v>29</v>
      </c>
      <c r="H170">
        <v>10.996105999999999</v>
      </c>
      <c r="I170">
        <v>11.031758999999999</v>
      </c>
      <c r="K170" s="4">
        <f t="shared" si="2"/>
        <v>1.0032423296028612</v>
      </c>
      <c r="O170" s="1"/>
    </row>
    <row r="171" spans="2:15" x14ac:dyDescent="0.25">
      <c r="B171" t="s">
        <v>25</v>
      </c>
      <c r="C171" s="1">
        <v>99.583333333333329</v>
      </c>
      <c r="D171" t="s">
        <v>26</v>
      </c>
      <c r="E171" t="s">
        <v>27</v>
      </c>
      <c r="F171" t="s">
        <v>28</v>
      </c>
      <c r="G171" t="s">
        <v>29</v>
      </c>
      <c r="H171">
        <v>0.62084499999999998</v>
      </c>
      <c r="I171">
        <v>0.62149100000000002</v>
      </c>
      <c r="K171" s="4">
        <f t="shared" si="2"/>
        <v>1.0010405173594055</v>
      </c>
      <c r="O171" s="1"/>
    </row>
    <row r="172" spans="2:15" x14ac:dyDescent="0.25">
      <c r="B172" t="s">
        <v>25</v>
      </c>
      <c r="C172" s="1">
        <v>100.16666666666667</v>
      </c>
      <c r="D172" t="s">
        <v>26</v>
      </c>
      <c r="E172" t="s">
        <v>27</v>
      </c>
      <c r="F172" t="s">
        <v>28</v>
      </c>
      <c r="G172" t="s">
        <v>29</v>
      </c>
      <c r="H172">
        <v>0.61505900000000002</v>
      </c>
      <c r="I172">
        <v>0.66186900000000004</v>
      </c>
      <c r="K172" s="4">
        <f t="shared" si="2"/>
        <v>1.0761065198623221</v>
      </c>
      <c r="O172" s="1"/>
    </row>
    <row r="173" spans="2:15" x14ac:dyDescent="0.25">
      <c r="B173" t="s">
        <v>25</v>
      </c>
      <c r="C173" s="1">
        <v>100.75</v>
      </c>
      <c r="D173" t="s">
        <v>26</v>
      </c>
      <c r="E173" t="s">
        <v>27</v>
      </c>
      <c r="F173" t="s">
        <v>28</v>
      </c>
      <c r="G173" t="s">
        <v>29</v>
      </c>
      <c r="H173">
        <v>0.74863400000000002</v>
      </c>
      <c r="I173">
        <v>0.75873900000000005</v>
      </c>
      <c r="K173" s="4">
        <f t="shared" si="2"/>
        <v>1.0134979175404804</v>
      </c>
      <c r="O173" s="1"/>
    </row>
    <row r="174" spans="2:15" x14ac:dyDescent="0.25">
      <c r="B174" t="s">
        <v>25</v>
      </c>
      <c r="C174" s="1">
        <v>101.33333333333333</v>
      </c>
      <c r="D174" t="s">
        <v>26</v>
      </c>
      <c r="E174" t="s">
        <v>27</v>
      </c>
      <c r="F174" t="s">
        <v>28</v>
      </c>
      <c r="G174" t="s">
        <v>29</v>
      </c>
      <c r="H174">
        <v>0.75242200000000004</v>
      </c>
      <c r="I174">
        <v>0.75470700000000002</v>
      </c>
      <c r="K174" s="4">
        <f t="shared" si="2"/>
        <v>1.00303685963462</v>
      </c>
      <c r="O174" s="1"/>
    </row>
    <row r="175" spans="2:15" x14ac:dyDescent="0.25">
      <c r="B175" t="s">
        <v>25</v>
      </c>
      <c r="C175" s="1">
        <v>101.91666666666667</v>
      </c>
      <c r="D175" t="s">
        <v>26</v>
      </c>
      <c r="E175" t="s">
        <v>27</v>
      </c>
      <c r="F175" t="s">
        <v>28</v>
      </c>
      <c r="G175" t="s">
        <v>29</v>
      </c>
      <c r="H175">
        <v>0.75974399999999997</v>
      </c>
      <c r="I175">
        <v>0.79749099999999995</v>
      </c>
      <c r="K175" s="4">
        <f t="shared" si="2"/>
        <v>1.0496838408727149</v>
      </c>
      <c r="O175" s="1"/>
    </row>
    <row r="176" spans="2:15" x14ac:dyDescent="0.25">
      <c r="B176" t="s">
        <v>25</v>
      </c>
      <c r="C176" s="1">
        <v>102.5</v>
      </c>
      <c r="D176" t="s">
        <v>26</v>
      </c>
      <c r="E176" t="s">
        <v>27</v>
      </c>
      <c r="F176" t="s">
        <v>28</v>
      </c>
      <c r="G176" t="s">
        <v>29</v>
      </c>
      <c r="H176">
        <v>1.4038470000000001</v>
      </c>
      <c r="I176">
        <v>1.3981250000000001</v>
      </c>
      <c r="K176" s="4">
        <f t="shared" si="2"/>
        <v>0.99592405725125321</v>
      </c>
      <c r="O176" s="1"/>
    </row>
    <row r="177" spans="2:15" x14ac:dyDescent="0.25">
      <c r="B177" t="s">
        <v>25</v>
      </c>
      <c r="C177" s="1">
        <v>103.08333333333333</v>
      </c>
      <c r="D177" t="s">
        <v>26</v>
      </c>
      <c r="E177" t="s">
        <v>27</v>
      </c>
      <c r="F177" t="s">
        <v>28</v>
      </c>
      <c r="G177" t="s">
        <v>29</v>
      </c>
      <c r="H177">
        <v>2.6657350000000002</v>
      </c>
      <c r="I177">
        <v>2.671449</v>
      </c>
      <c r="K177" s="4">
        <f t="shared" si="2"/>
        <v>1.0021434988849229</v>
      </c>
      <c r="O177" s="1"/>
    </row>
    <row r="178" spans="2:15" x14ac:dyDescent="0.25">
      <c r="B178" t="s">
        <v>25</v>
      </c>
      <c r="C178" s="1">
        <v>103.66666666666667</v>
      </c>
      <c r="D178" t="s">
        <v>26</v>
      </c>
      <c r="E178" t="s">
        <v>27</v>
      </c>
      <c r="F178" t="s">
        <v>28</v>
      </c>
      <c r="G178" t="s">
        <v>29</v>
      </c>
      <c r="H178">
        <v>5.1330939999999998</v>
      </c>
      <c r="I178">
        <v>5.1637950000000004</v>
      </c>
      <c r="K178" s="4">
        <f t="shared" si="2"/>
        <v>1.00598099313981</v>
      </c>
      <c r="O178" s="1"/>
    </row>
    <row r="179" spans="2:15" x14ac:dyDescent="0.25">
      <c r="B179" t="s">
        <v>25</v>
      </c>
      <c r="C179" s="1">
        <v>104.25</v>
      </c>
      <c r="D179" t="s">
        <v>26</v>
      </c>
      <c r="E179" t="s">
        <v>27</v>
      </c>
      <c r="F179" t="s">
        <v>28</v>
      </c>
      <c r="G179" t="s">
        <v>29</v>
      </c>
      <c r="H179">
        <v>10.293340000000001</v>
      </c>
      <c r="I179">
        <v>10.298501</v>
      </c>
      <c r="K179" s="4">
        <f t="shared" si="2"/>
        <v>1.0005013921623107</v>
      </c>
      <c r="O179" s="1"/>
    </row>
    <row r="180" spans="2:15" x14ac:dyDescent="0.25">
      <c r="B180" t="s">
        <v>25</v>
      </c>
      <c r="C180" s="1">
        <v>104.83333333333333</v>
      </c>
      <c r="D180" t="s">
        <v>26</v>
      </c>
      <c r="E180" t="s">
        <v>27</v>
      </c>
      <c r="F180" t="s">
        <v>28</v>
      </c>
      <c r="G180" t="s">
        <v>29</v>
      </c>
      <c r="H180">
        <v>20.899792000000001</v>
      </c>
      <c r="I180">
        <v>20.897445999999999</v>
      </c>
      <c r="K180" s="4">
        <f t="shared" si="2"/>
        <v>0.99988775007904374</v>
      </c>
      <c r="O180" s="1"/>
    </row>
    <row r="181" spans="2:15" x14ac:dyDescent="0.25">
      <c r="B181" t="s">
        <v>25</v>
      </c>
      <c r="C181" s="1">
        <v>105.41666666666667</v>
      </c>
      <c r="D181" t="s">
        <v>26</v>
      </c>
      <c r="E181" t="s">
        <v>27</v>
      </c>
      <c r="F181" t="s">
        <v>28</v>
      </c>
      <c r="G181" t="s">
        <v>29</v>
      </c>
      <c r="H181">
        <v>5.9648E-2</v>
      </c>
      <c r="I181">
        <v>6.0352000000000003E-2</v>
      </c>
      <c r="K181" s="4">
        <f t="shared" si="2"/>
        <v>1.0118025751072961</v>
      </c>
      <c r="O181" s="1"/>
    </row>
    <row r="182" spans="2:15" x14ac:dyDescent="0.25">
      <c r="B182" t="s">
        <v>25</v>
      </c>
      <c r="C182" s="1">
        <v>106</v>
      </c>
      <c r="D182" t="s">
        <v>26</v>
      </c>
      <c r="E182" t="s">
        <v>27</v>
      </c>
      <c r="F182" t="s">
        <v>28</v>
      </c>
      <c r="G182" t="s">
        <v>29</v>
      </c>
      <c r="H182">
        <v>6.0275000000000002E-2</v>
      </c>
      <c r="I182">
        <v>6.0525000000000002E-2</v>
      </c>
      <c r="K182" s="4">
        <f t="shared" si="2"/>
        <v>1.0041476565740357</v>
      </c>
      <c r="O182" s="1"/>
    </row>
    <row r="183" spans="2:15" x14ac:dyDescent="0.25">
      <c r="B183" t="s">
        <v>25</v>
      </c>
      <c r="C183" s="1">
        <v>106.58333333333333</v>
      </c>
      <c r="D183" t="s">
        <v>26</v>
      </c>
      <c r="E183" t="s">
        <v>27</v>
      </c>
      <c r="F183" t="s">
        <v>28</v>
      </c>
      <c r="G183" t="s">
        <v>29</v>
      </c>
      <c r="H183">
        <v>6.0467E-2</v>
      </c>
      <c r="I183">
        <v>6.0704000000000001E-2</v>
      </c>
      <c r="K183" s="4">
        <f t="shared" si="2"/>
        <v>1.0039194932773248</v>
      </c>
      <c r="O183" s="1"/>
    </row>
    <row r="184" spans="2:15" x14ac:dyDescent="0.25">
      <c r="B184" t="s">
        <v>25</v>
      </c>
      <c r="C184" s="1">
        <v>107.16666666666667</v>
      </c>
      <c r="D184" t="s">
        <v>26</v>
      </c>
      <c r="E184" t="s">
        <v>27</v>
      </c>
      <c r="F184" t="s">
        <v>28</v>
      </c>
      <c r="G184" t="s">
        <v>29</v>
      </c>
      <c r="H184">
        <v>6.0825999999999998E-2</v>
      </c>
      <c r="I184">
        <v>6.1221999999999999E-2</v>
      </c>
      <c r="K184" s="4">
        <f t="shared" si="2"/>
        <v>1.0065103738532863</v>
      </c>
      <c r="O184" s="1"/>
    </row>
    <row r="185" spans="2:15" x14ac:dyDescent="0.25">
      <c r="B185" t="s">
        <v>25</v>
      </c>
      <c r="C185" s="1">
        <v>107.75</v>
      </c>
      <c r="D185" t="s">
        <v>26</v>
      </c>
      <c r="E185" t="s">
        <v>27</v>
      </c>
      <c r="F185" t="s">
        <v>28</v>
      </c>
      <c r="G185" t="s">
        <v>29</v>
      </c>
      <c r="H185">
        <v>6.1305999999999999E-2</v>
      </c>
      <c r="I185">
        <v>6.4953999999999998E-2</v>
      </c>
      <c r="K185" s="4">
        <f t="shared" si="2"/>
        <v>1.0595047793038201</v>
      </c>
      <c r="O185" s="1"/>
    </row>
    <row r="186" spans="2:15" x14ac:dyDescent="0.25">
      <c r="B186" t="s">
        <v>25</v>
      </c>
      <c r="C186" s="1">
        <v>108.33333333333333</v>
      </c>
      <c r="D186" t="s">
        <v>26</v>
      </c>
      <c r="E186" t="s">
        <v>27</v>
      </c>
      <c r="F186" t="s">
        <v>28</v>
      </c>
      <c r="G186" t="s">
        <v>29</v>
      </c>
      <c r="H186">
        <v>6.8736000000000005E-2</v>
      </c>
      <c r="I186">
        <v>0.116518</v>
      </c>
      <c r="K186" s="4">
        <f t="shared" si="2"/>
        <v>1.6951524674115455</v>
      </c>
      <c r="O186" s="1"/>
    </row>
    <row r="187" spans="2:15" x14ac:dyDescent="0.25">
      <c r="B187" t="s">
        <v>25</v>
      </c>
      <c r="C187" s="1">
        <v>108.91666666666667</v>
      </c>
      <c r="D187" t="s">
        <v>26</v>
      </c>
      <c r="E187" t="s">
        <v>27</v>
      </c>
      <c r="F187" t="s">
        <v>28</v>
      </c>
      <c r="G187" t="s">
        <v>29</v>
      </c>
      <c r="H187">
        <v>8.2624000000000003E-2</v>
      </c>
      <c r="I187">
        <v>8.6143999999999998E-2</v>
      </c>
      <c r="K187" s="4">
        <f t="shared" si="2"/>
        <v>1.0426026336173508</v>
      </c>
      <c r="O187" s="1"/>
    </row>
    <row r="188" spans="2:15" x14ac:dyDescent="0.25">
      <c r="B188" t="s">
        <v>25</v>
      </c>
      <c r="C188" s="1">
        <v>109.95833333333333</v>
      </c>
      <c r="D188" t="s">
        <v>26</v>
      </c>
      <c r="E188" t="s">
        <v>27</v>
      </c>
      <c r="F188" t="s">
        <v>28</v>
      </c>
      <c r="G188" t="s">
        <v>29</v>
      </c>
      <c r="H188">
        <v>0.113875</v>
      </c>
      <c r="I188">
        <v>0.117549</v>
      </c>
      <c r="K188" s="4">
        <f t="shared" si="2"/>
        <v>1.0322634467618002</v>
      </c>
      <c r="O188" s="1"/>
    </row>
    <row r="189" spans="2:15" x14ac:dyDescent="0.25">
      <c r="B189" t="s">
        <v>25</v>
      </c>
      <c r="C189" s="1">
        <v>111.625</v>
      </c>
      <c r="D189" t="s">
        <v>26</v>
      </c>
      <c r="E189" t="s">
        <v>27</v>
      </c>
      <c r="F189" t="s">
        <v>28</v>
      </c>
      <c r="G189" t="s">
        <v>29</v>
      </c>
      <c r="H189">
        <v>0.17166100000000001</v>
      </c>
      <c r="I189">
        <v>0.17549400000000001</v>
      </c>
      <c r="K189" s="4">
        <f t="shared" si="2"/>
        <v>1.0223288924100407</v>
      </c>
      <c r="O189" s="1"/>
    </row>
    <row r="190" spans="2:15" x14ac:dyDescent="0.25">
      <c r="B190" t="s">
        <v>25</v>
      </c>
      <c r="C190" s="1">
        <v>114.66666666666667</v>
      </c>
      <c r="D190" t="s">
        <v>26</v>
      </c>
      <c r="E190" t="s">
        <v>27</v>
      </c>
      <c r="F190" t="s">
        <v>28</v>
      </c>
      <c r="G190" t="s">
        <v>29</v>
      </c>
      <c r="H190">
        <v>0.29297299999999998</v>
      </c>
      <c r="I190">
        <v>0.29810599999999998</v>
      </c>
      <c r="K190" s="4">
        <f t="shared" si="2"/>
        <v>1.0175203858376027</v>
      </c>
      <c r="O190" s="1"/>
    </row>
    <row r="191" spans="2:15" x14ac:dyDescent="0.25">
      <c r="B191" t="s">
        <v>25</v>
      </c>
      <c r="C191" s="1">
        <v>116.20833333333333</v>
      </c>
      <c r="D191" t="s">
        <v>26</v>
      </c>
      <c r="E191" t="s">
        <v>27</v>
      </c>
      <c r="F191" t="s">
        <v>28</v>
      </c>
      <c r="G191" t="s">
        <v>29</v>
      </c>
      <c r="H191">
        <v>6.0621000000000001E-2</v>
      </c>
      <c r="I191">
        <v>6.1650999999999997E-2</v>
      </c>
      <c r="K191" s="4">
        <f t="shared" si="2"/>
        <v>1.0169908117648998</v>
      </c>
      <c r="O191" s="1"/>
    </row>
    <row r="192" spans="2:15" x14ac:dyDescent="0.25">
      <c r="B192" t="s">
        <v>25</v>
      </c>
      <c r="C192" s="1">
        <v>116.79166666666667</v>
      </c>
      <c r="D192" t="s">
        <v>26</v>
      </c>
      <c r="E192" t="s">
        <v>27</v>
      </c>
      <c r="F192" t="s">
        <v>28</v>
      </c>
      <c r="G192" t="s">
        <v>29</v>
      </c>
      <c r="H192">
        <v>6.1074999999999997E-2</v>
      </c>
      <c r="I192">
        <v>6.1280000000000001E-2</v>
      </c>
      <c r="K192" s="4">
        <f t="shared" si="2"/>
        <v>1.0033565288579616</v>
      </c>
      <c r="O192" s="1"/>
    </row>
    <row r="193" spans="2:15" x14ac:dyDescent="0.25">
      <c r="B193" t="s">
        <v>25</v>
      </c>
      <c r="C193" s="1">
        <v>117.375</v>
      </c>
      <c r="D193" t="s">
        <v>26</v>
      </c>
      <c r="E193" t="s">
        <v>27</v>
      </c>
      <c r="F193" t="s">
        <v>28</v>
      </c>
      <c r="G193" t="s">
        <v>29</v>
      </c>
      <c r="H193">
        <v>6.1497999999999997E-2</v>
      </c>
      <c r="I193">
        <v>6.2732999999999997E-2</v>
      </c>
      <c r="K193" s="4">
        <f t="shared" si="2"/>
        <v>1.0200819538846793</v>
      </c>
      <c r="O193" s="1"/>
    </row>
    <row r="194" spans="2:15" x14ac:dyDescent="0.25">
      <c r="B194" t="s">
        <v>25</v>
      </c>
      <c r="C194" s="1">
        <v>117.95833333333333</v>
      </c>
      <c r="D194" t="s">
        <v>26</v>
      </c>
      <c r="E194" t="s">
        <v>27</v>
      </c>
      <c r="F194" t="s">
        <v>28</v>
      </c>
      <c r="G194" t="s">
        <v>29</v>
      </c>
      <c r="H194">
        <v>6.1626E-2</v>
      </c>
      <c r="I194">
        <v>6.1970999999999998E-2</v>
      </c>
      <c r="K194" s="4">
        <f t="shared" ref="K194:K257" si="3">I194/H194</f>
        <v>1.0055982864375426</v>
      </c>
      <c r="O194" s="1"/>
    </row>
    <row r="195" spans="2:15" x14ac:dyDescent="0.25">
      <c r="B195" t="s">
        <v>25</v>
      </c>
      <c r="C195" s="1">
        <v>118.54166666666667</v>
      </c>
      <c r="D195" t="s">
        <v>26</v>
      </c>
      <c r="E195" t="s">
        <v>27</v>
      </c>
      <c r="F195" t="s">
        <v>28</v>
      </c>
      <c r="G195" t="s">
        <v>29</v>
      </c>
      <c r="H195">
        <v>6.2029000000000001E-2</v>
      </c>
      <c r="I195">
        <v>7.1923000000000001E-2</v>
      </c>
      <c r="K195" s="4">
        <f t="shared" si="3"/>
        <v>1.1595060374985893</v>
      </c>
      <c r="O195" s="1"/>
    </row>
    <row r="196" spans="2:15" x14ac:dyDescent="0.25">
      <c r="B196" t="s">
        <v>25</v>
      </c>
      <c r="C196" s="1">
        <v>119.125</v>
      </c>
      <c r="D196" t="s">
        <v>26</v>
      </c>
      <c r="E196" t="s">
        <v>27</v>
      </c>
      <c r="F196" t="s">
        <v>28</v>
      </c>
      <c r="G196" t="s">
        <v>29</v>
      </c>
      <c r="H196">
        <v>7.0355000000000001E-2</v>
      </c>
      <c r="I196">
        <v>7.0917999999999995E-2</v>
      </c>
      <c r="K196" s="4">
        <f t="shared" si="3"/>
        <v>1.0080022741809394</v>
      </c>
      <c r="O196" s="1"/>
    </row>
    <row r="197" spans="2:15" x14ac:dyDescent="0.25">
      <c r="B197" t="s">
        <v>25</v>
      </c>
      <c r="C197" s="1">
        <v>119.70833333333333</v>
      </c>
      <c r="D197" t="s">
        <v>26</v>
      </c>
      <c r="E197" t="s">
        <v>27</v>
      </c>
      <c r="F197" t="s">
        <v>28</v>
      </c>
      <c r="G197" t="s">
        <v>29</v>
      </c>
      <c r="H197">
        <v>8.5882E-2</v>
      </c>
      <c r="I197">
        <v>8.6348999999999995E-2</v>
      </c>
      <c r="K197" s="4">
        <f t="shared" si="3"/>
        <v>1.0054376935795626</v>
      </c>
      <c r="O197" s="1"/>
    </row>
    <row r="198" spans="2:15" x14ac:dyDescent="0.25">
      <c r="B198" t="s">
        <v>25</v>
      </c>
      <c r="C198" s="1">
        <v>120.66666666666667</v>
      </c>
      <c r="D198" t="s">
        <v>26</v>
      </c>
      <c r="E198" t="s">
        <v>27</v>
      </c>
      <c r="F198" t="s">
        <v>28</v>
      </c>
      <c r="G198" t="s">
        <v>29</v>
      </c>
      <c r="H198">
        <v>0.119898</v>
      </c>
      <c r="I198">
        <v>0.120646</v>
      </c>
      <c r="K198" s="4">
        <f t="shared" si="3"/>
        <v>1.0062386361740814</v>
      </c>
      <c r="O198" s="1"/>
    </row>
    <row r="199" spans="2:15" x14ac:dyDescent="0.25">
      <c r="B199" t="s">
        <v>25</v>
      </c>
      <c r="C199" s="1">
        <v>121.79166666666667</v>
      </c>
      <c r="D199" t="s">
        <v>26</v>
      </c>
      <c r="E199" t="s">
        <v>27</v>
      </c>
      <c r="F199" t="s">
        <v>28</v>
      </c>
      <c r="G199" t="s">
        <v>29</v>
      </c>
      <c r="H199">
        <v>0.18419199999999999</v>
      </c>
      <c r="I199">
        <v>0.19040000000000001</v>
      </c>
      <c r="K199" s="4">
        <f t="shared" si="3"/>
        <v>1.0337039610840864</v>
      </c>
      <c r="O199" s="1"/>
    </row>
    <row r="200" spans="2:15" x14ac:dyDescent="0.25">
      <c r="B200" t="s">
        <v>25</v>
      </c>
      <c r="C200" s="1">
        <v>122.70833333333333</v>
      </c>
      <c r="D200" t="s">
        <v>26</v>
      </c>
      <c r="E200" t="s">
        <v>27</v>
      </c>
      <c r="F200" t="s">
        <v>28</v>
      </c>
      <c r="G200" t="s">
        <v>29</v>
      </c>
      <c r="H200">
        <v>0.317382</v>
      </c>
      <c r="I200">
        <v>0.32019199999999998</v>
      </c>
      <c r="K200" s="4">
        <f t="shared" si="3"/>
        <v>1.0088536842038931</v>
      </c>
      <c r="O200" s="1"/>
    </row>
    <row r="201" spans="2:15" x14ac:dyDescent="0.25">
      <c r="B201" t="s">
        <v>25</v>
      </c>
      <c r="C201" s="1">
        <v>123.29166666666667</v>
      </c>
      <c r="D201" t="s">
        <v>26</v>
      </c>
      <c r="E201" t="s">
        <v>27</v>
      </c>
      <c r="F201" t="s">
        <v>28</v>
      </c>
      <c r="G201" t="s">
        <v>29</v>
      </c>
      <c r="H201">
        <v>6.3462000000000005E-2</v>
      </c>
      <c r="I201">
        <v>6.3839999999999994E-2</v>
      </c>
      <c r="K201" s="4">
        <f t="shared" si="3"/>
        <v>1.0059563203176702</v>
      </c>
      <c r="O201" s="1"/>
    </row>
    <row r="202" spans="2:15" x14ac:dyDescent="0.25">
      <c r="B202" t="s">
        <v>25</v>
      </c>
      <c r="C202" s="1">
        <v>123.875</v>
      </c>
      <c r="D202" t="s">
        <v>26</v>
      </c>
      <c r="E202" t="s">
        <v>27</v>
      </c>
      <c r="F202" t="s">
        <v>28</v>
      </c>
      <c r="G202" t="s">
        <v>29</v>
      </c>
      <c r="H202">
        <v>6.3884999999999997E-2</v>
      </c>
      <c r="I202">
        <v>6.4204999999999998E-2</v>
      </c>
      <c r="K202" s="4">
        <f t="shared" si="3"/>
        <v>1.0050090005478594</v>
      </c>
      <c r="O202" s="1"/>
    </row>
    <row r="203" spans="2:15" x14ac:dyDescent="0.25">
      <c r="B203" t="s">
        <v>25</v>
      </c>
      <c r="C203" s="1">
        <v>124.45833333333333</v>
      </c>
      <c r="D203" t="s">
        <v>26</v>
      </c>
      <c r="E203" t="s">
        <v>27</v>
      </c>
      <c r="F203" t="s">
        <v>28</v>
      </c>
      <c r="G203" t="s">
        <v>29</v>
      </c>
      <c r="H203">
        <v>6.4461000000000004E-2</v>
      </c>
      <c r="I203">
        <v>6.4864000000000005E-2</v>
      </c>
      <c r="K203" s="4">
        <f t="shared" si="3"/>
        <v>1.0062518421991591</v>
      </c>
      <c r="O203" s="1"/>
    </row>
    <row r="204" spans="2:15" x14ac:dyDescent="0.25">
      <c r="B204" t="s">
        <v>25</v>
      </c>
      <c r="C204" s="1">
        <v>125.04166666666667</v>
      </c>
      <c r="D204" t="s">
        <v>26</v>
      </c>
      <c r="E204" t="s">
        <v>27</v>
      </c>
      <c r="F204" t="s">
        <v>28</v>
      </c>
      <c r="G204" t="s">
        <v>29</v>
      </c>
      <c r="H204">
        <v>6.4749000000000001E-2</v>
      </c>
      <c r="I204">
        <v>6.5106999999999998E-2</v>
      </c>
      <c r="K204" s="4">
        <f t="shared" si="3"/>
        <v>1.0055290429195818</v>
      </c>
      <c r="O204" s="1"/>
    </row>
    <row r="205" spans="2:15" x14ac:dyDescent="0.25">
      <c r="B205" t="s">
        <v>25</v>
      </c>
      <c r="C205" s="1">
        <v>125.625</v>
      </c>
      <c r="D205" t="s">
        <v>26</v>
      </c>
      <c r="E205" t="s">
        <v>27</v>
      </c>
      <c r="F205" t="s">
        <v>28</v>
      </c>
      <c r="G205" t="s">
        <v>29</v>
      </c>
      <c r="H205">
        <v>6.5087999999999993E-2</v>
      </c>
      <c r="I205">
        <v>6.5459000000000003E-2</v>
      </c>
      <c r="K205" s="4">
        <f t="shared" si="3"/>
        <v>1.0056999754178959</v>
      </c>
      <c r="O205" s="1"/>
    </row>
    <row r="206" spans="2:15" x14ac:dyDescent="0.25">
      <c r="B206" t="s">
        <v>25</v>
      </c>
      <c r="C206" s="1">
        <v>126.20833333333333</v>
      </c>
      <c r="D206" t="s">
        <v>26</v>
      </c>
      <c r="E206" t="s">
        <v>27</v>
      </c>
      <c r="F206" t="s">
        <v>28</v>
      </c>
      <c r="G206" t="s">
        <v>29</v>
      </c>
      <c r="H206">
        <v>7.5674000000000005E-2</v>
      </c>
      <c r="I206">
        <v>7.6025999999999996E-2</v>
      </c>
      <c r="K206" s="4">
        <f t="shared" si="3"/>
        <v>1.0046515315696274</v>
      </c>
      <c r="O206" s="1"/>
    </row>
    <row r="207" spans="2:15" x14ac:dyDescent="0.25">
      <c r="B207" t="s">
        <v>25</v>
      </c>
      <c r="C207" s="1">
        <v>126.79166666666667</v>
      </c>
      <c r="D207" t="s">
        <v>26</v>
      </c>
      <c r="E207" t="s">
        <v>27</v>
      </c>
      <c r="F207" t="s">
        <v>28</v>
      </c>
      <c r="G207" t="s">
        <v>29</v>
      </c>
      <c r="H207">
        <v>9.6313999999999997E-2</v>
      </c>
      <c r="I207">
        <v>9.8554000000000003E-2</v>
      </c>
      <c r="K207" s="4">
        <f t="shared" si="3"/>
        <v>1.0232572627032415</v>
      </c>
      <c r="O207" s="1"/>
    </row>
    <row r="208" spans="2:15" x14ac:dyDescent="0.25">
      <c r="B208" t="s">
        <v>25</v>
      </c>
      <c r="C208" s="1">
        <v>127.375</v>
      </c>
      <c r="D208" t="s">
        <v>26</v>
      </c>
      <c r="E208" t="s">
        <v>27</v>
      </c>
      <c r="F208" t="s">
        <v>28</v>
      </c>
      <c r="G208" t="s">
        <v>29</v>
      </c>
      <c r="H208">
        <v>0.13735</v>
      </c>
      <c r="I208">
        <v>0.141542</v>
      </c>
      <c r="K208" s="4">
        <f t="shared" si="3"/>
        <v>1.030520567892246</v>
      </c>
      <c r="O208" s="1"/>
    </row>
    <row r="209" spans="2:15" x14ac:dyDescent="0.25">
      <c r="B209" t="s">
        <v>25</v>
      </c>
      <c r="C209" s="1">
        <v>127.95833333333333</v>
      </c>
      <c r="D209" t="s">
        <v>26</v>
      </c>
      <c r="E209" t="s">
        <v>27</v>
      </c>
      <c r="F209" t="s">
        <v>28</v>
      </c>
      <c r="G209" t="s">
        <v>29</v>
      </c>
      <c r="H209">
        <v>0.21895700000000001</v>
      </c>
      <c r="I209">
        <v>0.22649</v>
      </c>
      <c r="K209" s="4">
        <f t="shared" si="3"/>
        <v>1.034404015400284</v>
      </c>
      <c r="O209" s="1"/>
    </row>
    <row r="210" spans="2:15" x14ac:dyDescent="0.25">
      <c r="B210" t="s">
        <v>25</v>
      </c>
      <c r="C210" s="1">
        <v>128.66666666666666</v>
      </c>
      <c r="D210" t="s">
        <v>26</v>
      </c>
      <c r="E210" t="s">
        <v>27</v>
      </c>
      <c r="F210" t="s">
        <v>28</v>
      </c>
      <c r="G210" t="s">
        <v>29</v>
      </c>
      <c r="H210">
        <v>0.37965399999999999</v>
      </c>
      <c r="I210">
        <v>0.38774999999999998</v>
      </c>
      <c r="K210" s="4">
        <f t="shared" si="3"/>
        <v>1.0213246798400648</v>
      </c>
      <c r="O210" s="1"/>
    </row>
    <row r="211" spans="2:15" x14ac:dyDescent="0.25">
      <c r="B211" t="s">
        <v>25</v>
      </c>
      <c r="C211" s="1">
        <v>129.25</v>
      </c>
      <c r="D211" t="s">
        <v>26</v>
      </c>
      <c r="E211" t="s">
        <v>27</v>
      </c>
      <c r="F211" t="s">
        <v>28</v>
      </c>
      <c r="G211" t="s">
        <v>29</v>
      </c>
      <c r="H211">
        <v>6.8832000000000004E-2</v>
      </c>
      <c r="I211">
        <v>6.9324999999999998E-2</v>
      </c>
      <c r="K211" s="4">
        <f t="shared" si="3"/>
        <v>1.0071623663412366</v>
      </c>
      <c r="O211" s="1"/>
    </row>
    <row r="212" spans="2:15" x14ac:dyDescent="0.25">
      <c r="B212" t="s">
        <v>25</v>
      </c>
      <c r="C212" s="1">
        <v>129.83333333333334</v>
      </c>
      <c r="D212" t="s">
        <v>26</v>
      </c>
      <c r="E212" t="s">
        <v>27</v>
      </c>
      <c r="F212" t="s">
        <v>28</v>
      </c>
      <c r="G212" t="s">
        <v>29</v>
      </c>
      <c r="H212">
        <v>6.9612999999999994E-2</v>
      </c>
      <c r="I212">
        <v>7.0060999999999998E-2</v>
      </c>
      <c r="K212" s="4">
        <f t="shared" si="3"/>
        <v>1.0064355795612889</v>
      </c>
      <c r="O212" s="1"/>
    </row>
    <row r="213" spans="2:15" x14ac:dyDescent="0.25">
      <c r="B213" t="s">
        <v>25</v>
      </c>
      <c r="C213" s="1">
        <v>130.41666666666666</v>
      </c>
      <c r="D213" t="s">
        <v>26</v>
      </c>
      <c r="E213" t="s">
        <v>27</v>
      </c>
      <c r="F213" t="s">
        <v>28</v>
      </c>
      <c r="G213" t="s">
        <v>29</v>
      </c>
      <c r="H213">
        <v>7.0514999999999994E-2</v>
      </c>
      <c r="I213">
        <v>7.0982000000000003E-2</v>
      </c>
      <c r="K213" s="4">
        <f t="shared" si="3"/>
        <v>1.0066227043891371</v>
      </c>
      <c r="O213" s="1"/>
    </row>
    <row r="214" spans="2:15" x14ac:dyDescent="0.25">
      <c r="B214" t="s">
        <v>25</v>
      </c>
      <c r="C214" s="1">
        <v>131</v>
      </c>
      <c r="D214" t="s">
        <v>26</v>
      </c>
      <c r="E214" t="s">
        <v>27</v>
      </c>
      <c r="F214" t="s">
        <v>28</v>
      </c>
      <c r="G214" t="s">
        <v>29</v>
      </c>
      <c r="H214">
        <v>7.0834999999999995E-2</v>
      </c>
      <c r="I214">
        <v>7.2550000000000003E-2</v>
      </c>
      <c r="K214" s="4">
        <f t="shared" si="3"/>
        <v>1.0242111950307053</v>
      </c>
      <c r="O214" s="1"/>
    </row>
    <row r="215" spans="2:15" x14ac:dyDescent="0.25">
      <c r="B215" t="s">
        <v>25</v>
      </c>
      <c r="C215" s="1">
        <v>131.58333333333334</v>
      </c>
      <c r="D215" t="s">
        <v>26</v>
      </c>
      <c r="E215" t="s">
        <v>27</v>
      </c>
      <c r="F215" t="s">
        <v>28</v>
      </c>
      <c r="G215" t="s">
        <v>29</v>
      </c>
      <c r="H215">
        <v>7.1341000000000002E-2</v>
      </c>
      <c r="I215">
        <v>7.1718000000000004E-2</v>
      </c>
      <c r="K215" s="4">
        <f t="shared" si="3"/>
        <v>1.0052844787709732</v>
      </c>
      <c r="O215" s="1"/>
    </row>
    <row r="216" spans="2:15" x14ac:dyDescent="0.25">
      <c r="B216" t="s">
        <v>25</v>
      </c>
      <c r="C216" s="1">
        <v>132.16666666666666</v>
      </c>
      <c r="D216" t="s">
        <v>26</v>
      </c>
      <c r="E216" t="s">
        <v>27</v>
      </c>
      <c r="F216" t="s">
        <v>28</v>
      </c>
      <c r="G216" t="s">
        <v>29</v>
      </c>
      <c r="H216">
        <v>8.8345999999999994E-2</v>
      </c>
      <c r="I216">
        <v>8.8730000000000003E-2</v>
      </c>
      <c r="K216" s="4">
        <f t="shared" si="3"/>
        <v>1.0043465465329502</v>
      </c>
      <c r="O216" s="1"/>
    </row>
    <row r="217" spans="2:15" x14ac:dyDescent="0.25">
      <c r="B217" t="s">
        <v>25</v>
      </c>
      <c r="C217" s="1">
        <v>132.75</v>
      </c>
      <c r="D217" t="s">
        <v>26</v>
      </c>
      <c r="E217" t="s">
        <v>27</v>
      </c>
      <c r="F217" t="s">
        <v>28</v>
      </c>
      <c r="G217" t="s">
        <v>29</v>
      </c>
      <c r="H217">
        <v>0.12069100000000001</v>
      </c>
      <c r="I217">
        <v>0.121242</v>
      </c>
      <c r="K217" s="4">
        <f t="shared" si="3"/>
        <v>1.0045653777000769</v>
      </c>
      <c r="O217" s="1"/>
    </row>
    <row r="218" spans="2:15" x14ac:dyDescent="0.25">
      <c r="B218" t="s">
        <v>25</v>
      </c>
      <c r="C218" s="1">
        <v>133.33333333333334</v>
      </c>
      <c r="D218" t="s">
        <v>26</v>
      </c>
      <c r="E218" t="s">
        <v>27</v>
      </c>
      <c r="F218" t="s">
        <v>28</v>
      </c>
      <c r="G218" t="s">
        <v>29</v>
      </c>
      <c r="H218">
        <v>0.18484500000000001</v>
      </c>
      <c r="I218">
        <v>0.18559400000000001</v>
      </c>
      <c r="K218" s="4">
        <f t="shared" si="3"/>
        <v>1.0040520436041007</v>
      </c>
      <c r="O218" s="1"/>
    </row>
    <row r="219" spans="2:15" x14ac:dyDescent="0.25">
      <c r="B219" t="s">
        <v>25</v>
      </c>
      <c r="C219" s="1">
        <v>133.91666666666666</v>
      </c>
      <c r="D219" t="s">
        <v>26</v>
      </c>
      <c r="E219" t="s">
        <v>27</v>
      </c>
      <c r="F219" t="s">
        <v>28</v>
      </c>
      <c r="G219" t="s">
        <v>29</v>
      </c>
      <c r="H219">
        <v>0.30979200000000001</v>
      </c>
      <c r="I219">
        <v>0.31114199999999997</v>
      </c>
      <c r="K219" s="4">
        <f t="shared" si="3"/>
        <v>1.0043577626278275</v>
      </c>
      <c r="O219" s="1"/>
    </row>
    <row r="220" spans="2:15" x14ac:dyDescent="0.25">
      <c r="B220" t="s">
        <v>25</v>
      </c>
      <c r="C220" s="1">
        <v>134.5</v>
      </c>
      <c r="D220" t="s">
        <v>26</v>
      </c>
      <c r="E220" t="s">
        <v>27</v>
      </c>
      <c r="F220" t="s">
        <v>28</v>
      </c>
      <c r="G220" t="s">
        <v>29</v>
      </c>
      <c r="H220">
        <v>0.56068499999999999</v>
      </c>
      <c r="I220">
        <v>0.56396199999999996</v>
      </c>
      <c r="K220" s="4">
        <f t="shared" si="3"/>
        <v>1.0058446364714591</v>
      </c>
      <c r="O220" s="1"/>
    </row>
    <row r="221" spans="2:15" x14ac:dyDescent="0.25">
      <c r="B221" t="s">
        <v>25</v>
      </c>
      <c r="C221" s="1">
        <v>135.08333333333334</v>
      </c>
      <c r="D221" t="s">
        <v>26</v>
      </c>
      <c r="E221" t="s">
        <v>27</v>
      </c>
      <c r="F221" t="s">
        <v>28</v>
      </c>
      <c r="G221" t="s">
        <v>29</v>
      </c>
      <c r="H221">
        <v>8.0762E-2</v>
      </c>
      <c r="I221">
        <v>8.1178E-2</v>
      </c>
      <c r="K221" s="4">
        <f t="shared" si="3"/>
        <v>1.0051509373220078</v>
      </c>
      <c r="O221" s="1"/>
    </row>
    <row r="222" spans="2:15" x14ac:dyDescent="0.25">
      <c r="B222" t="s">
        <v>25</v>
      </c>
      <c r="C222" s="1">
        <v>135.66666666666666</v>
      </c>
      <c r="D222" t="s">
        <v>26</v>
      </c>
      <c r="E222" t="s">
        <v>27</v>
      </c>
      <c r="F222" t="s">
        <v>28</v>
      </c>
      <c r="G222" t="s">
        <v>29</v>
      </c>
      <c r="H222">
        <v>8.1446000000000005E-2</v>
      </c>
      <c r="I222">
        <v>8.2195000000000004E-2</v>
      </c>
      <c r="K222" s="4">
        <f t="shared" si="3"/>
        <v>1.009196277288019</v>
      </c>
      <c r="O222" s="1"/>
    </row>
    <row r="223" spans="2:15" x14ac:dyDescent="0.25">
      <c r="B223" t="s">
        <v>25</v>
      </c>
      <c r="C223" s="1">
        <v>136.25</v>
      </c>
      <c r="D223" t="s">
        <v>26</v>
      </c>
      <c r="E223" t="s">
        <v>27</v>
      </c>
      <c r="F223" t="s">
        <v>28</v>
      </c>
      <c r="G223" t="s">
        <v>29</v>
      </c>
      <c r="H223">
        <v>8.3930000000000005E-2</v>
      </c>
      <c r="I223">
        <v>8.4588999999999998E-2</v>
      </c>
      <c r="K223" s="4">
        <f t="shared" si="3"/>
        <v>1.0078517812462766</v>
      </c>
      <c r="O223" s="1"/>
    </row>
    <row r="224" spans="2:15" x14ac:dyDescent="0.25">
      <c r="B224" t="s">
        <v>25</v>
      </c>
      <c r="C224" s="1">
        <v>136.83333333333334</v>
      </c>
      <c r="D224" t="s">
        <v>26</v>
      </c>
      <c r="E224" t="s">
        <v>27</v>
      </c>
      <c r="F224" t="s">
        <v>28</v>
      </c>
      <c r="G224" t="s">
        <v>29</v>
      </c>
      <c r="H224">
        <v>8.4134E-2</v>
      </c>
      <c r="I224">
        <v>8.4921999999999997E-2</v>
      </c>
      <c r="K224" s="4">
        <f t="shared" si="3"/>
        <v>1.009366011362826</v>
      </c>
      <c r="O224" s="1"/>
    </row>
    <row r="225" spans="2:15" x14ac:dyDescent="0.25">
      <c r="B225" t="s">
        <v>25</v>
      </c>
      <c r="C225" s="1">
        <v>137.41666666666666</v>
      </c>
      <c r="D225" t="s">
        <v>26</v>
      </c>
      <c r="E225" t="s">
        <v>27</v>
      </c>
      <c r="F225" t="s">
        <v>28</v>
      </c>
      <c r="G225" t="s">
        <v>29</v>
      </c>
      <c r="H225">
        <v>8.4845000000000004E-2</v>
      </c>
      <c r="I225">
        <v>8.5253999999999996E-2</v>
      </c>
      <c r="K225" s="4">
        <f t="shared" si="3"/>
        <v>1.0048205551299427</v>
      </c>
      <c r="O225" s="1"/>
    </row>
    <row r="226" spans="2:15" x14ac:dyDescent="0.25">
      <c r="B226" t="s">
        <v>25</v>
      </c>
      <c r="C226" s="1">
        <v>138</v>
      </c>
      <c r="D226" t="s">
        <v>26</v>
      </c>
      <c r="E226" t="s">
        <v>27</v>
      </c>
      <c r="F226" t="s">
        <v>28</v>
      </c>
      <c r="G226" t="s">
        <v>29</v>
      </c>
      <c r="H226">
        <v>0.11376600000000001</v>
      </c>
      <c r="I226">
        <v>0.114195</v>
      </c>
      <c r="K226" s="4">
        <f t="shared" si="3"/>
        <v>1.0037708981593798</v>
      </c>
      <c r="O226" s="1"/>
    </row>
    <row r="227" spans="2:15" x14ac:dyDescent="0.25">
      <c r="B227" t="s">
        <v>25</v>
      </c>
      <c r="C227" s="1">
        <v>138.58333333333334</v>
      </c>
      <c r="D227" t="s">
        <v>26</v>
      </c>
      <c r="E227" t="s">
        <v>27</v>
      </c>
      <c r="F227" t="s">
        <v>28</v>
      </c>
      <c r="G227" t="s">
        <v>29</v>
      </c>
      <c r="H227">
        <v>0.17202600000000001</v>
      </c>
      <c r="I227">
        <v>0.17238999999999999</v>
      </c>
      <c r="K227" s="4">
        <f t="shared" si="3"/>
        <v>1.0021159592154674</v>
      </c>
      <c r="O227" s="1"/>
    </row>
    <row r="228" spans="2:15" x14ac:dyDescent="0.25">
      <c r="B228" t="s">
        <v>25</v>
      </c>
      <c r="C228" s="1">
        <v>139.16666666666666</v>
      </c>
      <c r="D228" t="s">
        <v>26</v>
      </c>
      <c r="E228" t="s">
        <v>27</v>
      </c>
      <c r="F228" t="s">
        <v>28</v>
      </c>
      <c r="G228" t="s">
        <v>29</v>
      </c>
      <c r="H228">
        <v>0.286381</v>
      </c>
      <c r="I228">
        <v>0.28683500000000001</v>
      </c>
      <c r="K228" s="4">
        <f t="shared" si="3"/>
        <v>1.0015853007008146</v>
      </c>
      <c r="O228" s="1"/>
    </row>
    <row r="229" spans="2:15" x14ac:dyDescent="0.25">
      <c r="B229" t="s">
        <v>25</v>
      </c>
      <c r="C229" s="1">
        <v>139.75</v>
      </c>
      <c r="D229" t="s">
        <v>26</v>
      </c>
      <c r="E229" t="s">
        <v>27</v>
      </c>
      <c r="F229" t="s">
        <v>28</v>
      </c>
      <c r="G229" t="s">
        <v>29</v>
      </c>
      <c r="H229">
        <v>0.511405</v>
      </c>
      <c r="I229">
        <v>0.51310100000000003</v>
      </c>
      <c r="K229" s="4">
        <f t="shared" si="3"/>
        <v>1.0033163539660348</v>
      </c>
      <c r="O229" s="1"/>
    </row>
    <row r="230" spans="2:15" x14ac:dyDescent="0.25">
      <c r="B230" t="s">
        <v>25</v>
      </c>
      <c r="C230" s="1">
        <v>140.33333333333334</v>
      </c>
      <c r="D230" t="s">
        <v>26</v>
      </c>
      <c r="E230" t="s">
        <v>27</v>
      </c>
      <c r="F230" t="s">
        <v>28</v>
      </c>
      <c r="G230" t="s">
        <v>29</v>
      </c>
      <c r="H230">
        <v>0.95843199999999995</v>
      </c>
      <c r="I230">
        <v>0.96133100000000005</v>
      </c>
      <c r="K230" s="4">
        <f t="shared" si="3"/>
        <v>1.0030247320623686</v>
      </c>
      <c r="O230" s="1"/>
    </row>
    <row r="231" spans="2:15" x14ac:dyDescent="0.25">
      <c r="B231" t="s">
        <v>25</v>
      </c>
      <c r="C231" s="1">
        <v>140.91666666666666</v>
      </c>
      <c r="D231" t="s">
        <v>26</v>
      </c>
      <c r="E231" t="s">
        <v>27</v>
      </c>
      <c r="F231" t="s">
        <v>28</v>
      </c>
      <c r="G231" t="s">
        <v>29</v>
      </c>
      <c r="H231">
        <v>0.100838</v>
      </c>
      <c r="I231">
        <v>0.101466</v>
      </c>
      <c r="K231" s="4">
        <f t="shared" si="3"/>
        <v>1.0062278109442868</v>
      </c>
      <c r="O231" s="1"/>
    </row>
    <row r="232" spans="2:15" x14ac:dyDescent="0.25">
      <c r="B232" t="s">
        <v>25</v>
      </c>
      <c r="C232" s="1">
        <v>141.5</v>
      </c>
      <c r="D232" t="s">
        <v>26</v>
      </c>
      <c r="E232" t="s">
        <v>27</v>
      </c>
      <c r="F232" t="s">
        <v>28</v>
      </c>
      <c r="G232" t="s">
        <v>29</v>
      </c>
      <c r="H232">
        <v>0.101702</v>
      </c>
      <c r="I232">
        <v>0.10217</v>
      </c>
      <c r="K232" s="4">
        <f t="shared" si="3"/>
        <v>1.0046016794163339</v>
      </c>
      <c r="O232" s="1"/>
    </row>
    <row r="233" spans="2:15" x14ac:dyDescent="0.25">
      <c r="B233" t="s">
        <v>25</v>
      </c>
      <c r="C233" s="1">
        <v>142.08333333333334</v>
      </c>
      <c r="D233" t="s">
        <v>26</v>
      </c>
      <c r="E233" t="s">
        <v>27</v>
      </c>
      <c r="F233" t="s">
        <v>28</v>
      </c>
      <c r="G233" t="s">
        <v>29</v>
      </c>
      <c r="H233">
        <v>0.104032</v>
      </c>
      <c r="I233">
        <v>0.10442899999999999</v>
      </c>
      <c r="K233" s="4">
        <f t="shared" si="3"/>
        <v>1.0038161334973854</v>
      </c>
      <c r="O233" s="1"/>
    </row>
    <row r="234" spans="2:15" x14ac:dyDescent="0.25">
      <c r="B234" t="s">
        <v>25</v>
      </c>
      <c r="C234" s="1">
        <v>142.66666666666666</v>
      </c>
      <c r="D234" t="s">
        <v>26</v>
      </c>
      <c r="E234" t="s">
        <v>27</v>
      </c>
      <c r="F234" t="s">
        <v>28</v>
      </c>
      <c r="G234" t="s">
        <v>29</v>
      </c>
      <c r="H234">
        <v>0.103904</v>
      </c>
      <c r="I234">
        <v>0.104474</v>
      </c>
      <c r="K234" s="4">
        <f t="shared" si="3"/>
        <v>1.0054858330766863</v>
      </c>
      <c r="O234" s="1"/>
    </row>
    <row r="235" spans="2:15" x14ac:dyDescent="0.25">
      <c r="B235" t="s">
        <v>25</v>
      </c>
      <c r="C235" s="1">
        <v>143.25</v>
      </c>
      <c r="D235" t="s">
        <v>26</v>
      </c>
      <c r="E235" t="s">
        <v>27</v>
      </c>
      <c r="F235" t="s">
        <v>28</v>
      </c>
      <c r="G235" t="s">
        <v>29</v>
      </c>
      <c r="H235">
        <v>0.104602</v>
      </c>
      <c r="I235">
        <v>0.104934</v>
      </c>
      <c r="K235" s="4">
        <f t="shared" si="3"/>
        <v>1.0031739354888052</v>
      </c>
      <c r="O235" s="1"/>
    </row>
    <row r="236" spans="2:15" x14ac:dyDescent="0.25">
      <c r="B236" t="s">
        <v>25</v>
      </c>
      <c r="C236" s="1">
        <v>143.83333333333334</v>
      </c>
      <c r="D236" t="s">
        <v>26</v>
      </c>
      <c r="E236" t="s">
        <v>27</v>
      </c>
      <c r="F236" t="s">
        <v>28</v>
      </c>
      <c r="G236" t="s">
        <v>29</v>
      </c>
      <c r="H236">
        <v>0.15367</v>
      </c>
      <c r="I236">
        <v>0.15392600000000001</v>
      </c>
      <c r="K236" s="4">
        <f t="shared" si="3"/>
        <v>1.0016659074640464</v>
      </c>
      <c r="O236" s="1"/>
    </row>
    <row r="237" spans="2:15" x14ac:dyDescent="0.25">
      <c r="B237" t="s">
        <v>25</v>
      </c>
      <c r="C237" s="1">
        <v>144.41666666666666</v>
      </c>
      <c r="D237" t="s">
        <v>26</v>
      </c>
      <c r="E237" t="s">
        <v>27</v>
      </c>
      <c r="F237" t="s">
        <v>28</v>
      </c>
      <c r="G237" t="s">
        <v>29</v>
      </c>
      <c r="H237">
        <v>0.25018899999999999</v>
      </c>
      <c r="I237">
        <v>0.25072</v>
      </c>
      <c r="K237" s="4">
        <f t="shared" si="3"/>
        <v>1.0021223954690255</v>
      </c>
      <c r="O237" s="1"/>
    </row>
    <row r="238" spans="2:15" x14ac:dyDescent="0.25">
      <c r="B238" t="s">
        <v>25</v>
      </c>
      <c r="C238" s="1">
        <v>145</v>
      </c>
      <c r="D238" t="s">
        <v>26</v>
      </c>
      <c r="E238" t="s">
        <v>27</v>
      </c>
      <c r="F238" t="s">
        <v>28</v>
      </c>
      <c r="G238" t="s">
        <v>29</v>
      </c>
      <c r="H238">
        <v>0.44870399999999999</v>
      </c>
      <c r="I238">
        <v>0.44924799999999998</v>
      </c>
      <c r="K238" s="4">
        <f t="shared" si="3"/>
        <v>1.0012123805448581</v>
      </c>
      <c r="O238" s="1"/>
    </row>
    <row r="239" spans="2:15" x14ac:dyDescent="0.25">
      <c r="B239" t="s">
        <v>25</v>
      </c>
      <c r="C239" s="1">
        <v>145.58333333333334</v>
      </c>
      <c r="D239" t="s">
        <v>26</v>
      </c>
      <c r="E239" t="s">
        <v>27</v>
      </c>
      <c r="F239" t="s">
        <v>28</v>
      </c>
      <c r="G239" t="s">
        <v>29</v>
      </c>
      <c r="H239">
        <v>0.83983399999999997</v>
      </c>
      <c r="I239">
        <v>0.84051900000000002</v>
      </c>
      <c r="K239" s="4">
        <f t="shared" si="3"/>
        <v>1.0008156373759576</v>
      </c>
      <c r="O239" s="1"/>
    </row>
    <row r="240" spans="2:15" x14ac:dyDescent="0.25">
      <c r="B240" t="s">
        <v>25</v>
      </c>
      <c r="C240" s="1">
        <v>146.16666666666666</v>
      </c>
      <c r="D240" t="s">
        <v>26</v>
      </c>
      <c r="E240" t="s">
        <v>27</v>
      </c>
      <c r="F240" t="s">
        <v>28</v>
      </c>
      <c r="G240" t="s">
        <v>29</v>
      </c>
      <c r="H240">
        <v>1.6188739999999999</v>
      </c>
      <c r="I240">
        <v>1.621478</v>
      </c>
      <c r="K240" s="4">
        <f t="shared" si="3"/>
        <v>1.0016085254318743</v>
      </c>
      <c r="O240" s="1"/>
    </row>
    <row r="241" spans="2:15" x14ac:dyDescent="0.25">
      <c r="B241" t="s">
        <v>25</v>
      </c>
      <c r="C241" s="1">
        <v>146.75</v>
      </c>
      <c r="D241" t="s">
        <v>26</v>
      </c>
      <c r="E241" t="s">
        <v>27</v>
      </c>
      <c r="F241" t="s">
        <v>28</v>
      </c>
      <c r="G241" t="s">
        <v>29</v>
      </c>
      <c r="H241">
        <v>0.14041000000000001</v>
      </c>
      <c r="I241">
        <v>0.14094699999999999</v>
      </c>
      <c r="K241" s="4">
        <f t="shared" si="3"/>
        <v>1.0038245139235096</v>
      </c>
      <c r="O241" s="1"/>
    </row>
    <row r="242" spans="2:15" x14ac:dyDescent="0.25">
      <c r="B242" t="s">
        <v>25</v>
      </c>
      <c r="C242" s="1">
        <v>147.33333333333334</v>
      </c>
      <c r="D242" t="s">
        <v>26</v>
      </c>
      <c r="E242" t="s">
        <v>27</v>
      </c>
      <c r="F242" t="s">
        <v>28</v>
      </c>
      <c r="G242" t="s">
        <v>29</v>
      </c>
      <c r="H242">
        <v>0.141069</v>
      </c>
      <c r="I242">
        <v>0.14131199999999999</v>
      </c>
      <c r="K242" s="4">
        <f t="shared" si="3"/>
        <v>1.0017225612997893</v>
      </c>
      <c r="O242" s="1"/>
    </row>
    <row r="243" spans="2:15" x14ac:dyDescent="0.25">
      <c r="B243" t="s">
        <v>25</v>
      </c>
      <c r="C243" s="1">
        <v>147.91666666666666</v>
      </c>
      <c r="D243" t="s">
        <v>26</v>
      </c>
      <c r="E243" t="s">
        <v>27</v>
      </c>
      <c r="F243" t="s">
        <v>28</v>
      </c>
      <c r="G243" t="s">
        <v>29</v>
      </c>
      <c r="H243">
        <v>0.14302699999999999</v>
      </c>
      <c r="I243">
        <v>0.14343</v>
      </c>
      <c r="K243" s="4">
        <f t="shared" si="3"/>
        <v>1.0028176498143708</v>
      </c>
      <c r="O243" s="1"/>
    </row>
    <row r="244" spans="2:15" x14ac:dyDescent="0.25">
      <c r="B244" t="s">
        <v>25</v>
      </c>
      <c r="C244" s="1">
        <v>148.5</v>
      </c>
      <c r="D244" t="s">
        <v>26</v>
      </c>
      <c r="E244" t="s">
        <v>27</v>
      </c>
      <c r="F244" t="s">
        <v>28</v>
      </c>
      <c r="G244" t="s">
        <v>29</v>
      </c>
      <c r="H244">
        <v>0.143789</v>
      </c>
      <c r="I244">
        <v>0.144147</v>
      </c>
      <c r="K244" s="4">
        <f t="shared" si="3"/>
        <v>1.0024897593000854</v>
      </c>
      <c r="O244" s="1"/>
    </row>
    <row r="245" spans="2:15" x14ac:dyDescent="0.25">
      <c r="B245" t="s">
        <v>25</v>
      </c>
      <c r="C245" s="1">
        <v>149.08333333333334</v>
      </c>
      <c r="D245" t="s">
        <v>26</v>
      </c>
      <c r="E245" t="s">
        <v>27</v>
      </c>
      <c r="F245" t="s">
        <v>28</v>
      </c>
      <c r="G245" t="s">
        <v>29</v>
      </c>
      <c r="H245">
        <v>0.14382700000000001</v>
      </c>
      <c r="I245">
        <v>0.14416000000000001</v>
      </c>
      <c r="K245" s="4">
        <f t="shared" si="3"/>
        <v>1.002315281553533</v>
      </c>
      <c r="O245" s="1"/>
    </row>
    <row r="246" spans="2:15" x14ac:dyDescent="0.25">
      <c r="B246" t="s">
        <v>25</v>
      </c>
      <c r="C246" s="1">
        <v>149.66666666666666</v>
      </c>
      <c r="D246" t="s">
        <v>26</v>
      </c>
      <c r="E246" t="s">
        <v>27</v>
      </c>
      <c r="F246" t="s">
        <v>28</v>
      </c>
      <c r="G246" t="s">
        <v>29</v>
      </c>
      <c r="H246">
        <v>0.23139799999999999</v>
      </c>
      <c r="I246">
        <v>0.232269</v>
      </c>
      <c r="K246" s="4">
        <f t="shared" si="3"/>
        <v>1.0037640774769012</v>
      </c>
      <c r="O246" s="1"/>
    </row>
    <row r="247" spans="2:15" x14ac:dyDescent="0.25">
      <c r="B247" t="s">
        <v>25</v>
      </c>
      <c r="C247" s="1">
        <v>150.25</v>
      </c>
      <c r="D247" t="s">
        <v>26</v>
      </c>
      <c r="E247" t="s">
        <v>27</v>
      </c>
      <c r="F247" t="s">
        <v>28</v>
      </c>
      <c r="G247" t="s">
        <v>29</v>
      </c>
      <c r="H247">
        <v>0.40821099999999999</v>
      </c>
      <c r="I247">
        <v>0.40856999999999999</v>
      </c>
      <c r="K247" s="4">
        <f t="shared" si="3"/>
        <v>1.000879447148656</v>
      </c>
      <c r="O247" s="1"/>
    </row>
    <row r="248" spans="2:15" x14ac:dyDescent="0.25">
      <c r="B248" t="s">
        <v>25</v>
      </c>
      <c r="C248" s="1">
        <v>150.83333333333334</v>
      </c>
      <c r="D248" t="s">
        <v>26</v>
      </c>
      <c r="E248" t="s">
        <v>27</v>
      </c>
      <c r="F248" t="s">
        <v>28</v>
      </c>
      <c r="G248" t="s">
        <v>29</v>
      </c>
      <c r="H248">
        <v>0.75998699999999997</v>
      </c>
      <c r="I248">
        <v>0.76055099999999998</v>
      </c>
      <c r="K248" s="4">
        <f t="shared" si="3"/>
        <v>1.0007421179572809</v>
      </c>
      <c r="O248" s="1"/>
    </row>
    <row r="249" spans="2:15" x14ac:dyDescent="0.25">
      <c r="B249" t="s">
        <v>25</v>
      </c>
      <c r="C249" s="1">
        <v>151.41666666666666</v>
      </c>
      <c r="D249" t="s">
        <v>26</v>
      </c>
      <c r="E249" t="s">
        <v>27</v>
      </c>
      <c r="F249" t="s">
        <v>28</v>
      </c>
      <c r="G249" t="s">
        <v>29</v>
      </c>
      <c r="H249">
        <v>1.4640390000000001</v>
      </c>
      <c r="I249">
        <v>1.4661310000000001</v>
      </c>
      <c r="K249" s="4">
        <f t="shared" si="3"/>
        <v>1.001428923683044</v>
      </c>
      <c r="O249" s="1"/>
    </row>
    <row r="250" spans="2:15" x14ac:dyDescent="0.25">
      <c r="B250" t="s">
        <v>25</v>
      </c>
      <c r="C250" s="1">
        <v>152</v>
      </c>
      <c r="D250" t="s">
        <v>26</v>
      </c>
      <c r="E250" t="s">
        <v>27</v>
      </c>
      <c r="F250" t="s">
        <v>28</v>
      </c>
      <c r="G250" t="s">
        <v>29</v>
      </c>
      <c r="H250">
        <v>2.871013</v>
      </c>
      <c r="I250">
        <v>2.8728189999999998</v>
      </c>
      <c r="K250" s="4">
        <f t="shared" si="3"/>
        <v>1.0006290462634617</v>
      </c>
      <c r="O250" s="1"/>
    </row>
    <row r="251" spans="2:15" x14ac:dyDescent="0.25">
      <c r="B251" t="s">
        <v>25</v>
      </c>
      <c r="C251" s="1">
        <v>152.58333333333334</v>
      </c>
      <c r="D251" t="s">
        <v>26</v>
      </c>
      <c r="E251" t="s">
        <v>27</v>
      </c>
      <c r="F251" t="s">
        <v>28</v>
      </c>
      <c r="G251" t="s">
        <v>29</v>
      </c>
      <c r="H251">
        <v>0.21990999999999999</v>
      </c>
      <c r="I251">
        <v>0.220416</v>
      </c>
      <c r="K251" s="4">
        <f t="shared" si="3"/>
        <v>1.0023009412941659</v>
      </c>
      <c r="O251" s="1"/>
    </row>
    <row r="252" spans="2:15" x14ac:dyDescent="0.25">
      <c r="B252" t="s">
        <v>25</v>
      </c>
      <c r="C252" s="1">
        <v>153.16666666666666</v>
      </c>
      <c r="D252" t="s">
        <v>26</v>
      </c>
      <c r="E252" t="s">
        <v>27</v>
      </c>
      <c r="F252" t="s">
        <v>28</v>
      </c>
      <c r="G252" t="s">
        <v>29</v>
      </c>
      <c r="H252">
        <v>0.21939800000000001</v>
      </c>
      <c r="I252">
        <v>0.21985299999999999</v>
      </c>
      <c r="K252" s="4">
        <f t="shared" si="3"/>
        <v>1.0020738566440897</v>
      </c>
      <c r="O252" s="1"/>
    </row>
    <row r="253" spans="2:15" x14ac:dyDescent="0.25">
      <c r="B253" t="s">
        <v>25</v>
      </c>
      <c r="C253" s="1">
        <v>153.75</v>
      </c>
      <c r="D253" t="s">
        <v>26</v>
      </c>
      <c r="E253" t="s">
        <v>27</v>
      </c>
      <c r="F253" t="s">
        <v>28</v>
      </c>
      <c r="G253" t="s">
        <v>29</v>
      </c>
      <c r="H253">
        <v>0.22017900000000001</v>
      </c>
      <c r="I253">
        <v>0.22067800000000001</v>
      </c>
      <c r="K253" s="4">
        <f t="shared" si="3"/>
        <v>1.0022663378433003</v>
      </c>
      <c r="O253" s="1"/>
    </row>
    <row r="254" spans="2:15" x14ac:dyDescent="0.25">
      <c r="B254" t="s">
        <v>25</v>
      </c>
      <c r="C254" s="1">
        <v>154.33333333333334</v>
      </c>
      <c r="D254" t="s">
        <v>26</v>
      </c>
      <c r="E254" t="s">
        <v>27</v>
      </c>
      <c r="F254" t="s">
        <v>28</v>
      </c>
      <c r="G254" t="s">
        <v>29</v>
      </c>
      <c r="H254">
        <v>0.22109400000000001</v>
      </c>
      <c r="I254">
        <v>0.221549</v>
      </c>
      <c r="K254" s="4">
        <f t="shared" si="3"/>
        <v>1.0020579482030267</v>
      </c>
      <c r="O254" s="1"/>
    </row>
    <row r="255" spans="2:15" x14ac:dyDescent="0.25">
      <c r="B255" t="s">
        <v>25</v>
      </c>
      <c r="C255" s="1">
        <v>154.91666666666666</v>
      </c>
      <c r="D255" t="s">
        <v>26</v>
      </c>
      <c r="E255" t="s">
        <v>27</v>
      </c>
      <c r="F255" t="s">
        <v>28</v>
      </c>
      <c r="G255" t="s">
        <v>29</v>
      </c>
      <c r="H255">
        <v>0.222112</v>
      </c>
      <c r="I255">
        <v>0.222272</v>
      </c>
      <c r="K255" s="4">
        <f t="shared" si="3"/>
        <v>1.0007203572972194</v>
      </c>
      <c r="O255" s="1"/>
    </row>
    <row r="256" spans="2:15" x14ac:dyDescent="0.25">
      <c r="B256" t="s">
        <v>25</v>
      </c>
      <c r="C256" s="1">
        <v>155.5</v>
      </c>
      <c r="D256" t="s">
        <v>26</v>
      </c>
      <c r="E256" t="s">
        <v>27</v>
      </c>
      <c r="F256" t="s">
        <v>28</v>
      </c>
      <c r="G256" t="s">
        <v>29</v>
      </c>
      <c r="H256">
        <v>0.38903700000000002</v>
      </c>
      <c r="I256">
        <v>0.38946500000000001</v>
      </c>
      <c r="K256" s="4">
        <f t="shared" si="3"/>
        <v>1.001100152427661</v>
      </c>
      <c r="O256" s="1"/>
    </row>
    <row r="257" spans="2:15" x14ac:dyDescent="0.25">
      <c r="B257" t="s">
        <v>25</v>
      </c>
      <c r="C257" s="1">
        <v>156.08333333333334</v>
      </c>
      <c r="D257" t="s">
        <v>26</v>
      </c>
      <c r="E257" t="s">
        <v>27</v>
      </c>
      <c r="F257" t="s">
        <v>28</v>
      </c>
      <c r="G257" t="s">
        <v>29</v>
      </c>
      <c r="H257">
        <v>0.72511400000000004</v>
      </c>
      <c r="I257">
        <v>0.72187500000000004</v>
      </c>
      <c r="K257" s="4">
        <f t="shared" si="3"/>
        <v>0.99553311617207774</v>
      </c>
      <c r="O257" s="1"/>
    </row>
    <row r="258" spans="2:15" x14ac:dyDescent="0.25">
      <c r="B258" t="s">
        <v>25</v>
      </c>
      <c r="C258" s="1">
        <v>156.66666666666666</v>
      </c>
      <c r="D258" t="s">
        <v>26</v>
      </c>
      <c r="E258" t="s">
        <v>27</v>
      </c>
      <c r="F258" t="s">
        <v>28</v>
      </c>
      <c r="G258" t="s">
        <v>29</v>
      </c>
      <c r="H258">
        <v>1.3807419999999999</v>
      </c>
      <c r="I258">
        <v>1.418841</v>
      </c>
      <c r="K258" s="4">
        <f t="shared" ref="K258:K321" si="4">I258/H258</f>
        <v>1.0275931347058322</v>
      </c>
      <c r="O258" s="1"/>
    </row>
    <row r="259" spans="2:15" x14ac:dyDescent="0.25">
      <c r="B259" t="s">
        <v>25</v>
      </c>
      <c r="C259" s="1">
        <v>157.25</v>
      </c>
      <c r="D259" t="s">
        <v>26</v>
      </c>
      <c r="E259" t="s">
        <v>27</v>
      </c>
      <c r="F259" t="s">
        <v>28</v>
      </c>
      <c r="G259" t="s">
        <v>29</v>
      </c>
      <c r="H259">
        <v>2.7041659999999998</v>
      </c>
      <c r="I259">
        <v>2.7045370000000002</v>
      </c>
      <c r="K259" s="4">
        <f t="shared" si="4"/>
        <v>1.0001371957194938</v>
      </c>
      <c r="O259" s="1"/>
    </row>
    <row r="260" spans="2:15" x14ac:dyDescent="0.25">
      <c r="B260" t="s">
        <v>25</v>
      </c>
      <c r="C260" s="1">
        <v>157.83333333333334</v>
      </c>
      <c r="D260" t="s">
        <v>26</v>
      </c>
      <c r="E260" t="s">
        <v>27</v>
      </c>
      <c r="F260" t="s">
        <v>28</v>
      </c>
      <c r="G260" t="s">
        <v>29</v>
      </c>
      <c r="H260">
        <v>5.3487099999999996</v>
      </c>
      <c r="I260">
        <v>5.3505799999999999</v>
      </c>
      <c r="K260" s="4">
        <f t="shared" si="4"/>
        <v>1.0003496170104569</v>
      </c>
      <c r="O260" s="1"/>
    </row>
    <row r="261" spans="2:15" x14ac:dyDescent="0.25">
      <c r="B261" t="s">
        <v>25</v>
      </c>
      <c r="C261" s="1">
        <v>158.41666666666666</v>
      </c>
      <c r="D261" t="s">
        <v>26</v>
      </c>
      <c r="E261" t="s">
        <v>27</v>
      </c>
      <c r="F261" t="s">
        <v>28</v>
      </c>
      <c r="G261" t="s">
        <v>29</v>
      </c>
      <c r="H261">
        <v>0.381133</v>
      </c>
      <c r="I261">
        <v>0.37966699999999998</v>
      </c>
      <c r="K261" s="4">
        <f t="shared" si="4"/>
        <v>0.99615357368687563</v>
      </c>
      <c r="O261" s="1"/>
    </row>
    <row r="262" spans="2:15" x14ac:dyDescent="0.25">
      <c r="B262" t="s">
        <v>25</v>
      </c>
      <c r="C262" s="1">
        <v>159</v>
      </c>
      <c r="D262" t="s">
        <v>26</v>
      </c>
      <c r="E262" t="s">
        <v>27</v>
      </c>
      <c r="F262" t="s">
        <v>28</v>
      </c>
      <c r="G262" t="s">
        <v>29</v>
      </c>
      <c r="H262">
        <v>0.37896299999999999</v>
      </c>
      <c r="I262">
        <v>0.37944299999999997</v>
      </c>
      <c r="K262" s="4">
        <f t="shared" si="4"/>
        <v>1.0012666144188218</v>
      </c>
      <c r="O262" s="1"/>
    </row>
    <row r="263" spans="2:15" x14ac:dyDescent="0.25">
      <c r="B263" t="s">
        <v>25</v>
      </c>
      <c r="C263" s="1">
        <v>159.58333333333334</v>
      </c>
      <c r="D263" t="s">
        <v>26</v>
      </c>
      <c r="E263" t="s">
        <v>27</v>
      </c>
      <c r="F263" t="s">
        <v>28</v>
      </c>
      <c r="G263" t="s">
        <v>29</v>
      </c>
      <c r="H263">
        <v>0.376915</v>
      </c>
      <c r="I263">
        <v>0.37853399999999998</v>
      </c>
      <c r="K263" s="4">
        <f t="shared" si="4"/>
        <v>1.0042953981666953</v>
      </c>
      <c r="O263" s="1"/>
    </row>
    <row r="264" spans="2:15" x14ac:dyDescent="0.25">
      <c r="B264" t="s">
        <v>25</v>
      </c>
      <c r="C264" s="1">
        <v>160.16666666666666</v>
      </c>
      <c r="D264" t="s">
        <v>26</v>
      </c>
      <c r="E264" t="s">
        <v>27</v>
      </c>
      <c r="F264" t="s">
        <v>28</v>
      </c>
      <c r="G264" t="s">
        <v>29</v>
      </c>
      <c r="H264">
        <v>0.37919399999999998</v>
      </c>
      <c r="I264">
        <v>0.37895699999999999</v>
      </c>
      <c r="K264" s="4">
        <f t="shared" si="4"/>
        <v>0.99937499011060305</v>
      </c>
      <c r="O264" s="1"/>
    </row>
    <row r="265" spans="2:15" x14ac:dyDescent="0.25">
      <c r="B265" t="s">
        <v>25</v>
      </c>
      <c r="C265" s="1">
        <v>160.75</v>
      </c>
      <c r="D265" t="s">
        <v>26</v>
      </c>
      <c r="E265" t="s">
        <v>27</v>
      </c>
      <c r="F265" t="s">
        <v>28</v>
      </c>
      <c r="G265" t="s">
        <v>29</v>
      </c>
      <c r="H265">
        <v>0.37948199999999999</v>
      </c>
      <c r="I265">
        <v>0.37961600000000001</v>
      </c>
      <c r="K265" s="4">
        <f t="shared" si="4"/>
        <v>1.0003531129276224</v>
      </c>
      <c r="O265" s="1"/>
    </row>
    <row r="266" spans="2:15" x14ac:dyDescent="0.25">
      <c r="B266" t="s">
        <v>25</v>
      </c>
      <c r="C266" s="1">
        <v>161.33333333333334</v>
      </c>
      <c r="D266" t="s">
        <v>26</v>
      </c>
      <c r="E266" t="s">
        <v>27</v>
      </c>
      <c r="F266" t="s">
        <v>28</v>
      </c>
      <c r="G266" t="s">
        <v>29</v>
      </c>
      <c r="H266">
        <v>0.70440999999999998</v>
      </c>
      <c r="I266">
        <v>0.70392999999999994</v>
      </c>
      <c r="K266" s="4">
        <f t="shared" si="4"/>
        <v>0.99931857866867302</v>
      </c>
      <c r="O266" s="1"/>
    </row>
    <row r="267" spans="2:15" x14ac:dyDescent="0.25">
      <c r="B267" t="s">
        <v>25</v>
      </c>
      <c r="C267" s="1">
        <v>161.91666666666666</v>
      </c>
      <c r="D267" t="s">
        <v>26</v>
      </c>
      <c r="E267" t="s">
        <v>27</v>
      </c>
      <c r="F267" t="s">
        <v>28</v>
      </c>
      <c r="G267" t="s">
        <v>29</v>
      </c>
      <c r="H267">
        <v>1.346266</v>
      </c>
      <c r="I267">
        <v>1.3477699999999999</v>
      </c>
      <c r="K267" s="4">
        <f t="shared" si="4"/>
        <v>1.0011171640671308</v>
      </c>
      <c r="O267" s="1"/>
    </row>
    <row r="268" spans="2:15" x14ac:dyDescent="0.25">
      <c r="B268" t="s">
        <v>25</v>
      </c>
      <c r="C268" s="1">
        <v>162.5</v>
      </c>
      <c r="D268" t="s">
        <v>26</v>
      </c>
      <c r="E268" t="s">
        <v>27</v>
      </c>
      <c r="F268" t="s">
        <v>28</v>
      </c>
      <c r="G268" t="s">
        <v>29</v>
      </c>
      <c r="H268">
        <v>2.6342089999999998</v>
      </c>
      <c r="I268">
        <v>2.635008</v>
      </c>
      <c r="K268" s="4">
        <f t="shared" si="4"/>
        <v>1.0003033168590647</v>
      </c>
      <c r="O268" s="1"/>
    </row>
    <row r="269" spans="2:15" x14ac:dyDescent="0.25">
      <c r="B269" t="s">
        <v>25</v>
      </c>
      <c r="C269" s="1">
        <v>163.08333333333334</v>
      </c>
      <c r="D269" t="s">
        <v>26</v>
      </c>
      <c r="E269" t="s">
        <v>27</v>
      </c>
      <c r="F269" t="s">
        <v>28</v>
      </c>
      <c r="G269" t="s">
        <v>29</v>
      </c>
      <c r="H269">
        <v>5.211481</v>
      </c>
      <c r="I269">
        <v>5.2128829999999997</v>
      </c>
      <c r="K269" s="4">
        <f t="shared" si="4"/>
        <v>1.000269021416369</v>
      </c>
      <c r="O269" s="1"/>
    </row>
    <row r="270" spans="2:15" x14ac:dyDescent="0.25">
      <c r="B270" t="s">
        <v>25</v>
      </c>
      <c r="C270" s="1">
        <v>163.66666666666666</v>
      </c>
      <c r="D270" t="s">
        <v>26</v>
      </c>
      <c r="E270" t="s">
        <v>27</v>
      </c>
      <c r="F270" t="s">
        <v>28</v>
      </c>
      <c r="G270" t="s">
        <v>29</v>
      </c>
      <c r="H270">
        <v>10.365862999999999</v>
      </c>
      <c r="I270">
        <v>10.366072000000001</v>
      </c>
      <c r="K270" s="4">
        <f t="shared" si="4"/>
        <v>1.0000201623347715</v>
      </c>
      <c r="O270" s="1"/>
    </row>
    <row r="271" spans="2:15" x14ac:dyDescent="0.25">
      <c r="B271" t="s">
        <v>25</v>
      </c>
      <c r="C271" s="1">
        <v>164.25</v>
      </c>
      <c r="D271" t="s">
        <v>26</v>
      </c>
      <c r="E271" t="s">
        <v>27</v>
      </c>
      <c r="F271" t="s">
        <v>28</v>
      </c>
      <c r="G271" t="s">
        <v>29</v>
      </c>
      <c r="H271">
        <v>6.0748999999999997E-2</v>
      </c>
      <c r="I271">
        <v>6.1241999999999998E-2</v>
      </c>
      <c r="K271" s="4">
        <f t="shared" si="4"/>
        <v>1.0081153599236201</v>
      </c>
      <c r="O271" s="1"/>
    </row>
    <row r="272" spans="2:15" x14ac:dyDescent="0.25">
      <c r="B272" t="s">
        <v>25</v>
      </c>
      <c r="C272" s="1">
        <v>164.83333333333334</v>
      </c>
      <c r="D272" t="s">
        <v>26</v>
      </c>
      <c r="E272" t="s">
        <v>27</v>
      </c>
      <c r="F272" t="s">
        <v>28</v>
      </c>
      <c r="G272" t="s">
        <v>29</v>
      </c>
      <c r="H272">
        <v>6.1234999999999998E-2</v>
      </c>
      <c r="I272">
        <v>6.1497999999999997E-2</v>
      </c>
      <c r="K272" s="4">
        <f t="shared" si="4"/>
        <v>1.0042949293704582</v>
      </c>
      <c r="O272" s="1"/>
    </row>
    <row r="273" spans="2:15" x14ac:dyDescent="0.25">
      <c r="B273" t="s">
        <v>25</v>
      </c>
      <c r="C273" s="1">
        <v>165.41666666666666</v>
      </c>
      <c r="D273" t="s">
        <v>26</v>
      </c>
      <c r="E273" t="s">
        <v>27</v>
      </c>
      <c r="F273" t="s">
        <v>28</v>
      </c>
      <c r="G273" t="s">
        <v>29</v>
      </c>
      <c r="H273">
        <v>6.1210000000000001E-2</v>
      </c>
      <c r="I273">
        <v>6.1696000000000001E-2</v>
      </c>
      <c r="K273" s="4">
        <f t="shared" si="4"/>
        <v>1.0079398791047214</v>
      </c>
      <c r="O273" s="1"/>
    </row>
    <row r="274" spans="2:15" x14ac:dyDescent="0.25">
      <c r="B274" t="s">
        <v>25</v>
      </c>
      <c r="C274" s="1">
        <v>166</v>
      </c>
      <c r="D274" t="s">
        <v>26</v>
      </c>
      <c r="E274" t="s">
        <v>27</v>
      </c>
      <c r="F274" t="s">
        <v>28</v>
      </c>
      <c r="G274" t="s">
        <v>29</v>
      </c>
      <c r="H274">
        <v>6.1530000000000001E-2</v>
      </c>
      <c r="I274">
        <v>6.2010000000000003E-2</v>
      </c>
      <c r="K274" s="4">
        <f t="shared" si="4"/>
        <v>1.0078010726474891</v>
      </c>
      <c r="O274" s="1"/>
    </row>
    <row r="275" spans="2:15" x14ac:dyDescent="0.25">
      <c r="B275" t="s">
        <v>25</v>
      </c>
      <c r="C275" s="1">
        <v>166.58333333333334</v>
      </c>
      <c r="D275" t="s">
        <v>26</v>
      </c>
      <c r="E275" t="s">
        <v>27</v>
      </c>
      <c r="F275" t="s">
        <v>28</v>
      </c>
      <c r="G275" t="s">
        <v>29</v>
      </c>
      <c r="H275">
        <v>6.2272000000000001E-2</v>
      </c>
      <c r="I275">
        <v>6.2757999999999994E-2</v>
      </c>
      <c r="K275" s="4">
        <f t="shared" si="4"/>
        <v>1.0078044707091469</v>
      </c>
      <c r="O275" s="1"/>
    </row>
    <row r="276" spans="2:15" x14ac:dyDescent="0.25">
      <c r="B276" t="s">
        <v>25</v>
      </c>
      <c r="C276" s="1">
        <v>167.16666666666666</v>
      </c>
      <c r="D276" t="s">
        <v>26</v>
      </c>
      <c r="E276" t="s">
        <v>27</v>
      </c>
      <c r="F276" t="s">
        <v>28</v>
      </c>
      <c r="G276" t="s">
        <v>29</v>
      </c>
      <c r="H276">
        <v>6.9906999999999997E-2</v>
      </c>
      <c r="I276">
        <v>7.0374000000000006E-2</v>
      </c>
      <c r="K276" s="4">
        <f t="shared" si="4"/>
        <v>1.0066803038322343</v>
      </c>
      <c r="O276" s="1"/>
    </row>
    <row r="277" spans="2:15" x14ac:dyDescent="0.25">
      <c r="B277" t="s">
        <v>25</v>
      </c>
      <c r="C277" s="1">
        <v>167.75</v>
      </c>
      <c r="D277" t="s">
        <v>26</v>
      </c>
      <c r="E277" t="s">
        <v>27</v>
      </c>
      <c r="F277" t="s">
        <v>28</v>
      </c>
      <c r="G277" t="s">
        <v>29</v>
      </c>
      <c r="H277">
        <v>8.5402000000000006E-2</v>
      </c>
      <c r="I277">
        <v>8.5805000000000006E-2</v>
      </c>
      <c r="K277" s="4">
        <f t="shared" si="4"/>
        <v>1.0047188590431138</v>
      </c>
      <c r="O277" s="1"/>
    </row>
    <row r="278" spans="2:15" x14ac:dyDescent="0.25">
      <c r="B278" t="s">
        <v>25</v>
      </c>
      <c r="C278" s="1">
        <v>168.79166666666666</v>
      </c>
      <c r="D278" t="s">
        <v>26</v>
      </c>
      <c r="E278" t="s">
        <v>27</v>
      </c>
      <c r="F278" t="s">
        <v>28</v>
      </c>
      <c r="G278" t="s">
        <v>29</v>
      </c>
      <c r="H278">
        <v>0.11865000000000001</v>
      </c>
      <c r="I278">
        <v>0.119085</v>
      </c>
      <c r="K278" s="4">
        <f t="shared" si="4"/>
        <v>1.0036662452591656</v>
      </c>
      <c r="O278" s="1"/>
    </row>
    <row r="279" spans="2:15" x14ac:dyDescent="0.25">
      <c r="B279" t="s">
        <v>25</v>
      </c>
      <c r="C279" s="1">
        <v>169.54166666666666</v>
      </c>
      <c r="D279" t="s">
        <v>26</v>
      </c>
      <c r="E279" t="s">
        <v>27</v>
      </c>
      <c r="F279" t="s">
        <v>28</v>
      </c>
      <c r="G279" t="s">
        <v>29</v>
      </c>
      <c r="H279">
        <v>0.182758</v>
      </c>
      <c r="I279">
        <v>0.185478</v>
      </c>
      <c r="K279" s="4">
        <f t="shared" si="4"/>
        <v>1.0148830694141979</v>
      </c>
      <c r="O279" s="1"/>
    </row>
    <row r="280" spans="2:15" x14ac:dyDescent="0.25">
      <c r="B280" t="s">
        <v>25</v>
      </c>
      <c r="C280" s="1">
        <v>170.20833333333334</v>
      </c>
      <c r="D280" t="s">
        <v>26</v>
      </c>
      <c r="E280" t="s">
        <v>27</v>
      </c>
      <c r="F280" t="s">
        <v>28</v>
      </c>
      <c r="G280" t="s">
        <v>29</v>
      </c>
      <c r="H280">
        <v>0.31827800000000001</v>
      </c>
      <c r="I280">
        <v>0.31909100000000001</v>
      </c>
      <c r="K280" s="4">
        <f t="shared" si="4"/>
        <v>1.002554370707369</v>
      </c>
      <c r="O280" s="1"/>
    </row>
    <row r="281" spans="2:15" x14ac:dyDescent="0.25">
      <c r="B281" t="s">
        <v>25</v>
      </c>
      <c r="C281" s="1">
        <v>170.79166666666666</v>
      </c>
      <c r="D281" t="s">
        <v>26</v>
      </c>
      <c r="E281" t="s">
        <v>27</v>
      </c>
      <c r="F281" t="s">
        <v>28</v>
      </c>
      <c r="G281" t="s">
        <v>29</v>
      </c>
      <c r="H281">
        <v>6.1900999999999998E-2</v>
      </c>
      <c r="I281">
        <v>6.2253000000000003E-2</v>
      </c>
      <c r="K281" s="4">
        <f t="shared" si="4"/>
        <v>1.0056864994103489</v>
      </c>
      <c r="O281" s="1"/>
    </row>
    <row r="282" spans="2:15" x14ac:dyDescent="0.25">
      <c r="B282" t="s">
        <v>25</v>
      </c>
      <c r="C282" s="1">
        <v>171.375</v>
      </c>
      <c r="D282" t="s">
        <v>26</v>
      </c>
      <c r="E282" t="s">
        <v>27</v>
      </c>
      <c r="F282" t="s">
        <v>28</v>
      </c>
      <c r="G282" t="s">
        <v>29</v>
      </c>
      <c r="H282">
        <v>6.1990000000000003E-2</v>
      </c>
      <c r="I282">
        <v>6.2515000000000001E-2</v>
      </c>
      <c r="K282" s="4">
        <f t="shared" si="4"/>
        <v>1.0084691079206323</v>
      </c>
      <c r="O282" s="1"/>
    </row>
    <row r="283" spans="2:15" x14ac:dyDescent="0.25">
      <c r="B283" t="s">
        <v>25</v>
      </c>
      <c r="C283" s="1">
        <v>171.95833333333334</v>
      </c>
      <c r="D283" t="s">
        <v>26</v>
      </c>
      <c r="E283" t="s">
        <v>27</v>
      </c>
      <c r="F283" t="s">
        <v>28</v>
      </c>
      <c r="G283" t="s">
        <v>29</v>
      </c>
      <c r="H283">
        <v>6.2060999999999998E-2</v>
      </c>
      <c r="I283">
        <v>6.2489999999999997E-2</v>
      </c>
      <c r="K283" s="4">
        <f t="shared" si="4"/>
        <v>1.0069125537777348</v>
      </c>
      <c r="O283" s="1"/>
    </row>
    <row r="284" spans="2:15" x14ac:dyDescent="0.25">
      <c r="B284" t="s">
        <v>25</v>
      </c>
      <c r="C284" s="1">
        <v>172.54166666666666</v>
      </c>
      <c r="D284" t="s">
        <v>26</v>
      </c>
      <c r="E284" t="s">
        <v>27</v>
      </c>
      <c r="F284" t="s">
        <v>28</v>
      </c>
      <c r="G284" t="s">
        <v>29</v>
      </c>
      <c r="H284">
        <v>6.2489999999999997E-2</v>
      </c>
      <c r="I284">
        <v>6.2963000000000005E-2</v>
      </c>
      <c r="K284" s="4">
        <f t="shared" si="4"/>
        <v>1.007569211073772</v>
      </c>
      <c r="O284" s="1"/>
    </row>
    <row r="285" spans="2:15" x14ac:dyDescent="0.25">
      <c r="B285" t="s">
        <v>25</v>
      </c>
      <c r="C285" s="1">
        <v>173.125</v>
      </c>
      <c r="D285" t="s">
        <v>26</v>
      </c>
      <c r="E285" t="s">
        <v>27</v>
      </c>
      <c r="F285" t="s">
        <v>28</v>
      </c>
      <c r="G285" t="s">
        <v>29</v>
      </c>
      <c r="H285">
        <v>6.3039999999999999E-2</v>
      </c>
      <c r="I285">
        <v>6.3558000000000003E-2</v>
      </c>
      <c r="K285" s="4">
        <f t="shared" si="4"/>
        <v>1.0082170050761423</v>
      </c>
      <c r="O285" s="1"/>
    </row>
    <row r="286" spans="2:15" x14ac:dyDescent="0.25">
      <c r="B286" t="s">
        <v>25</v>
      </c>
      <c r="C286" s="1">
        <v>173.70833333333334</v>
      </c>
      <c r="D286" t="s">
        <v>26</v>
      </c>
      <c r="E286" t="s">
        <v>27</v>
      </c>
      <c r="F286" t="s">
        <v>28</v>
      </c>
      <c r="G286" t="s">
        <v>29</v>
      </c>
      <c r="H286">
        <v>7.1570999999999996E-2</v>
      </c>
      <c r="I286">
        <v>7.2077000000000002E-2</v>
      </c>
      <c r="K286" s="4">
        <f t="shared" si="4"/>
        <v>1.0070699026141874</v>
      </c>
      <c r="O286" s="1"/>
    </row>
    <row r="287" spans="2:15" x14ac:dyDescent="0.25">
      <c r="B287" t="s">
        <v>25</v>
      </c>
      <c r="C287" s="1">
        <v>174.29166666666666</v>
      </c>
      <c r="D287" t="s">
        <v>26</v>
      </c>
      <c r="E287" t="s">
        <v>27</v>
      </c>
      <c r="F287" t="s">
        <v>28</v>
      </c>
      <c r="G287" t="s">
        <v>29</v>
      </c>
      <c r="H287">
        <v>8.8709999999999997E-2</v>
      </c>
      <c r="I287">
        <v>9.1180999999999998E-2</v>
      </c>
      <c r="K287" s="4">
        <f t="shared" si="4"/>
        <v>1.0278548078006988</v>
      </c>
      <c r="O287" s="1"/>
    </row>
    <row r="288" spans="2:15" x14ac:dyDescent="0.25">
      <c r="B288" t="s">
        <v>25</v>
      </c>
      <c r="C288" s="1">
        <v>175.29166666666666</v>
      </c>
      <c r="D288" t="s">
        <v>26</v>
      </c>
      <c r="E288" t="s">
        <v>27</v>
      </c>
      <c r="F288" t="s">
        <v>28</v>
      </c>
      <c r="G288" t="s">
        <v>29</v>
      </c>
      <c r="H288">
        <v>0.124794</v>
      </c>
      <c r="I288">
        <v>0.125664</v>
      </c>
      <c r="K288" s="4">
        <f t="shared" si="4"/>
        <v>1.0069714890138948</v>
      </c>
      <c r="O288" s="1"/>
    </row>
    <row r="289" spans="2:15" x14ac:dyDescent="0.25">
      <c r="B289" t="s">
        <v>25</v>
      </c>
      <c r="C289" s="1">
        <v>176.08333333333334</v>
      </c>
      <c r="D289" t="s">
        <v>26</v>
      </c>
      <c r="E289" t="s">
        <v>27</v>
      </c>
      <c r="F289" t="s">
        <v>28</v>
      </c>
      <c r="G289" t="s">
        <v>29</v>
      </c>
      <c r="H289">
        <v>0.194963</v>
      </c>
      <c r="I289">
        <v>0.195462</v>
      </c>
      <c r="K289" s="4">
        <f t="shared" si="4"/>
        <v>1.0025594600001027</v>
      </c>
      <c r="O289" s="1"/>
    </row>
    <row r="290" spans="2:15" x14ac:dyDescent="0.25">
      <c r="B290" t="s">
        <v>25</v>
      </c>
      <c r="C290" s="1">
        <v>176.66666666666666</v>
      </c>
      <c r="D290" t="s">
        <v>26</v>
      </c>
      <c r="E290" t="s">
        <v>27</v>
      </c>
      <c r="F290" t="s">
        <v>28</v>
      </c>
      <c r="G290" t="s">
        <v>29</v>
      </c>
      <c r="H290">
        <v>0.34202900000000003</v>
      </c>
      <c r="I290">
        <v>0.34318700000000002</v>
      </c>
      <c r="K290" s="4">
        <f t="shared" si="4"/>
        <v>1.0033856778226407</v>
      </c>
      <c r="O290" s="1"/>
    </row>
    <row r="291" spans="2:15" x14ac:dyDescent="0.25">
      <c r="B291" t="s">
        <v>25</v>
      </c>
      <c r="C291" s="1">
        <v>177.25</v>
      </c>
      <c r="D291" t="s">
        <v>26</v>
      </c>
      <c r="E291" t="s">
        <v>27</v>
      </c>
      <c r="F291" t="s">
        <v>28</v>
      </c>
      <c r="G291" t="s">
        <v>29</v>
      </c>
      <c r="H291">
        <v>6.4370999999999998E-2</v>
      </c>
      <c r="I291">
        <v>6.4838000000000007E-2</v>
      </c>
      <c r="K291" s="4">
        <f t="shared" si="4"/>
        <v>1.0072548197169535</v>
      </c>
      <c r="O291" s="1"/>
    </row>
    <row r="292" spans="2:15" x14ac:dyDescent="0.25">
      <c r="B292" t="s">
        <v>25</v>
      </c>
      <c r="C292" s="1">
        <v>177.83333333333334</v>
      </c>
      <c r="D292" t="s">
        <v>26</v>
      </c>
      <c r="E292" t="s">
        <v>27</v>
      </c>
      <c r="F292" t="s">
        <v>28</v>
      </c>
      <c r="G292" t="s">
        <v>29</v>
      </c>
      <c r="H292">
        <v>6.4940999999999999E-2</v>
      </c>
      <c r="I292">
        <v>6.5452999999999997E-2</v>
      </c>
      <c r="K292" s="4">
        <f t="shared" si="4"/>
        <v>1.0078840793951434</v>
      </c>
      <c r="O292" s="1"/>
    </row>
    <row r="293" spans="2:15" x14ac:dyDescent="0.25">
      <c r="B293" t="s">
        <v>25</v>
      </c>
      <c r="C293" s="1">
        <v>178.41666666666666</v>
      </c>
      <c r="D293" t="s">
        <v>26</v>
      </c>
      <c r="E293" t="s">
        <v>27</v>
      </c>
      <c r="F293" t="s">
        <v>28</v>
      </c>
      <c r="G293" t="s">
        <v>29</v>
      </c>
      <c r="H293">
        <v>6.5132999999999996E-2</v>
      </c>
      <c r="I293">
        <v>6.5605999999999998E-2</v>
      </c>
      <c r="K293" s="4">
        <f t="shared" si="4"/>
        <v>1.0072620637771943</v>
      </c>
      <c r="O293" s="1"/>
    </row>
    <row r="294" spans="2:15" x14ac:dyDescent="0.25">
      <c r="B294" t="s">
        <v>25</v>
      </c>
      <c r="C294" s="1">
        <v>179</v>
      </c>
      <c r="D294" t="s">
        <v>26</v>
      </c>
      <c r="E294" t="s">
        <v>27</v>
      </c>
      <c r="F294" t="s">
        <v>28</v>
      </c>
      <c r="G294" t="s">
        <v>29</v>
      </c>
      <c r="H294">
        <v>6.5522999999999998E-2</v>
      </c>
      <c r="I294">
        <v>6.5618999999999997E-2</v>
      </c>
      <c r="K294" s="4">
        <f t="shared" si="4"/>
        <v>1.0014651343802938</v>
      </c>
      <c r="O294" s="1"/>
    </row>
    <row r="295" spans="2:15" x14ac:dyDescent="0.25">
      <c r="B295" t="s">
        <v>25</v>
      </c>
      <c r="C295" s="1">
        <v>179.58333333333334</v>
      </c>
      <c r="D295" t="s">
        <v>26</v>
      </c>
      <c r="E295" t="s">
        <v>27</v>
      </c>
      <c r="F295" t="s">
        <v>28</v>
      </c>
      <c r="G295" t="s">
        <v>29</v>
      </c>
      <c r="H295">
        <v>6.6175999999999999E-2</v>
      </c>
      <c r="I295">
        <v>6.6598000000000004E-2</v>
      </c>
      <c r="K295" s="4">
        <f t="shared" si="4"/>
        <v>1.006376934235977</v>
      </c>
      <c r="O295" s="1"/>
    </row>
    <row r="296" spans="2:15" x14ac:dyDescent="0.25">
      <c r="B296" t="s">
        <v>25</v>
      </c>
      <c r="C296" s="1">
        <v>180.16666666666666</v>
      </c>
      <c r="D296" t="s">
        <v>26</v>
      </c>
      <c r="E296" t="s">
        <v>27</v>
      </c>
      <c r="F296" t="s">
        <v>28</v>
      </c>
      <c r="G296" t="s">
        <v>29</v>
      </c>
      <c r="H296">
        <v>7.6966000000000007E-2</v>
      </c>
      <c r="I296">
        <v>7.7376E-2</v>
      </c>
      <c r="K296" s="4">
        <f t="shared" si="4"/>
        <v>1.0053270275186446</v>
      </c>
      <c r="O296" s="1"/>
    </row>
    <row r="297" spans="2:15" x14ac:dyDescent="0.25">
      <c r="B297" t="s">
        <v>25</v>
      </c>
      <c r="C297" s="1">
        <v>180.75</v>
      </c>
      <c r="D297" t="s">
        <v>26</v>
      </c>
      <c r="E297" t="s">
        <v>27</v>
      </c>
      <c r="F297" t="s">
        <v>28</v>
      </c>
      <c r="G297" t="s">
        <v>29</v>
      </c>
      <c r="H297">
        <v>0.100013</v>
      </c>
      <c r="I297">
        <v>0.100614</v>
      </c>
      <c r="K297" s="4">
        <f t="shared" si="4"/>
        <v>1.0060092188015557</v>
      </c>
      <c r="O297" s="1"/>
    </row>
    <row r="298" spans="2:15" x14ac:dyDescent="0.25">
      <c r="B298" t="s">
        <v>25</v>
      </c>
      <c r="C298" s="1">
        <v>181.33333333333334</v>
      </c>
      <c r="D298" t="s">
        <v>26</v>
      </c>
      <c r="E298" t="s">
        <v>27</v>
      </c>
      <c r="F298" t="s">
        <v>28</v>
      </c>
      <c r="G298" t="s">
        <v>29</v>
      </c>
      <c r="H298">
        <v>0.14214399999999999</v>
      </c>
      <c r="I298">
        <v>0.14449899999999999</v>
      </c>
      <c r="K298" s="4">
        <f t="shared" si="4"/>
        <v>1.0165677059882936</v>
      </c>
      <c r="O298" s="1"/>
    </row>
    <row r="299" spans="2:15" x14ac:dyDescent="0.25">
      <c r="B299" t="s">
        <v>25</v>
      </c>
      <c r="C299" s="1">
        <v>181.91666666666666</v>
      </c>
      <c r="D299" t="s">
        <v>26</v>
      </c>
      <c r="E299" t="s">
        <v>27</v>
      </c>
      <c r="F299" t="s">
        <v>28</v>
      </c>
      <c r="G299" t="s">
        <v>29</v>
      </c>
      <c r="H299">
        <v>0.228934</v>
      </c>
      <c r="I299">
        <v>0.23461799999999999</v>
      </c>
      <c r="K299" s="4">
        <f t="shared" si="4"/>
        <v>1.0248281164003599</v>
      </c>
      <c r="O299" s="1"/>
    </row>
    <row r="300" spans="2:15" x14ac:dyDescent="0.25">
      <c r="B300" t="s">
        <v>25</v>
      </c>
      <c r="C300" s="1">
        <v>182.5</v>
      </c>
      <c r="D300" t="s">
        <v>26</v>
      </c>
      <c r="E300" t="s">
        <v>27</v>
      </c>
      <c r="F300" t="s">
        <v>28</v>
      </c>
      <c r="G300" t="s">
        <v>29</v>
      </c>
      <c r="H300">
        <v>0.40188800000000002</v>
      </c>
      <c r="I300">
        <v>0.404198</v>
      </c>
      <c r="K300" s="4">
        <f t="shared" si="4"/>
        <v>1.0057478700533482</v>
      </c>
      <c r="O300" s="1"/>
    </row>
    <row r="301" spans="2:15" x14ac:dyDescent="0.25">
      <c r="B301" t="s">
        <v>25</v>
      </c>
      <c r="C301" s="1">
        <v>183.08333333333334</v>
      </c>
      <c r="D301" t="s">
        <v>26</v>
      </c>
      <c r="E301" t="s">
        <v>27</v>
      </c>
      <c r="F301" t="s">
        <v>28</v>
      </c>
      <c r="G301" t="s">
        <v>29</v>
      </c>
      <c r="H301">
        <v>7.0047999999999999E-2</v>
      </c>
      <c r="I301">
        <v>7.0444999999999994E-2</v>
      </c>
      <c r="K301" s="4">
        <f t="shared" si="4"/>
        <v>1.0056675422567383</v>
      </c>
      <c r="O301" s="1"/>
    </row>
    <row r="302" spans="2:15" x14ac:dyDescent="0.25">
      <c r="B302" t="s">
        <v>25</v>
      </c>
      <c r="C302" s="1">
        <v>183.66666666666666</v>
      </c>
      <c r="D302" t="s">
        <v>26</v>
      </c>
      <c r="E302" t="s">
        <v>27</v>
      </c>
      <c r="F302" t="s">
        <v>28</v>
      </c>
      <c r="G302" t="s">
        <v>29</v>
      </c>
      <c r="H302">
        <v>7.0803000000000005E-2</v>
      </c>
      <c r="I302">
        <v>7.1282999999999999E-2</v>
      </c>
      <c r="K302" s="4">
        <f t="shared" si="4"/>
        <v>1.0067793737553492</v>
      </c>
      <c r="O302" s="1"/>
    </row>
    <row r="303" spans="2:15" x14ac:dyDescent="0.25">
      <c r="B303" t="s">
        <v>25</v>
      </c>
      <c r="C303" s="1">
        <v>184.25</v>
      </c>
      <c r="D303" t="s">
        <v>26</v>
      </c>
      <c r="E303" t="s">
        <v>27</v>
      </c>
      <c r="F303" t="s">
        <v>28</v>
      </c>
      <c r="G303" t="s">
        <v>29</v>
      </c>
      <c r="H303">
        <v>7.1373000000000006E-2</v>
      </c>
      <c r="I303">
        <v>7.177E-2</v>
      </c>
      <c r="K303" s="4">
        <f t="shared" si="4"/>
        <v>1.0055623274907877</v>
      </c>
      <c r="O303" s="1"/>
    </row>
    <row r="304" spans="2:15" x14ac:dyDescent="0.25">
      <c r="B304" t="s">
        <v>25</v>
      </c>
      <c r="C304" s="1">
        <v>184.83333333333334</v>
      </c>
      <c r="D304" t="s">
        <v>26</v>
      </c>
      <c r="E304" t="s">
        <v>27</v>
      </c>
      <c r="F304" t="s">
        <v>28</v>
      </c>
      <c r="G304" t="s">
        <v>29</v>
      </c>
      <c r="H304">
        <v>7.1686E-2</v>
      </c>
      <c r="I304">
        <v>7.2256000000000001E-2</v>
      </c>
      <c r="K304" s="4">
        <f t="shared" si="4"/>
        <v>1.0079513433585359</v>
      </c>
      <c r="O304" s="1"/>
    </row>
    <row r="305" spans="2:15" x14ac:dyDescent="0.25">
      <c r="B305" t="s">
        <v>25</v>
      </c>
      <c r="C305" s="1">
        <v>185.41666666666666</v>
      </c>
      <c r="D305" t="s">
        <v>26</v>
      </c>
      <c r="E305" t="s">
        <v>27</v>
      </c>
      <c r="F305" t="s">
        <v>28</v>
      </c>
      <c r="G305" t="s">
        <v>29</v>
      </c>
      <c r="H305">
        <v>7.2377999999999998E-2</v>
      </c>
      <c r="I305">
        <v>7.2933999999999999E-2</v>
      </c>
      <c r="K305" s="4">
        <f t="shared" si="4"/>
        <v>1.0076818922877118</v>
      </c>
      <c r="O305" s="1"/>
    </row>
    <row r="306" spans="2:15" x14ac:dyDescent="0.25">
      <c r="B306" t="s">
        <v>25</v>
      </c>
      <c r="C306" s="1">
        <v>186</v>
      </c>
      <c r="D306" t="s">
        <v>26</v>
      </c>
      <c r="E306" t="s">
        <v>27</v>
      </c>
      <c r="F306" t="s">
        <v>28</v>
      </c>
      <c r="G306" t="s">
        <v>29</v>
      </c>
      <c r="H306">
        <v>8.9536000000000004E-2</v>
      </c>
      <c r="I306">
        <v>8.9829999999999993E-2</v>
      </c>
      <c r="K306" s="4">
        <f t="shared" si="4"/>
        <v>1.0032835954253037</v>
      </c>
      <c r="O306" s="1"/>
    </row>
    <row r="307" spans="2:15" x14ac:dyDescent="0.25">
      <c r="B307" t="s">
        <v>25</v>
      </c>
      <c r="C307" s="1">
        <v>186.58333333333334</v>
      </c>
      <c r="D307" t="s">
        <v>26</v>
      </c>
      <c r="E307" t="s">
        <v>27</v>
      </c>
      <c r="F307" t="s">
        <v>28</v>
      </c>
      <c r="G307" t="s">
        <v>29</v>
      </c>
      <c r="H307">
        <v>0.12257899999999999</v>
      </c>
      <c r="I307">
        <v>0.12309100000000001</v>
      </c>
      <c r="K307" s="4">
        <f t="shared" si="4"/>
        <v>1.0041768981636334</v>
      </c>
      <c r="O307" s="1"/>
    </row>
    <row r="308" spans="2:15" x14ac:dyDescent="0.25">
      <c r="B308" t="s">
        <v>25</v>
      </c>
      <c r="C308" s="1">
        <v>187.16666666666666</v>
      </c>
      <c r="D308" t="s">
        <v>26</v>
      </c>
      <c r="E308" t="s">
        <v>27</v>
      </c>
      <c r="F308" t="s">
        <v>28</v>
      </c>
      <c r="G308" t="s">
        <v>29</v>
      </c>
      <c r="H308">
        <v>0.187642</v>
      </c>
      <c r="I308">
        <v>0.188416</v>
      </c>
      <c r="K308" s="4">
        <f t="shared" si="4"/>
        <v>1.0041248760938382</v>
      </c>
      <c r="O308" s="1"/>
    </row>
    <row r="309" spans="2:15" x14ac:dyDescent="0.25">
      <c r="B309" t="s">
        <v>25</v>
      </c>
      <c r="C309" s="1">
        <v>187.75</v>
      </c>
      <c r="D309" t="s">
        <v>26</v>
      </c>
      <c r="E309" t="s">
        <v>27</v>
      </c>
      <c r="F309" t="s">
        <v>28</v>
      </c>
      <c r="G309" t="s">
        <v>29</v>
      </c>
      <c r="H309">
        <v>0.314944</v>
      </c>
      <c r="I309">
        <v>0.317382</v>
      </c>
      <c r="K309" s="4">
        <f t="shared" si="4"/>
        <v>1.0077410587279008</v>
      </c>
      <c r="O309" s="1"/>
    </row>
    <row r="310" spans="2:15" x14ac:dyDescent="0.25">
      <c r="B310" t="s">
        <v>25</v>
      </c>
      <c r="C310" s="1">
        <v>188.33333333333334</v>
      </c>
      <c r="D310" t="s">
        <v>26</v>
      </c>
      <c r="E310" t="s">
        <v>27</v>
      </c>
      <c r="F310" t="s">
        <v>28</v>
      </c>
      <c r="G310" t="s">
        <v>29</v>
      </c>
      <c r="H310">
        <v>0.56998400000000005</v>
      </c>
      <c r="I310">
        <v>0.574349</v>
      </c>
      <c r="K310" s="4">
        <f t="shared" si="4"/>
        <v>1.0076581097013249</v>
      </c>
      <c r="O310" s="1"/>
    </row>
    <row r="311" spans="2:15" x14ac:dyDescent="0.25">
      <c r="B311" t="s">
        <v>25</v>
      </c>
      <c r="C311" s="1">
        <v>188.91666666666666</v>
      </c>
      <c r="D311" t="s">
        <v>26</v>
      </c>
      <c r="E311" t="s">
        <v>27</v>
      </c>
      <c r="F311" t="s">
        <v>28</v>
      </c>
      <c r="G311" t="s">
        <v>29</v>
      </c>
      <c r="H311">
        <v>8.1925999999999999E-2</v>
      </c>
      <c r="I311">
        <v>8.2937999999999998E-2</v>
      </c>
      <c r="K311" s="4">
        <f t="shared" si="4"/>
        <v>1.012352610892757</v>
      </c>
      <c r="O311" s="1"/>
    </row>
    <row r="312" spans="2:15" x14ac:dyDescent="0.25">
      <c r="B312" t="s">
        <v>25</v>
      </c>
      <c r="C312" s="1">
        <v>189.5</v>
      </c>
      <c r="D312" t="s">
        <v>26</v>
      </c>
      <c r="E312" t="s">
        <v>27</v>
      </c>
      <c r="F312" t="s">
        <v>28</v>
      </c>
      <c r="G312" t="s">
        <v>29</v>
      </c>
      <c r="H312">
        <v>8.2848000000000005E-2</v>
      </c>
      <c r="I312">
        <v>8.3436999999999997E-2</v>
      </c>
      <c r="K312" s="4">
        <f t="shared" si="4"/>
        <v>1.0071094051757434</v>
      </c>
      <c r="O312" s="1"/>
    </row>
    <row r="313" spans="2:15" x14ac:dyDescent="0.25">
      <c r="B313" t="s">
        <v>25</v>
      </c>
      <c r="C313" s="1">
        <v>190.08333333333334</v>
      </c>
      <c r="D313" t="s">
        <v>26</v>
      </c>
      <c r="E313" t="s">
        <v>27</v>
      </c>
      <c r="F313" t="s">
        <v>28</v>
      </c>
      <c r="G313" t="s">
        <v>29</v>
      </c>
      <c r="H313">
        <v>8.4806000000000006E-2</v>
      </c>
      <c r="I313">
        <v>8.5299E-2</v>
      </c>
      <c r="K313" s="4">
        <f t="shared" si="4"/>
        <v>1.0058132679291558</v>
      </c>
      <c r="O313" s="1"/>
    </row>
    <row r="314" spans="2:15" x14ac:dyDescent="0.25">
      <c r="B314" t="s">
        <v>25</v>
      </c>
      <c r="C314" s="1">
        <v>190.66666666666666</v>
      </c>
      <c r="D314" t="s">
        <v>26</v>
      </c>
      <c r="E314" t="s">
        <v>27</v>
      </c>
      <c r="F314" t="s">
        <v>28</v>
      </c>
      <c r="G314" t="s">
        <v>29</v>
      </c>
      <c r="H314">
        <v>8.5074999999999998E-2</v>
      </c>
      <c r="I314">
        <v>8.5466E-2</v>
      </c>
      <c r="K314" s="4">
        <f t="shared" si="4"/>
        <v>1.0045959447546282</v>
      </c>
      <c r="O314" s="1"/>
    </row>
    <row r="315" spans="2:15" x14ac:dyDescent="0.25">
      <c r="B315" t="s">
        <v>25</v>
      </c>
      <c r="C315" s="1">
        <v>191.25</v>
      </c>
      <c r="D315" t="s">
        <v>26</v>
      </c>
      <c r="E315" t="s">
        <v>27</v>
      </c>
      <c r="F315" t="s">
        <v>28</v>
      </c>
      <c r="G315" t="s">
        <v>29</v>
      </c>
      <c r="H315">
        <v>8.5612999999999995E-2</v>
      </c>
      <c r="I315">
        <v>8.6015999999999995E-2</v>
      </c>
      <c r="K315" s="4">
        <f t="shared" si="4"/>
        <v>1.0047072290423182</v>
      </c>
      <c r="O315" s="1"/>
    </row>
    <row r="316" spans="2:15" x14ac:dyDescent="0.25">
      <c r="B316" t="s">
        <v>25</v>
      </c>
      <c r="C316" s="1">
        <v>191.83333333333334</v>
      </c>
      <c r="D316" t="s">
        <v>26</v>
      </c>
      <c r="E316" t="s">
        <v>27</v>
      </c>
      <c r="F316" t="s">
        <v>28</v>
      </c>
      <c r="G316" t="s">
        <v>29</v>
      </c>
      <c r="H316">
        <v>0.115635</v>
      </c>
      <c r="I316">
        <v>0.116102</v>
      </c>
      <c r="K316" s="4">
        <f t="shared" si="4"/>
        <v>1.0040385696372205</v>
      </c>
      <c r="O316" s="1"/>
    </row>
    <row r="317" spans="2:15" x14ac:dyDescent="0.25">
      <c r="B317" t="s">
        <v>25</v>
      </c>
      <c r="C317" s="1">
        <v>192.41666666666666</v>
      </c>
      <c r="D317" t="s">
        <v>26</v>
      </c>
      <c r="E317" t="s">
        <v>27</v>
      </c>
      <c r="F317" t="s">
        <v>28</v>
      </c>
      <c r="G317" t="s">
        <v>29</v>
      </c>
      <c r="H317">
        <v>0.17330599999999999</v>
      </c>
      <c r="I317">
        <v>0.173952</v>
      </c>
      <c r="K317" s="4">
        <f t="shared" si="4"/>
        <v>1.0037275108767152</v>
      </c>
      <c r="O317" s="1"/>
    </row>
    <row r="318" spans="2:15" x14ac:dyDescent="0.25">
      <c r="B318" t="s">
        <v>25</v>
      </c>
      <c r="C318" s="1">
        <v>193</v>
      </c>
      <c r="D318" t="s">
        <v>26</v>
      </c>
      <c r="E318" t="s">
        <v>27</v>
      </c>
      <c r="F318" t="s">
        <v>28</v>
      </c>
      <c r="G318" t="s">
        <v>29</v>
      </c>
      <c r="H318">
        <v>0.28841</v>
      </c>
      <c r="I318">
        <v>0.29130200000000001</v>
      </c>
      <c r="K318" s="4">
        <f t="shared" si="4"/>
        <v>1.0100273915606255</v>
      </c>
      <c r="O318" s="1"/>
    </row>
    <row r="319" spans="2:15" x14ac:dyDescent="0.25">
      <c r="B319" t="s">
        <v>25</v>
      </c>
      <c r="C319" s="1">
        <v>193.58333333333334</v>
      </c>
      <c r="D319" t="s">
        <v>26</v>
      </c>
      <c r="E319" t="s">
        <v>27</v>
      </c>
      <c r="F319" t="s">
        <v>28</v>
      </c>
      <c r="G319" t="s">
        <v>29</v>
      </c>
      <c r="H319">
        <v>0.51598699999999997</v>
      </c>
      <c r="I319">
        <v>0.51941099999999996</v>
      </c>
      <c r="K319" s="4">
        <f t="shared" si="4"/>
        <v>1.0066358260963939</v>
      </c>
      <c r="O319" s="1"/>
    </row>
    <row r="320" spans="2:15" x14ac:dyDescent="0.25">
      <c r="B320" t="s">
        <v>25</v>
      </c>
      <c r="C320" s="1">
        <v>194.16666666666666</v>
      </c>
      <c r="D320" t="s">
        <v>26</v>
      </c>
      <c r="E320" t="s">
        <v>27</v>
      </c>
      <c r="F320" t="s">
        <v>28</v>
      </c>
      <c r="G320" t="s">
        <v>29</v>
      </c>
      <c r="H320">
        <v>0.96688700000000005</v>
      </c>
      <c r="I320">
        <v>0.96962000000000004</v>
      </c>
      <c r="K320" s="4">
        <f t="shared" si="4"/>
        <v>1.0028265971101069</v>
      </c>
      <c r="O320" s="1"/>
    </row>
    <row r="321" spans="2:15" x14ac:dyDescent="0.25">
      <c r="B321" t="s">
        <v>25</v>
      </c>
      <c r="C321" s="1">
        <v>194.75</v>
      </c>
      <c r="D321" t="s">
        <v>26</v>
      </c>
      <c r="E321" t="s">
        <v>27</v>
      </c>
      <c r="F321" t="s">
        <v>28</v>
      </c>
      <c r="G321" t="s">
        <v>29</v>
      </c>
      <c r="H321">
        <v>0.102099</v>
      </c>
      <c r="I321">
        <v>0.10244499999999999</v>
      </c>
      <c r="K321" s="4">
        <f t="shared" si="4"/>
        <v>1.0033888676676559</v>
      </c>
      <c r="O321" s="1"/>
    </row>
    <row r="322" spans="2:15" x14ac:dyDescent="0.25">
      <c r="B322" t="s">
        <v>25</v>
      </c>
      <c r="C322" s="1">
        <v>195.33333333333334</v>
      </c>
      <c r="D322" t="s">
        <v>26</v>
      </c>
      <c r="E322" t="s">
        <v>27</v>
      </c>
      <c r="F322" t="s">
        <v>28</v>
      </c>
      <c r="G322" t="s">
        <v>29</v>
      </c>
      <c r="H322">
        <v>0.10269399999999999</v>
      </c>
      <c r="I322">
        <v>0.10295700000000001</v>
      </c>
      <c r="K322" s="4">
        <f t="shared" ref="K322:K360" si="5">I322/H322</f>
        <v>1.0025610064852866</v>
      </c>
      <c r="O322" s="1"/>
    </row>
    <row r="323" spans="2:15" x14ac:dyDescent="0.25">
      <c r="B323" t="s">
        <v>25</v>
      </c>
      <c r="C323" s="1">
        <v>195.91666666666666</v>
      </c>
      <c r="D323" t="s">
        <v>26</v>
      </c>
      <c r="E323" t="s">
        <v>27</v>
      </c>
      <c r="F323" t="s">
        <v>28</v>
      </c>
      <c r="G323" t="s">
        <v>29</v>
      </c>
      <c r="H323">
        <v>0.104589</v>
      </c>
      <c r="I323">
        <v>0.10503700000000001</v>
      </c>
      <c r="K323" s="4">
        <f t="shared" si="5"/>
        <v>1.0042834332482384</v>
      </c>
      <c r="O323" s="1"/>
    </row>
    <row r="324" spans="2:15" x14ac:dyDescent="0.25">
      <c r="B324" t="s">
        <v>25</v>
      </c>
      <c r="C324" s="1">
        <v>196.5</v>
      </c>
      <c r="D324" t="s">
        <v>26</v>
      </c>
      <c r="E324" t="s">
        <v>27</v>
      </c>
      <c r="F324" t="s">
        <v>28</v>
      </c>
      <c r="G324" t="s">
        <v>29</v>
      </c>
      <c r="H324">
        <v>0.104922</v>
      </c>
      <c r="I324">
        <v>0.10537000000000001</v>
      </c>
      <c r="K324" s="4">
        <f t="shared" si="5"/>
        <v>1.0042698385467299</v>
      </c>
      <c r="O324" s="1"/>
    </row>
    <row r="325" spans="2:15" x14ac:dyDescent="0.25">
      <c r="B325" t="s">
        <v>25</v>
      </c>
      <c r="C325" s="1">
        <v>197.08333333333334</v>
      </c>
      <c r="D325" t="s">
        <v>26</v>
      </c>
      <c r="E325" t="s">
        <v>27</v>
      </c>
      <c r="F325" t="s">
        <v>28</v>
      </c>
      <c r="G325" t="s">
        <v>29</v>
      </c>
      <c r="H325">
        <v>0.10499799999999999</v>
      </c>
      <c r="I325">
        <v>0.10559399999999999</v>
      </c>
      <c r="K325" s="4">
        <f t="shared" si="5"/>
        <v>1.0056762985961638</v>
      </c>
      <c r="O325" s="1"/>
    </row>
    <row r="326" spans="2:15" x14ac:dyDescent="0.25">
      <c r="B326" t="s">
        <v>25</v>
      </c>
      <c r="C326" s="1">
        <v>197.66666666666666</v>
      </c>
      <c r="D326" t="s">
        <v>26</v>
      </c>
      <c r="E326" t="s">
        <v>27</v>
      </c>
      <c r="F326" t="s">
        <v>28</v>
      </c>
      <c r="G326" t="s">
        <v>29</v>
      </c>
      <c r="H326">
        <v>0.15457899999999999</v>
      </c>
      <c r="I326">
        <v>0.15484200000000001</v>
      </c>
      <c r="K326" s="4">
        <f t="shared" si="5"/>
        <v>1.0017013954029979</v>
      </c>
      <c r="O326" s="1"/>
    </row>
    <row r="327" spans="2:15" x14ac:dyDescent="0.25">
      <c r="B327" t="s">
        <v>25</v>
      </c>
      <c r="C327" s="1">
        <v>198.25</v>
      </c>
      <c r="D327" t="s">
        <v>26</v>
      </c>
      <c r="E327" t="s">
        <v>27</v>
      </c>
      <c r="F327" t="s">
        <v>28</v>
      </c>
      <c r="G327" t="s">
        <v>29</v>
      </c>
      <c r="H327">
        <v>0.25276799999999999</v>
      </c>
      <c r="I327">
        <v>0.25356800000000002</v>
      </c>
      <c r="K327" s="4">
        <f t="shared" si="5"/>
        <v>1.0031649575895685</v>
      </c>
      <c r="O327" s="1"/>
    </row>
    <row r="328" spans="2:15" x14ac:dyDescent="0.25">
      <c r="B328" t="s">
        <v>25</v>
      </c>
      <c r="C328" s="1">
        <v>198.83333333333334</v>
      </c>
      <c r="D328" t="s">
        <v>26</v>
      </c>
      <c r="E328" t="s">
        <v>27</v>
      </c>
      <c r="F328" t="s">
        <v>28</v>
      </c>
      <c r="G328" t="s">
        <v>29</v>
      </c>
      <c r="H328">
        <v>0.44851200000000002</v>
      </c>
      <c r="I328">
        <v>0.449542</v>
      </c>
      <c r="K328" s="4">
        <f t="shared" si="5"/>
        <v>1.0022964825913241</v>
      </c>
      <c r="O328" s="1"/>
    </row>
    <row r="329" spans="2:15" x14ac:dyDescent="0.25">
      <c r="B329" t="s">
        <v>25</v>
      </c>
      <c r="C329" s="1">
        <v>199.41666666666666</v>
      </c>
      <c r="D329" t="s">
        <v>26</v>
      </c>
      <c r="E329" t="s">
        <v>27</v>
      </c>
      <c r="F329" t="s">
        <v>28</v>
      </c>
      <c r="G329" t="s">
        <v>29</v>
      </c>
      <c r="H329">
        <v>0.83807399999999999</v>
      </c>
      <c r="I329">
        <v>0.84098600000000001</v>
      </c>
      <c r="K329" s="4">
        <f t="shared" si="5"/>
        <v>1.0034746335049172</v>
      </c>
      <c r="O329" s="1"/>
    </row>
    <row r="330" spans="2:15" x14ac:dyDescent="0.25">
      <c r="B330" t="s">
        <v>25</v>
      </c>
      <c r="C330" s="1">
        <v>200</v>
      </c>
      <c r="D330" t="s">
        <v>26</v>
      </c>
      <c r="E330" t="s">
        <v>27</v>
      </c>
      <c r="F330" t="s">
        <v>28</v>
      </c>
      <c r="G330" t="s">
        <v>29</v>
      </c>
      <c r="H330">
        <v>1.6129340000000001</v>
      </c>
      <c r="I330">
        <v>1.617971</v>
      </c>
      <c r="K330" s="4">
        <f t="shared" si="5"/>
        <v>1.0031228804154417</v>
      </c>
      <c r="O330" s="1"/>
    </row>
    <row r="331" spans="2:15" x14ac:dyDescent="0.25">
      <c r="B331" t="s">
        <v>25</v>
      </c>
      <c r="C331" s="1">
        <v>200.58333333333334</v>
      </c>
      <c r="D331" t="s">
        <v>26</v>
      </c>
      <c r="E331" t="s">
        <v>27</v>
      </c>
      <c r="F331" t="s">
        <v>28</v>
      </c>
      <c r="G331" t="s">
        <v>29</v>
      </c>
      <c r="H331">
        <v>0.14116500000000001</v>
      </c>
      <c r="I331">
        <v>0.14169000000000001</v>
      </c>
      <c r="K331" s="4">
        <f t="shared" si="5"/>
        <v>1.0037190521729891</v>
      </c>
      <c r="O331" s="1"/>
    </row>
    <row r="332" spans="2:15" x14ac:dyDescent="0.25">
      <c r="B332" t="s">
        <v>25</v>
      </c>
      <c r="C332" s="1">
        <v>201.16666666666666</v>
      </c>
      <c r="D332" t="s">
        <v>26</v>
      </c>
      <c r="E332" t="s">
        <v>27</v>
      </c>
      <c r="F332" t="s">
        <v>28</v>
      </c>
      <c r="G332" t="s">
        <v>29</v>
      </c>
      <c r="H332">
        <v>0.14185600000000001</v>
      </c>
      <c r="I332">
        <v>0.14238100000000001</v>
      </c>
      <c r="K332" s="4">
        <f t="shared" si="5"/>
        <v>1.0037009361606135</v>
      </c>
      <c r="O332" s="1"/>
    </row>
    <row r="333" spans="2:15" x14ac:dyDescent="0.25">
      <c r="B333" t="s">
        <v>25</v>
      </c>
      <c r="C333" s="1">
        <v>201.75</v>
      </c>
      <c r="D333" t="s">
        <v>26</v>
      </c>
      <c r="E333" t="s">
        <v>27</v>
      </c>
      <c r="F333" t="s">
        <v>28</v>
      </c>
      <c r="G333" t="s">
        <v>29</v>
      </c>
      <c r="H333">
        <v>0.14362900000000001</v>
      </c>
      <c r="I333">
        <v>0.14414099999999999</v>
      </c>
      <c r="K333" s="4">
        <f t="shared" si="5"/>
        <v>1.0035647397113394</v>
      </c>
      <c r="O333" s="1"/>
    </row>
    <row r="334" spans="2:15" x14ac:dyDescent="0.25">
      <c r="B334" t="s">
        <v>25</v>
      </c>
      <c r="C334" s="1">
        <v>202.33333333333334</v>
      </c>
      <c r="D334" t="s">
        <v>26</v>
      </c>
      <c r="E334" t="s">
        <v>27</v>
      </c>
      <c r="F334" t="s">
        <v>28</v>
      </c>
      <c r="G334" t="s">
        <v>29</v>
      </c>
      <c r="H334">
        <v>0.14433299999999999</v>
      </c>
      <c r="I334">
        <v>0.14483799999999999</v>
      </c>
      <c r="K334" s="4">
        <f t="shared" si="5"/>
        <v>1.0034988533460816</v>
      </c>
      <c r="O334" s="1"/>
    </row>
    <row r="335" spans="2:15" x14ac:dyDescent="0.25">
      <c r="B335" t="s">
        <v>25</v>
      </c>
      <c r="C335" s="1">
        <v>202.91666666666666</v>
      </c>
      <c r="D335" t="s">
        <v>26</v>
      </c>
      <c r="E335" t="s">
        <v>27</v>
      </c>
      <c r="F335" t="s">
        <v>28</v>
      </c>
      <c r="G335" t="s">
        <v>29</v>
      </c>
      <c r="H335">
        <v>0.144403</v>
      </c>
      <c r="I335">
        <v>0.144819</v>
      </c>
      <c r="K335" s="4">
        <f t="shared" si="5"/>
        <v>1.0028808265756251</v>
      </c>
      <c r="O335" s="1"/>
    </row>
    <row r="336" spans="2:15" x14ac:dyDescent="0.25">
      <c r="B336" t="s">
        <v>25</v>
      </c>
      <c r="C336" s="1">
        <v>203.5</v>
      </c>
      <c r="D336" t="s">
        <v>26</v>
      </c>
      <c r="E336" t="s">
        <v>27</v>
      </c>
      <c r="F336" t="s">
        <v>28</v>
      </c>
      <c r="G336" t="s">
        <v>29</v>
      </c>
      <c r="H336">
        <v>0.231936</v>
      </c>
      <c r="I336">
        <v>0.233075</v>
      </c>
      <c r="K336" s="4">
        <f t="shared" si="5"/>
        <v>1.0049108374724063</v>
      </c>
      <c r="O336" s="1"/>
    </row>
    <row r="337" spans="2:15" x14ac:dyDescent="0.25">
      <c r="B337" t="s">
        <v>25</v>
      </c>
      <c r="C337" s="1">
        <v>204.08333333333334</v>
      </c>
      <c r="D337" t="s">
        <v>26</v>
      </c>
      <c r="E337" t="s">
        <v>27</v>
      </c>
      <c r="F337" t="s">
        <v>28</v>
      </c>
      <c r="G337" t="s">
        <v>29</v>
      </c>
      <c r="H337">
        <v>0.408966</v>
      </c>
      <c r="I337">
        <v>0.40958099999999997</v>
      </c>
      <c r="K337" s="4">
        <f t="shared" si="5"/>
        <v>1.0015037924913073</v>
      </c>
      <c r="O337" s="1"/>
    </row>
    <row r="338" spans="2:15" x14ac:dyDescent="0.25">
      <c r="B338" t="s">
        <v>25</v>
      </c>
      <c r="C338" s="1">
        <v>204.66666666666666</v>
      </c>
      <c r="D338" t="s">
        <v>26</v>
      </c>
      <c r="E338" t="s">
        <v>27</v>
      </c>
      <c r="F338" t="s">
        <v>28</v>
      </c>
      <c r="G338" t="s">
        <v>29</v>
      </c>
      <c r="H338">
        <v>0.76280300000000001</v>
      </c>
      <c r="I338">
        <v>0.76374399999999998</v>
      </c>
      <c r="K338" s="4">
        <f t="shared" si="5"/>
        <v>1.0012336081530879</v>
      </c>
      <c r="O338" s="1"/>
    </row>
    <row r="339" spans="2:15" x14ac:dyDescent="0.25">
      <c r="B339" t="s">
        <v>25</v>
      </c>
      <c r="C339" s="1">
        <v>205.25</v>
      </c>
      <c r="D339" t="s">
        <v>26</v>
      </c>
      <c r="E339" t="s">
        <v>27</v>
      </c>
      <c r="F339" t="s">
        <v>28</v>
      </c>
      <c r="G339" t="s">
        <v>29</v>
      </c>
      <c r="H339">
        <v>1.461222</v>
      </c>
      <c r="I339">
        <v>1.4645570000000001</v>
      </c>
      <c r="K339" s="4">
        <f t="shared" si="5"/>
        <v>1.0022823362911317</v>
      </c>
      <c r="O339" s="1"/>
    </row>
    <row r="340" spans="2:15" x14ac:dyDescent="0.25">
      <c r="B340" t="s">
        <v>25</v>
      </c>
      <c r="C340" s="1">
        <v>205.83333333333334</v>
      </c>
      <c r="D340" t="s">
        <v>26</v>
      </c>
      <c r="E340" t="s">
        <v>27</v>
      </c>
      <c r="F340" t="s">
        <v>28</v>
      </c>
      <c r="G340" t="s">
        <v>29</v>
      </c>
      <c r="H340">
        <v>2.8605640000000001</v>
      </c>
      <c r="I340">
        <v>2.8653879999999998</v>
      </c>
      <c r="K340" s="4">
        <f t="shared" si="5"/>
        <v>1.0016863807277165</v>
      </c>
      <c r="O340" s="1"/>
    </row>
    <row r="341" spans="2:15" x14ac:dyDescent="0.25">
      <c r="B341" t="s">
        <v>25</v>
      </c>
      <c r="C341" s="1">
        <v>206.41666666666666</v>
      </c>
      <c r="D341" t="s">
        <v>26</v>
      </c>
      <c r="E341" t="s">
        <v>27</v>
      </c>
      <c r="F341" t="s">
        <v>28</v>
      </c>
      <c r="G341" t="s">
        <v>29</v>
      </c>
      <c r="H341">
        <v>0.22225300000000001</v>
      </c>
      <c r="I341">
        <v>0.219661</v>
      </c>
      <c r="K341" s="4">
        <f t="shared" si="5"/>
        <v>0.98833761524028918</v>
      </c>
      <c r="O341" s="1"/>
    </row>
    <row r="342" spans="2:15" x14ac:dyDescent="0.25">
      <c r="B342" t="s">
        <v>25</v>
      </c>
      <c r="C342" s="1">
        <v>207</v>
      </c>
      <c r="D342" t="s">
        <v>26</v>
      </c>
      <c r="E342" t="s">
        <v>27</v>
      </c>
      <c r="F342" t="s">
        <v>28</v>
      </c>
      <c r="G342" t="s">
        <v>29</v>
      </c>
      <c r="H342">
        <v>0.22108800000000001</v>
      </c>
      <c r="I342">
        <v>0.21990999999999999</v>
      </c>
      <c r="K342" s="4">
        <f t="shared" si="5"/>
        <v>0.99467180489216955</v>
      </c>
      <c r="O342" s="1"/>
    </row>
    <row r="343" spans="2:15" x14ac:dyDescent="0.25">
      <c r="B343" t="s">
        <v>25</v>
      </c>
      <c r="C343" s="1">
        <v>207.58333333333334</v>
      </c>
      <c r="D343" t="s">
        <v>26</v>
      </c>
      <c r="E343" t="s">
        <v>27</v>
      </c>
      <c r="F343" t="s">
        <v>28</v>
      </c>
      <c r="G343" t="s">
        <v>29</v>
      </c>
      <c r="H343">
        <v>0.22085099999999999</v>
      </c>
      <c r="I343">
        <v>0.22117100000000001</v>
      </c>
      <c r="K343" s="4">
        <f t="shared" si="5"/>
        <v>1.0014489406885185</v>
      </c>
      <c r="O343" s="1"/>
    </row>
    <row r="344" spans="2:15" x14ac:dyDescent="0.25">
      <c r="B344" t="s">
        <v>25</v>
      </c>
      <c r="C344" s="1">
        <v>208.16666666666666</v>
      </c>
      <c r="D344" t="s">
        <v>26</v>
      </c>
      <c r="E344" t="s">
        <v>27</v>
      </c>
      <c r="F344" t="s">
        <v>28</v>
      </c>
      <c r="G344" t="s">
        <v>29</v>
      </c>
      <c r="H344">
        <v>0.221472</v>
      </c>
      <c r="I344">
        <v>0.223021</v>
      </c>
      <c r="K344" s="4">
        <f t="shared" si="5"/>
        <v>1.0069941121225257</v>
      </c>
      <c r="O344" s="1"/>
    </row>
    <row r="345" spans="2:15" x14ac:dyDescent="0.25">
      <c r="B345" t="s">
        <v>25</v>
      </c>
      <c r="C345" s="1">
        <v>208.75</v>
      </c>
      <c r="D345" t="s">
        <v>26</v>
      </c>
      <c r="E345" t="s">
        <v>27</v>
      </c>
      <c r="F345" t="s">
        <v>28</v>
      </c>
      <c r="G345" t="s">
        <v>29</v>
      </c>
      <c r="H345">
        <v>0.221581</v>
      </c>
      <c r="I345">
        <v>0.22273299999999999</v>
      </c>
      <c r="K345" s="4">
        <f t="shared" si="5"/>
        <v>1.0051990017194614</v>
      </c>
      <c r="O345" s="1"/>
    </row>
    <row r="346" spans="2:15" x14ac:dyDescent="0.25">
      <c r="B346" t="s">
        <v>25</v>
      </c>
      <c r="C346" s="1">
        <v>209.33333333333334</v>
      </c>
      <c r="D346" t="s">
        <v>26</v>
      </c>
      <c r="E346" t="s">
        <v>27</v>
      </c>
      <c r="F346" t="s">
        <v>28</v>
      </c>
      <c r="G346" t="s">
        <v>29</v>
      </c>
      <c r="H346">
        <v>0.39145600000000003</v>
      </c>
      <c r="I346">
        <v>0.38952300000000001</v>
      </c>
      <c r="K346" s="4">
        <f t="shared" si="5"/>
        <v>0.9950620248508133</v>
      </c>
      <c r="O346" s="1"/>
    </row>
    <row r="347" spans="2:15" x14ac:dyDescent="0.25">
      <c r="B347" t="s">
        <v>25</v>
      </c>
      <c r="C347" s="1">
        <v>209.91666666666666</v>
      </c>
      <c r="D347" t="s">
        <v>26</v>
      </c>
      <c r="E347" t="s">
        <v>27</v>
      </c>
      <c r="F347" t="s">
        <v>28</v>
      </c>
      <c r="G347" t="s">
        <v>29</v>
      </c>
      <c r="H347">
        <v>0.71888600000000002</v>
      </c>
      <c r="I347">
        <v>0.71795200000000003</v>
      </c>
      <c r="K347" s="4">
        <f t="shared" si="5"/>
        <v>0.99870076757650028</v>
      </c>
      <c r="O347" s="1"/>
    </row>
    <row r="348" spans="2:15" x14ac:dyDescent="0.25">
      <c r="B348" t="s">
        <v>25</v>
      </c>
      <c r="C348" s="1">
        <v>210.5</v>
      </c>
      <c r="D348" t="s">
        <v>26</v>
      </c>
      <c r="E348" t="s">
        <v>27</v>
      </c>
      <c r="F348" t="s">
        <v>28</v>
      </c>
      <c r="G348" t="s">
        <v>29</v>
      </c>
      <c r="H348">
        <v>1.3775360000000001</v>
      </c>
      <c r="I348">
        <v>1.443821</v>
      </c>
      <c r="K348" s="4">
        <f t="shared" si="5"/>
        <v>1.0481185246701357</v>
      </c>
      <c r="O348" s="1"/>
    </row>
    <row r="349" spans="2:15" x14ac:dyDescent="0.25">
      <c r="B349" t="s">
        <v>25</v>
      </c>
      <c r="C349" s="1">
        <v>211.08333333333334</v>
      </c>
      <c r="D349" t="s">
        <v>26</v>
      </c>
      <c r="E349" t="s">
        <v>27</v>
      </c>
      <c r="F349" t="s">
        <v>28</v>
      </c>
      <c r="G349" t="s">
        <v>29</v>
      </c>
      <c r="H349">
        <v>2.6950590000000001</v>
      </c>
      <c r="I349">
        <v>2.7107459999999999</v>
      </c>
      <c r="K349" s="4">
        <f t="shared" si="5"/>
        <v>1.0058206517927808</v>
      </c>
      <c r="O349" s="1"/>
    </row>
    <row r="350" spans="2:15" x14ac:dyDescent="0.25">
      <c r="B350" t="s">
        <v>25</v>
      </c>
      <c r="C350" s="1">
        <v>211.66666666666666</v>
      </c>
      <c r="D350" t="s">
        <v>26</v>
      </c>
      <c r="E350" t="s">
        <v>27</v>
      </c>
      <c r="F350" t="s">
        <v>28</v>
      </c>
      <c r="G350" t="s">
        <v>29</v>
      </c>
      <c r="H350">
        <v>5.3312090000000003</v>
      </c>
      <c r="I350">
        <v>5.332827</v>
      </c>
      <c r="K350" s="4">
        <f t="shared" si="5"/>
        <v>1.0003034958862052</v>
      </c>
      <c r="O350" s="1"/>
    </row>
    <row r="351" spans="2:15" x14ac:dyDescent="0.25">
      <c r="B351" t="s">
        <v>25</v>
      </c>
      <c r="C351" s="1">
        <v>212.25</v>
      </c>
      <c r="D351" t="s">
        <v>26</v>
      </c>
      <c r="E351" t="s">
        <v>27</v>
      </c>
      <c r="F351" t="s">
        <v>28</v>
      </c>
      <c r="G351" t="s">
        <v>29</v>
      </c>
      <c r="H351">
        <v>0.376915</v>
      </c>
      <c r="I351">
        <v>0.37990400000000002</v>
      </c>
      <c r="K351" s="4">
        <f t="shared" si="5"/>
        <v>1.007930169932213</v>
      </c>
      <c r="O351" s="1"/>
    </row>
    <row r="352" spans="2:15" x14ac:dyDescent="0.25">
      <c r="B352" t="s">
        <v>25</v>
      </c>
      <c r="C352" s="1">
        <v>212.83333333333334</v>
      </c>
      <c r="D352" t="s">
        <v>26</v>
      </c>
      <c r="E352" t="s">
        <v>27</v>
      </c>
      <c r="F352" t="s">
        <v>28</v>
      </c>
      <c r="G352" t="s">
        <v>29</v>
      </c>
      <c r="H352">
        <v>0.37642199999999998</v>
      </c>
      <c r="I352">
        <v>0.38214399999999998</v>
      </c>
      <c r="K352" s="4">
        <f t="shared" si="5"/>
        <v>1.0152010243822094</v>
      </c>
      <c r="O352" s="1"/>
    </row>
    <row r="353" spans="2:15" x14ac:dyDescent="0.25">
      <c r="B353" t="s">
        <v>25</v>
      </c>
      <c r="C353" s="1">
        <v>213.41666666666666</v>
      </c>
      <c r="D353" t="s">
        <v>26</v>
      </c>
      <c r="E353" t="s">
        <v>27</v>
      </c>
      <c r="F353" t="s">
        <v>28</v>
      </c>
      <c r="G353" t="s">
        <v>29</v>
      </c>
      <c r="H353">
        <v>0.37673000000000001</v>
      </c>
      <c r="I353">
        <v>0.37792599999999998</v>
      </c>
      <c r="K353" s="4">
        <f t="shared" si="5"/>
        <v>1.0031746874419345</v>
      </c>
      <c r="O353" s="1"/>
    </row>
    <row r="354" spans="2:15" x14ac:dyDescent="0.25">
      <c r="B354" t="s">
        <v>25</v>
      </c>
      <c r="C354" s="1">
        <v>214</v>
      </c>
      <c r="D354" t="s">
        <v>26</v>
      </c>
      <c r="E354" t="s">
        <v>27</v>
      </c>
      <c r="F354" t="s">
        <v>28</v>
      </c>
      <c r="G354" t="s">
        <v>29</v>
      </c>
      <c r="H354">
        <v>0.37891799999999998</v>
      </c>
      <c r="I354">
        <v>0.379469</v>
      </c>
      <c r="K354" s="4">
        <f t="shared" si="5"/>
        <v>1.0014541404736645</v>
      </c>
      <c r="O354" s="1"/>
    </row>
    <row r="355" spans="2:15" x14ac:dyDescent="0.25">
      <c r="B355" t="s">
        <v>25</v>
      </c>
      <c r="C355" s="1">
        <v>214.58333333333334</v>
      </c>
      <c r="D355" t="s">
        <v>26</v>
      </c>
      <c r="E355" t="s">
        <v>27</v>
      </c>
      <c r="F355" t="s">
        <v>28</v>
      </c>
      <c r="G355" t="s">
        <v>29</v>
      </c>
      <c r="H355">
        <v>0.37899500000000003</v>
      </c>
      <c r="I355">
        <v>0.38886399999999999</v>
      </c>
      <c r="K355" s="4">
        <f t="shared" si="5"/>
        <v>1.0260399213709943</v>
      </c>
      <c r="O355" s="1"/>
    </row>
    <row r="356" spans="2:15" x14ac:dyDescent="0.25">
      <c r="B356" t="s">
        <v>25</v>
      </c>
      <c r="C356" s="1">
        <v>215.16666666666666</v>
      </c>
      <c r="D356" t="s">
        <v>26</v>
      </c>
      <c r="E356" t="s">
        <v>27</v>
      </c>
      <c r="F356" t="s">
        <v>28</v>
      </c>
      <c r="G356" t="s">
        <v>29</v>
      </c>
      <c r="H356">
        <v>0.70670699999999997</v>
      </c>
      <c r="I356">
        <v>0.71143000000000001</v>
      </c>
      <c r="K356" s="4">
        <f t="shared" si="5"/>
        <v>1.0066831091244322</v>
      </c>
      <c r="O356" s="1"/>
    </row>
    <row r="357" spans="2:15" x14ac:dyDescent="0.25">
      <c r="B357" t="s">
        <v>25</v>
      </c>
      <c r="C357" s="1">
        <v>215.75</v>
      </c>
      <c r="D357" t="s">
        <v>26</v>
      </c>
      <c r="E357" t="s">
        <v>27</v>
      </c>
      <c r="F357" t="s">
        <v>28</v>
      </c>
      <c r="G357" t="s">
        <v>29</v>
      </c>
      <c r="H357">
        <v>1.3458749999999999</v>
      </c>
      <c r="I357">
        <v>1.3551880000000001</v>
      </c>
      <c r="K357" s="4">
        <f t="shared" si="5"/>
        <v>1.0069196619299714</v>
      </c>
      <c r="O357" s="1"/>
    </row>
    <row r="358" spans="2:15" x14ac:dyDescent="0.25">
      <c r="B358" t="s">
        <v>25</v>
      </c>
      <c r="C358" s="1">
        <v>216.33333333333334</v>
      </c>
      <c r="D358" t="s">
        <v>26</v>
      </c>
      <c r="E358" t="s">
        <v>27</v>
      </c>
      <c r="F358" t="s">
        <v>28</v>
      </c>
      <c r="G358" t="s">
        <v>29</v>
      </c>
      <c r="H358">
        <v>2.6247929999999999</v>
      </c>
      <c r="I358">
        <v>2.6277550000000001</v>
      </c>
      <c r="K358" s="4">
        <f t="shared" si="5"/>
        <v>1.0011284699402963</v>
      </c>
      <c r="O358" s="1"/>
    </row>
    <row r="359" spans="2:15" x14ac:dyDescent="0.25">
      <c r="B359" t="s">
        <v>25</v>
      </c>
      <c r="C359" s="1">
        <v>216.91666666666666</v>
      </c>
      <c r="D359" t="s">
        <v>26</v>
      </c>
      <c r="E359" t="s">
        <v>27</v>
      </c>
      <c r="F359" t="s">
        <v>28</v>
      </c>
      <c r="G359" t="s">
        <v>29</v>
      </c>
      <c r="H359">
        <v>5.1840619999999999</v>
      </c>
      <c r="I359">
        <v>5.197438</v>
      </c>
      <c r="K359" s="4">
        <f t="shared" si="5"/>
        <v>1.0025802160545148</v>
      </c>
      <c r="O359" s="1"/>
    </row>
    <row r="360" spans="2:15" x14ac:dyDescent="0.25">
      <c r="B360" t="s">
        <v>25</v>
      </c>
      <c r="C360" s="1">
        <v>217.5</v>
      </c>
      <c r="D360" t="s">
        <v>26</v>
      </c>
      <c r="E360" t="s">
        <v>27</v>
      </c>
      <c r="F360" t="s">
        <v>28</v>
      </c>
      <c r="G360" t="s">
        <v>29</v>
      </c>
      <c r="H360">
        <v>10.305728999999999</v>
      </c>
      <c r="I360">
        <v>10.309286999999999</v>
      </c>
      <c r="K360" s="4">
        <f t="shared" si="5"/>
        <v>1.0003452448633183</v>
      </c>
      <c r="O36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L14"/>
  <sheetViews>
    <sheetView workbookViewId="0">
      <selection activeCell="K21" sqref="K21"/>
    </sheetView>
  </sheetViews>
  <sheetFormatPr defaultRowHeight="13.8" x14ac:dyDescent="0.25"/>
  <cols>
    <col min="7" max="8" width="13" customWidth="1"/>
  </cols>
  <sheetData>
    <row r="6" spans="4:12" x14ac:dyDescent="0.25">
      <c r="D6" t="s">
        <v>244</v>
      </c>
      <c r="F6" t="s">
        <v>245</v>
      </c>
      <c r="G6" t="s">
        <v>246</v>
      </c>
      <c r="H6" t="s">
        <v>245</v>
      </c>
      <c r="J6" t="s">
        <v>246</v>
      </c>
    </row>
    <row r="8" spans="4:12" x14ac:dyDescent="0.25">
      <c r="G8" t="s">
        <v>247</v>
      </c>
      <c r="I8" t="s">
        <v>249</v>
      </c>
      <c r="J8" t="s">
        <v>247</v>
      </c>
      <c r="L8" t="s">
        <v>249</v>
      </c>
    </row>
    <row r="9" spans="4:12" x14ac:dyDescent="0.25">
      <c r="H9" t="s">
        <v>248</v>
      </c>
      <c r="K9" t="s">
        <v>248</v>
      </c>
    </row>
    <row r="12" spans="4:12" x14ac:dyDescent="0.25">
      <c r="F12" t="s">
        <v>250</v>
      </c>
      <c r="J12" t="s">
        <v>250</v>
      </c>
    </row>
    <row r="13" spans="4:12" x14ac:dyDescent="0.25">
      <c r="G13" t="s">
        <v>99</v>
      </c>
      <c r="I13" t="s">
        <v>251</v>
      </c>
    </row>
    <row r="14" spans="4:12" x14ac:dyDescent="0.25">
      <c r="H14" t="s">
        <v>248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GQA</vt:lpstr>
      <vt:lpstr>ROPE</vt:lpstr>
      <vt:lpstr>theory_128</vt:lpstr>
      <vt:lpstr>theory_576</vt:lpstr>
      <vt:lpstr>theory_from_nicol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Tu</dc:creator>
  <cp:lastModifiedBy>Zheng Li(李政)</cp:lastModifiedBy>
  <dcterms:created xsi:type="dcterms:W3CDTF">2025-02-13T06:46:51Z</dcterms:created>
  <dcterms:modified xsi:type="dcterms:W3CDTF">2025-03-14T13:10:19Z</dcterms:modified>
</cp:coreProperties>
</file>