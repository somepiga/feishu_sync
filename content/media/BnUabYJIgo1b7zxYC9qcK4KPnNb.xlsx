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大模型\"/>
    </mc:Choice>
  </mc:AlternateContent>
  <bookViews>
    <workbookView xWindow="0" yWindow="0" windowWidth="19200" windowHeight="7008" firstSheet="1" activeTab="9"/>
  </bookViews>
  <sheets>
    <sheet name="GQA" sheetId="6" r:id="rId1"/>
    <sheet name="ROPE" sheetId="5" r:id="rId2"/>
    <sheet name="theory_128" sheetId="7" r:id="rId3"/>
    <sheet name="theory_576" sheetId="11" r:id="rId4"/>
    <sheet name="576_分步性能" sheetId="15" r:id="rId5"/>
    <sheet name="theory_from_nicol" sheetId="10" r:id="rId6"/>
    <sheet name="prefill" sheetId="12" r:id="rId7"/>
    <sheet name="Sheet1" sheetId="13" r:id="rId8"/>
    <sheet name="Qwen" sheetId="16" r:id="rId9"/>
    <sheet name="softmax BF16 seq=1" sheetId="17" r:id="rId10"/>
    <sheet name="softmax BF16 seq=2" sheetId="18" r:id="rId11"/>
    <sheet name="Sheet3" sheetId="19" r:id="rId12"/>
  </sheets>
  <definedNames>
    <definedName name="_xlnm._FilterDatabase" localSheetId="2" hidden="1">theory_128!$C$1:$C$178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85" i="17" l="1"/>
  <c r="AI86" i="17"/>
  <c r="AI87" i="17"/>
  <c r="AI88" i="17"/>
  <c r="AI89" i="17"/>
  <c r="AI90" i="17"/>
  <c r="AI91" i="17"/>
  <c r="AI92" i="17"/>
  <c r="AI93" i="17"/>
  <c r="AI94" i="17"/>
  <c r="AI95" i="17"/>
  <c r="AI96" i="17"/>
  <c r="AI97" i="17"/>
  <c r="AI98" i="17"/>
  <c r="AI99" i="17"/>
  <c r="AI100" i="17"/>
  <c r="AI101" i="17"/>
  <c r="AI102" i="17"/>
  <c r="AI103" i="17"/>
  <c r="AI104" i="17"/>
  <c r="AI105" i="17"/>
  <c r="AI106" i="17"/>
  <c r="AI107" i="17"/>
  <c r="AI108" i="17"/>
  <c r="AI109" i="17"/>
  <c r="AI110" i="17"/>
  <c r="AI111" i="17"/>
  <c r="AI112" i="17"/>
  <c r="AI113" i="17"/>
  <c r="AI114" i="17"/>
  <c r="AI115" i="17"/>
  <c r="AI116" i="17"/>
  <c r="AI117" i="17"/>
  <c r="AI118" i="17"/>
  <c r="AI119" i="17"/>
  <c r="AI120" i="17"/>
  <c r="AI121" i="17"/>
  <c r="AI122" i="17"/>
  <c r="AI123" i="17"/>
  <c r="AI124" i="17"/>
  <c r="AI125" i="17"/>
  <c r="AI126" i="17"/>
  <c r="AI127" i="17"/>
  <c r="AI128" i="17"/>
  <c r="AI129" i="17"/>
  <c r="AI130" i="17"/>
  <c r="AI131" i="17"/>
  <c r="AI132" i="17"/>
  <c r="AI133" i="17"/>
  <c r="AI134" i="17"/>
  <c r="AI135" i="17"/>
  <c r="AI136" i="17"/>
  <c r="AI137" i="17"/>
  <c r="AI138" i="17"/>
  <c r="AI139" i="17"/>
  <c r="AI140" i="17"/>
  <c r="AI141" i="17"/>
  <c r="AI142" i="17"/>
  <c r="AI143" i="17"/>
  <c r="AI144" i="17"/>
  <c r="AI145" i="17"/>
  <c r="AI146" i="17"/>
  <c r="AI147" i="17"/>
  <c r="AI148" i="17"/>
  <c r="AI149" i="17"/>
  <c r="AI150" i="17"/>
  <c r="AI151" i="17"/>
  <c r="AI152" i="17"/>
  <c r="AI153" i="17"/>
  <c r="AI154" i="17"/>
  <c r="AI155" i="17"/>
  <c r="AI156" i="17"/>
  <c r="AI157" i="17"/>
  <c r="AI158" i="17"/>
  <c r="AI159" i="17"/>
  <c r="AI160" i="17"/>
  <c r="AI161" i="17"/>
  <c r="AI162" i="17"/>
  <c r="AI163" i="17"/>
  <c r="AI164" i="17"/>
  <c r="AI165" i="17"/>
  <c r="AI166" i="17"/>
  <c r="AI167" i="17"/>
  <c r="AI168" i="17"/>
  <c r="AI169" i="17"/>
  <c r="AI85" i="18"/>
  <c r="AI86" i="18"/>
  <c r="AI87" i="18"/>
  <c r="AI88" i="18"/>
  <c r="AI89" i="18"/>
  <c r="AI90" i="18"/>
  <c r="AI91" i="18"/>
  <c r="AI92" i="18"/>
  <c r="AI93" i="18"/>
  <c r="AI94" i="18"/>
  <c r="AI95" i="18"/>
  <c r="AI96" i="18"/>
  <c r="AI97" i="18"/>
  <c r="AI98" i="18"/>
  <c r="AI99" i="18"/>
  <c r="AI100" i="18"/>
  <c r="AI101" i="18"/>
  <c r="AI102" i="18"/>
  <c r="AI103" i="18"/>
  <c r="AI104" i="18"/>
  <c r="AI105" i="18"/>
  <c r="AI106" i="18"/>
  <c r="AI107" i="18"/>
  <c r="AI108" i="18"/>
  <c r="AI109" i="18"/>
  <c r="AI110" i="18"/>
  <c r="AI111" i="18"/>
  <c r="AI112" i="18"/>
  <c r="AI113" i="18"/>
  <c r="AI114" i="18"/>
  <c r="AI115" i="18"/>
  <c r="AI116" i="18"/>
  <c r="AI117" i="18"/>
  <c r="AI118" i="18"/>
  <c r="AI119" i="18"/>
  <c r="AI120" i="18"/>
  <c r="AI121" i="18"/>
  <c r="AI122" i="18"/>
  <c r="AI123" i="18"/>
  <c r="AI124" i="18"/>
  <c r="AI125" i="18"/>
  <c r="AI126" i="18"/>
  <c r="AI127" i="18"/>
  <c r="AI128" i="18"/>
  <c r="AI129" i="18"/>
  <c r="AI130" i="18"/>
  <c r="AI131" i="18"/>
  <c r="AI132" i="18"/>
  <c r="AI133" i="18"/>
  <c r="AI134" i="18"/>
  <c r="AI135" i="18"/>
  <c r="AI136" i="18"/>
  <c r="AI137" i="18"/>
  <c r="AI138" i="18"/>
  <c r="AI139" i="18"/>
  <c r="AI140" i="18"/>
  <c r="AI141" i="18"/>
  <c r="AI142" i="18"/>
  <c r="AI143" i="18"/>
  <c r="AI144" i="18"/>
  <c r="AI145" i="18"/>
  <c r="AI146" i="18"/>
  <c r="AI147" i="18"/>
  <c r="AI148" i="18"/>
  <c r="AI149" i="18"/>
  <c r="AI150" i="18"/>
  <c r="AI151" i="18"/>
  <c r="AI152" i="18"/>
  <c r="AI153" i="18"/>
  <c r="AI154" i="18"/>
  <c r="AI155" i="18"/>
  <c r="AI156" i="18"/>
  <c r="AI157" i="18"/>
  <c r="AI158" i="18"/>
  <c r="AI159" i="18"/>
  <c r="AI160" i="18"/>
  <c r="AI161" i="18"/>
  <c r="AI162" i="18"/>
  <c r="AI163" i="18"/>
  <c r="AI164" i="18"/>
  <c r="AI165" i="18"/>
  <c r="AI166" i="18"/>
  <c r="AI167" i="18"/>
  <c r="AI168" i="18"/>
  <c r="AI169" i="18"/>
  <c r="AE169" i="18"/>
  <c r="X169" i="18"/>
  <c r="T169" i="18"/>
  <c r="P169" i="18"/>
  <c r="L169" i="18"/>
  <c r="F169" i="18"/>
  <c r="AE168" i="18"/>
  <c r="X168" i="18"/>
  <c r="T168" i="18"/>
  <c r="P168" i="18"/>
  <c r="L168" i="18"/>
  <c r="F168" i="18"/>
  <c r="AE167" i="18"/>
  <c r="X167" i="18"/>
  <c r="T167" i="18"/>
  <c r="P167" i="18"/>
  <c r="L167" i="18"/>
  <c r="F167" i="18"/>
  <c r="AE166" i="18"/>
  <c r="X166" i="18"/>
  <c r="T166" i="18"/>
  <c r="P166" i="18"/>
  <c r="L166" i="18"/>
  <c r="F166" i="18"/>
  <c r="AE165" i="18"/>
  <c r="X165" i="18"/>
  <c r="T165" i="18"/>
  <c r="P165" i="18"/>
  <c r="L165" i="18"/>
  <c r="F165" i="18"/>
  <c r="AE164" i="18"/>
  <c r="X164" i="18"/>
  <c r="T164" i="18"/>
  <c r="P164" i="18"/>
  <c r="L164" i="18"/>
  <c r="F164" i="18"/>
  <c r="AE163" i="18"/>
  <c r="X163" i="18"/>
  <c r="T163" i="18"/>
  <c r="P163" i="18"/>
  <c r="L163" i="18"/>
  <c r="F163" i="18"/>
  <c r="AE162" i="18"/>
  <c r="X162" i="18"/>
  <c r="T162" i="18"/>
  <c r="P162" i="18"/>
  <c r="L162" i="18"/>
  <c r="F162" i="18"/>
  <c r="AE161" i="18"/>
  <c r="X161" i="18"/>
  <c r="T161" i="18"/>
  <c r="P161" i="18"/>
  <c r="L161" i="18"/>
  <c r="F161" i="18"/>
  <c r="AE160" i="18"/>
  <c r="X160" i="18"/>
  <c r="T160" i="18"/>
  <c r="P160" i="18"/>
  <c r="L160" i="18"/>
  <c r="F160" i="18"/>
  <c r="AE159" i="18"/>
  <c r="X159" i="18"/>
  <c r="T159" i="18"/>
  <c r="P159" i="18"/>
  <c r="L159" i="18"/>
  <c r="F159" i="18"/>
  <c r="AE158" i="18"/>
  <c r="X158" i="18"/>
  <c r="T158" i="18"/>
  <c r="P158" i="18"/>
  <c r="L158" i="18"/>
  <c r="F158" i="18"/>
  <c r="AE157" i="18"/>
  <c r="X157" i="18"/>
  <c r="T157" i="18"/>
  <c r="P157" i="18"/>
  <c r="L157" i="18"/>
  <c r="F157" i="18"/>
  <c r="AE156" i="18"/>
  <c r="X156" i="18"/>
  <c r="T156" i="18"/>
  <c r="P156" i="18"/>
  <c r="L156" i="18"/>
  <c r="F156" i="18"/>
  <c r="AE155" i="18"/>
  <c r="X155" i="18"/>
  <c r="T155" i="18"/>
  <c r="P155" i="18"/>
  <c r="L155" i="18"/>
  <c r="F155" i="18"/>
  <c r="AE154" i="18"/>
  <c r="X154" i="18"/>
  <c r="T154" i="18"/>
  <c r="P154" i="18"/>
  <c r="L154" i="18"/>
  <c r="F154" i="18"/>
  <c r="AE153" i="18"/>
  <c r="X153" i="18"/>
  <c r="T153" i="18"/>
  <c r="P153" i="18"/>
  <c r="L153" i="18"/>
  <c r="F153" i="18"/>
  <c r="AE152" i="18"/>
  <c r="X152" i="18"/>
  <c r="T152" i="18"/>
  <c r="P152" i="18"/>
  <c r="L152" i="18"/>
  <c r="F152" i="18"/>
  <c r="AE151" i="18"/>
  <c r="X151" i="18"/>
  <c r="T151" i="18"/>
  <c r="P151" i="18"/>
  <c r="L151" i="18"/>
  <c r="F151" i="18"/>
  <c r="AE150" i="18"/>
  <c r="X150" i="18"/>
  <c r="T150" i="18"/>
  <c r="P150" i="18"/>
  <c r="L150" i="18"/>
  <c r="F150" i="18"/>
  <c r="AE149" i="18"/>
  <c r="X149" i="18"/>
  <c r="T149" i="18"/>
  <c r="P149" i="18"/>
  <c r="L149" i="18"/>
  <c r="F149" i="18"/>
  <c r="AE148" i="18"/>
  <c r="X148" i="18"/>
  <c r="T148" i="18"/>
  <c r="P148" i="18"/>
  <c r="L148" i="18"/>
  <c r="F148" i="18"/>
  <c r="AE147" i="18"/>
  <c r="X147" i="18"/>
  <c r="T147" i="18"/>
  <c r="P147" i="18"/>
  <c r="L147" i="18"/>
  <c r="F147" i="18"/>
  <c r="AE146" i="18"/>
  <c r="X146" i="18"/>
  <c r="T146" i="18"/>
  <c r="P146" i="18"/>
  <c r="L146" i="18"/>
  <c r="F146" i="18"/>
  <c r="AE145" i="18"/>
  <c r="X145" i="18"/>
  <c r="T145" i="18"/>
  <c r="P145" i="18"/>
  <c r="L145" i="18"/>
  <c r="F145" i="18"/>
  <c r="AE144" i="18"/>
  <c r="X144" i="18"/>
  <c r="T144" i="18"/>
  <c r="P144" i="18"/>
  <c r="L144" i="18"/>
  <c r="F144" i="18"/>
  <c r="AE143" i="18"/>
  <c r="X143" i="18"/>
  <c r="T143" i="18"/>
  <c r="P143" i="18"/>
  <c r="L143" i="18"/>
  <c r="F143" i="18"/>
  <c r="AE142" i="18"/>
  <c r="X142" i="18"/>
  <c r="T142" i="18"/>
  <c r="P142" i="18"/>
  <c r="L142" i="18"/>
  <c r="F142" i="18"/>
  <c r="AE141" i="18"/>
  <c r="X141" i="18"/>
  <c r="T141" i="18"/>
  <c r="P141" i="18"/>
  <c r="L141" i="18"/>
  <c r="F141" i="18"/>
  <c r="AE140" i="18"/>
  <c r="X140" i="18"/>
  <c r="T140" i="18"/>
  <c r="P140" i="18"/>
  <c r="L140" i="18"/>
  <c r="F140" i="18"/>
  <c r="AE139" i="18"/>
  <c r="X139" i="18"/>
  <c r="T139" i="18"/>
  <c r="P139" i="18"/>
  <c r="L139" i="18"/>
  <c r="F139" i="18"/>
  <c r="AE138" i="18"/>
  <c r="X138" i="18"/>
  <c r="T138" i="18"/>
  <c r="P138" i="18"/>
  <c r="L138" i="18"/>
  <c r="F138" i="18"/>
  <c r="AE137" i="18"/>
  <c r="X137" i="18"/>
  <c r="T137" i="18"/>
  <c r="P137" i="18"/>
  <c r="L137" i="18"/>
  <c r="F137" i="18"/>
  <c r="AE136" i="18"/>
  <c r="X136" i="18"/>
  <c r="T136" i="18"/>
  <c r="P136" i="18"/>
  <c r="L136" i="18"/>
  <c r="F136" i="18"/>
  <c r="AE135" i="18"/>
  <c r="X135" i="18"/>
  <c r="T135" i="18"/>
  <c r="P135" i="18"/>
  <c r="L135" i="18"/>
  <c r="F135" i="18"/>
  <c r="AE134" i="18"/>
  <c r="X134" i="18"/>
  <c r="T134" i="18"/>
  <c r="P134" i="18"/>
  <c r="L134" i="18"/>
  <c r="F134" i="18"/>
  <c r="AE133" i="18"/>
  <c r="X133" i="18"/>
  <c r="T133" i="18"/>
  <c r="P133" i="18"/>
  <c r="L133" i="18"/>
  <c r="F133" i="18"/>
  <c r="AE132" i="18"/>
  <c r="X132" i="18"/>
  <c r="T132" i="18"/>
  <c r="P132" i="18"/>
  <c r="L132" i="18"/>
  <c r="F132" i="18"/>
  <c r="AE131" i="18"/>
  <c r="X131" i="18"/>
  <c r="T131" i="18"/>
  <c r="P131" i="18"/>
  <c r="L131" i="18"/>
  <c r="F131" i="18"/>
  <c r="AE130" i="18"/>
  <c r="X130" i="18"/>
  <c r="T130" i="18"/>
  <c r="P130" i="18"/>
  <c r="L130" i="18"/>
  <c r="F130" i="18"/>
  <c r="AE129" i="18"/>
  <c r="X129" i="18"/>
  <c r="T129" i="18"/>
  <c r="P129" i="18"/>
  <c r="L129" i="18"/>
  <c r="F129" i="18"/>
  <c r="AE128" i="18"/>
  <c r="X128" i="18"/>
  <c r="T128" i="18"/>
  <c r="P128" i="18"/>
  <c r="L128" i="18"/>
  <c r="F128" i="18"/>
  <c r="AE127" i="18"/>
  <c r="X127" i="18"/>
  <c r="T127" i="18"/>
  <c r="P127" i="18"/>
  <c r="L127" i="18"/>
  <c r="F127" i="18"/>
  <c r="AE126" i="18"/>
  <c r="X126" i="18"/>
  <c r="T126" i="18"/>
  <c r="P126" i="18"/>
  <c r="L126" i="18"/>
  <c r="F126" i="18"/>
  <c r="AE125" i="18"/>
  <c r="X125" i="18"/>
  <c r="T125" i="18"/>
  <c r="P125" i="18"/>
  <c r="L125" i="18"/>
  <c r="F125" i="18"/>
  <c r="AE124" i="18"/>
  <c r="X124" i="18"/>
  <c r="T124" i="18"/>
  <c r="P124" i="18"/>
  <c r="L124" i="18"/>
  <c r="F124" i="18"/>
  <c r="AE123" i="18"/>
  <c r="X123" i="18"/>
  <c r="T123" i="18"/>
  <c r="P123" i="18"/>
  <c r="L123" i="18"/>
  <c r="F123" i="18"/>
  <c r="AE122" i="18"/>
  <c r="X122" i="18"/>
  <c r="T122" i="18"/>
  <c r="P122" i="18"/>
  <c r="L122" i="18"/>
  <c r="F122" i="18"/>
  <c r="AE121" i="18"/>
  <c r="X121" i="18"/>
  <c r="T121" i="18"/>
  <c r="P121" i="18"/>
  <c r="L121" i="18"/>
  <c r="F121" i="18"/>
  <c r="AE120" i="18"/>
  <c r="X120" i="18"/>
  <c r="T120" i="18"/>
  <c r="P120" i="18"/>
  <c r="L120" i="18"/>
  <c r="F120" i="18"/>
  <c r="AE119" i="18"/>
  <c r="X119" i="18"/>
  <c r="T119" i="18"/>
  <c r="P119" i="18"/>
  <c r="L119" i="18"/>
  <c r="F119" i="18"/>
  <c r="AE118" i="18"/>
  <c r="X118" i="18"/>
  <c r="T118" i="18"/>
  <c r="P118" i="18"/>
  <c r="L118" i="18"/>
  <c r="F118" i="18"/>
  <c r="AE117" i="18"/>
  <c r="X117" i="18"/>
  <c r="T117" i="18"/>
  <c r="P117" i="18"/>
  <c r="L117" i="18"/>
  <c r="F117" i="18"/>
  <c r="AE116" i="18"/>
  <c r="X116" i="18"/>
  <c r="T116" i="18"/>
  <c r="P116" i="18"/>
  <c r="L116" i="18"/>
  <c r="F116" i="18"/>
  <c r="AE115" i="18"/>
  <c r="X115" i="18"/>
  <c r="T115" i="18"/>
  <c r="P115" i="18"/>
  <c r="L115" i="18"/>
  <c r="F115" i="18"/>
  <c r="AE114" i="18"/>
  <c r="X114" i="18"/>
  <c r="T114" i="18"/>
  <c r="P114" i="18"/>
  <c r="L114" i="18"/>
  <c r="F114" i="18"/>
  <c r="AE113" i="18"/>
  <c r="X113" i="18"/>
  <c r="T113" i="18"/>
  <c r="P113" i="18"/>
  <c r="L113" i="18"/>
  <c r="AE112" i="18"/>
  <c r="X112" i="18"/>
  <c r="T112" i="18"/>
  <c r="P112" i="18"/>
  <c r="L112" i="18"/>
  <c r="AE111" i="18"/>
  <c r="X111" i="18"/>
  <c r="T111" i="18"/>
  <c r="P111" i="18"/>
  <c r="L111" i="18"/>
  <c r="AE110" i="18"/>
  <c r="X110" i="18"/>
  <c r="T110" i="18"/>
  <c r="P110" i="18"/>
  <c r="L110" i="18"/>
  <c r="AE109" i="18"/>
  <c r="X109" i="18"/>
  <c r="T109" i="18"/>
  <c r="P109" i="18"/>
  <c r="L109" i="18"/>
  <c r="AE108" i="18"/>
  <c r="X108" i="18"/>
  <c r="T108" i="18"/>
  <c r="P108" i="18"/>
  <c r="L108" i="18"/>
  <c r="AE107" i="18"/>
  <c r="X107" i="18"/>
  <c r="T107" i="18"/>
  <c r="P107" i="18"/>
  <c r="L107" i="18"/>
  <c r="AE106" i="18"/>
  <c r="X106" i="18"/>
  <c r="T106" i="18"/>
  <c r="P106" i="18"/>
  <c r="L106" i="18"/>
  <c r="AE105" i="18"/>
  <c r="X105" i="18"/>
  <c r="T105" i="18"/>
  <c r="P105" i="18"/>
  <c r="L105" i="18"/>
  <c r="AE104" i="18"/>
  <c r="X104" i="18"/>
  <c r="T104" i="18"/>
  <c r="P104" i="18"/>
  <c r="L104" i="18"/>
  <c r="AE103" i="18"/>
  <c r="X103" i="18"/>
  <c r="T103" i="18"/>
  <c r="P103" i="18"/>
  <c r="L103" i="18"/>
  <c r="AE102" i="18"/>
  <c r="X102" i="18"/>
  <c r="T102" i="18"/>
  <c r="P102" i="18"/>
  <c r="L102" i="18"/>
  <c r="AE101" i="18"/>
  <c r="X101" i="18"/>
  <c r="T101" i="18"/>
  <c r="P101" i="18"/>
  <c r="L101" i="18"/>
  <c r="AE100" i="18"/>
  <c r="X100" i="18"/>
  <c r="T100" i="18"/>
  <c r="P100" i="18"/>
  <c r="L100" i="18"/>
  <c r="AE99" i="18"/>
  <c r="X99" i="18"/>
  <c r="T99" i="18"/>
  <c r="P99" i="18"/>
  <c r="L99" i="18"/>
  <c r="AE98" i="18"/>
  <c r="X98" i="18"/>
  <c r="T98" i="18"/>
  <c r="P98" i="18"/>
  <c r="L98" i="18"/>
  <c r="AE97" i="18"/>
  <c r="X97" i="18"/>
  <c r="T97" i="18"/>
  <c r="P97" i="18"/>
  <c r="L97" i="18"/>
  <c r="AE96" i="18"/>
  <c r="X96" i="18"/>
  <c r="T96" i="18"/>
  <c r="P96" i="18"/>
  <c r="L96" i="18"/>
  <c r="AE95" i="18"/>
  <c r="X95" i="18"/>
  <c r="T95" i="18"/>
  <c r="P95" i="18"/>
  <c r="L95" i="18"/>
  <c r="AE94" i="18"/>
  <c r="X94" i="18"/>
  <c r="T94" i="18"/>
  <c r="P94" i="18"/>
  <c r="L94" i="18"/>
  <c r="AE93" i="18"/>
  <c r="X93" i="18"/>
  <c r="T93" i="18"/>
  <c r="P93" i="18"/>
  <c r="L93" i="18"/>
  <c r="AE92" i="18"/>
  <c r="X92" i="18"/>
  <c r="T92" i="18"/>
  <c r="P92" i="18"/>
  <c r="L92" i="18"/>
  <c r="AE91" i="18"/>
  <c r="X91" i="18"/>
  <c r="T91" i="18"/>
  <c r="P91" i="18"/>
  <c r="L91" i="18"/>
  <c r="AE90" i="18"/>
  <c r="X90" i="18"/>
  <c r="T90" i="18"/>
  <c r="P90" i="18"/>
  <c r="L90" i="18"/>
  <c r="AE89" i="18"/>
  <c r="X89" i="18"/>
  <c r="T89" i="18"/>
  <c r="P89" i="18"/>
  <c r="L89" i="18"/>
  <c r="AE88" i="18"/>
  <c r="X88" i="18"/>
  <c r="T88" i="18"/>
  <c r="P88" i="18"/>
  <c r="L88" i="18"/>
  <c r="AE87" i="18"/>
  <c r="X87" i="18"/>
  <c r="T87" i="18"/>
  <c r="P87" i="18"/>
  <c r="L87" i="18"/>
  <c r="AE86" i="18"/>
  <c r="X86" i="18"/>
  <c r="T86" i="18"/>
  <c r="P86" i="18"/>
  <c r="L86" i="18"/>
  <c r="AE85" i="18"/>
  <c r="X85" i="18"/>
  <c r="T85" i="18"/>
  <c r="P85" i="18"/>
  <c r="L85" i="18"/>
  <c r="F85" i="18"/>
  <c r="AI84" i="18"/>
  <c r="AE84" i="18"/>
  <c r="X84" i="18"/>
  <c r="T84" i="18"/>
  <c r="P84" i="18"/>
  <c r="L84" i="18"/>
  <c r="F84" i="18"/>
  <c r="AI83" i="18"/>
  <c r="AE83" i="18"/>
  <c r="X83" i="18"/>
  <c r="T83" i="18"/>
  <c r="P83" i="18"/>
  <c r="L83" i="18"/>
  <c r="F83" i="18"/>
  <c r="AI82" i="18"/>
  <c r="AE82" i="18"/>
  <c r="X82" i="18"/>
  <c r="T82" i="18"/>
  <c r="P82" i="18"/>
  <c r="L82" i="18"/>
  <c r="F82" i="18"/>
  <c r="AI81" i="18"/>
  <c r="AE81" i="18"/>
  <c r="X81" i="18"/>
  <c r="T81" i="18"/>
  <c r="P81" i="18"/>
  <c r="L81" i="18"/>
  <c r="F81" i="18"/>
  <c r="AI80" i="18"/>
  <c r="AE80" i="18"/>
  <c r="X80" i="18"/>
  <c r="T80" i="18"/>
  <c r="P80" i="18"/>
  <c r="L80" i="18"/>
  <c r="F80" i="18"/>
  <c r="AI79" i="18"/>
  <c r="AE79" i="18"/>
  <c r="X79" i="18"/>
  <c r="T79" i="18"/>
  <c r="P79" i="18"/>
  <c r="L79" i="18"/>
  <c r="F79" i="18"/>
  <c r="AI78" i="18"/>
  <c r="AE78" i="18"/>
  <c r="X78" i="18"/>
  <c r="T78" i="18"/>
  <c r="P78" i="18"/>
  <c r="L78" i="18"/>
  <c r="F78" i="18"/>
  <c r="AI77" i="18"/>
  <c r="AE77" i="18"/>
  <c r="X77" i="18"/>
  <c r="T77" i="18"/>
  <c r="P77" i="18"/>
  <c r="L77" i="18"/>
  <c r="F77" i="18"/>
  <c r="AI76" i="18"/>
  <c r="AE76" i="18"/>
  <c r="X76" i="18"/>
  <c r="T76" i="18"/>
  <c r="P76" i="18"/>
  <c r="L76" i="18"/>
  <c r="F76" i="18"/>
  <c r="AI75" i="18"/>
  <c r="AE75" i="18"/>
  <c r="X75" i="18"/>
  <c r="T75" i="18"/>
  <c r="P75" i="18"/>
  <c r="L75" i="18"/>
  <c r="F75" i="18"/>
  <c r="AI74" i="18"/>
  <c r="AE74" i="18"/>
  <c r="X74" i="18"/>
  <c r="T74" i="18"/>
  <c r="P74" i="18"/>
  <c r="L74" i="18"/>
  <c r="F74" i="18"/>
  <c r="AI73" i="18"/>
  <c r="AE73" i="18"/>
  <c r="X73" i="18"/>
  <c r="T73" i="18"/>
  <c r="P73" i="18"/>
  <c r="L73" i="18"/>
  <c r="F73" i="18"/>
  <c r="AI72" i="18"/>
  <c r="AE72" i="18"/>
  <c r="X72" i="18"/>
  <c r="T72" i="18"/>
  <c r="P72" i="18"/>
  <c r="L72" i="18"/>
  <c r="F72" i="18"/>
  <c r="AI71" i="18"/>
  <c r="AE71" i="18"/>
  <c r="X71" i="18"/>
  <c r="T71" i="18"/>
  <c r="P71" i="18"/>
  <c r="L71" i="18"/>
  <c r="F71" i="18"/>
  <c r="AI70" i="18"/>
  <c r="AE70" i="18"/>
  <c r="X70" i="18"/>
  <c r="T70" i="18"/>
  <c r="P70" i="18"/>
  <c r="L70" i="18"/>
  <c r="F70" i="18"/>
  <c r="AI69" i="18"/>
  <c r="AE69" i="18"/>
  <c r="X69" i="18"/>
  <c r="T69" i="18"/>
  <c r="P69" i="18"/>
  <c r="L69" i="18"/>
  <c r="F69" i="18"/>
  <c r="AI68" i="18"/>
  <c r="AE68" i="18"/>
  <c r="X68" i="18"/>
  <c r="T68" i="18"/>
  <c r="P68" i="18"/>
  <c r="L68" i="18"/>
  <c r="F68" i="18"/>
  <c r="AI67" i="18"/>
  <c r="AE67" i="18"/>
  <c r="X67" i="18"/>
  <c r="T67" i="18"/>
  <c r="P67" i="18"/>
  <c r="L67" i="18"/>
  <c r="F67" i="18"/>
  <c r="AI66" i="18"/>
  <c r="AE66" i="18"/>
  <c r="X66" i="18"/>
  <c r="T66" i="18"/>
  <c r="P66" i="18"/>
  <c r="L66" i="18"/>
  <c r="F66" i="18"/>
  <c r="AI65" i="18"/>
  <c r="AE65" i="18"/>
  <c r="X65" i="18"/>
  <c r="T65" i="18"/>
  <c r="P65" i="18"/>
  <c r="L65" i="18"/>
  <c r="F65" i="18"/>
  <c r="AI64" i="18"/>
  <c r="AE64" i="18"/>
  <c r="X64" i="18"/>
  <c r="T64" i="18"/>
  <c r="P64" i="18"/>
  <c r="L64" i="18"/>
  <c r="F64" i="18"/>
  <c r="AI63" i="18"/>
  <c r="AE63" i="18"/>
  <c r="X63" i="18"/>
  <c r="T63" i="18"/>
  <c r="P63" i="18"/>
  <c r="L63" i="18"/>
  <c r="F63" i="18"/>
  <c r="AI62" i="18"/>
  <c r="AE62" i="18"/>
  <c r="X62" i="18"/>
  <c r="T62" i="18"/>
  <c r="P62" i="18"/>
  <c r="L62" i="18"/>
  <c r="F62" i="18"/>
  <c r="AI61" i="18"/>
  <c r="AE61" i="18"/>
  <c r="X61" i="18"/>
  <c r="T61" i="18"/>
  <c r="P61" i="18"/>
  <c r="L61" i="18"/>
  <c r="F61" i="18"/>
  <c r="AI60" i="18"/>
  <c r="AE60" i="18"/>
  <c r="X60" i="18"/>
  <c r="T60" i="18"/>
  <c r="P60" i="18"/>
  <c r="L60" i="18"/>
  <c r="F60" i="18"/>
  <c r="AI59" i="18"/>
  <c r="AE59" i="18"/>
  <c r="X59" i="18"/>
  <c r="T59" i="18"/>
  <c r="P59" i="18"/>
  <c r="L59" i="18"/>
  <c r="F59" i="18"/>
  <c r="AI58" i="18"/>
  <c r="AE58" i="18"/>
  <c r="X58" i="18"/>
  <c r="T58" i="18"/>
  <c r="P58" i="18"/>
  <c r="L58" i="18"/>
  <c r="F58" i="18"/>
  <c r="AI57" i="18"/>
  <c r="AE57" i="18"/>
  <c r="X57" i="18"/>
  <c r="T57" i="18"/>
  <c r="P57" i="18"/>
  <c r="L57" i="18"/>
  <c r="F57" i="18"/>
  <c r="AI56" i="18"/>
  <c r="AE56" i="18"/>
  <c r="X56" i="18"/>
  <c r="T56" i="18"/>
  <c r="P56" i="18"/>
  <c r="L56" i="18"/>
  <c r="F56" i="18"/>
  <c r="AI55" i="18"/>
  <c r="AE55" i="18"/>
  <c r="X55" i="18"/>
  <c r="T55" i="18"/>
  <c r="P55" i="18"/>
  <c r="L55" i="18"/>
  <c r="F55" i="18"/>
  <c r="AI54" i="18"/>
  <c r="AE54" i="18"/>
  <c r="X54" i="18"/>
  <c r="T54" i="18"/>
  <c r="P54" i="18"/>
  <c r="L54" i="18"/>
  <c r="F54" i="18"/>
  <c r="AI53" i="18"/>
  <c r="AE53" i="18"/>
  <c r="X53" i="18"/>
  <c r="T53" i="18"/>
  <c r="P53" i="18"/>
  <c r="L53" i="18"/>
  <c r="F53" i="18"/>
  <c r="AI52" i="18"/>
  <c r="AE52" i="18"/>
  <c r="X52" i="18"/>
  <c r="T52" i="18"/>
  <c r="P52" i="18"/>
  <c r="L52" i="18"/>
  <c r="F52" i="18"/>
  <c r="AI51" i="18"/>
  <c r="AE51" i="18"/>
  <c r="X51" i="18"/>
  <c r="T51" i="18"/>
  <c r="P51" i="18"/>
  <c r="L51" i="18"/>
  <c r="F51" i="18"/>
  <c r="AI50" i="18"/>
  <c r="AE50" i="18"/>
  <c r="X50" i="18"/>
  <c r="T50" i="18"/>
  <c r="P50" i="18"/>
  <c r="L50" i="18"/>
  <c r="F50" i="18"/>
  <c r="AI49" i="18"/>
  <c r="AE49" i="18"/>
  <c r="X49" i="18"/>
  <c r="T49" i="18"/>
  <c r="P49" i="18"/>
  <c r="L49" i="18"/>
  <c r="F49" i="18"/>
  <c r="AI48" i="18"/>
  <c r="AE48" i="18"/>
  <c r="X48" i="18"/>
  <c r="T48" i="18"/>
  <c r="P48" i="18"/>
  <c r="L48" i="18"/>
  <c r="F48" i="18"/>
  <c r="AI47" i="18"/>
  <c r="AE47" i="18"/>
  <c r="X47" i="18"/>
  <c r="T47" i="18"/>
  <c r="P47" i="18"/>
  <c r="L47" i="18"/>
  <c r="F47" i="18"/>
  <c r="AI46" i="18"/>
  <c r="AE46" i="18"/>
  <c r="X46" i="18"/>
  <c r="T46" i="18"/>
  <c r="P46" i="18"/>
  <c r="L46" i="18"/>
  <c r="F46" i="18"/>
  <c r="AI45" i="18"/>
  <c r="AE45" i="18"/>
  <c r="X45" i="18"/>
  <c r="T45" i="18"/>
  <c r="P45" i="18"/>
  <c r="L45" i="18"/>
  <c r="F45" i="18"/>
  <c r="AI44" i="18"/>
  <c r="AE44" i="18"/>
  <c r="X44" i="18"/>
  <c r="T44" i="18"/>
  <c r="P44" i="18"/>
  <c r="L44" i="18"/>
  <c r="F44" i="18"/>
  <c r="AI43" i="18"/>
  <c r="AE43" i="18"/>
  <c r="X43" i="18"/>
  <c r="T43" i="18"/>
  <c r="P43" i="18"/>
  <c r="L43" i="18"/>
  <c r="F43" i="18"/>
  <c r="AI42" i="18"/>
  <c r="AE42" i="18"/>
  <c r="X42" i="18"/>
  <c r="T42" i="18"/>
  <c r="P42" i="18"/>
  <c r="L42" i="18"/>
  <c r="F42" i="18"/>
  <c r="AI41" i="18"/>
  <c r="AE41" i="18"/>
  <c r="X41" i="18"/>
  <c r="T41" i="18"/>
  <c r="P41" i="18"/>
  <c r="L41" i="18"/>
  <c r="F41" i="18"/>
  <c r="AI40" i="18"/>
  <c r="AE40" i="18"/>
  <c r="X40" i="18"/>
  <c r="T40" i="18"/>
  <c r="P40" i="18"/>
  <c r="L40" i="18"/>
  <c r="F40" i="18"/>
  <c r="AI39" i="18"/>
  <c r="AE39" i="18"/>
  <c r="X39" i="18"/>
  <c r="T39" i="18"/>
  <c r="P39" i="18"/>
  <c r="L39" i="18"/>
  <c r="F39" i="18"/>
  <c r="AI38" i="18"/>
  <c r="AE38" i="18"/>
  <c r="X38" i="18"/>
  <c r="T38" i="18"/>
  <c r="P38" i="18"/>
  <c r="L38" i="18"/>
  <c r="F38" i="18"/>
  <c r="AI37" i="18"/>
  <c r="AE37" i="18"/>
  <c r="X37" i="18"/>
  <c r="T37" i="18"/>
  <c r="P37" i="18"/>
  <c r="L37" i="18"/>
  <c r="F37" i="18"/>
  <c r="AI36" i="18"/>
  <c r="AE36" i="18"/>
  <c r="X36" i="18"/>
  <c r="T36" i="18"/>
  <c r="P36" i="18"/>
  <c r="L36" i="18"/>
  <c r="F36" i="18"/>
  <c r="AI35" i="18"/>
  <c r="AE35" i="18"/>
  <c r="X35" i="18"/>
  <c r="T35" i="18"/>
  <c r="P35" i="18"/>
  <c r="L35" i="18"/>
  <c r="F35" i="18"/>
  <c r="AI34" i="18"/>
  <c r="AE34" i="18"/>
  <c r="X34" i="18"/>
  <c r="T34" i="18"/>
  <c r="P34" i="18"/>
  <c r="L34" i="18"/>
  <c r="F34" i="18"/>
  <c r="AI33" i="18"/>
  <c r="AE33" i="18"/>
  <c r="X33" i="18"/>
  <c r="T33" i="18"/>
  <c r="P33" i="18"/>
  <c r="L33" i="18"/>
  <c r="F33" i="18"/>
  <c r="AI32" i="18"/>
  <c r="AE32" i="18"/>
  <c r="X32" i="18"/>
  <c r="T32" i="18"/>
  <c r="P32" i="18"/>
  <c r="L32" i="18"/>
  <c r="F32" i="18"/>
  <c r="AI31" i="18"/>
  <c r="AE31" i="18"/>
  <c r="X31" i="18"/>
  <c r="T31" i="18"/>
  <c r="P31" i="18"/>
  <c r="L31" i="18"/>
  <c r="F31" i="18"/>
  <c r="AI30" i="18"/>
  <c r="AE30" i="18"/>
  <c r="X30" i="18"/>
  <c r="T30" i="18"/>
  <c r="P30" i="18"/>
  <c r="L30" i="18"/>
  <c r="F30" i="18"/>
  <c r="AI29" i="18"/>
  <c r="AE29" i="18"/>
  <c r="X29" i="18"/>
  <c r="T29" i="18"/>
  <c r="P29" i="18"/>
  <c r="L29" i="18"/>
  <c r="AI28" i="18"/>
  <c r="AE28" i="18"/>
  <c r="X28" i="18"/>
  <c r="T28" i="18"/>
  <c r="P28" i="18"/>
  <c r="L28" i="18"/>
  <c r="AI27" i="18"/>
  <c r="AE27" i="18"/>
  <c r="X27" i="18"/>
  <c r="T27" i="18"/>
  <c r="P27" i="18"/>
  <c r="L27" i="18"/>
  <c r="AI26" i="18"/>
  <c r="AE26" i="18"/>
  <c r="X26" i="18"/>
  <c r="T26" i="18"/>
  <c r="P26" i="18"/>
  <c r="L26" i="18"/>
  <c r="AI25" i="18"/>
  <c r="AE25" i="18"/>
  <c r="X25" i="18"/>
  <c r="T25" i="18"/>
  <c r="P25" i="18"/>
  <c r="L25" i="18"/>
  <c r="AI24" i="18"/>
  <c r="AE24" i="18"/>
  <c r="X24" i="18"/>
  <c r="T24" i="18"/>
  <c r="P24" i="18"/>
  <c r="L24" i="18"/>
  <c r="AI23" i="18"/>
  <c r="AE23" i="18"/>
  <c r="X23" i="18"/>
  <c r="T23" i="18"/>
  <c r="P23" i="18"/>
  <c r="L23" i="18"/>
  <c r="AI22" i="18"/>
  <c r="AE22" i="18"/>
  <c r="X22" i="18"/>
  <c r="T22" i="18"/>
  <c r="P22" i="18"/>
  <c r="L22" i="18"/>
  <c r="AI21" i="18"/>
  <c r="AE21" i="18"/>
  <c r="X21" i="18"/>
  <c r="T21" i="18"/>
  <c r="P21" i="18"/>
  <c r="L21" i="18"/>
  <c r="AI20" i="18"/>
  <c r="AE20" i="18"/>
  <c r="X20" i="18"/>
  <c r="T20" i="18"/>
  <c r="P20" i="18"/>
  <c r="L20" i="18"/>
  <c r="AI19" i="18"/>
  <c r="AE19" i="18"/>
  <c r="X19" i="18"/>
  <c r="T19" i="18"/>
  <c r="P19" i="18"/>
  <c r="L19" i="18"/>
  <c r="AI18" i="18"/>
  <c r="AE18" i="18"/>
  <c r="X18" i="18"/>
  <c r="T18" i="18"/>
  <c r="P18" i="18"/>
  <c r="L18" i="18"/>
  <c r="AI17" i="18"/>
  <c r="AE17" i="18"/>
  <c r="X17" i="18"/>
  <c r="T17" i="18"/>
  <c r="P17" i="18"/>
  <c r="L17" i="18"/>
  <c r="AI16" i="18"/>
  <c r="AE16" i="18"/>
  <c r="X16" i="18"/>
  <c r="T16" i="18"/>
  <c r="P16" i="18"/>
  <c r="L16" i="18"/>
  <c r="AI15" i="18"/>
  <c r="AE15" i="18"/>
  <c r="X15" i="18"/>
  <c r="T15" i="18"/>
  <c r="P15" i="18"/>
  <c r="L15" i="18"/>
  <c r="AI14" i="18"/>
  <c r="AE14" i="18"/>
  <c r="X14" i="18"/>
  <c r="T14" i="18"/>
  <c r="P14" i="18"/>
  <c r="L14" i="18"/>
  <c r="AI13" i="18"/>
  <c r="AE13" i="18"/>
  <c r="X13" i="18"/>
  <c r="T13" i="18"/>
  <c r="P13" i="18"/>
  <c r="L13" i="18"/>
  <c r="AI12" i="18"/>
  <c r="AE12" i="18"/>
  <c r="X12" i="18"/>
  <c r="T12" i="18"/>
  <c r="P12" i="18"/>
  <c r="L12" i="18"/>
  <c r="AI11" i="18"/>
  <c r="AE11" i="18"/>
  <c r="X11" i="18"/>
  <c r="T11" i="18"/>
  <c r="P11" i="18"/>
  <c r="L11" i="18"/>
  <c r="AI10" i="18"/>
  <c r="AE10" i="18"/>
  <c r="X10" i="18"/>
  <c r="T10" i="18"/>
  <c r="P10" i="18"/>
  <c r="L10" i="18"/>
  <c r="AI9" i="18"/>
  <c r="AE9" i="18"/>
  <c r="X9" i="18"/>
  <c r="T9" i="18"/>
  <c r="P9" i="18"/>
  <c r="L9" i="18"/>
  <c r="AI8" i="18"/>
  <c r="AE8" i="18"/>
  <c r="X8" i="18"/>
  <c r="T8" i="18"/>
  <c r="P8" i="18"/>
  <c r="L8" i="18"/>
  <c r="AI7" i="18"/>
  <c r="AE7" i="18"/>
  <c r="X7" i="18"/>
  <c r="T7" i="18"/>
  <c r="P7" i="18"/>
  <c r="L7" i="18"/>
  <c r="AI6" i="18"/>
  <c r="AE6" i="18"/>
  <c r="X6" i="18"/>
  <c r="T6" i="18"/>
  <c r="P6" i="18"/>
  <c r="L6" i="18"/>
  <c r="AI5" i="18"/>
  <c r="AE5" i="18"/>
  <c r="X5" i="18"/>
  <c r="T5" i="18"/>
  <c r="P5" i="18"/>
  <c r="L5" i="18"/>
  <c r="AI4" i="18"/>
  <c r="AE4" i="18"/>
  <c r="X4" i="18"/>
  <c r="T4" i="18"/>
  <c r="P4" i="18"/>
  <c r="L4" i="18"/>
  <c r="AI3" i="18"/>
  <c r="AE3" i="18"/>
  <c r="X3" i="18"/>
  <c r="T3" i="18"/>
  <c r="P3" i="18"/>
  <c r="L3" i="18"/>
  <c r="AI2" i="18"/>
  <c r="AE2" i="18"/>
  <c r="X2" i="18"/>
  <c r="T2" i="18"/>
  <c r="P2" i="18"/>
  <c r="L2" i="18"/>
  <c r="AI3" i="17"/>
  <c r="AI4" i="17"/>
  <c r="AI5" i="17"/>
  <c r="AI6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67" i="17"/>
  <c r="AI68" i="17"/>
  <c r="AI69" i="17"/>
  <c r="AI70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83" i="17"/>
  <c r="AI84" i="17"/>
  <c r="AI2" i="17"/>
  <c r="AE3" i="17"/>
  <c r="AE4" i="17"/>
  <c r="AE5" i="17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E38" i="17"/>
  <c r="AE39" i="17"/>
  <c r="AE40" i="17"/>
  <c r="AE41" i="17"/>
  <c r="AE42" i="17"/>
  <c r="AE43" i="17"/>
  <c r="AE44" i="17"/>
  <c r="AE45" i="17"/>
  <c r="AE46" i="17"/>
  <c r="AE47" i="17"/>
  <c r="AE48" i="17"/>
  <c r="AE49" i="17"/>
  <c r="AE50" i="17"/>
  <c r="AE51" i="17"/>
  <c r="AE52" i="17"/>
  <c r="AE53" i="17"/>
  <c r="AE54" i="17"/>
  <c r="AE55" i="17"/>
  <c r="AE56" i="17"/>
  <c r="AE57" i="17"/>
  <c r="AE58" i="17"/>
  <c r="AE59" i="17"/>
  <c r="AE60" i="17"/>
  <c r="AE61" i="17"/>
  <c r="AE62" i="17"/>
  <c r="AE63" i="17"/>
  <c r="AE64" i="17"/>
  <c r="AE65" i="17"/>
  <c r="AE66" i="17"/>
  <c r="AE67" i="17"/>
  <c r="AE68" i="17"/>
  <c r="AE69" i="17"/>
  <c r="AE70" i="17"/>
  <c r="AE71" i="17"/>
  <c r="AE72" i="17"/>
  <c r="AE73" i="17"/>
  <c r="AE74" i="17"/>
  <c r="AE75" i="17"/>
  <c r="AE76" i="17"/>
  <c r="AE77" i="17"/>
  <c r="AE78" i="17"/>
  <c r="AE79" i="17"/>
  <c r="AE80" i="17"/>
  <c r="AE81" i="17"/>
  <c r="AE82" i="17"/>
  <c r="AE83" i="17"/>
  <c r="AE84" i="17"/>
  <c r="AE85" i="17"/>
  <c r="AE86" i="17"/>
  <c r="AE87" i="17"/>
  <c r="AE88" i="17"/>
  <c r="AE89" i="17"/>
  <c r="AE90" i="17"/>
  <c r="AE91" i="17"/>
  <c r="AE92" i="17"/>
  <c r="AE93" i="17"/>
  <c r="AE94" i="17"/>
  <c r="AE95" i="17"/>
  <c r="AE96" i="17"/>
  <c r="AE97" i="17"/>
  <c r="AE98" i="17"/>
  <c r="AE99" i="17"/>
  <c r="AE100" i="17"/>
  <c r="AE101" i="17"/>
  <c r="AE102" i="17"/>
  <c r="AE103" i="17"/>
  <c r="AE104" i="17"/>
  <c r="AE105" i="17"/>
  <c r="AE106" i="17"/>
  <c r="AE107" i="17"/>
  <c r="AE108" i="17"/>
  <c r="AE109" i="17"/>
  <c r="AE110" i="17"/>
  <c r="AE111" i="17"/>
  <c r="AE112" i="17"/>
  <c r="AE113" i="17"/>
  <c r="AE114" i="17"/>
  <c r="AE115" i="17"/>
  <c r="AE116" i="17"/>
  <c r="AE117" i="17"/>
  <c r="AE118" i="17"/>
  <c r="AE119" i="17"/>
  <c r="AE120" i="17"/>
  <c r="AE121" i="17"/>
  <c r="AE122" i="17"/>
  <c r="AE123" i="17"/>
  <c r="AE124" i="17"/>
  <c r="AE125" i="17"/>
  <c r="AE126" i="17"/>
  <c r="AE127" i="17"/>
  <c r="AE128" i="17"/>
  <c r="AE129" i="17"/>
  <c r="AE130" i="17"/>
  <c r="AE131" i="17"/>
  <c r="AE132" i="17"/>
  <c r="AE133" i="17"/>
  <c r="AE134" i="17"/>
  <c r="AE135" i="17"/>
  <c r="AE136" i="17"/>
  <c r="AE137" i="17"/>
  <c r="AE138" i="17"/>
  <c r="AE139" i="17"/>
  <c r="AE140" i="17"/>
  <c r="AE141" i="17"/>
  <c r="AE142" i="17"/>
  <c r="AE143" i="17"/>
  <c r="AE144" i="17"/>
  <c r="AE145" i="17"/>
  <c r="AE146" i="17"/>
  <c r="AE147" i="17"/>
  <c r="AE148" i="17"/>
  <c r="AE149" i="17"/>
  <c r="AE150" i="17"/>
  <c r="AE151" i="17"/>
  <c r="AE152" i="17"/>
  <c r="AE153" i="17"/>
  <c r="AE154" i="17"/>
  <c r="AE155" i="17"/>
  <c r="AE156" i="17"/>
  <c r="AE157" i="17"/>
  <c r="AE158" i="17"/>
  <c r="AE159" i="17"/>
  <c r="AE160" i="17"/>
  <c r="AE161" i="17"/>
  <c r="AE162" i="17"/>
  <c r="AE163" i="17"/>
  <c r="AE164" i="17"/>
  <c r="AE165" i="17"/>
  <c r="AE166" i="17"/>
  <c r="AE167" i="17"/>
  <c r="AE168" i="17"/>
  <c r="AE169" i="17"/>
  <c r="AE2" i="17"/>
  <c r="X169" i="17"/>
  <c r="X168" i="17"/>
  <c r="X167" i="17"/>
  <c r="X166" i="17"/>
  <c r="X165" i="17"/>
  <c r="X164" i="17"/>
  <c r="X163" i="17"/>
  <c r="X162" i="17"/>
  <c r="X161" i="17"/>
  <c r="X160" i="17"/>
  <c r="X159" i="17"/>
  <c r="X158" i="17"/>
  <c r="X157" i="17"/>
  <c r="X156" i="17"/>
  <c r="X155" i="17"/>
  <c r="X154" i="17"/>
  <c r="X153" i="17"/>
  <c r="X152" i="17"/>
  <c r="X151" i="17"/>
  <c r="X150" i="17"/>
  <c r="X149" i="17"/>
  <c r="X148" i="17"/>
  <c r="X147" i="17"/>
  <c r="X146" i="17"/>
  <c r="X145" i="17"/>
  <c r="X144" i="17"/>
  <c r="X143" i="17"/>
  <c r="X142" i="17"/>
  <c r="X141" i="17"/>
  <c r="X140" i="17"/>
  <c r="X139" i="17"/>
  <c r="X138" i="17"/>
  <c r="X137" i="17"/>
  <c r="X136" i="17"/>
  <c r="X135" i="17"/>
  <c r="X134" i="17"/>
  <c r="X133" i="17"/>
  <c r="X132" i="17"/>
  <c r="X131" i="17"/>
  <c r="X130" i="17"/>
  <c r="X129" i="17"/>
  <c r="X128" i="17"/>
  <c r="X127" i="17"/>
  <c r="X126" i="17"/>
  <c r="X125" i="17"/>
  <c r="X124" i="17"/>
  <c r="X123" i="17"/>
  <c r="X122" i="17"/>
  <c r="X121" i="17"/>
  <c r="X120" i="17"/>
  <c r="X119" i="17"/>
  <c r="X118" i="17"/>
  <c r="X117" i="17"/>
  <c r="X116" i="17"/>
  <c r="X115" i="17"/>
  <c r="X114" i="17"/>
  <c r="X113" i="17"/>
  <c r="X112" i="17"/>
  <c r="X111" i="17"/>
  <c r="X110" i="17"/>
  <c r="X109" i="17"/>
  <c r="X108" i="17"/>
  <c r="X107" i="17"/>
  <c r="X106" i="17"/>
  <c r="X105" i="17"/>
  <c r="X104" i="17"/>
  <c r="X103" i="17"/>
  <c r="X102" i="17"/>
  <c r="X101" i="17"/>
  <c r="X100" i="17"/>
  <c r="X99" i="17"/>
  <c r="X98" i="17"/>
  <c r="X97" i="17"/>
  <c r="X96" i="17"/>
  <c r="X95" i="17"/>
  <c r="X94" i="17"/>
  <c r="X93" i="17"/>
  <c r="X92" i="17"/>
  <c r="X91" i="17"/>
  <c r="X90" i="17"/>
  <c r="X89" i="17"/>
  <c r="X88" i="17"/>
  <c r="X87" i="17"/>
  <c r="X86" i="17"/>
  <c r="X85" i="17"/>
  <c r="X84" i="17"/>
  <c r="X83" i="17"/>
  <c r="X82" i="17"/>
  <c r="X81" i="17"/>
  <c r="X80" i="17"/>
  <c r="X79" i="17"/>
  <c r="X78" i="17"/>
  <c r="X77" i="17"/>
  <c r="X76" i="17"/>
  <c r="X75" i="17"/>
  <c r="X74" i="17"/>
  <c r="X73" i="17"/>
  <c r="X72" i="17"/>
  <c r="X71" i="17"/>
  <c r="X70" i="17"/>
  <c r="X69" i="17"/>
  <c r="X68" i="17"/>
  <c r="X67" i="17"/>
  <c r="X66" i="17"/>
  <c r="X65" i="17"/>
  <c r="X64" i="17"/>
  <c r="X63" i="17"/>
  <c r="X62" i="17"/>
  <c r="X61" i="17"/>
  <c r="X60" i="17"/>
  <c r="X59" i="17"/>
  <c r="X58" i="17"/>
  <c r="X57" i="17"/>
  <c r="X56" i="17"/>
  <c r="X55" i="17"/>
  <c r="X54" i="17"/>
  <c r="X53" i="17"/>
  <c r="X52" i="17"/>
  <c r="X51" i="17"/>
  <c r="X50" i="17"/>
  <c r="X49" i="17"/>
  <c r="X48" i="17"/>
  <c r="X47" i="17"/>
  <c r="X46" i="17"/>
  <c r="X45" i="17"/>
  <c r="X44" i="17"/>
  <c r="X43" i="17"/>
  <c r="X42" i="17"/>
  <c r="X41" i="17"/>
  <c r="X40" i="17"/>
  <c r="X39" i="17"/>
  <c r="X38" i="17"/>
  <c r="X37" i="17"/>
  <c r="X36" i="17"/>
  <c r="X35" i="17"/>
  <c r="X34" i="17"/>
  <c r="X33" i="17"/>
  <c r="X32" i="17"/>
  <c r="X31" i="17"/>
  <c r="X30" i="17"/>
  <c r="X29" i="17"/>
  <c r="X28" i="17"/>
  <c r="X27" i="17"/>
  <c r="X26" i="17"/>
  <c r="X25" i="17"/>
  <c r="X24" i="17"/>
  <c r="X23" i="17"/>
  <c r="X22" i="17"/>
  <c r="X21" i="17"/>
  <c r="X20" i="17"/>
  <c r="X19" i="17"/>
  <c r="X18" i="17"/>
  <c r="X17" i="17"/>
  <c r="X16" i="17"/>
  <c r="X15" i="17"/>
  <c r="X14" i="17"/>
  <c r="X13" i="17"/>
  <c r="X12" i="17"/>
  <c r="X11" i="17"/>
  <c r="X10" i="17"/>
  <c r="X9" i="17"/>
  <c r="X8" i="17"/>
  <c r="X7" i="17"/>
  <c r="X6" i="17"/>
  <c r="X5" i="17"/>
  <c r="X4" i="17"/>
  <c r="X3" i="17"/>
  <c r="X2" i="17"/>
  <c r="P2" i="17"/>
  <c r="L2" i="17"/>
  <c r="L169" i="17"/>
  <c r="L168" i="17"/>
  <c r="L167" i="17"/>
  <c r="L166" i="17"/>
  <c r="L165" i="17"/>
  <c r="L164" i="17"/>
  <c r="L163" i="17"/>
  <c r="L162" i="17"/>
  <c r="L161" i="17"/>
  <c r="L160" i="17"/>
  <c r="L159" i="17"/>
  <c r="L158" i="17"/>
  <c r="L157" i="17"/>
  <c r="L156" i="17"/>
  <c r="L155" i="17"/>
  <c r="L154" i="17"/>
  <c r="L153" i="17"/>
  <c r="L152" i="17"/>
  <c r="L151" i="17"/>
  <c r="L150" i="17"/>
  <c r="L149" i="17"/>
  <c r="L148" i="17"/>
  <c r="L147" i="17"/>
  <c r="L146" i="17"/>
  <c r="L145" i="17"/>
  <c r="L144" i="17"/>
  <c r="L143" i="17"/>
  <c r="L142" i="17"/>
  <c r="L141" i="17"/>
  <c r="L140" i="17"/>
  <c r="L139" i="17"/>
  <c r="L138" i="17"/>
  <c r="L137" i="17"/>
  <c r="L136" i="17"/>
  <c r="L135" i="17"/>
  <c r="L134" i="17"/>
  <c r="L133" i="17"/>
  <c r="L132" i="17"/>
  <c r="L131" i="17"/>
  <c r="L130" i="17"/>
  <c r="L129" i="17"/>
  <c r="L128" i="17"/>
  <c r="L127" i="17"/>
  <c r="L126" i="17"/>
  <c r="L125" i="17"/>
  <c r="L124" i="17"/>
  <c r="L123" i="17"/>
  <c r="L122" i="17"/>
  <c r="L121" i="17"/>
  <c r="L120" i="17"/>
  <c r="L119" i="17"/>
  <c r="L118" i="17"/>
  <c r="L117" i="17"/>
  <c r="L116" i="17"/>
  <c r="L115" i="17"/>
  <c r="L114" i="17"/>
  <c r="L113" i="17"/>
  <c r="L112" i="17"/>
  <c r="L111" i="17"/>
  <c r="L110" i="17"/>
  <c r="L109" i="17"/>
  <c r="L108" i="17"/>
  <c r="L107" i="17"/>
  <c r="L106" i="17"/>
  <c r="L105" i="17"/>
  <c r="L104" i="17"/>
  <c r="L103" i="17"/>
  <c r="L102" i="17"/>
  <c r="L101" i="17"/>
  <c r="L100" i="17"/>
  <c r="L99" i="17"/>
  <c r="L98" i="17"/>
  <c r="L97" i="17"/>
  <c r="L96" i="17"/>
  <c r="L95" i="17"/>
  <c r="L94" i="17"/>
  <c r="L93" i="17"/>
  <c r="L92" i="17"/>
  <c r="L91" i="17"/>
  <c r="L90" i="17"/>
  <c r="L89" i="17"/>
  <c r="L88" i="17"/>
  <c r="L87" i="17"/>
  <c r="L86" i="17"/>
  <c r="L85" i="17"/>
  <c r="L84" i="17"/>
  <c r="L83" i="17"/>
  <c r="L82" i="17"/>
  <c r="L81" i="17"/>
  <c r="L80" i="17"/>
  <c r="L79" i="17"/>
  <c r="L78" i="17"/>
  <c r="L77" i="17"/>
  <c r="L76" i="17"/>
  <c r="L75" i="17"/>
  <c r="L74" i="17"/>
  <c r="L73" i="17"/>
  <c r="L72" i="17"/>
  <c r="L71" i="17"/>
  <c r="L70" i="17"/>
  <c r="L69" i="17"/>
  <c r="L68" i="17"/>
  <c r="L67" i="17"/>
  <c r="L66" i="17"/>
  <c r="L65" i="17"/>
  <c r="L64" i="17"/>
  <c r="L63" i="17"/>
  <c r="L62" i="17"/>
  <c r="L61" i="17"/>
  <c r="L60" i="17"/>
  <c r="L59" i="17"/>
  <c r="L58" i="17"/>
  <c r="L57" i="17"/>
  <c r="L56" i="17"/>
  <c r="L55" i="17"/>
  <c r="L54" i="17"/>
  <c r="L53" i="17"/>
  <c r="L52" i="17"/>
  <c r="L51" i="17"/>
  <c r="L50" i="17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52" i="17"/>
  <c r="F151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T2" i="17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R45" i="6"/>
  <c r="AR46" i="6"/>
  <c r="AR47" i="6"/>
  <c r="AR48" i="6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AR66" i="6"/>
  <c r="AR67" i="6"/>
  <c r="AR68" i="6"/>
  <c r="AR69" i="6"/>
  <c r="AR70" i="6"/>
  <c r="AR71" i="6"/>
  <c r="AR72" i="6"/>
  <c r="AR73" i="6"/>
  <c r="AR74" i="6"/>
  <c r="AR75" i="6"/>
  <c r="AR76" i="6"/>
  <c r="AR77" i="6"/>
  <c r="AR78" i="6"/>
  <c r="AR79" i="6"/>
  <c r="AR80" i="6"/>
  <c r="AR81" i="6"/>
  <c r="AR82" i="6"/>
  <c r="AR83" i="6"/>
  <c r="AR84" i="6"/>
  <c r="AR85" i="6"/>
  <c r="AR86" i="6"/>
  <c r="AR87" i="6"/>
  <c r="AR88" i="6"/>
  <c r="AR89" i="6"/>
  <c r="AR90" i="6"/>
  <c r="AR91" i="6"/>
  <c r="AR92" i="6"/>
  <c r="AR93" i="6"/>
  <c r="AR94" i="6"/>
  <c r="AR95" i="6"/>
  <c r="AR96" i="6"/>
  <c r="AR97" i="6"/>
  <c r="AR98" i="6"/>
  <c r="AR9" i="6"/>
  <c r="AP68" i="6"/>
  <c r="AK3" i="16" l="1"/>
  <c r="AK4" i="16"/>
  <c r="AK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AK40" i="16"/>
  <c r="AK41" i="16"/>
  <c r="AK42" i="16"/>
  <c r="AK43" i="16"/>
  <c r="AK44" i="16"/>
  <c r="AK45" i="16"/>
  <c r="AK46" i="16"/>
  <c r="AK47" i="16"/>
  <c r="AK48" i="16"/>
  <c r="AK49" i="16"/>
  <c r="AK50" i="16"/>
  <c r="AK51" i="16"/>
  <c r="AK52" i="16"/>
  <c r="AK53" i="16"/>
  <c r="AK54" i="16"/>
  <c r="AK55" i="16"/>
  <c r="AK56" i="16"/>
  <c r="AK57" i="16"/>
  <c r="AK58" i="16"/>
  <c r="AK59" i="16"/>
  <c r="AK60" i="16"/>
  <c r="AK61" i="16"/>
  <c r="AK62" i="16"/>
  <c r="AK63" i="16"/>
  <c r="AK64" i="16"/>
  <c r="AK65" i="16"/>
  <c r="AK66" i="16"/>
  <c r="AK67" i="16"/>
  <c r="AK68" i="16"/>
  <c r="AK69" i="16"/>
  <c r="AK70" i="16"/>
  <c r="AK71" i="16"/>
  <c r="AK72" i="16"/>
  <c r="AK73" i="16"/>
  <c r="AK74" i="16"/>
  <c r="AK75" i="16"/>
  <c r="AK76" i="16"/>
  <c r="AK77" i="16"/>
  <c r="AK78" i="16"/>
  <c r="AK79" i="16"/>
  <c r="AK80" i="16"/>
  <c r="AK81" i="16"/>
  <c r="AK82" i="16"/>
  <c r="AK83" i="16"/>
  <c r="AK84" i="16"/>
  <c r="AK85" i="16"/>
  <c r="AK86" i="16"/>
  <c r="AK87" i="16"/>
  <c r="AK88" i="16"/>
  <c r="AK89" i="16"/>
  <c r="AK90" i="16"/>
  <c r="AK91" i="16"/>
  <c r="AK92" i="16"/>
  <c r="AK93" i="16"/>
  <c r="AK94" i="16"/>
  <c r="AK95" i="16"/>
  <c r="AK96" i="16"/>
  <c r="AK97" i="16"/>
  <c r="AK98" i="16"/>
  <c r="AK99" i="16"/>
  <c r="AK100" i="16"/>
  <c r="AK101" i="16"/>
  <c r="AK102" i="16"/>
  <c r="AK103" i="16"/>
  <c r="AK104" i="16"/>
  <c r="AK105" i="16"/>
  <c r="AK106" i="16"/>
  <c r="AK107" i="16"/>
  <c r="AK108" i="16"/>
  <c r="AK109" i="16"/>
  <c r="AK110" i="16"/>
  <c r="AK111" i="16"/>
  <c r="AK112" i="16"/>
  <c r="AK113" i="16"/>
  <c r="AK114" i="16"/>
  <c r="AK115" i="16"/>
  <c r="AK116" i="16"/>
  <c r="AK117" i="16"/>
  <c r="AK118" i="16"/>
  <c r="AK119" i="16"/>
  <c r="AK120" i="16"/>
  <c r="AK121" i="16"/>
  <c r="AK122" i="16"/>
  <c r="AK123" i="16"/>
  <c r="AK124" i="16"/>
  <c r="AK125" i="16"/>
  <c r="AK126" i="16"/>
  <c r="AK127" i="16"/>
  <c r="AK128" i="16"/>
  <c r="AK129" i="16"/>
  <c r="AK130" i="16"/>
  <c r="AK131" i="16"/>
  <c r="AK132" i="16"/>
  <c r="AK133" i="16"/>
  <c r="AK134" i="16"/>
  <c r="AK135" i="16"/>
  <c r="AK136" i="16"/>
  <c r="AK137" i="16"/>
  <c r="AK138" i="16"/>
  <c r="AK139" i="16"/>
  <c r="AK140" i="16"/>
  <c r="AK141" i="16"/>
  <c r="AK142" i="16"/>
  <c r="AK143" i="16"/>
  <c r="AK144" i="16"/>
  <c r="AK145" i="16"/>
  <c r="AK146" i="16"/>
  <c r="AK147" i="16"/>
  <c r="AK148" i="16"/>
  <c r="AK149" i="16"/>
  <c r="AK150" i="16"/>
  <c r="AK151" i="16"/>
  <c r="AK152" i="16"/>
  <c r="AK153" i="16"/>
  <c r="AK154" i="16"/>
  <c r="AK155" i="16"/>
  <c r="AK156" i="16"/>
  <c r="AK157" i="16"/>
  <c r="AK158" i="16"/>
  <c r="AK159" i="16"/>
  <c r="AK160" i="16"/>
  <c r="AK161" i="16"/>
  <c r="AK162" i="16"/>
  <c r="AK163" i="16"/>
  <c r="AK164" i="16"/>
  <c r="AK165" i="16"/>
  <c r="AK166" i="16"/>
  <c r="AK167" i="16"/>
  <c r="AK168" i="16"/>
  <c r="AK169" i="16"/>
  <c r="AK2" i="16"/>
  <c r="AG3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77" i="16"/>
  <c r="AG78" i="16"/>
  <c r="AG79" i="16"/>
  <c r="AG80" i="16"/>
  <c r="AG81" i="16"/>
  <c r="AG82" i="16"/>
  <c r="AG83" i="16"/>
  <c r="AG84" i="16"/>
  <c r="AG85" i="16"/>
  <c r="AG86" i="16"/>
  <c r="AG87" i="16"/>
  <c r="AG88" i="16"/>
  <c r="AG89" i="16"/>
  <c r="AG90" i="16"/>
  <c r="AG91" i="16"/>
  <c r="AG92" i="16"/>
  <c r="AG93" i="16"/>
  <c r="AG94" i="16"/>
  <c r="AG95" i="16"/>
  <c r="AG96" i="16"/>
  <c r="AG97" i="16"/>
  <c r="AG98" i="16"/>
  <c r="AG99" i="16"/>
  <c r="AG100" i="16"/>
  <c r="AG101" i="16"/>
  <c r="AG102" i="16"/>
  <c r="AG103" i="16"/>
  <c r="AG104" i="16"/>
  <c r="AG105" i="16"/>
  <c r="AG106" i="16"/>
  <c r="AG107" i="16"/>
  <c r="AG108" i="16"/>
  <c r="AG109" i="16"/>
  <c r="AG110" i="16"/>
  <c r="AG111" i="16"/>
  <c r="AG112" i="16"/>
  <c r="AG113" i="16"/>
  <c r="AG114" i="16"/>
  <c r="AG115" i="16"/>
  <c r="AG116" i="16"/>
  <c r="AG117" i="16"/>
  <c r="AG118" i="16"/>
  <c r="AG119" i="16"/>
  <c r="AG120" i="16"/>
  <c r="AG121" i="16"/>
  <c r="AG122" i="16"/>
  <c r="AG123" i="16"/>
  <c r="AG124" i="16"/>
  <c r="AG125" i="16"/>
  <c r="AG126" i="16"/>
  <c r="AG127" i="16"/>
  <c r="AG128" i="16"/>
  <c r="AG129" i="16"/>
  <c r="AG130" i="16"/>
  <c r="AG131" i="16"/>
  <c r="AG132" i="16"/>
  <c r="AG133" i="16"/>
  <c r="AG134" i="16"/>
  <c r="AG135" i="16"/>
  <c r="AG136" i="16"/>
  <c r="AG137" i="16"/>
  <c r="AG138" i="16"/>
  <c r="AG139" i="16"/>
  <c r="AG140" i="16"/>
  <c r="AG141" i="16"/>
  <c r="AG142" i="16"/>
  <c r="AG143" i="16"/>
  <c r="AG144" i="16"/>
  <c r="AG145" i="16"/>
  <c r="AG146" i="16"/>
  <c r="AG147" i="16"/>
  <c r="AG148" i="16"/>
  <c r="AG149" i="16"/>
  <c r="AG150" i="16"/>
  <c r="AG151" i="16"/>
  <c r="AG152" i="16"/>
  <c r="AG153" i="16"/>
  <c r="AG154" i="16"/>
  <c r="AG155" i="16"/>
  <c r="AG156" i="16"/>
  <c r="AG157" i="16"/>
  <c r="AG158" i="16"/>
  <c r="AG159" i="16"/>
  <c r="AG160" i="16"/>
  <c r="AG161" i="16"/>
  <c r="AG162" i="16"/>
  <c r="AG163" i="16"/>
  <c r="AG164" i="16"/>
  <c r="AG165" i="16"/>
  <c r="AG166" i="16"/>
  <c r="AG167" i="16"/>
  <c r="AG168" i="16"/>
  <c r="AG169" i="16"/>
  <c r="AG2" i="16"/>
  <c r="AA169" i="16"/>
  <c r="AA168" i="16"/>
  <c r="AA167" i="16"/>
  <c r="AA166" i="16"/>
  <c r="AA165" i="16"/>
  <c r="AA164" i="16"/>
  <c r="AA163" i="16"/>
  <c r="AA162" i="16"/>
  <c r="AA161" i="16"/>
  <c r="AA160" i="16"/>
  <c r="AA159" i="16"/>
  <c r="AA158" i="16"/>
  <c r="AA157" i="16"/>
  <c r="AA156" i="16"/>
  <c r="AA155" i="16"/>
  <c r="AA154" i="16"/>
  <c r="AA153" i="16"/>
  <c r="AA152" i="16"/>
  <c r="AA151" i="16"/>
  <c r="AA150" i="16"/>
  <c r="AA149" i="16"/>
  <c r="AA148" i="16"/>
  <c r="AA147" i="16"/>
  <c r="AA146" i="16"/>
  <c r="AA145" i="16"/>
  <c r="AA144" i="16"/>
  <c r="AA143" i="16"/>
  <c r="AA142" i="16"/>
  <c r="AA141" i="16"/>
  <c r="AA140" i="16"/>
  <c r="AA139" i="16"/>
  <c r="AA138" i="16"/>
  <c r="AA137" i="16"/>
  <c r="AA136" i="16"/>
  <c r="AA135" i="16"/>
  <c r="AA134" i="16"/>
  <c r="AA133" i="16"/>
  <c r="AA132" i="16"/>
  <c r="AA131" i="16"/>
  <c r="AA130" i="16"/>
  <c r="AA129" i="16"/>
  <c r="AA128" i="16"/>
  <c r="AA127" i="16"/>
  <c r="AA126" i="16"/>
  <c r="AA125" i="16"/>
  <c r="AA124" i="16"/>
  <c r="AA123" i="16"/>
  <c r="AA122" i="16"/>
  <c r="AA121" i="16"/>
  <c r="AA120" i="16"/>
  <c r="AA119" i="16"/>
  <c r="AA118" i="16"/>
  <c r="AA117" i="16"/>
  <c r="AA116" i="16"/>
  <c r="AA115" i="16"/>
  <c r="AA114" i="16"/>
  <c r="AA85" i="16"/>
  <c r="AA84" i="16"/>
  <c r="AA83" i="16"/>
  <c r="AA82" i="16"/>
  <c r="AA81" i="16"/>
  <c r="AA80" i="16"/>
  <c r="AA79" i="16"/>
  <c r="AA78" i="16"/>
  <c r="AA77" i="16"/>
  <c r="AA76" i="16"/>
  <c r="AA75" i="16"/>
  <c r="AA74" i="16"/>
  <c r="AA73" i="16"/>
  <c r="AA72" i="16"/>
  <c r="AA71" i="16"/>
  <c r="AA70" i="16"/>
  <c r="AA69" i="16"/>
  <c r="AA68" i="16"/>
  <c r="AA67" i="16"/>
  <c r="AA66" i="16"/>
  <c r="AA65" i="16"/>
  <c r="AA64" i="16"/>
  <c r="AA63" i="16"/>
  <c r="AA62" i="16"/>
  <c r="AA61" i="16"/>
  <c r="AA60" i="16"/>
  <c r="AA59" i="16"/>
  <c r="AA58" i="16"/>
  <c r="AA57" i="16"/>
  <c r="AA56" i="16"/>
  <c r="AA55" i="16"/>
  <c r="AA54" i="16"/>
  <c r="AA53" i="16"/>
  <c r="AA52" i="16"/>
  <c r="AA51" i="16"/>
  <c r="AA50" i="16"/>
  <c r="AA49" i="16"/>
  <c r="AA48" i="16"/>
  <c r="AA47" i="16"/>
  <c r="AA46" i="16"/>
  <c r="AA45" i="16"/>
  <c r="AA44" i="16"/>
  <c r="AA43" i="16"/>
  <c r="AA42" i="16"/>
  <c r="AA41" i="16"/>
  <c r="AA40" i="16"/>
  <c r="AA39" i="16"/>
  <c r="AA38" i="16"/>
  <c r="AA37" i="16"/>
  <c r="AA36" i="16"/>
  <c r="AA35" i="16"/>
  <c r="AA34" i="16"/>
  <c r="AA33" i="16"/>
  <c r="AA32" i="16"/>
  <c r="AA31" i="16"/>
  <c r="AA30" i="16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2" i="16"/>
  <c r="V2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J161" i="16"/>
  <c r="J162" i="16"/>
  <c r="J163" i="16"/>
  <c r="J164" i="16"/>
  <c r="J165" i="16"/>
  <c r="J166" i="16"/>
  <c r="J167" i="16"/>
  <c r="J168" i="16"/>
  <c r="J169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3" i="16"/>
  <c r="J4" i="16"/>
  <c r="J5" i="16"/>
  <c r="J6" i="16"/>
  <c r="J7" i="16"/>
  <c r="J8" i="16"/>
  <c r="N2" i="16"/>
  <c r="J2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I9" i="12"/>
  <c r="I15" i="12"/>
  <c r="I21" i="12"/>
  <c r="I27" i="12"/>
  <c r="I33" i="12"/>
  <c r="I39" i="12"/>
  <c r="I45" i="12"/>
  <c r="I4" i="12"/>
  <c r="I10" i="12"/>
  <c r="I16" i="12"/>
  <c r="I22" i="12"/>
  <c r="I28" i="12"/>
  <c r="I34" i="12"/>
  <c r="I40" i="12"/>
  <c r="I46" i="12"/>
  <c r="I5" i="12"/>
  <c r="I11" i="12"/>
  <c r="I17" i="12"/>
  <c r="I23" i="12"/>
  <c r="I29" i="12"/>
  <c r="I35" i="12"/>
  <c r="I41" i="12"/>
  <c r="I47" i="12"/>
  <c r="I6" i="12"/>
  <c r="I12" i="12"/>
  <c r="I18" i="12"/>
  <c r="I24" i="12"/>
  <c r="I30" i="12"/>
  <c r="I36" i="12"/>
  <c r="I42" i="12"/>
  <c r="I48" i="12"/>
  <c r="I7" i="12"/>
  <c r="I13" i="12"/>
  <c r="I19" i="12"/>
  <c r="I25" i="12"/>
  <c r="I31" i="12"/>
  <c r="I37" i="12"/>
  <c r="I43" i="12"/>
  <c r="I49" i="12"/>
  <c r="I8" i="12"/>
  <c r="I14" i="12"/>
  <c r="I20" i="12"/>
  <c r="I26" i="12"/>
  <c r="I32" i="12"/>
  <c r="I38" i="12"/>
  <c r="I44" i="12"/>
  <c r="I3" i="12"/>
  <c r="X2" i="15" l="1"/>
  <c r="X11" i="15"/>
  <c r="W3" i="11"/>
  <c r="W4" i="11"/>
  <c r="W5" i="11"/>
  <c r="W6" i="11"/>
  <c r="W7" i="11"/>
  <c r="Z7" i="11" s="1"/>
  <c r="W8" i="11"/>
  <c r="W9" i="11"/>
  <c r="Z9" i="11" s="1"/>
  <c r="W10" i="11"/>
  <c r="W11" i="11"/>
  <c r="W12" i="11"/>
  <c r="W13" i="11"/>
  <c r="W14" i="11"/>
  <c r="W15" i="11"/>
  <c r="W16" i="11"/>
  <c r="W17" i="11"/>
  <c r="Z17" i="11" s="1"/>
  <c r="W18" i="11"/>
  <c r="W19" i="11"/>
  <c r="W20" i="11"/>
  <c r="W21" i="11"/>
  <c r="W22" i="11"/>
  <c r="W23" i="11"/>
  <c r="Z23" i="11" s="1"/>
  <c r="W24" i="11"/>
  <c r="W25" i="11"/>
  <c r="Z25" i="11" s="1"/>
  <c r="W26" i="11"/>
  <c r="W27" i="11"/>
  <c r="W28" i="11"/>
  <c r="W29" i="11"/>
  <c r="W30" i="11"/>
  <c r="W31" i="11"/>
  <c r="W32" i="11"/>
  <c r="W33" i="11"/>
  <c r="Z33" i="11" s="1"/>
  <c r="W34" i="11"/>
  <c r="W35" i="11"/>
  <c r="W36" i="11"/>
  <c r="W37" i="11"/>
  <c r="W38" i="11"/>
  <c r="W39" i="11"/>
  <c r="Z39" i="11" s="1"/>
  <c r="W40" i="11"/>
  <c r="W41" i="11"/>
  <c r="Z41" i="11" s="1"/>
  <c r="W42" i="11"/>
  <c r="W43" i="11"/>
  <c r="W44" i="11"/>
  <c r="W45" i="11"/>
  <c r="W46" i="11"/>
  <c r="W47" i="11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Z65" i="11" s="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2" i="11"/>
  <c r="X2" i="11"/>
  <c r="W4" i="15"/>
  <c r="W3" i="15"/>
  <c r="W2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X3" i="15"/>
  <c r="X46" i="11"/>
  <c r="X45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U11" i="15"/>
  <c r="V11" i="15"/>
  <c r="X41" i="15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2" i="15"/>
  <c r="U41" i="15"/>
  <c r="J41" i="15"/>
  <c r="T41" i="15" s="1"/>
  <c r="V41" i="15" s="1"/>
  <c r="T40" i="15"/>
  <c r="V40" i="15" s="1"/>
  <c r="J40" i="15"/>
  <c r="S40" i="15" s="1"/>
  <c r="P39" i="15"/>
  <c r="J39" i="15"/>
  <c r="X39" i="15" s="1"/>
  <c r="Q38" i="15"/>
  <c r="J38" i="15"/>
  <c r="T37" i="15"/>
  <c r="V37" i="15" s="1"/>
  <c r="Q37" i="15"/>
  <c r="J37" i="15"/>
  <c r="S37" i="15" s="1"/>
  <c r="X36" i="15"/>
  <c r="Q36" i="15"/>
  <c r="P36" i="15"/>
  <c r="J36" i="15"/>
  <c r="S36" i="15" s="1"/>
  <c r="X35" i="15"/>
  <c r="U35" i="15"/>
  <c r="S35" i="15"/>
  <c r="P35" i="15"/>
  <c r="J35" i="15"/>
  <c r="T35" i="15" s="1"/>
  <c r="V35" i="15" s="1"/>
  <c r="X34" i="15"/>
  <c r="T34" i="15"/>
  <c r="V34" i="15" s="1"/>
  <c r="J34" i="15"/>
  <c r="Q34" i="15" s="1"/>
  <c r="T33" i="15"/>
  <c r="V33" i="15" s="1"/>
  <c r="S33" i="15"/>
  <c r="Q33" i="15"/>
  <c r="O33" i="15"/>
  <c r="J33" i="15"/>
  <c r="X33" i="15" s="1"/>
  <c r="J32" i="15"/>
  <c r="T32" i="15" s="1"/>
  <c r="V32" i="15" s="1"/>
  <c r="S31" i="15"/>
  <c r="O31" i="15"/>
  <c r="J31" i="15"/>
  <c r="X31" i="15" s="1"/>
  <c r="P30" i="15"/>
  <c r="J30" i="15"/>
  <c r="U30" i="15" s="1"/>
  <c r="X29" i="15"/>
  <c r="U29" i="15"/>
  <c r="P29" i="15"/>
  <c r="O29" i="15"/>
  <c r="R29" i="15" s="1"/>
  <c r="J29" i="15"/>
  <c r="T29" i="15" s="1"/>
  <c r="V29" i="15" s="1"/>
  <c r="J28" i="15"/>
  <c r="O28" i="15" s="1"/>
  <c r="X27" i="15"/>
  <c r="Q27" i="15"/>
  <c r="P27" i="15"/>
  <c r="O27" i="15"/>
  <c r="R27" i="15" s="1"/>
  <c r="J27" i="15"/>
  <c r="T27" i="15" s="1"/>
  <c r="V27" i="15" s="1"/>
  <c r="X26" i="15"/>
  <c r="O26" i="15"/>
  <c r="J26" i="15"/>
  <c r="Q26" i="15" s="1"/>
  <c r="J25" i="15"/>
  <c r="X25" i="15" s="1"/>
  <c r="J24" i="15"/>
  <c r="T24" i="15" s="1"/>
  <c r="V24" i="15" s="1"/>
  <c r="S23" i="15"/>
  <c r="J23" i="15"/>
  <c r="X23" i="15" s="1"/>
  <c r="X22" i="15"/>
  <c r="P22" i="15"/>
  <c r="J22" i="15"/>
  <c r="U22" i="15" s="1"/>
  <c r="X21" i="15"/>
  <c r="Q21" i="15"/>
  <c r="O21" i="15"/>
  <c r="J21" i="15"/>
  <c r="T21" i="15" s="1"/>
  <c r="V21" i="15" s="1"/>
  <c r="J20" i="15"/>
  <c r="P20" i="15" s="1"/>
  <c r="U19" i="15"/>
  <c r="Q19" i="15"/>
  <c r="O19" i="15"/>
  <c r="J19" i="15"/>
  <c r="T19" i="15" s="1"/>
  <c r="V19" i="15" s="1"/>
  <c r="T18" i="15"/>
  <c r="V18" i="15" s="1"/>
  <c r="O18" i="15"/>
  <c r="J18" i="15"/>
  <c r="Q18" i="15" s="1"/>
  <c r="Q17" i="15"/>
  <c r="J17" i="15"/>
  <c r="X17" i="15" s="1"/>
  <c r="J16" i="15"/>
  <c r="S16" i="15" s="1"/>
  <c r="O15" i="15"/>
  <c r="J15" i="15"/>
  <c r="X15" i="15" s="1"/>
  <c r="X14" i="15"/>
  <c r="T14" i="15"/>
  <c r="V14" i="15" s="1"/>
  <c r="P14" i="15"/>
  <c r="J14" i="15"/>
  <c r="U14" i="15" s="1"/>
  <c r="S13" i="15"/>
  <c r="P13" i="15"/>
  <c r="J13" i="15"/>
  <c r="O13" i="15" s="1"/>
  <c r="J12" i="15"/>
  <c r="O12" i="15" s="1"/>
  <c r="Q11" i="15"/>
  <c r="J11" i="15"/>
  <c r="T11" i="15" s="1"/>
  <c r="X10" i="15"/>
  <c r="U10" i="15"/>
  <c r="P10" i="15"/>
  <c r="J10" i="15"/>
  <c r="Q10" i="15" s="1"/>
  <c r="U9" i="15"/>
  <c r="S9" i="15"/>
  <c r="O9" i="15"/>
  <c r="J9" i="15"/>
  <c r="X9" i="15" s="1"/>
  <c r="J8" i="15"/>
  <c r="T8" i="15" s="1"/>
  <c r="V8" i="15" s="1"/>
  <c r="Q7" i="15"/>
  <c r="J7" i="15"/>
  <c r="X7" i="15" s="1"/>
  <c r="P6" i="15"/>
  <c r="J6" i="15"/>
  <c r="U6" i="15" s="1"/>
  <c r="J5" i="15"/>
  <c r="O5" i="15" s="1"/>
  <c r="J4" i="15"/>
  <c r="P4" i="15" s="1"/>
  <c r="P3" i="15"/>
  <c r="J3" i="15"/>
  <c r="T3" i="15" s="1"/>
  <c r="V3" i="15" s="1"/>
  <c r="Q2" i="15"/>
  <c r="J2" i="15"/>
  <c r="O2" i="15" s="1"/>
  <c r="O3" i="11"/>
  <c r="P3" i="11"/>
  <c r="Q3" i="11"/>
  <c r="R3" i="11"/>
  <c r="S3" i="11"/>
  <c r="T3" i="11"/>
  <c r="U3" i="11"/>
  <c r="V3" i="11"/>
  <c r="X3" i="11"/>
  <c r="O4" i="11"/>
  <c r="P4" i="11"/>
  <c r="R4" i="11" s="1"/>
  <c r="Q4" i="11"/>
  <c r="S4" i="11"/>
  <c r="T4" i="11"/>
  <c r="V4" i="11" s="1"/>
  <c r="U4" i="11"/>
  <c r="X4" i="11"/>
  <c r="O5" i="11"/>
  <c r="P5" i="11"/>
  <c r="Q5" i="11"/>
  <c r="R5" i="11"/>
  <c r="S5" i="11"/>
  <c r="T5" i="11"/>
  <c r="U5" i="11"/>
  <c r="V5" i="11"/>
  <c r="X5" i="11"/>
  <c r="O6" i="11"/>
  <c r="R6" i="11" s="1"/>
  <c r="Z6" i="11" s="1"/>
  <c r="P6" i="11"/>
  <c r="Q6" i="11"/>
  <c r="S6" i="11"/>
  <c r="T6" i="11"/>
  <c r="V6" i="11" s="1"/>
  <c r="U6" i="11"/>
  <c r="X6" i="11"/>
  <c r="O7" i="11"/>
  <c r="P7" i="11"/>
  <c r="Q7" i="11"/>
  <c r="R7" i="11"/>
  <c r="S7" i="11"/>
  <c r="T7" i="11"/>
  <c r="U7" i="11"/>
  <c r="V7" i="11"/>
  <c r="X7" i="11"/>
  <c r="O8" i="11"/>
  <c r="P8" i="11"/>
  <c r="R8" i="11" s="1"/>
  <c r="Z8" i="11" s="1"/>
  <c r="Q8" i="11"/>
  <c r="S8" i="11"/>
  <c r="T8" i="11"/>
  <c r="V8" i="11" s="1"/>
  <c r="U8" i="11"/>
  <c r="X8" i="11"/>
  <c r="O9" i="11"/>
  <c r="P9" i="11"/>
  <c r="Q9" i="11"/>
  <c r="R9" i="11"/>
  <c r="S9" i="11"/>
  <c r="T9" i="11"/>
  <c r="U9" i="11"/>
  <c r="V9" i="11"/>
  <c r="X9" i="11"/>
  <c r="O10" i="11"/>
  <c r="R10" i="11" s="1"/>
  <c r="P10" i="11"/>
  <c r="Q10" i="11"/>
  <c r="S10" i="11"/>
  <c r="T10" i="11"/>
  <c r="V10" i="11" s="1"/>
  <c r="U10" i="11"/>
  <c r="X10" i="11"/>
  <c r="O11" i="11"/>
  <c r="P11" i="11"/>
  <c r="Q11" i="11"/>
  <c r="R11" i="11"/>
  <c r="S11" i="11"/>
  <c r="T11" i="11"/>
  <c r="U11" i="11"/>
  <c r="V11" i="11"/>
  <c r="X11" i="11"/>
  <c r="O12" i="11"/>
  <c r="P12" i="11"/>
  <c r="R12" i="11" s="1"/>
  <c r="Q12" i="11"/>
  <c r="S12" i="11"/>
  <c r="T12" i="11"/>
  <c r="V12" i="11" s="1"/>
  <c r="U12" i="11"/>
  <c r="X12" i="11"/>
  <c r="O13" i="11"/>
  <c r="P13" i="11"/>
  <c r="Q13" i="11"/>
  <c r="R13" i="11"/>
  <c r="S13" i="11"/>
  <c r="T13" i="11"/>
  <c r="U13" i="11"/>
  <c r="V13" i="11"/>
  <c r="X13" i="11"/>
  <c r="O14" i="11"/>
  <c r="R14" i="11" s="1"/>
  <c r="Z14" i="11" s="1"/>
  <c r="P14" i="11"/>
  <c r="Q14" i="11"/>
  <c r="S14" i="11"/>
  <c r="T14" i="11"/>
  <c r="V14" i="11" s="1"/>
  <c r="U14" i="11"/>
  <c r="X14" i="11"/>
  <c r="O15" i="11"/>
  <c r="P15" i="11"/>
  <c r="Q15" i="11"/>
  <c r="R15" i="11"/>
  <c r="S15" i="11"/>
  <c r="T15" i="11"/>
  <c r="U15" i="11"/>
  <c r="V15" i="11"/>
  <c r="X15" i="11"/>
  <c r="O16" i="11"/>
  <c r="P16" i="11"/>
  <c r="R16" i="11" s="1"/>
  <c r="Z16" i="11" s="1"/>
  <c r="Q16" i="11"/>
  <c r="S16" i="11"/>
  <c r="T16" i="11"/>
  <c r="V16" i="11" s="1"/>
  <c r="U16" i="11"/>
  <c r="X16" i="11"/>
  <c r="O17" i="11"/>
  <c r="P17" i="11"/>
  <c r="Q17" i="11"/>
  <c r="R17" i="11"/>
  <c r="S17" i="11"/>
  <c r="T17" i="11"/>
  <c r="U17" i="11"/>
  <c r="V17" i="11"/>
  <c r="X17" i="11"/>
  <c r="O18" i="11"/>
  <c r="R18" i="11" s="1"/>
  <c r="P18" i="11"/>
  <c r="Q18" i="11"/>
  <c r="S18" i="11"/>
  <c r="T18" i="11"/>
  <c r="V18" i="11" s="1"/>
  <c r="U18" i="11"/>
  <c r="X18" i="11"/>
  <c r="O19" i="11"/>
  <c r="P19" i="11"/>
  <c r="Q19" i="11"/>
  <c r="R19" i="11"/>
  <c r="S19" i="11"/>
  <c r="T19" i="11"/>
  <c r="U19" i="11"/>
  <c r="V19" i="11"/>
  <c r="X19" i="11"/>
  <c r="O20" i="11"/>
  <c r="P20" i="11"/>
  <c r="R20" i="11" s="1"/>
  <c r="Q20" i="11"/>
  <c r="S20" i="11"/>
  <c r="T20" i="11"/>
  <c r="V20" i="11" s="1"/>
  <c r="U20" i="11"/>
  <c r="X20" i="11"/>
  <c r="O21" i="11"/>
  <c r="P21" i="11"/>
  <c r="Q21" i="11"/>
  <c r="R21" i="11"/>
  <c r="S21" i="11"/>
  <c r="T21" i="11"/>
  <c r="U21" i="11"/>
  <c r="V21" i="11"/>
  <c r="X21" i="11"/>
  <c r="O22" i="11"/>
  <c r="R22" i="11" s="1"/>
  <c r="Z22" i="11" s="1"/>
  <c r="P22" i="11"/>
  <c r="Q22" i="11"/>
  <c r="S22" i="11"/>
  <c r="T22" i="11"/>
  <c r="V22" i="11" s="1"/>
  <c r="U22" i="11"/>
  <c r="X22" i="11"/>
  <c r="O23" i="11"/>
  <c r="P23" i="11"/>
  <c r="Q23" i="11"/>
  <c r="R23" i="11"/>
  <c r="S23" i="11"/>
  <c r="T23" i="11"/>
  <c r="U23" i="11"/>
  <c r="V23" i="11"/>
  <c r="X23" i="11"/>
  <c r="O24" i="11"/>
  <c r="R24" i="11" s="1"/>
  <c r="Z24" i="11" s="1"/>
  <c r="P24" i="11"/>
  <c r="Q24" i="11"/>
  <c r="S24" i="11"/>
  <c r="T24" i="11"/>
  <c r="V24" i="11" s="1"/>
  <c r="U24" i="11"/>
  <c r="X24" i="11"/>
  <c r="O25" i="11"/>
  <c r="P25" i="11"/>
  <c r="Q25" i="11"/>
  <c r="R25" i="11"/>
  <c r="S25" i="11"/>
  <c r="T25" i="11"/>
  <c r="U25" i="11"/>
  <c r="V25" i="11"/>
  <c r="X25" i="11"/>
  <c r="O26" i="11"/>
  <c r="R26" i="11" s="1"/>
  <c r="P26" i="11"/>
  <c r="Q26" i="11"/>
  <c r="S26" i="11"/>
  <c r="T26" i="11"/>
  <c r="V26" i="11" s="1"/>
  <c r="U26" i="11"/>
  <c r="X26" i="11"/>
  <c r="O27" i="11"/>
  <c r="P27" i="11"/>
  <c r="Q27" i="11"/>
  <c r="R27" i="11"/>
  <c r="S27" i="11"/>
  <c r="T27" i="11"/>
  <c r="U27" i="11"/>
  <c r="V27" i="11"/>
  <c r="X27" i="11"/>
  <c r="O28" i="11"/>
  <c r="P28" i="11"/>
  <c r="R28" i="11" s="1"/>
  <c r="Q28" i="11"/>
  <c r="S28" i="11"/>
  <c r="T28" i="11"/>
  <c r="V28" i="11" s="1"/>
  <c r="U28" i="11"/>
  <c r="X28" i="11"/>
  <c r="O29" i="11"/>
  <c r="P29" i="11"/>
  <c r="Q29" i="11"/>
  <c r="R29" i="11"/>
  <c r="S29" i="11"/>
  <c r="T29" i="11"/>
  <c r="U29" i="11"/>
  <c r="V29" i="11"/>
  <c r="X29" i="11"/>
  <c r="O30" i="11"/>
  <c r="R30" i="11" s="1"/>
  <c r="Z30" i="11" s="1"/>
  <c r="P30" i="11"/>
  <c r="Q30" i="11"/>
  <c r="S30" i="11"/>
  <c r="T30" i="11"/>
  <c r="V30" i="11" s="1"/>
  <c r="U30" i="11"/>
  <c r="X30" i="11"/>
  <c r="O31" i="11"/>
  <c r="P31" i="11"/>
  <c r="Q31" i="11"/>
  <c r="R31" i="11"/>
  <c r="S31" i="11"/>
  <c r="T31" i="11"/>
  <c r="U31" i="11"/>
  <c r="V31" i="11"/>
  <c r="X31" i="11"/>
  <c r="O32" i="11"/>
  <c r="P32" i="11"/>
  <c r="R32" i="11" s="1"/>
  <c r="Z32" i="11" s="1"/>
  <c r="Q32" i="11"/>
  <c r="S32" i="11"/>
  <c r="T32" i="11"/>
  <c r="V32" i="11" s="1"/>
  <c r="U32" i="11"/>
  <c r="X32" i="11"/>
  <c r="O33" i="11"/>
  <c r="P33" i="11"/>
  <c r="Q33" i="11"/>
  <c r="R33" i="11"/>
  <c r="S33" i="11"/>
  <c r="T33" i="11"/>
  <c r="U33" i="11"/>
  <c r="V33" i="11"/>
  <c r="X33" i="11"/>
  <c r="O34" i="11"/>
  <c r="R34" i="11" s="1"/>
  <c r="P34" i="11"/>
  <c r="Q34" i="11"/>
  <c r="S34" i="11"/>
  <c r="T34" i="11"/>
  <c r="V34" i="11" s="1"/>
  <c r="U34" i="11"/>
  <c r="X34" i="11"/>
  <c r="O35" i="11"/>
  <c r="P35" i="11"/>
  <c r="Q35" i="11"/>
  <c r="R35" i="11"/>
  <c r="S35" i="11"/>
  <c r="T35" i="11"/>
  <c r="U35" i="11"/>
  <c r="V35" i="11"/>
  <c r="X35" i="11"/>
  <c r="O36" i="11"/>
  <c r="R36" i="11" s="1"/>
  <c r="P36" i="11"/>
  <c r="Q36" i="11"/>
  <c r="S36" i="11"/>
  <c r="T36" i="11"/>
  <c r="V36" i="11" s="1"/>
  <c r="U36" i="11"/>
  <c r="X36" i="11"/>
  <c r="O37" i="11"/>
  <c r="P37" i="11"/>
  <c r="Q37" i="11"/>
  <c r="R37" i="11"/>
  <c r="S37" i="11"/>
  <c r="T37" i="11"/>
  <c r="U37" i="11"/>
  <c r="V37" i="11"/>
  <c r="X37" i="11"/>
  <c r="O38" i="11"/>
  <c r="R38" i="11" s="1"/>
  <c r="Z38" i="11" s="1"/>
  <c r="P38" i="11"/>
  <c r="Q38" i="11"/>
  <c r="S38" i="11"/>
  <c r="T38" i="11"/>
  <c r="V38" i="11" s="1"/>
  <c r="U38" i="11"/>
  <c r="X38" i="11"/>
  <c r="O39" i="11"/>
  <c r="P39" i="11"/>
  <c r="Q39" i="11"/>
  <c r="R39" i="11"/>
  <c r="S39" i="11"/>
  <c r="T39" i="11"/>
  <c r="U39" i="11"/>
  <c r="V39" i="11"/>
  <c r="X39" i="11"/>
  <c r="O40" i="11"/>
  <c r="R40" i="11" s="1"/>
  <c r="Z40" i="11" s="1"/>
  <c r="P40" i="11"/>
  <c r="Q40" i="11"/>
  <c r="S40" i="11"/>
  <c r="T40" i="11"/>
  <c r="V40" i="11" s="1"/>
  <c r="U40" i="11"/>
  <c r="X40" i="11"/>
  <c r="O41" i="11"/>
  <c r="P41" i="11"/>
  <c r="Q41" i="11"/>
  <c r="R41" i="11"/>
  <c r="S41" i="11"/>
  <c r="T41" i="11"/>
  <c r="U41" i="11"/>
  <c r="V41" i="11"/>
  <c r="X41" i="11"/>
  <c r="T2" i="11"/>
  <c r="P2" i="11"/>
  <c r="O2" i="11"/>
  <c r="X42" i="11"/>
  <c r="Z3" i="11"/>
  <c r="Z5" i="11"/>
  <c r="Z11" i="11"/>
  <c r="Z13" i="11"/>
  <c r="Z15" i="11"/>
  <c r="Z19" i="11"/>
  <c r="Z21" i="11"/>
  <c r="Z27" i="11"/>
  <c r="Z29" i="11"/>
  <c r="Z31" i="11"/>
  <c r="Z35" i="11"/>
  <c r="Z37" i="11"/>
  <c r="J76" i="11"/>
  <c r="J72" i="11"/>
  <c r="O72" i="11" s="1"/>
  <c r="D42" i="10"/>
  <c r="Q6" i="10"/>
  <c r="Q22" i="10"/>
  <c r="L63" i="10"/>
  <c r="L37" i="10"/>
  <c r="J28" i="10"/>
  <c r="T12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10" i="6"/>
  <c r="T11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9" i="6"/>
  <c r="Z27" i="15" l="1"/>
  <c r="AB27" i="15" s="1"/>
  <c r="P2" i="15"/>
  <c r="O3" i="15"/>
  <c r="R3" i="15" s="1"/>
  <c r="S7" i="15"/>
  <c r="T9" i="15"/>
  <c r="V9" i="15" s="1"/>
  <c r="U13" i="15"/>
  <c r="O17" i="15"/>
  <c r="P18" i="15"/>
  <c r="R18" i="15" s="1"/>
  <c r="S19" i="15"/>
  <c r="P21" i="15"/>
  <c r="U33" i="15"/>
  <c r="O39" i="15"/>
  <c r="R39" i="15" s="1"/>
  <c r="Z39" i="15" s="1"/>
  <c r="AB39" i="15" s="1"/>
  <c r="U40" i="15"/>
  <c r="S2" i="15"/>
  <c r="Q3" i="15"/>
  <c r="P5" i="15"/>
  <c r="T6" i="15"/>
  <c r="V6" i="15" s="1"/>
  <c r="X13" i="15"/>
  <c r="Q15" i="15"/>
  <c r="S17" i="15"/>
  <c r="S21" i="15"/>
  <c r="O25" i="15"/>
  <c r="P26" i="15"/>
  <c r="R26" i="15" s="1"/>
  <c r="Z26" i="15" s="1"/>
  <c r="AB26" i="15" s="1"/>
  <c r="S27" i="15"/>
  <c r="Q39" i="15"/>
  <c r="U2" i="15"/>
  <c r="S3" i="15"/>
  <c r="Q5" i="15"/>
  <c r="O11" i="15"/>
  <c r="S15" i="15"/>
  <c r="T17" i="15"/>
  <c r="V17" i="15" s="1"/>
  <c r="X18" i="15"/>
  <c r="X19" i="15"/>
  <c r="U21" i="15"/>
  <c r="O23" i="15"/>
  <c r="Q25" i="15"/>
  <c r="T26" i="15"/>
  <c r="V26" i="15" s="1"/>
  <c r="U27" i="15"/>
  <c r="Q29" i="15"/>
  <c r="X30" i="15"/>
  <c r="O34" i="15"/>
  <c r="T39" i="15"/>
  <c r="V39" i="15" s="1"/>
  <c r="O41" i="15"/>
  <c r="U3" i="15"/>
  <c r="S5" i="15"/>
  <c r="X6" i="15"/>
  <c r="O10" i="15"/>
  <c r="R10" i="15" s="1"/>
  <c r="Z10" i="15" s="1"/>
  <c r="AB10" i="15" s="1"/>
  <c r="P11" i="15"/>
  <c r="R13" i="15"/>
  <c r="U17" i="15"/>
  <c r="Q23" i="15"/>
  <c r="S25" i="15"/>
  <c r="S29" i="15"/>
  <c r="P34" i="15"/>
  <c r="P41" i="15"/>
  <c r="R5" i="15"/>
  <c r="U5" i="15"/>
  <c r="T25" i="15"/>
  <c r="V25" i="15" s="1"/>
  <c r="O7" i="15"/>
  <c r="Q9" i="15"/>
  <c r="T10" i="15"/>
  <c r="V10" i="15" s="1"/>
  <c r="S11" i="15"/>
  <c r="Q13" i="15"/>
  <c r="P19" i="15"/>
  <c r="R19" i="15" s="1"/>
  <c r="Z19" i="15" s="1"/>
  <c r="AB19" i="15" s="1"/>
  <c r="U25" i="15"/>
  <c r="Q31" i="15"/>
  <c r="O40" i="15"/>
  <c r="R2" i="15"/>
  <c r="X5" i="15"/>
  <c r="R21" i="15"/>
  <c r="Z21" i="15" s="1"/>
  <c r="AB21" i="15" s="1"/>
  <c r="Z3" i="15"/>
  <c r="AB3" i="15" s="1"/>
  <c r="Z29" i="15"/>
  <c r="AB29" i="15" s="1"/>
  <c r="X4" i="15"/>
  <c r="P12" i="15"/>
  <c r="R12" i="15" s="1"/>
  <c r="X12" i="15"/>
  <c r="T16" i="15"/>
  <c r="V16" i="15" s="1"/>
  <c r="X20" i="15"/>
  <c r="P28" i="15"/>
  <c r="R28" i="15" s="1"/>
  <c r="X28" i="15"/>
  <c r="U38" i="15"/>
  <c r="S38" i="15"/>
  <c r="X38" i="15"/>
  <c r="P38" i="15"/>
  <c r="T2" i="15"/>
  <c r="V2" i="15" s="1"/>
  <c r="Q4" i="15"/>
  <c r="T5" i="15"/>
  <c r="V5" i="15" s="1"/>
  <c r="O6" i="15"/>
  <c r="R6" i="15" s="1"/>
  <c r="Z6" i="15" s="1"/>
  <c r="AB6" i="15" s="1"/>
  <c r="U8" i="15"/>
  <c r="P9" i="15"/>
  <c r="R9" i="15" s="1"/>
  <c r="Z9" i="15" s="1"/>
  <c r="AB9" i="15" s="1"/>
  <c r="S10" i="15"/>
  <c r="Q12" i="15"/>
  <c r="T13" i="15"/>
  <c r="V13" i="15" s="1"/>
  <c r="O14" i="15"/>
  <c r="R14" i="15" s="1"/>
  <c r="Z14" i="15" s="1"/>
  <c r="AB14" i="15" s="1"/>
  <c r="U16" i="15"/>
  <c r="P17" i="15"/>
  <c r="R17" i="15" s="1"/>
  <c r="Z17" i="15" s="1"/>
  <c r="AB17" i="15" s="1"/>
  <c r="S18" i="15"/>
  <c r="Q20" i="15"/>
  <c r="O22" i="15"/>
  <c r="R22" i="15" s="1"/>
  <c r="U24" i="15"/>
  <c r="P25" i="15"/>
  <c r="R25" i="15" s="1"/>
  <c r="Z25" i="15" s="1"/>
  <c r="AB25" i="15" s="1"/>
  <c r="S26" i="15"/>
  <c r="Q28" i="15"/>
  <c r="O30" i="15"/>
  <c r="R30" i="15" s="1"/>
  <c r="U32" i="15"/>
  <c r="P33" i="15"/>
  <c r="R33" i="15" s="1"/>
  <c r="Z33" i="15" s="1"/>
  <c r="AB33" i="15" s="1"/>
  <c r="S34" i="15"/>
  <c r="Q35" i="15"/>
  <c r="O35" i="15"/>
  <c r="R35" i="15" s="1"/>
  <c r="Z35" i="15" s="1"/>
  <c r="AB35" i="15" s="1"/>
  <c r="O36" i="15"/>
  <c r="R36" i="15" s="1"/>
  <c r="U36" i="15"/>
  <c r="T36" i="15"/>
  <c r="V36" i="15" s="1"/>
  <c r="X37" i="15"/>
  <c r="P37" i="15"/>
  <c r="O37" i="15"/>
  <c r="U37" i="15"/>
  <c r="O38" i="15"/>
  <c r="R38" i="15" s="1"/>
  <c r="Z38" i="15" s="1"/>
  <c r="AB38" i="15" s="1"/>
  <c r="S4" i="15"/>
  <c r="Q6" i="15"/>
  <c r="T7" i="15"/>
  <c r="V7" i="15" s="1"/>
  <c r="O8" i="15"/>
  <c r="S12" i="15"/>
  <c r="Q14" i="15"/>
  <c r="T15" i="15"/>
  <c r="V15" i="15" s="1"/>
  <c r="O16" i="15"/>
  <c r="U18" i="15"/>
  <c r="S20" i="15"/>
  <c r="Q22" i="15"/>
  <c r="T23" i="15"/>
  <c r="V23" i="15" s="1"/>
  <c r="O24" i="15"/>
  <c r="U26" i="15"/>
  <c r="S28" i="15"/>
  <c r="Q30" i="15"/>
  <c r="T31" i="15"/>
  <c r="V31" i="15" s="1"/>
  <c r="O32" i="15"/>
  <c r="U34" i="15"/>
  <c r="T38" i="15"/>
  <c r="V38" i="15" s="1"/>
  <c r="T4" i="15"/>
  <c r="V4" i="15" s="1"/>
  <c r="U7" i="15"/>
  <c r="P8" i="15"/>
  <c r="X8" i="15"/>
  <c r="T12" i="15"/>
  <c r="V12" i="15" s="1"/>
  <c r="U15" i="15"/>
  <c r="P16" i="15"/>
  <c r="X16" i="15"/>
  <c r="T20" i="15"/>
  <c r="V20" i="15" s="1"/>
  <c r="U23" i="15"/>
  <c r="P24" i="15"/>
  <c r="X24" i="15"/>
  <c r="T28" i="15"/>
  <c r="V28" i="15" s="1"/>
  <c r="U31" i="15"/>
  <c r="P32" i="15"/>
  <c r="X32" i="15"/>
  <c r="U4" i="15"/>
  <c r="S6" i="15"/>
  <c r="Q8" i="15"/>
  <c r="U12" i="15"/>
  <c r="S14" i="15"/>
  <c r="Q16" i="15"/>
  <c r="U20" i="15"/>
  <c r="S22" i="15"/>
  <c r="Q24" i="15"/>
  <c r="U28" i="15"/>
  <c r="S30" i="15"/>
  <c r="Q32" i="15"/>
  <c r="T22" i="15"/>
  <c r="V22" i="15" s="1"/>
  <c r="T30" i="15"/>
  <c r="V30" i="15" s="1"/>
  <c r="O4" i="15"/>
  <c r="R4" i="15" s="1"/>
  <c r="P7" i="15"/>
  <c r="R7" i="15" s="1"/>
  <c r="Z7" i="15" s="1"/>
  <c r="AB7" i="15" s="1"/>
  <c r="S8" i="15"/>
  <c r="P15" i="15"/>
  <c r="R15" i="15" s="1"/>
  <c r="Z15" i="15" s="1"/>
  <c r="AB15" i="15" s="1"/>
  <c r="O20" i="15"/>
  <c r="R20" i="15" s="1"/>
  <c r="P23" i="15"/>
  <c r="R23" i="15" s="1"/>
  <c r="Z23" i="15" s="1"/>
  <c r="AB23" i="15" s="1"/>
  <c r="S24" i="15"/>
  <c r="P31" i="15"/>
  <c r="R31" i="15" s="1"/>
  <c r="Z31" i="15" s="1"/>
  <c r="AB31" i="15" s="1"/>
  <c r="S32" i="15"/>
  <c r="S39" i="15"/>
  <c r="Q41" i="15"/>
  <c r="U39" i="15"/>
  <c r="P40" i="15"/>
  <c r="R40" i="15" s="1"/>
  <c r="Z40" i="15" s="1"/>
  <c r="AB40" i="15" s="1"/>
  <c r="X40" i="15"/>
  <c r="S41" i="15"/>
  <c r="Q40" i="15"/>
  <c r="Z28" i="11"/>
  <c r="Z20" i="11"/>
  <c r="Z12" i="11"/>
  <c r="Z4" i="11"/>
  <c r="Z36" i="11"/>
  <c r="Z34" i="11"/>
  <c r="Z26" i="11"/>
  <c r="Z18" i="11"/>
  <c r="Z10" i="11"/>
  <c r="E85" i="10"/>
  <c r="L70" i="10"/>
  <c r="K70" i="10"/>
  <c r="L69" i="10"/>
  <c r="K69" i="10"/>
  <c r="J69" i="10"/>
  <c r="L68" i="10"/>
  <c r="K68" i="10"/>
  <c r="L67" i="10"/>
  <c r="K67" i="10"/>
  <c r="L66" i="10"/>
  <c r="K66" i="10"/>
  <c r="L65" i="10"/>
  <c r="K65" i="10"/>
  <c r="J65" i="10"/>
  <c r="L64" i="10"/>
  <c r="K64" i="10"/>
  <c r="J64" i="10"/>
  <c r="E66" i="10"/>
  <c r="K63" i="10"/>
  <c r="J63" i="10"/>
  <c r="E65" i="10"/>
  <c r="E57" i="10"/>
  <c r="E56" i="10"/>
  <c r="J50" i="10"/>
  <c r="L50" i="10" s="1"/>
  <c r="J49" i="10"/>
  <c r="L49" i="10" s="1"/>
  <c r="J48" i="10"/>
  <c r="L48" i="10" s="1"/>
  <c r="J47" i="10"/>
  <c r="L47" i="10" s="1"/>
  <c r="J46" i="10"/>
  <c r="L46" i="10" s="1"/>
  <c r="L38" i="10"/>
  <c r="J32" i="10"/>
  <c r="L32" i="10" s="1"/>
  <c r="L31" i="10"/>
  <c r="J30" i="10"/>
  <c r="L30" i="10" s="1"/>
  <c r="J29" i="10"/>
  <c r="L29" i="10" s="1"/>
  <c r="L28" i="10"/>
  <c r="R23" i="10"/>
  <c r="Q23" i="10"/>
  <c r="P23" i="10"/>
  <c r="R22" i="10"/>
  <c r="P22" i="10"/>
  <c r="C22" i="10"/>
  <c r="C23" i="10" s="1"/>
  <c r="C24" i="10" s="1"/>
  <c r="C21" i="10"/>
  <c r="D9" i="10"/>
  <c r="D8" i="10"/>
  <c r="L4" i="10"/>
  <c r="L23" i="10" s="1"/>
  <c r="K4" i="10"/>
  <c r="K23" i="10" s="1"/>
  <c r="J4" i="10"/>
  <c r="J23" i="10" s="1"/>
  <c r="L3" i="10"/>
  <c r="L22" i="10" s="1"/>
  <c r="K3" i="10"/>
  <c r="K22" i="10" s="1"/>
  <c r="X19" i="10" s="1"/>
  <c r="J3" i="10"/>
  <c r="J22" i="10" s="1"/>
  <c r="K91" i="11"/>
  <c r="J91" i="11"/>
  <c r="U91" i="11" s="1"/>
  <c r="K90" i="11"/>
  <c r="J90" i="11"/>
  <c r="K89" i="11"/>
  <c r="J89" i="11"/>
  <c r="K88" i="11"/>
  <c r="J88" i="11"/>
  <c r="K87" i="11"/>
  <c r="J87" i="11"/>
  <c r="U87" i="11" s="1"/>
  <c r="K86" i="11"/>
  <c r="J86" i="11"/>
  <c r="K85" i="11"/>
  <c r="J85" i="11"/>
  <c r="K84" i="11"/>
  <c r="J84" i="11"/>
  <c r="K83" i="11"/>
  <c r="J83" i="11"/>
  <c r="U83" i="11" s="1"/>
  <c r="K82" i="11"/>
  <c r="J82" i="11"/>
  <c r="K81" i="11"/>
  <c r="J81" i="11"/>
  <c r="K80" i="11"/>
  <c r="J80" i="11"/>
  <c r="K79" i="11"/>
  <c r="J79" i="11"/>
  <c r="U79" i="11" s="1"/>
  <c r="K78" i="11"/>
  <c r="J78" i="11"/>
  <c r="K77" i="11"/>
  <c r="J77" i="11"/>
  <c r="K76" i="11"/>
  <c r="K75" i="11"/>
  <c r="J75" i="11"/>
  <c r="K74" i="11"/>
  <c r="J74" i="11"/>
  <c r="K73" i="11"/>
  <c r="J73" i="11"/>
  <c r="K72" i="11"/>
  <c r="K71" i="11"/>
  <c r="J71" i="11"/>
  <c r="K70" i="11"/>
  <c r="J70" i="11"/>
  <c r="U70" i="11" s="1"/>
  <c r="K69" i="11"/>
  <c r="J69" i="11"/>
  <c r="K68" i="11"/>
  <c r="J68" i="11"/>
  <c r="K67" i="11"/>
  <c r="J67" i="11"/>
  <c r="X67" i="11" s="1"/>
  <c r="K66" i="11"/>
  <c r="J66" i="11"/>
  <c r="K65" i="11"/>
  <c r="J65" i="11"/>
  <c r="K64" i="11"/>
  <c r="J64" i="11"/>
  <c r="K63" i="11"/>
  <c r="J63" i="11"/>
  <c r="X63" i="11" s="1"/>
  <c r="K62" i="11"/>
  <c r="J62" i="11"/>
  <c r="K61" i="11"/>
  <c r="J61" i="11"/>
  <c r="K60" i="11"/>
  <c r="J60" i="11"/>
  <c r="K59" i="11"/>
  <c r="J59" i="11"/>
  <c r="X59" i="11" s="1"/>
  <c r="K58" i="11"/>
  <c r="J58" i="11"/>
  <c r="K57" i="11"/>
  <c r="J57" i="11"/>
  <c r="K56" i="11"/>
  <c r="J56" i="11"/>
  <c r="K55" i="11"/>
  <c r="J55" i="11"/>
  <c r="X55" i="11" s="1"/>
  <c r="K54" i="11"/>
  <c r="J54" i="11"/>
  <c r="K53" i="11"/>
  <c r="J53" i="11"/>
  <c r="K52" i="11"/>
  <c r="J52" i="11"/>
  <c r="K51" i="11"/>
  <c r="J51" i="11"/>
  <c r="X51" i="11" s="1"/>
  <c r="K50" i="11"/>
  <c r="J50" i="11"/>
  <c r="K49" i="11"/>
  <c r="J49" i="11"/>
  <c r="K48" i="11"/>
  <c r="J48" i="11"/>
  <c r="K47" i="11"/>
  <c r="J47" i="11"/>
  <c r="X47" i="11" s="1"/>
  <c r="K46" i="11"/>
  <c r="J46" i="11"/>
  <c r="K45" i="11"/>
  <c r="J45" i="11"/>
  <c r="K44" i="11"/>
  <c r="J44" i="11"/>
  <c r="K43" i="11"/>
  <c r="J43" i="11"/>
  <c r="X43" i="11" s="1"/>
  <c r="K42" i="11"/>
  <c r="J42" i="11"/>
  <c r="N42" i="11" s="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2" i="7"/>
  <c r="Z4" i="15" l="1"/>
  <c r="AB4" i="15" s="1"/>
  <c r="Z18" i="15"/>
  <c r="AB18" i="15" s="1"/>
  <c r="Z5" i="15"/>
  <c r="AB5" i="15" s="1"/>
  <c r="Z28" i="15"/>
  <c r="AB28" i="15" s="1"/>
  <c r="R34" i="15"/>
  <c r="Z34" i="15" s="1"/>
  <c r="AB34" i="15" s="1"/>
  <c r="Z36" i="15"/>
  <c r="AB36" i="15" s="1"/>
  <c r="R11" i="15"/>
  <c r="Z11" i="15" s="1"/>
  <c r="AB11" i="15" s="1"/>
  <c r="Z13" i="15"/>
  <c r="AB13" i="15" s="1"/>
  <c r="Z20" i="15"/>
  <c r="AB20" i="15" s="1"/>
  <c r="R41" i="15"/>
  <c r="Z41" i="15" s="1"/>
  <c r="AB41" i="15" s="1"/>
  <c r="Z2" i="15"/>
  <c r="AB2" i="15" s="1"/>
  <c r="R37" i="15"/>
  <c r="Z37" i="15" s="1"/>
  <c r="AB37" i="15" s="1"/>
  <c r="Z12" i="15"/>
  <c r="AB12" i="15" s="1"/>
  <c r="R32" i="15"/>
  <c r="Z32" i="15" s="1"/>
  <c r="AB32" i="15" s="1"/>
  <c r="R16" i="15"/>
  <c r="Z16" i="15" s="1"/>
  <c r="AB16" i="15" s="1"/>
  <c r="Z22" i="15"/>
  <c r="AB22" i="15" s="1"/>
  <c r="R24" i="15"/>
  <c r="Z24" i="15" s="1"/>
  <c r="AB24" i="15" s="1"/>
  <c r="R8" i="15"/>
  <c r="Z8" i="15" s="1"/>
  <c r="AB8" i="15" s="1"/>
  <c r="Z30" i="15"/>
  <c r="AB30" i="15" s="1"/>
  <c r="U45" i="11"/>
  <c r="U49" i="11"/>
  <c r="U53" i="11"/>
  <c r="U57" i="11"/>
  <c r="U61" i="11"/>
  <c r="U65" i="11"/>
  <c r="U69" i="11"/>
  <c r="U2" i="11"/>
  <c r="V2" i="11"/>
  <c r="S2" i="11"/>
  <c r="O46" i="11"/>
  <c r="N46" i="11"/>
  <c r="U42" i="11"/>
  <c r="U46" i="11"/>
  <c r="U50" i="11"/>
  <c r="U54" i="11"/>
  <c r="U58" i="11"/>
  <c r="U62" i="11"/>
  <c r="U66" i="11"/>
  <c r="U75" i="11"/>
  <c r="U43" i="11"/>
  <c r="U47" i="11"/>
  <c r="U51" i="11"/>
  <c r="U55" i="11"/>
  <c r="U59" i="11"/>
  <c r="U63" i="11"/>
  <c r="U67" i="11"/>
  <c r="U76" i="11"/>
  <c r="X76" i="11"/>
  <c r="X72" i="11"/>
  <c r="U72" i="11"/>
  <c r="U44" i="11"/>
  <c r="U48" i="11"/>
  <c r="U52" i="11"/>
  <c r="U56" i="11"/>
  <c r="U60" i="11"/>
  <c r="U64" i="11"/>
  <c r="U68" i="11"/>
  <c r="X74" i="11"/>
  <c r="U74" i="11"/>
  <c r="X88" i="11"/>
  <c r="U88" i="11"/>
  <c r="X84" i="11"/>
  <c r="U84" i="11"/>
  <c r="X71" i="11"/>
  <c r="U71" i="11"/>
  <c r="X80" i="11"/>
  <c r="U80" i="11"/>
  <c r="X77" i="11"/>
  <c r="U77" i="11"/>
  <c r="X81" i="11"/>
  <c r="U81" i="11"/>
  <c r="X85" i="11"/>
  <c r="U85" i="11"/>
  <c r="X89" i="11"/>
  <c r="U89" i="11"/>
  <c r="X73" i="11"/>
  <c r="U73" i="11"/>
  <c r="X78" i="11"/>
  <c r="U78" i="11"/>
  <c r="X82" i="11"/>
  <c r="U82" i="11"/>
  <c r="X86" i="11"/>
  <c r="U86" i="11"/>
  <c r="X90" i="11"/>
  <c r="U90" i="11"/>
  <c r="X75" i="11"/>
  <c r="N75" i="11"/>
  <c r="X79" i="11"/>
  <c r="X83" i="11"/>
  <c r="X87" i="11"/>
  <c r="X91" i="11"/>
  <c r="X44" i="11"/>
  <c r="X48" i="11"/>
  <c r="X52" i="11"/>
  <c r="X56" i="11"/>
  <c r="X60" i="11"/>
  <c r="X64" i="11"/>
  <c r="X68" i="11"/>
  <c r="X49" i="11"/>
  <c r="X53" i="11"/>
  <c r="X57" i="11"/>
  <c r="X61" i="11"/>
  <c r="X65" i="11"/>
  <c r="X69" i="11"/>
  <c r="X50" i="11"/>
  <c r="X54" i="11"/>
  <c r="X58" i="11"/>
  <c r="X62" i="11"/>
  <c r="X66" i="11"/>
  <c r="X70" i="11"/>
  <c r="N87" i="11"/>
  <c r="P87" i="11"/>
  <c r="R87" i="11" s="1"/>
  <c r="Q87" i="11"/>
  <c r="O87" i="11"/>
  <c r="S87" i="11"/>
  <c r="T87" i="11"/>
  <c r="V87" i="11" s="1"/>
  <c r="T43" i="11"/>
  <c r="V43" i="11" s="1"/>
  <c r="Q43" i="11"/>
  <c r="O43" i="11"/>
  <c r="N43" i="11"/>
  <c r="P43" i="11"/>
  <c r="R43" i="11" s="1"/>
  <c r="S43" i="11"/>
  <c r="T47" i="11"/>
  <c r="V47" i="11" s="1"/>
  <c r="N47" i="11"/>
  <c r="O47" i="11"/>
  <c r="S47" i="11"/>
  <c r="P47" i="11"/>
  <c r="R47" i="11" s="1"/>
  <c r="Q47" i="11"/>
  <c r="T51" i="11"/>
  <c r="V51" i="11" s="1"/>
  <c r="N51" i="11"/>
  <c r="O51" i="11"/>
  <c r="S51" i="11"/>
  <c r="P51" i="11"/>
  <c r="R51" i="11" s="1"/>
  <c r="Q51" i="11"/>
  <c r="T55" i="11"/>
  <c r="V55" i="11" s="1"/>
  <c r="N55" i="11"/>
  <c r="O55" i="11"/>
  <c r="S55" i="11"/>
  <c r="P55" i="11"/>
  <c r="R55" i="11" s="1"/>
  <c r="Q55" i="11"/>
  <c r="T59" i="11"/>
  <c r="V59" i="11" s="1"/>
  <c r="N59" i="11"/>
  <c r="O59" i="11"/>
  <c r="S59" i="11"/>
  <c r="P59" i="11"/>
  <c r="R59" i="11" s="1"/>
  <c r="Q59" i="11"/>
  <c r="T63" i="11"/>
  <c r="V63" i="11" s="1"/>
  <c r="N63" i="11"/>
  <c r="O63" i="11"/>
  <c r="S63" i="11"/>
  <c r="P63" i="11"/>
  <c r="R63" i="11" s="1"/>
  <c r="Q63" i="11"/>
  <c r="Q67" i="11"/>
  <c r="T67" i="11"/>
  <c r="V67" i="11" s="1"/>
  <c r="P67" i="11"/>
  <c r="R67" i="11" s="1"/>
  <c r="N67" i="11"/>
  <c r="O67" i="11"/>
  <c r="S67" i="11"/>
  <c r="S71" i="11"/>
  <c r="N71" i="11"/>
  <c r="O71" i="11"/>
  <c r="P71" i="11"/>
  <c r="R71" i="11" s="1"/>
  <c r="Q71" i="11"/>
  <c r="T71" i="11"/>
  <c r="V71" i="11" s="1"/>
  <c r="P75" i="11"/>
  <c r="R75" i="11" s="1"/>
  <c r="S75" i="11"/>
  <c r="T75" i="11"/>
  <c r="V75" i="11" s="1"/>
  <c r="O75" i="11"/>
  <c r="Q75" i="11"/>
  <c r="O76" i="11"/>
  <c r="Q76" i="11"/>
  <c r="N76" i="11"/>
  <c r="P76" i="11"/>
  <c r="R76" i="11" s="1"/>
  <c r="S76" i="11"/>
  <c r="T76" i="11"/>
  <c r="V76" i="11" s="1"/>
  <c r="Q80" i="11"/>
  <c r="T80" i="11"/>
  <c r="V80" i="11" s="1"/>
  <c r="P80" i="11"/>
  <c r="R80" i="11" s="1"/>
  <c r="O80" i="11"/>
  <c r="N80" i="11"/>
  <c r="S80" i="11"/>
  <c r="O84" i="11"/>
  <c r="Q84" i="11"/>
  <c r="S84" i="11"/>
  <c r="N84" i="11"/>
  <c r="T84" i="11"/>
  <c r="V84" i="11" s="1"/>
  <c r="P84" i="11"/>
  <c r="R84" i="11" s="1"/>
  <c r="O88" i="11"/>
  <c r="P88" i="11"/>
  <c r="R88" i="11" s="1"/>
  <c r="Q88" i="11"/>
  <c r="S88" i="11"/>
  <c r="T88" i="11"/>
  <c r="V88" i="11" s="1"/>
  <c r="N88" i="11"/>
  <c r="S44" i="11"/>
  <c r="T44" i="11"/>
  <c r="V44" i="11" s="1"/>
  <c r="N44" i="11"/>
  <c r="Q44" i="11"/>
  <c r="O44" i="11"/>
  <c r="P44" i="11"/>
  <c r="R44" i="11" s="1"/>
  <c r="Q48" i="11"/>
  <c r="T48" i="11"/>
  <c r="V48" i="11" s="1"/>
  <c r="P48" i="11"/>
  <c r="R48" i="11" s="1"/>
  <c r="S48" i="11"/>
  <c r="N48" i="11"/>
  <c r="O48" i="11"/>
  <c r="Q52" i="11"/>
  <c r="S52" i="11"/>
  <c r="T52" i="11"/>
  <c r="V52" i="11" s="1"/>
  <c r="P52" i="11"/>
  <c r="R52" i="11" s="1"/>
  <c r="N52" i="11"/>
  <c r="O52" i="11"/>
  <c r="Q56" i="11"/>
  <c r="T56" i="11"/>
  <c r="V56" i="11" s="1"/>
  <c r="P56" i="11"/>
  <c r="R56" i="11" s="1"/>
  <c r="N56" i="11"/>
  <c r="O56" i="11"/>
  <c r="S56" i="11"/>
  <c r="Q60" i="11"/>
  <c r="S60" i="11"/>
  <c r="T60" i="11"/>
  <c r="V60" i="11" s="1"/>
  <c r="P60" i="11"/>
  <c r="R60" i="11" s="1"/>
  <c r="N60" i="11"/>
  <c r="O60" i="11"/>
  <c r="Q64" i="11"/>
  <c r="T64" i="11"/>
  <c r="V64" i="11" s="1"/>
  <c r="P64" i="11"/>
  <c r="R64" i="11" s="1"/>
  <c r="N64" i="11"/>
  <c r="O64" i="11"/>
  <c r="S64" i="11"/>
  <c r="O68" i="11"/>
  <c r="Q68" i="11"/>
  <c r="N68" i="11"/>
  <c r="P68" i="11"/>
  <c r="R68" i="11" s="1"/>
  <c r="S68" i="11"/>
  <c r="T68" i="11"/>
  <c r="V68" i="11" s="1"/>
  <c r="N72" i="11"/>
  <c r="S72" i="11"/>
  <c r="P73" i="11"/>
  <c r="R73" i="11" s="1"/>
  <c r="S73" i="11"/>
  <c r="T73" i="11"/>
  <c r="V73" i="11" s="1"/>
  <c r="O73" i="11"/>
  <c r="N73" i="11"/>
  <c r="Q73" i="11"/>
  <c r="N77" i="11"/>
  <c r="P77" i="11"/>
  <c r="R77" i="11" s="1"/>
  <c r="Q77" i="11"/>
  <c r="O77" i="11"/>
  <c r="S77" i="11"/>
  <c r="T77" i="11"/>
  <c r="V77" i="11" s="1"/>
  <c r="Q81" i="11"/>
  <c r="T81" i="11"/>
  <c r="V81" i="11" s="1"/>
  <c r="P81" i="11"/>
  <c r="R81" i="11" s="1"/>
  <c r="N81" i="11"/>
  <c r="O81" i="11"/>
  <c r="S81" i="11"/>
  <c r="O85" i="11"/>
  <c r="Q85" i="11"/>
  <c r="S85" i="11"/>
  <c r="N85" i="11"/>
  <c r="P85" i="11"/>
  <c r="R85" i="11" s="1"/>
  <c r="T85" i="11"/>
  <c r="V85" i="11" s="1"/>
  <c r="O89" i="11"/>
  <c r="P89" i="11"/>
  <c r="R89" i="11" s="1"/>
  <c r="N89" i="11"/>
  <c r="Q89" i="11"/>
  <c r="S89" i="11"/>
  <c r="T89" i="11"/>
  <c r="V89" i="11" s="1"/>
  <c r="P72" i="11"/>
  <c r="R72" i="11" s="1"/>
  <c r="O79" i="11"/>
  <c r="Q79" i="11"/>
  <c r="N79" i="11"/>
  <c r="T79" i="11"/>
  <c r="V79" i="11" s="1"/>
  <c r="P79" i="11"/>
  <c r="R79" i="11" s="1"/>
  <c r="S79" i="11"/>
  <c r="T91" i="11"/>
  <c r="V91" i="11" s="1"/>
  <c r="N91" i="11"/>
  <c r="O91" i="11"/>
  <c r="S91" i="11"/>
  <c r="P91" i="11"/>
  <c r="R91" i="11" s="1"/>
  <c r="Q91" i="11"/>
  <c r="P45" i="11"/>
  <c r="R45" i="11" s="1"/>
  <c r="T45" i="11"/>
  <c r="V45" i="11" s="1"/>
  <c r="Q45" i="11"/>
  <c r="O45" i="11"/>
  <c r="S45" i="11"/>
  <c r="N45" i="11"/>
  <c r="O49" i="11"/>
  <c r="Q49" i="11"/>
  <c r="S49" i="11"/>
  <c r="N49" i="11"/>
  <c r="P49" i="11"/>
  <c r="R49" i="11" s="1"/>
  <c r="T49" i="11"/>
  <c r="V49" i="11" s="1"/>
  <c r="O53" i="11"/>
  <c r="Q53" i="11"/>
  <c r="S53" i="11"/>
  <c r="N53" i="11"/>
  <c r="P53" i="11"/>
  <c r="R53" i="11" s="1"/>
  <c r="T53" i="11"/>
  <c r="V53" i="11" s="1"/>
  <c r="O57" i="11"/>
  <c r="Q57" i="11"/>
  <c r="S57" i="11"/>
  <c r="N57" i="11"/>
  <c r="P57" i="11"/>
  <c r="R57" i="11" s="1"/>
  <c r="T57" i="11"/>
  <c r="V57" i="11" s="1"/>
  <c r="O61" i="11"/>
  <c r="Q61" i="11"/>
  <c r="S61" i="11"/>
  <c r="N61" i="11"/>
  <c r="P61" i="11"/>
  <c r="R61" i="11" s="1"/>
  <c r="T61" i="11"/>
  <c r="V61" i="11" s="1"/>
  <c r="T65" i="11"/>
  <c r="V65" i="11" s="1"/>
  <c r="N65" i="11"/>
  <c r="S65" i="11"/>
  <c r="O65" i="11"/>
  <c r="P65" i="11"/>
  <c r="R65" i="11" s="1"/>
  <c r="Q65" i="11"/>
  <c r="O69" i="11"/>
  <c r="P69" i="11"/>
  <c r="R69" i="11" s="1"/>
  <c r="S69" i="11"/>
  <c r="N69" i="11"/>
  <c r="T69" i="11"/>
  <c r="V69" i="11" s="1"/>
  <c r="Q69" i="11"/>
  <c r="T72" i="11"/>
  <c r="V72" i="11" s="1"/>
  <c r="P74" i="11"/>
  <c r="R74" i="11" s="1"/>
  <c r="S74" i="11"/>
  <c r="T74" i="11"/>
  <c r="V74" i="11" s="1"/>
  <c r="O74" i="11"/>
  <c r="Q74" i="11"/>
  <c r="N74" i="11"/>
  <c r="O78" i="11"/>
  <c r="Q78" i="11"/>
  <c r="S78" i="11"/>
  <c r="N78" i="11"/>
  <c r="P78" i="11"/>
  <c r="R78" i="11" s="1"/>
  <c r="T78" i="11"/>
  <c r="V78" i="11" s="1"/>
  <c r="Q82" i="11"/>
  <c r="T82" i="11"/>
  <c r="V82" i="11" s="1"/>
  <c r="P82" i="11"/>
  <c r="R82" i="11" s="1"/>
  <c r="O82" i="11"/>
  <c r="N82" i="11"/>
  <c r="S82" i="11"/>
  <c r="O86" i="11"/>
  <c r="Q86" i="11"/>
  <c r="N86" i="11"/>
  <c r="S86" i="11"/>
  <c r="T86" i="11"/>
  <c r="V86" i="11" s="1"/>
  <c r="P86" i="11"/>
  <c r="R86" i="11" s="1"/>
  <c r="O90" i="11"/>
  <c r="P90" i="11"/>
  <c r="R90" i="11" s="1"/>
  <c r="Q90" i="11"/>
  <c r="S90" i="11"/>
  <c r="T90" i="11"/>
  <c r="V90" i="11" s="1"/>
  <c r="N90" i="11"/>
  <c r="Q72" i="11"/>
  <c r="P83" i="11"/>
  <c r="R83" i="11" s="1"/>
  <c r="S83" i="11"/>
  <c r="O83" i="11"/>
  <c r="N83" i="11"/>
  <c r="Q83" i="11"/>
  <c r="T83" i="11"/>
  <c r="V83" i="11" s="1"/>
  <c r="R2" i="11"/>
  <c r="Z2" i="11" s="1"/>
  <c r="Q2" i="11"/>
  <c r="S42" i="11"/>
  <c r="P42" i="11"/>
  <c r="R42" i="11" s="1"/>
  <c r="O42" i="11"/>
  <c r="Q42" i="11"/>
  <c r="T42" i="11"/>
  <c r="V42" i="11" s="1"/>
  <c r="P46" i="11"/>
  <c r="R46" i="11" s="1"/>
  <c r="Q46" i="11"/>
  <c r="S46" i="11"/>
  <c r="T46" i="11"/>
  <c r="V46" i="11" s="1"/>
  <c r="N50" i="11"/>
  <c r="P50" i="11"/>
  <c r="R50" i="11" s="1"/>
  <c r="Q50" i="11"/>
  <c r="T50" i="11"/>
  <c r="V50" i="11" s="1"/>
  <c r="O50" i="11"/>
  <c r="S50" i="11"/>
  <c r="N54" i="11"/>
  <c r="P54" i="11"/>
  <c r="R54" i="11" s="1"/>
  <c r="Q54" i="11"/>
  <c r="O54" i="11"/>
  <c r="T54" i="11"/>
  <c r="V54" i="11" s="1"/>
  <c r="S54" i="11"/>
  <c r="N58" i="11"/>
  <c r="P58" i="11"/>
  <c r="R58" i="11" s="1"/>
  <c r="Q58" i="11"/>
  <c r="O58" i="11"/>
  <c r="S58" i="11"/>
  <c r="T58" i="11"/>
  <c r="V58" i="11" s="1"/>
  <c r="N62" i="11"/>
  <c r="P62" i="11"/>
  <c r="R62" i="11" s="1"/>
  <c r="Q62" i="11"/>
  <c r="O62" i="11"/>
  <c r="S62" i="11"/>
  <c r="T62" i="11"/>
  <c r="V62" i="11" s="1"/>
  <c r="S66" i="11"/>
  <c r="Q66" i="11"/>
  <c r="T66" i="11"/>
  <c r="V66" i="11" s="1"/>
  <c r="O66" i="11"/>
  <c r="N66" i="11"/>
  <c r="P66" i="11"/>
  <c r="R66" i="11" s="1"/>
  <c r="N70" i="11"/>
  <c r="O70" i="11"/>
  <c r="T70" i="11"/>
  <c r="V70" i="11" s="1"/>
  <c r="S70" i="11"/>
  <c r="P70" i="11"/>
  <c r="R70" i="11" s="1"/>
  <c r="Q70" i="11"/>
  <c r="W22" i="10"/>
  <c r="V22" i="10"/>
  <c r="D41" i="10"/>
  <c r="D33" i="10"/>
  <c r="L39" i="10"/>
  <c r="L56" i="10" s="1"/>
  <c r="L33" i="10"/>
  <c r="L54" i="10" s="1"/>
  <c r="L51" i="10"/>
  <c r="T22" i="10"/>
  <c r="S23" i="10"/>
  <c r="T23" i="10"/>
  <c r="L55" i="10"/>
  <c r="U22" i="10"/>
  <c r="W23" i="10"/>
  <c r="V23" i="10"/>
  <c r="AB22" i="11" l="1"/>
  <c r="AB7" i="11"/>
  <c r="AB23" i="11"/>
  <c r="AB83" i="11"/>
  <c r="AB17" i="11"/>
  <c r="AB80" i="11"/>
  <c r="AB50" i="11"/>
  <c r="AB2" i="11"/>
  <c r="AB85" i="11"/>
  <c r="AB88" i="11"/>
  <c r="AB45" i="11"/>
  <c r="AB82" i="11"/>
  <c r="AB41" i="11"/>
  <c r="AB6" i="11"/>
  <c r="AB48" i="11"/>
  <c r="AB8" i="11"/>
  <c r="AB39" i="11"/>
  <c r="AB62" i="11"/>
  <c r="AB31" i="11"/>
  <c r="AB37" i="11"/>
  <c r="AB75" i="11"/>
  <c r="AB90" i="11"/>
  <c r="AB11" i="11"/>
  <c r="AB81" i="11"/>
  <c r="AB27" i="11"/>
  <c r="AB9" i="11"/>
  <c r="AB49" i="11"/>
  <c r="AB5" i="11"/>
  <c r="AB20" i="11"/>
  <c r="AB4" i="11"/>
  <c r="AB19" i="11"/>
  <c r="AB70" i="11"/>
  <c r="AB26" i="11"/>
  <c r="AB10" i="11"/>
  <c r="AB61" i="11"/>
  <c r="AB16" i="11"/>
  <c r="AB91" i="11"/>
  <c r="AB89" i="11"/>
  <c r="AB64" i="11"/>
  <c r="AB71" i="11"/>
  <c r="AB28" i="11"/>
  <c r="AB18" i="11"/>
  <c r="AB3" i="11"/>
  <c r="AB25" i="11"/>
  <c r="AB72" i="11"/>
  <c r="AB69" i="11"/>
  <c r="AB40" i="11"/>
  <c r="AB32" i="11"/>
  <c r="AB24" i="11"/>
  <c r="AB73" i="11"/>
  <c r="AB15" i="11"/>
  <c r="AB56" i="11"/>
  <c r="AB14" i="11"/>
  <c r="AB84" i="11"/>
  <c r="AB76" i="11"/>
  <c r="AB29" i="11"/>
  <c r="AB21" i="11"/>
  <c r="AB67" i="11"/>
  <c r="AB68" i="11"/>
  <c r="AB42" i="11"/>
  <c r="AB65" i="11"/>
  <c r="AB79" i="11"/>
  <c r="AB66" i="11"/>
  <c r="AB58" i="11"/>
  <c r="AB87" i="11"/>
  <c r="AB46" i="11"/>
  <c r="AB77" i="11"/>
  <c r="AB57" i="11"/>
  <c r="AB53" i="11"/>
  <c r="AB52" i="11"/>
  <c r="AB44" i="11"/>
  <c r="AB78" i="11"/>
  <c r="AB55" i="11"/>
  <c r="AB43" i="11"/>
  <c r="AB86" i="11"/>
  <c r="AB54" i="11"/>
  <c r="X22" i="10"/>
  <c r="D30" i="10" s="1"/>
  <c r="U23" i="10"/>
  <c r="X23" i="10" s="1"/>
  <c r="D31" i="10" s="1"/>
  <c r="L57" i="10"/>
  <c r="M55" i="10" s="1"/>
  <c r="L58" i="10"/>
  <c r="AB51" i="11" l="1"/>
  <c r="AB38" i="11"/>
  <c r="AB60" i="11"/>
  <c r="AB74" i="11"/>
  <c r="AB63" i="11"/>
  <c r="AB12" i="11"/>
  <c r="AB35" i="11"/>
  <c r="AB34" i="11"/>
  <c r="AB36" i="11"/>
  <c r="AB13" i="11"/>
  <c r="AB33" i="11"/>
  <c r="AB47" i="11"/>
  <c r="AB59" i="11"/>
  <c r="AB30" i="11"/>
  <c r="D38" i="10"/>
  <c r="D39" i="10"/>
  <c r="D32" i="10"/>
  <c r="D40" i="10" s="1"/>
  <c r="M56" i="10"/>
  <c r="M54" i="10"/>
  <c r="D43" i="10" l="1"/>
  <c r="E43" i="10" s="1"/>
  <c r="E38" i="10"/>
  <c r="E42" i="10"/>
  <c r="E41" i="10"/>
  <c r="E40" i="10"/>
  <c r="E39" i="10"/>
  <c r="E31" i="10"/>
  <c r="E32" i="10"/>
  <c r="E30" i="10"/>
  <c r="E33" i="10"/>
  <c r="D34" i="10"/>
  <c r="E34" i="10" s="1"/>
  <c r="C83" i="10"/>
  <c r="E83" i="10" s="1"/>
  <c r="C84" i="10" l="1"/>
  <c r="E84" i="10" s="1"/>
  <c r="D46" i="10" l="1"/>
  <c r="E47" i="10" l="1"/>
  <c r="E46" i="10"/>
  <c r="W9" i="7" l="1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3" i="7"/>
  <c r="W4" i="7"/>
  <c r="W5" i="7"/>
  <c r="W6" i="7"/>
  <c r="W7" i="7"/>
  <c r="W8" i="7"/>
  <c r="W2" i="7"/>
  <c r="Q91" i="7"/>
  <c r="P42" i="7"/>
  <c r="N80" i="7"/>
  <c r="Q80" i="7"/>
  <c r="R23" i="7"/>
  <c r="T23" i="7"/>
  <c r="N52" i="7"/>
  <c r="O67" i="7"/>
  <c r="P67" i="7"/>
  <c r="O83" i="7"/>
  <c r="P83" i="7"/>
  <c r="V98" i="7"/>
  <c r="N99" i="7"/>
  <c r="T104" i="7"/>
  <c r="V104" i="7"/>
  <c r="T108" i="7"/>
  <c r="R112" i="7"/>
  <c r="S112" i="7"/>
  <c r="P116" i="7"/>
  <c r="N120" i="7"/>
  <c r="N124" i="7"/>
  <c r="N128" i="7"/>
  <c r="N132" i="7"/>
  <c r="N136" i="7"/>
  <c r="N140" i="7"/>
  <c r="N144" i="7"/>
  <c r="N148" i="7"/>
  <c r="N152" i="7"/>
  <c r="N156" i="7"/>
  <c r="N159" i="7"/>
  <c r="N162" i="7"/>
  <c r="N164" i="7"/>
  <c r="T166" i="7"/>
  <c r="V166" i="7"/>
  <c r="S168" i="7"/>
  <c r="P169" i="7"/>
  <c r="O170" i="7"/>
  <c r="P170" i="7"/>
  <c r="N171" i="7"/>
  <c r="Q171" i="7" s="1"/>
  <c r="O171" i="7"/>
  <c r="N172" i="7"/>
  <c r="T174" i="7"/>
  <c r="S176" i="7"/>
  <c r="P177" i="7"/>
  <c r="O178" i="7"/>
  <c r="P178" i="7"/>
  <c r="N179" i="7"/>
  <c r="Q179" i="7" s="1"/>
  <c r="O179" i="7"/>
  <c r="N180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O38" i="7" s="1"/>
  <c r="K39" i="7"/>
  <c r="K40" i="7"/>
  <c r="K41" i="7"/>
  <c r="K42" i="7"/>
  <c r="K43" i="7"/>
  <c r="K44" i="7"/>
  <c r="S44" i="7" s="1"/>
  <c r="K45" i="7"/>
  <c r="K46" i="7"/>
  <c r="K47" i="7"/>
  <c r="K48" i="7"/>
  <c r="R48" i="7" s="1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R63" i="7" s="1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O79" i="7" s="1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N95" i="7" s="1"/>
  <c r="K96" i="7"/>
  <c r="K97" i="7"/>
  <c r="K98" i="7"/>
  <c r="K99" i="7"/>
  <c r="K100" i="7"/>
  <c r="K101" i="7"/>
  <c r="K102" i="7"/>
  <c r="O102" i="7" s="1"/>
  <c r="K103" i="7"/>
  <c r="S103" i="7" s="1"/>
  <c r="K104" i="7"/>
  <c r="K105" i="7"/>
  <c r="K106" i="7"/>
  <c r="K107" i="7"/>
  <c r="K108" i="7"/>
  <c r="K109" i="7"/>
  <c r="K110" i="7"/>
  <c r="R110" i="7" s="1"/>
  <c r="K111" i="7"/>
  <c r="R111" i="7" s="1"/>
  <c r="K112" i="7"/>
  <c r="K113" i="7"/>
  <c r="K114" i="7"/>
  <c r="K115" i="7"/>
  <c r="K116" i="7"/>
  <c r="O116" i="7" s="1"/>
  <c r="K117" i="7"/>
  <c r="K118" i="7"/>
  <c r="N118" i="7" s="1"/>
  <c r="K119" i="7"/>
  <c r="N119" i="7" s="1"/>
  <c r="K120" i="7"/>
  <c r="K121" i="7"/>
  <c r="K122" i="7"/>
  <c r="K123" i="7"/>
  <c r="K124" i="7"/>
  <c r="K125" i="7"/>
  <c r="N125" i="7" s="1"/>
  <c r="K126" i="7"/>
  <c r="N126" i="7" s="1"/>
  <c r="K127" i="7"/>
  <c r="N127" i="7" s="1"/>
  <c r="K128" i="7"/>
  <c r="K129" i="7"/>
  <c r="K130" i="7"/>
  <c r="K131" i="7"/>
  <c r="K132" i="7"/>
  <c r="K133" i="7"/>
  <c r="K134" i="7"/>
  <c r="N134" i="7" s="1"/>
  <c r="K135" i="7"/>
  <c r="N135" i="7" s="1"/>
  <c r="K136" i="7"/>
  <c r="K137" i="7"/>
  <c r="K138" i="7"/>
  <c r="K139" i="7"/>
  <c r="K140" i="7"/>
  <c r="K141" i="7"/>
  <c r="K142" i="7"/>
  <c r="N142" i="7" s="1"/>
  <c r="K143" i="7"/>
  <c r="N143" i="7" s="1"/>
  <c r="K144" i="7"/>
  <c r="K145" i="7"/>
  <c r="K146" i="7"/>
  <c r="K147" i="7"/>
  <c r="K148" i="7"/>
  <c r="K149" i="7"/>
  <c r="K150" i="7"/>
  <c r="N150" i="7" s="1"/>
  <c r="K151" i="7"/>
  <c r="N151" i="7" s="1"/>
  <c r="K152" i="7"/>
  <c r="K153" i="7"/>
  <c r="K154" i="7"/>
  <c r="K155" i="7"/>
  <c r="K156" i="7"/>
  <c r="K157" i="7"/>
  <c r="K158" i="7"/>
  <c r="N158" i="7" s="1"/>
  <c r="K159" i="7"/>
  <c r="K160" i="7"/>
  <c r="K161" i="7"/>
  <c r="N161" i="7" s="1"/>
  <c r="K162" i="7"/>
  <c r="K163" i="7"/>
  <c r="K164" i="7"/>
  <c r="K165" i="7"/>
  <c r="O165" i="7" s="1"/>
  <c r="K166" i="7"/>
  <c r="K167" i="7"/>
  <c r="N167" i="7" s="1"/>
  <c r="K168" i="7"/>
  <c r="V168" i="7" s="1"/>
  <c r="K169" i="7"/>
  <c r="R169" i="7" s="1"/>
  <c r="K170" i="7"/>
  <c r="R170" i="7" s="1"/>
  <c r="K171" i="7"/>
  <c r="R171" i="7" s="1"/>
  <c r="K172" i="7"/>
  <c r="O172" i="7" s="1"/>
  <c r="K173" i="7"/>
  <c r="N173" i="7" s="1"/>
  <c r="K174" i="7"/>
  <c r="V174" i="7" s="1"/>
  <c r="K175" i="7"/>
  <c r="V175" i="7" s="1"/>
  <c r="K176" i="7"/>
  <c r="V176" i="7" s="1"/>
  <c r="K177" i="7"/>
  <c r="R177" i="7" s="1"/>
  <c r="K178" i="7"/>
  <c r="R178" i="7" s="1"/>
  <c r="K179" i="7"/>
  <c r="R179" i="7" s="1"/>
  <c r="K180" i="7"/>
  <c r="O180" i="7" s="1"/>
  <c r="K181" i="7"/>
  <c r="N181" i="7" s="1"/>
  <c r="K6" i="7"/>
  <c r="K7" i="7"/>
  <c r="K8" i="7"/>
  <c r="K9" i="7"/>
  <c r="P9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L181" i="7"/>
  <c r="P181" i="7" s="1"/>
  <c r="L180" i="7"/>
  <c r="P180" i="7" s="1"/>
  <c r="L179" i="7"/>
  <c r="P179" i="7" s="1"/>
  <c r="L178" i="7"/>
  <c r="T178" i="7" s="1"/>
  <c r="L177" i="7"/>
  <c r="T177" i="7" s="1"/>
  <c r="L176" i="7"/>
  <c r="T176" i="7" s="1"/>
  <c r="L175" i="7"/>
  <c r="T175" i="7" s="1"/>
  <c r="L174" i="7"/>
  <c r="P174" i="7" s="1"/>
  <c r="L173" i="7"/>
  <c r="P173" i="7" s="1"/>
  <c r="L172" i="7"/>
  <c r="P172" i="7" s="1"/>
  <c r="L171" i="7"/>
  <c r="P171" i="7" s="1"/>
  <c r="L170" i="7"/>
  <c r="T170" i="7" s="1"/>
  <c r="L169" i="7"/>
  <c r="T169" i="7" s="1"/>
  <c r="L168" i="7"/>
  <c r="T168" i="7" s="1"/>
  <c r="L167" i="7"/>
  <c r="S167" i="7" s="1"/>
  <c r="L166" i="7"/>
  <c r="P166" i="7" s="1"/>
  <c r="L165" i="7"/>
  <c r="P165" i="7" s="1"/>
  <c r="L164" i="7"/>
  <c r="P164" i="7" s="1"/>
  <c r="L163" i="7"/>
  <c r="P163" i="7" s="1"/>
  <c r="L162" i="7"/>
  <c r="P162" i="7" s="1"/>
  <c r="L161" i="7"/>
  <c r="P161" i="7" s="1"/>
  <c r="L160" i="7"/>
  <c r="P160" i="7" s="1"/>
  <c r="L159" i="7"/>
  <c r="P159" i="7" s="1"/>
  <c r="L158" i="7"/>
  <c r="P158" i="7" s="1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91" i="7"/>
  <c r="T91" i="7" s="1"/>
  <c r="L90" i="7"/>
  <c r="L89" i="7"/>
  <c r="L88" i="7"/>
  <c r="L87" i="7"/>
  <c r="T87" i="7" s="1"/>
  <c r="L86" i="7"/>
  <c r="L85" i="7"/>
  <c r="L84" i="7"/>
  <c r="L83" i="7"/>
  <c r="T83" i="7" s="1"/>
  <c r="L82" i="7"/>
  <c r="L81" i="7"/>
  <c r="L80" i="7"/>
  <c r="L79" i="7"/>
  <c r="T79" i="7" s="1"/>
  <c r="L78" i="7"/>
  <c r="L77" i="7"/>
  <c r="L76" i="7"/>
  <c r="L75" i="7"/>
  <c r="T75" i="7" s="1"/>
  <c r="L74" i="7"/>
  <c r="L73" i="7"/>
  <c r="L72" i="7"/>
  <c r="L71" i="7"/>
  <c r="T71" i="7" s="1"/>
  <c r="L70" i="7"/>
  <c r="L69" i="7"/>
  <c r="L68" i="7"/>
  <c r="L67" i="7"/>
  <c r="T67" i="7" s="1"/>
  <c r="L66" i="7"/>
  <c r="L65" i="7"/>
  <c r="L64" i="7"/>
  <c r="L63" i="7"/>
  <c r="T63" i="7" s="1"/>
  <c r="L62" i="7"/>
  <c r="L61" i="7"/>
  <c r="L60" i="7"/>
  <c r="L59" i="7"/>
  <c r="P59" i="7" s="1"/>
  <c r="L58" i="7"/>
  <c r="L57" i="7"/>
  <c r="L56" i="7"/>
  <c r="L55" i="7"/>
  <c r="L54" i="7"/>
  <c r="L53" i="7"/>
  <c r="L52" i="7"/>
  <c r="L51" i="7"/>
  <c r="L50" i="7"/>
  <c r="L49" i="7"/>
  <c r="L48" i="7"/>
  <c r="T48" i="7" s="1"/>
  <c r="L47" i="7"/>
  <c r="L46" i="7"/>
  <c r="L45" i="7"/>
  <c r="L44" i="7"/>
  <c r="T44" i="7" s="1"/>
  <c r="L43" i="7"/>
  <c r="L42" i="7"/>
  <c r="K5" i="7"/>
  <c r="P5" i="7" s="1"/>
  <c r="K4" i="7"/>
  <c r="K3" i="7"/>
  <c r="S3" i="7" s="1"/>
  <c r="K2" i="7"/>
  <c r="Q95" i="7" l="1"/>
  <c r="Y95" i="7" s="1"/>
  <c r="Z95" i="7" s="1"/>
  <c r="P143" i="7"/>
  <c r="T143" i="7"/>
  <c r="O13" i="7"/>
  <c r="P13" i="7"/>
  <c r="R13" i="7"/>
  <c r="S13" i="7"/>
  <c r="V13" i="7"/>
  <c r="T13" i="7"/>
  <c r="N13" i="7"/>
  <c r="O133" i="7"/>
  <c r="R133" i="7"/>
  <c r="S133" i="7"/>
  <c r="V133" i="7"/>
  <c r="R77" i="7"/>
  <c r="S77" i="7"/>
  <c r="V77" i="7"/>
  <c r="N77" i="7"/>
  <c r="O77" i="7"/>
  <c r="O29" i="7"/>
  <c r="P29" i="7"/>
  <c r="R29" i="7"/>
  <c r="S29" i="7"/>
  <c r="V29" i="7"/>
  <c r="N29" i="7"/>
  <c r="Q29" i="7" s="1"/>
  <c r="T29" i="7"/>
  <c r="Y29" i="7"/>
  <c r="Z29" i="7" s="1"/>
  <c r="T159" i="7"/>
  <c r="T64" i="7"/>
  <c r="P64" i="7"/>
  <c r="P152" i="7"/>
  <c r="T152" i="7"/>
  <c r="P20" i="7"/>
  <c r="R20" i="7"/>
  <c r="S20" i="7"/>
  <c r="T20" i="7"/>
  <c r="N20" i="7"/>
  <c r="V20" i="7"/>
  <c r="O20" i="7"/>
  <c r="O148" i="7"/>
  <c r="Q148" i="7" s="1"/>
  <c r="Y148" i="7" s="1"/>
  <c r="Z148" i="7" s="1"/>
  <c r="R148" i="7"/>
  <c r="S148" i="7"/>
  <c r="V148" i="7"/>
  <c r="R92" i="7"/>
  <c r="S92" i="7"/>
  <c r="T92" i="7"/>
  <c r="V92" i="7"/>
  <c r="N92" i="7"/>
  <c r="Q92" i="7" s="1"/>
  <c r="Y92" i="7" s="1"/>
  <c r="Z92" i="7" s="1"/>
  <c r="O92" i="7"/>
  <c r="P92" i="7"/>
  <c r="R36" i="7"/>
  <c r="S36" i="7"/>
  <c r="T36" i="7"/>
  <c r="V36" i="7"/>
  <c r="O36" i="7"/>
  <c r="N36" i="7"/>
  <c r="Q36" i="7" s="1"/>
  <c r="Y36" i="7" s="1"/>
  <c r="Z36" i="7" s="1"/>
  <c r="P36" i="7"/>
  <c r="T49" i="7"/>
  <c r="P49" i="7"/>
  <c r="T57" i="7"/>
  <c r="P57" i="7"/>
  <c r="T65" i="7"/>
  <c r="P65" i="7"/>
  <c r="T73" i="7"/>
  <c r="P73" i="7"/>
  <c r="T81" i="7"/>
  <c r="P81" i="7"/>
  <c r="T89" i="7"/>
  <c r="P89" i="7"/>
  <c r="P137" i="7"/>
  <c r="T137" i="7"/>
  <c r="P145" i="7"/>
  <c r="T145" i="7"/>
  <c r="P153" i="7"/>
  <c r="T153" i="7"/>
  <c r="R19" i="7"/>
  <c r="S19" i="7"/>
  <c r="T19" i="7"/>
  <c r="V19" i="7"/>
  <c r="O19" i="7"/>
  <c r="N19" i="7"/>
  <c r="P19" i="7"/>
  <c r="R11" i="7"/>
  <c r="S11" i="7"/>
  <c r="T11" i="7"/>
  <c r="V11" i="7"/>
  <c r="O11" i="7"/>
  <c r="N11" i="7"/>
  <c r="P11" i="7"/>
  <c r="O163" i="7"/>
  <c r="R163" i="7"/>
  <c r="S163" i="7"/>
  <c r="V163" i="7"/>
  <c r="O155" i="7"/>
  <c r="R155" i="7"/>
  <c r="S155" i="7"/>
  <c r="V155" i="7"/>
  <c r="O147" i="7"/>
  <c r="R147" i="7"/>
  <c r="S147" i="7"/>
  <c r="V147" i="7"/>
  <c r="O139" i="7"/>
  <c r="R139" i="7"/>
  <c r="S139" i="7"/>
  <c r="V139" i="7"/>
  <c r="O131" i="7"/>
  <c r="P131" i="7"/>
  <c r="R131" i="7"/>
  <c r="S131" i="7"/>
  <c r="T131" i="7"/>
  <c r="V131" i="7"/>
  <c r="O123" i="7"/>
  <c r="P123" i="7"/>
  <c r="R123" i="7"/>
  <c r="S123" i="7"/>
  <c r="T123" i="7"/>
  <c r="V123" i="7"/>
  <c r="Y123" i="7" s="1"/>
  <c r="Z123" i="7" s="1"/>
  <c r="R115" i="7"/>
  <c r="S115" i="7"/>
  <c r="T115" i="7"/>
  <c r="V115" i="7"/>
  <c r="N115" i="7"/>
  <c r="V107" i="7"/>
  <c r="N107" i="7"/>
  <c r="O107" i="7"/>
  <c r="P107" i="7"/>
  <c r="R107" i="7"/>
  <c r="P99" i="7"/>
  <c r="R99" i="7"/>
  <c r="S99" i="7"/>
  <c r="T99" i="7"/>
  <c r="O99" i="7"/>
  <c r="V99" i="7"/>
  <c r="R91" i="7"/>
  <c r="S91" i="7"/>
  <c r="V91" i="7"/>
  <c r="N91" i="7"/>
  <c r="Y91" i="7" s="1"/>
  <c r="Z91" i="7" s="1"/>
  <c r="R83" i="7"/>
  <c r="S83" i="7"/>
  <c r="V83" i="7"/>
  <c r="N83" i="7"/>
  <c r="Q83" i="7" s="1"/>
  <c r="Y83" i="7" s="1"/>
  <c r="Z83" i="7" s="1"/>
  <c r="R75" i="7"/>
  <c r="S75" i="7"/>
  <c r="V75" i="7"/>
  <c r="N75" i="7"/>
  <c r="R67" i="7"/>
  <c r="S67" i="7"/>
  <c r="V67" i="7"/>
  <c r="N67" i="7"/>
  <c r="Q67" i="7" s="1"/>
  <c r="Y67" i="7" s="1"/>
  <c r="Z67" i="7" s="1"/>
  <c r="V59" i="7"/>
  <c r="N59" i="7"/>
  <c r="O59" i="7"/>
  <c r="Q59" i="7" s="1"/>
  <c r="R59" i="7"/>
  <c r="R51" i="7"/>
  <c r="S51" i="7"/>
  <c r="V51" i="7"/>
  <c r="N51" i="7"/>
  <c r="Q51" i="7" s="1"/>
  <c r="Y51" i="7" s="1"/>
  <c r="Z51" i="7" s="1"/>
  <c r="O51" i="7"/>
  <c r="V43" i="7"/>
  <c r="N43" i="7"/>
  <c r="O43" i="7"/>
  <c r="R43" i="7"/>
  <c r="S43" i="7"/>
  <c r="R35" i="7"/>
  <c r="S35" i="7"/>
  <c r="T35" i="7"/>
  <c r="V35" i="7"/>
  <c r="N35" i="7"/>
  <c r="P35" i="7"/>
  <c r="O35" i="7"/>
  <c r="R27" i="7"/>
  <c r="S27" i="7"/>
  <c r="T27" i="7"/>
  <c r="V27" i="7"/>
  <c r="O27" i="7"/>
  <c r="N27" i="7"/>
  <c r="Q27" i="7" s="1"/>
  <c r="P27" i="7"/>
  <c r="S181" i="7"/>
  <c r="V179" i="7"/>
  <c r="N178" i="7"/>
  <c r="Q178" i="7" s="1"/>
  <c r="O177" i="7"/>
  <c r="P176" i="7"/>
  <c r="S174" i="7"/>
  <c r="S173" i="7"/>
  <c r="V171" i="7"/>
  <c r="N170" i="7"/>
  <c r="Q170" i="7" s="1"/>
  <c r="O169" i="7"/>
  <c r="P168" i="7"/>
  <c r="R167" i="7"/>
  <c r="S166" i="7"/>
  <c r="T163" i="7"/>
  <c r="T161" i="7"/>
  <c r="N155" i="7"/>
  <c r="Q155" i="7" s="1"/>
  <c r="N147" i="7"/>
  <c r="N139" i="7"/>
  <c r="N131" i="7"/>
  <c r="Q131" i="7" s="1"/>
  <c r="Y131" i="7" s="1"/>
  <c r="Z131" i="7" s="1"/>
  <c r="N123" i="7"/>
  <c r="Q123" i="7" s="1"/>
  <c r="P115" i="7"/>
  <c r="S111" i="7"/>
  <c r="T107" i="7"/>
  <c r="T103" i="7"/>
  <c r="O95" i="7"/>
  <c r="P79" i="7"/>
  <c r="R9" i="7"/>
  <c r="P151" i="7"/>
  <c r="T151" i="7"/>
  <c r="O157" i="7"/>
  <c r="R157" i="7"/>
  <c r="S157" i="7"/>
  <c r="V157" i="7"/>
  <c r="P117" i="7"/>
  <c r="R117" i="7"/>
  <c r="S117" i="7"/>
  <c r="T117" i="7"/>
  <c r="V117" i="7"/>
  <c r="R85" i="7"/>
  <c r="S85" i="7"/>
  <c r="V85" i="7"/>
  <c r="N85" i="7"/>
  <c r="O85" i="7"/>
  <c r="P37" i="7"/>
  <c r="R37" i="7"/>
  <c r="S37" i="7"/>
  <c r="T37" i="7"/>
  <c r="V37" i="7"/>
  <c r="N37" i="7"/>
  <c r="O37" i="7"/>
  <c r="V173" i="7"/>
  <c r="O140" i="7"/>
  <c r="R140" i="7"/>
  <c r="S140" i="7"/>
  <c r="V140" i="7"/>
  <c r="R76" i="7"/>
  <c r="S76" i="7"/>
  <c r="V76" i="7"/>
  <c r="N76" i="7"/>
  <c r="Q76" i="7" s="1"/>
  <c r="Y76" i="7" s="1"/>
  <c r="Z76" i="7" s="1"/>
  <c r="O76" i="7"/>
  <c r="T181" i="7"/>
  <c r="T42" i="7"/>
  <c r="T50" i="7"/>
  <c r="P50" i="7"/>
  <c r="T58" i="7"/>
  <c r="P58" i="7"/>
  <c r="T66" i="7"/>
  <c r="P66" i="7"/>
  <c r="T74" i="7"/>
  <c r="P74" i="7"/>
  <c r="T82" i="7"/>
  <c r="P82" i="7"/>
  <c r="T90" i="7"/>
  <c r="P90" i="7"/>
  <c r="P138" i="7"/>
  <c r="T138" i="7"/>
  <c r="P146" i="7"/>
  <c r="T146" i="7"/>
  <c r="P154" i="7"/>
  <c r="T154" i="7"/>
  <c r="S18" i="7"/>
  <c r="T18" i="7"/>
  <c r="V18" i="7"/>
  <c r="N18" i="7"/>
  <c r="P18" i="7"/>
  <c r="O18" i="7"/>
  <c r="R18" i="7"/>
  <c r="S10" i="7"/>
  <c r="T10" i="7"/>
  <c r="V10" i="7"/>
  <c r="N10" i="7"/>
  <c r="P10" i="7"/>
  <c r="O10" i="7"/>
  <c r="R10" i="7"/>
  <c r="O162" i="7"/>
  <c r="Q162" i="7" s="1"/>
  <c r="Y162" i="7" s="1"/>
  <c r="Z162" i="7" s="1"/>
  <c r="R162" i="7"/>
  <c r="S162" i="7"/>
  <c r="V162" i="7"/>
  <c r="O154" i="7"/>
  <c r="R154" i="7"/>
  <c r="S154" i="7"/>
  <c r="V154" i="7"/>
  <c r="O146" i="7"/>
  <c r="R146" i="7"/>
  <c r="S146" i="7"/>
  <c r="V146" i="7"/>
  <c r="O138" i="7"/>
  <c r="R138" i="7"/>
  <c r="S138" i="7"/>
  <c r="V138" i="7"/>
  <c r="O130" i="7"/>
  <c r="Q130" i="7" s="1"/>
  <c r="Y130" i="7" s="1"/>
  <c r="Z130" i="7" s="1"/>
  <c r="P130" i="7"/>
  <c r="R130" i="7"/>
  <c r="S130" i="7"/>
  <c r="T130" i="7"/>
  <c r="V130" i="7"/>
  <c r="O122" i="7"/>
  <c r="P122" i="7"/>
  <c r="R122" i="7"/>
  <c r="S122" i="7"/>
  <c r="T122" i="7"/>
  <c r="V122" i="7"/>
  <c r="S114" i="7"/>
  <c r="T114" i="7"/>
  <c r="V114" i="7"/>
  <c r="N114" i="7"/>
  <c r="Q114" i="7" s="1"/>
  <c r="O114" i="7"/>
  <c r="V106" i="7"/>
  <c r="N106" i="7"/>
  <c r="O106" i="7"/>
  <c r="P106" i="7"/>
  <c r="R106" i="7"/>
  <c r="P98" i="7"/>
  <c r="R98" i="7"/>
  <c r="S98" i="7"/>
  <c r="T98" i="7"/>
  <c r="N98" i="7"/>
  <c r="O98" i="7"/>
  <c r="R90" i="7"/>
  <c r="S90" i="7"/>
  <c r="V90" i="7"/>
  <c r="N90" i="7"/>
  <c r="O90" i="7"/>
  <c r="R82" i="7"/>
  <c r="S82" i="7"/>
  <c r="V82" i="7"/>
  <c r="N82" i="7"/>
  <c r="Q82" i="7" s="1"/>
  <c r="O82" i="7"/>
  <c r="R74" i="7"/>
  <c r="S74" i="7"/>
  <c r="V74" i="7"/>
  <c r="N74" i="7"/>
  <c r="O74" i="7"/>
  <c r="R66" i="7"/>
  <c r="S66" i="7"/>
  <c r="V66" i="7"/>
  <c r="N66" i="7"/>
  <c r="Q66" i="7" s="1"/>
  <c r="Y66" i="7" s="1"/>
  <c r="Z66" i="7" s="1"/>
  <c r="O66" i="7"/>
  <c r="V58" i="7"/>
  <c r="N58" i="7"/>
  <c r="O58" i="7"/>
  <c r="R58" i="7"/>
  <c r="S58" i="7"/>
  <c r="R50" i="7"/>
  <c r="S50" i="7"/>
  <c r="V50" i="7"/>
  <c r="N50" i="7"/>
  <c r="O50" i="7"/>
  <c r="N42" i="7"/>
  <c r="O42" i="7"/>
  <c r="R42" i="7"/>
  <c r="S42" i="7"/>
  <c r="V42" i="7"/>
  <c r="S34" i="7"/>
  <c r="T34" i="7"/>
  <c r="V34" i="7"/>
  <c r="N34" i="7"/>
  <c r="P34" i="7"/>
  <c r="O34" i="7"/>
  <c r="Q34" i="7" s="1"/>
  <c r="Y34" i="7" s="1"/>
  <c r="Z34" i="7" s="1"/>
  <c r="R34" i="7"/>
  <c r="S26" i="7"/>
  <c r="T26" i="7"/>
  <c r="V26" i="7"/>
  <c r="N26" i="7"/>
  <c r="P26" i="7"/>
  <c r="O26" i="7"/>
  <c r="R26" i="7"/>
  <c r="R181" i="7"/>
  <c r="T180" i="7"/>
  <c r="T179" i="7"/>
  <c r="V178" i="7"/>
  <c r="N177" i="7"/>
  <c r="Q177" i="7" s="1"/>
  <c r="O176" i="7"/>
  <c r="P175" i="7"/>
  <c r="R174" i="7"/>
  <c r="R173" i="7"/>
  <c r="T172" i="7"/>
  <c r="T171" i="7"/>
  <c r="V170" i="7"/>
  <c r="N169" i="7"/>
  <c r="Q169" i="7" s="1"/>
  <c r="Y169" i="7" s="1"/>
  <c r="Z169" i="7" s="1"/>
  <c r="O168" i="7"/>
  <c r="R166" i="7"/>
  <c r="T158" i="7"/>
  <c r="O115" i="7"/>
  <c r="S107" i="7"/>
  <c r="P63" i="7"/>
  <c r="P48" i="7"/>
  <c r="T47" i="7"/>
  <c r="P47" i="7"/>
  <c r="P135" i="7"/>
  <c r="T135" i="7"/>
  <c r="R165" i="7"/>
  <c r="V165" i="7"/>
  <c r="V109" i="7"/>
  <c r="N109" i="7"/>
  <c r="Q109" i="7" s="1"/>
  <c r="O109" i="7"/>
  <c r="P109" i="7"/>
  <c r="R109" i="7"/>
  <c r="V61" i="7"/>
  <c r="N61" i="7"/>
  <c r="O61" i="7"/>
  <c r="R61" i="7"/>
  <c r="S61" i="7"/>
  <c r="Q180" i="7"/>
  <c r="T167" i="7"/>
  <c r="P56" i="7"/>
  <c r="T56" i="7"/>
  <c r="T72" i="7"/>
  <c r="P72" i="7"/>
  <c r="P144" i="7"/>
  <c r="T144" i="7"/>
  <c r="O156" i="7"/>
  <c r="R156" i="7"/>
  <c r="S156" i="7"/>
  <c r="V156" i="7"/>
  <c r="O124" i="7"/>
  <c r="P124" i="7"/>
  <c r="R124" i="7"/>
  <c r="S124" i="7"/>
  <c r="T124" i="7"/>
  <c r="V124" i="7"/>
  <c r="P100" i="7"/>
  <c r="R100" i="7"/>
  <c r="T100" i="7"/>
  <c r="N100" i="7"/>
  <c r="O100" i="7"/>
  <c r="S100" i="7"/>
  <c r="V100" i="7"/>
  <c r="N60" i="7"/>
  <c r="O60" i="7"/>
  <c r="Q60" i="7" s="1"/>
  <c r="Y60" i="7" s="1"/>
  <c r="Z60" i="7" s="1"/>
  <c r="R60" i="7"/>
  <c r="S60" i="7"/>
  <c r="V60" i="7"/>
  <c r="P28" i="7"/>
  <c r="R28" i="7"/>
  <c r="S28" i="7"/>
  <c r="T28" i="7"/>
  <c r="N28" i="7"/>
  <c r="Q28" i="7" s="1"/>
  <c r="Y28" i="7" s="1"/>
  <c r="Z28" i="7" s="1"/>
  <c r="O28" i="7"/>
  <c r="V28" i="7"/>
  <c r="R175" i="7"/>
  <c r="V172" i="7"/>
  <c r="R168" i="7"/>
  <c r="P43" i="7"/>
  <c r="T43" i="7"/>
  <c r="P139" i="7"/>
  <c r="T139" i="7"/>
  <c r="P147" i="7"/>
  <c r="T147" i="7"/>
  <c r="P155" i="7"/>
  <c r="T155" i="7"/>
  <c r="S17" i="7"/>
  <c r="T17" i="7"/>
  <c r="V17" i="7"/>
  <c r="N17" i="7"/>
  <c r="O17" i="7"/>
  <c r="P17" i="7"/>
  <c r="R17" i="7"/>
  <c r="S9" i="7"/>
  <c r="T9" i="7"/>
  <c r="V9" i="7"/>
  <c r="N9" i="7"/>
  <c r="O9" i="7"/>
  <c r="O161" i="7"/>
  <c r="Q161" i="7" s="1"/>
  <c r="Y161" i="7" s="1"/>
  <c r="Z161" i="7" s="1"/>
  <c r="R161" i="7"/>
  <c r="S161" i="7"/>
  <c r="V161" i="7"/>
  <c r="O153" i="7"/>
  <c r="R153" i="7"/>
  <c r="S153" i="7"/>
  <c r="V153" i="7"/>
  <c r="O145" i="7"/>
  <c r="Q145" i="7" s="1"/>
  <c r="Y145" i="7" s="1"/>
  <c r="Z145" i="7" s="1"/>
  <c r="R145" i="7"/>
  <c r="S145" i="7"/>
  <c r="V145" i="7"/>
  <c r="O137" i="7"/>
  <c r="R137" i="7"/>
  <c r="S137" i="7"/>
  <c r="V137" i="7"/>
  <c r="O129" i="7"/>
  <c r="P129" i="7"/>
  <c r="R129" i="7"/>
  <c r="S129" i="7"/>
  <c r="T129" i="7"/>
  <c r="V129" i="7"/>
  <c r="O121" i="7"/>
  <c r="P121" i="7"/>
  <c r="R121" i="7"/>
  <c r="S121" i="7"/>
  <c r="T121" i="7"/>
  <c r="V121" i="7"/>
  <c r="S113" i="7"/>
  <c r="T113" i="7"/>
  <c r="V113" i="7"/>
  <c r="N113" i="7"/>
  <c r="Q113" i="7" s="1"/>
  <c r="Y113" i="7" s="1"/>
  <c r="Z113" i="7" s="1"/>
  <c r="O113" i="7"/>
  <c r="V105" i="7"/>
  <c r="N105" i="7"/>
  <c r="Q105" i="7" s="1"/>
  <c r="O105" i="7"/>
  <c r="P105" i="7"/>
  <c r="R105" i="7"/>
  <c r="P97" i="7"/>
  <c r="R97" i="7"/>
  <c r="S97" i="7"/>
  <c r="T97" i="7"/>
  <c r="V97" i="7"/>
  <c r="N97" i="7"/>
  <c r="O97" i="7"/>
  <c r="R89" i="7"/>
  <c r="S89" i="7"/>
  <c r="V89" i="7"/>
  <c r="N89" i="7"/>
  <c r="Q89" i="7" s="1"/>
  <c r="O89" i="7"/>
  <c r="R81" i="7"/>
  <c r="S81" i="7"/>
  <c r="V81" i="7"/>
  <c r="N81" i="7"/>
  <c r="O81" i="7"/>
  <c r="R73" i="7"/>
  <c r="S73" i="7"/>
  <c r="V73" i="7"/>
  <c r="N73" i="7"/>
  <c r="Q73" i="7" s="1"/>
  <c r="Y73" i="7" s="1"/>
  <c r="Z73" i="7" s="1"/>
  <c r="O73" i="7"/>
  <c r="S65" i="7"/>
  <c r="V65" i="7"/>
  <c r="N65" i="7"/>
  <c r="O65" i="7"/>
  <c r="R65" i="7"/>
  <c r="V57" i="7"/>
  <c r="N57" i="7"/>
  <c r="O57" i="7"/>
  <c r="R57" i="7"/>
  <c r="S57" i="7"/>
  <c r="R49" i="7"/>
  <c r="S49" i="7"/>
  <c r="V49" i="7"/>
  <c r="N49" i="7"/>
  <c r="O49" i="7"/>
  <c r="N41" i="7"/>
  <c r="O41" i="7"/>
  <c r="P41" i="7"/>
  <c r="R41" i="7"/>
  <c r="S41" i="7"/>
  <c r="V41" i="7"/>
  <c r="T41" i="7"/>
  <c r="S33" i="7"/>
  <c r="T33" i="7"/>
  <c r="V33" i="7"/>
  <c r="N33" i="7"/>
  <c r="O33" i="7"/>
  <c r="P33" i="7"/>
  <c r="R33" i="7"/>
  <c r="S25" i="7"/>
  <c r="T25" i="7"/>
  <c r="V25" i="7"/>
  <c r="N25" i="7"/>
  <c r="O25" i="7"/>
  <c r="P25" i="7"/>
  <c r="R25" i="7"/>
  <c r="S180" i="7"/>
  <c r="S179" i="7"/>
  <c r="Y179" i="7" s="1"/>
  <c r="Z179" i="7" s="1"/>
  <c r="V177" i="7"/>
  <c r="N176" i="7"/>
  <c r="O175" i="7"/>
  <c r="S172" i="7"/>
  <c r="S171" i="7"/>
  <c r="Y171" i="7" s="1"/>
  <c r="Z171" i="7" s="1"/>
  <c r="V169" i="7"/>
  <c r="N168" i="7"/>
  <c r="P167" i="7"/>
  <c r="N165" i="7"/>
  <c r="Q165" i="7" s="1"/>
  <c r="Y165" i="7" s="1"/>
  <c r="Z165" i="7" s="1"/>
  <c r="N163" i="7"/>
  <c r="N154" i="7"/>
  <c r="Q154" i="7" s="1"/>
  <c r="Y154" i="7" s="1"/>
  <c r="Z154" i="7" s="1"/>
  <c r="N146" i="7"/>
  <c r="Q146" i="7" s="1"/>
  <c r="Y146" i="7" s="1"/>
  <c r="Z146" i="7" s="1"/>
  <c r="N138" i="7"/>
  <c r="N130" i="7"/>
  <c r="N122" i="7"/>
  <c r="O118" i="7"/>
  <c r="Q118" i="7" s="1"/>
  <c r="Y118" i="7" s="1"/>
  <c r="Z118" i="7" s="1"/>
  <c r="R114" i="7"/>
  <c r="S110" i="7"/>
  <c r="T106" i="7"/>
  <c r="R102" i="7"/>
  <c r="P91" i="7"/>
  <c r="P75" i="7"/>
  <c r="T59" i="7"/>
  <c r="O21" i="7"/>
  <c r="P21" i="7"/>
  <c r="R21" i="7"/>
  <c r="S21" i="7"/>
  <c r="V21" i="7"/>
  <c r="N21" i="7"/>
  <c r="T21" i="7"/>
  <c r="O149" i="7"/>
  <c r="R149" i="7"/>
  <c r="S149" i="7"/>
  <c r="V149" i="7"/>
  <c r="R101" i="7"/>
  <c r="P101" i="7"/>
  <c r="S101" i="7"/>
  <c r="T101" i="7"/>
  <c r="V101" i="7"/>
  <c r="V45" i="7"/>
  <c r="N45" i="7"/>
  <c r="Q45" i="7" s="1"/>
  <c r="Y45" i="7" s="1"/>
  <c r="Z45" i="7" s="1"/>
  <c r="O45" i="7"/>
  <c r="R45" i="7"/>
  <c r="S45" i="7"/>
  <c r="T80" i="7"/>
  <c r="P80" i="7"/>
  <c r="V108" i="7"/>
  <c r="N108" i="7"/>
  <c r="Q108" i="7" s="1"/>
  <c r="Y108" i="7" s="1"/>
  <c r="Z108" i="7" s="1"/>
  <c r="O108" i="7"/>
  <c r="P108" i="7"/>
  <c r="R108" i="7"/>
  <c r="O52" i="7"/>
  <c r="Q52" i="7" s="1"/>
  <c r="Y52" i="7" s="1"/>
  <c r="Z52" i="7" s="1"/>
  <c r="R52" i="7"/>
  <c r="S52" i="7"/>
  <c r="V52" i="7"/>
  <c r="T173" i="7"/>
  <c r="P44" i="7"/>
  <c r="P52" i="7"/>
  <c r="T52" i="7"/>
  <c r="P60" i="7"/>
  <c r="T60" i="7"/>
  <c r="T68" i="7"/>
  <c r="P68" i="7"/>
  <c r="T76" i="7"/>
  <c r="P76" i="7"/>
  <c r="T84" i="7"/>
  <c r="P84" i="7"/>
  <c r="P132" i="7"/>
  <c r="T132" i="7"/>
  <c r="P140" i="7"/>
  <c r="T140" i="7"/>
  <c r="P148" i="7"/>
  <c r="T148" i="7"/>
  <c r="P156" i="7"/>
  <c r="T156" i="7"/>
  <c r="V16" i="7"/>
  <c r="N16" i="7"/>
  <c r="O16" i="7"/>
  <c r="P16" i="7"/>
  <c r="S16" i="7"/>
  <c r="R16" i="7"/>
  <c r="T16" i="7"/>
  <c r="V8" i="7"/>
  <c r="N8" i="7"/>
  <c r="O8" i="7"/>
  <c r="P8" i="7"/>
  <c r="S8" i="7"/>
  <c r="R8" i="7"/>
  <c r="T8" i="7"/>
  <c r="O160" i="7"/>
  <c r="R160" i="7"/>
  <c r="S160" i="7"/>
  <c r="V160" i="7"/>
  <c r="O152" i="7"/>
  <c r="R152" i="7"/>
  <c r="S152" i="7"/>
  <c r="V152" i="7"/>
  <c r="O144" i="7"/>
  <c r="Q144" i="7" s="1"/>
  <c r="Y144" i="7" s="1"/>
  <c r="Z144" i="7" s="1"/>
  <c r="R144" i="7"/>
  <c r="S144" i="7"/>
  <c r="V144" i="7"/>
  <c r="O136" i="7"/>
  <c r="R136" i="7"/>
  <c r="S136" i="7"/>
  <c r="V136" i="7"/>
  <c r="O128" i="7"/>
  <c r="Q128" i="7" s="1"/>
  <c r="Y128" i="7" s="1"/>
  <c r="Z128" i="7" s="1"/>
  <c r="P128" i="7"/>
  <c r="R128" i="7"/>
  <c r="S128" i="7"/>
  <c r="T128" i="7"/>
  <c r="V128" i="7"/>
  <c r="O120" i="7"/>
  <c r="P120" i="7"/>
  <c r="R120" i="7"/>
  <c r="S120" i="7"/>
  <c r="T120" i="7"/>
  <c r="V120" i="7"/>
  <c r="T112" i="7"/>
  <c r="V112" i="7"/>
  <c r="N112" i="7"/>
  <c r="O112" i="7"/>
  <c r="P112" i="7"/>
  <c r="N104" i="7"/>
  <c r="Q104" i="7" s="1"/>
  <c r="Y104" i="7" s="1"/>
  <c r="Z104" i="7" s="1"/>
  <c r="O104" i="7"/>
  <c r="P104" i="7"/>
  <c r="R104" i="7"/>
  <c r="S104" i="7"/>
  <c r="P96" i="7"/>
  <c r="R96" i="7"/>
  <c r="S96" i="7"/>
  <c r="Y96" i="7" s="1"/>
  <c r="Z96" i="7" s="1"/>
  <c r="T96" i="7"/>
  <c r="V96" i="7"/>
  <c r="N96" i="7"/>
  <c r="Q96" i="7" s="1"/>
  <c r="O96" i="7"/>
  <c r="R88" i="7"/>
  <c r="S88" i="7"/>
  <c r="V88" i="7"/>
  <c r="N88" i="7"/>
  <c r="O88" i="7"/>
  <c r="R80" i="7"/>
  <c r="S80" i="7"/>
  <c r="V80" i="7"/>
  <c r="O80" i="7"/>
  <c r="R72" i="7"/>
  <c r="S72" i="7"/>
  <c r="V72" i="7"/>
  <c r="N72" i="7"/>
  <c r="Q72" i="7" s="1"/>
  <c r="Y72" i="7" s="1"/>
  <c r="Z72" i="7" s="1"/>
  <c r="O72" i="7"/>
  <c r="S64" i="7"/>
  <c r="V64" i="7"/>
  <c r="N64" i="7"/>
  <c r="O64" i="7"/>
  <c r="R64" i="7"/>
  <c r="V56" i="7"/>
  <c r="N56" i="7"/>
  <c r="O56" i="7"/>
  <c r="Q56" i="7" s="1"/>
  <c r="Y56" i="7" s="1"/>
  <c r="Z56" i="7" s="1"/>
  <c r="R56" i="7"/>
  <c r="S56" i="7"/>
  <c r="S48" i="7"/>
  <c r="V48" i="7"/>
  <c r="N48" i="7"/>
  <c r="O48" i="7"/>
  <c r="N40" i="7"/>
  <c r="O40" i="7"/>
  <c r="P40" i="7"/>
  <c r="R40" i="7"/>
  <c r="S40" i="7"/>
  <c r="V40" i="7"/>
  <c r="T40" i="7"/>
  <c r="V32" i="7"/>
  <c r="N32" i="7"/>
  <c r="O32" i="7"/>
  <c r="P32" i="7"/>
  <c r="S32" i="7"/>
  <c r="R32" i="7"/>
  <c r="T32" i="7"/>
  <c r="V24" i="7"/>
  <c r="N24" i="7"/>
  <c r="O24" i="7"/>
  <c r="P24" i="7"/>
  <c r="S24" i="7"/>
  <c r="R24" i="7"/>
  <c r="T24" i="7"/>
  <c r="R180" i="7"/>
  <c r="N175" i="7"/>
  <c r="Q175" i="7" s="1"/>
  <c r="O174" i="7"/>
  <c r="R172" i="7"/>
  <c r="O167" i="7"/>
  <c r="Q167" i="7" s="1"/>
  <c r="Y167" i="7" s="1"/>
  <c r="Z167" i="7" s="1"/>
  <c r="O166" i="7"/>
  <c r="T160" i="7"/>
  <c r="P114" i="7"/>
  <c r="S106" i="7"/>
  <c r="O91" i="7"/>
  <c r="O75" i="7"/>
  <c r="S59" i="7"/>
  <c r="O141" i="7"/>
  <c r="Q141" i="7" s="1"/>
  <c r="Y141" i="7" s="1"/>
  <c r="Z141" i="7" s="1"/>
  <c r="R141" i="7"/>
  <c r="S141" i="7"/>
  <c r="V141" i="7"/>
  <c r="R69" i="7"/>
  <c r="S69" i="7"/>
  <c r="V69" i="7"/>
  <c r="N69" i="7"/>
  <c r="Q69" i="7" s="1"/>
  <c r="Y69" i="7" s="1"/>
  <c r="Z69" i="7" s="1"/>
  <c r="O69" i="7"/>
  <c r="Q172" i="7"/>
  <c r="T165" i="7"/>
  <c r="V4" i="7"/>
  <c r="N4" i="7"/>
  <c r="Q4" i="7" s="1"/>
  <c r="T88" i="7"/>
  <c r="P88" i="7"/>
  <c r="O164" i="7"/>
  <c r="Q164" i="7" s="1"/>
  <c r="Y164" i="7" s="1"/>
  <c r="Z164" i="7" s="1"/>
  <c r="R164" i="7"/>
  <c r="S164" i="7"/>
  <c r="V164" i="7"/>
  <c r="R116" i="7"/>
  <c r="S116" i="7"/>
  <c r="T116" i="7"/>
  <c r="V116" i="7"/>
  <c r="N116" i="7"/>
  <c r="Q116" i="7" s="1"/>
  <c r="Y116" i="7" s="1"/>
  <c r="Z116" i="7" s="1"/>
  <c r="R68" i="7"/>
  <c r="S68" i="7"/>
  <c r="V68" i="7"/>
  <c r="N68" i="7"/>
  <c r="O68" i="7"/>
  <c r="P51" i="7"/>
  <c r="T51" i="7"/>
  <c r="P45" i="7"/>
  <c r="T45" i="7"/>
  <c r="P53" i="7"/>
  <c r="T53" i="7"/>
  <c r="P61" i="7"/>
  <c r="T61" i="7"/>
  <c r="T69" i="7"/>
  <c r="P69" i="7"/>
  <c r="T77" i="7"/>
  <c r="P77" i="7"/>
  <c r="T85" i="7"/>
  <c r="P85" i="7"/>
  <c r="P133" i="7"/>
  <c r="T133" i="7"/>
  <c r="P141" i="7"/>
  <c r="T141" i="7"/>
  <c r="P149" i="7"/>
  <c r="T149" i="7"/>
  <c r="P157" i="7"/>
  <c r="T157" i="7"/>
  <c r="V15" i="7"/>
  <c r="N15" i="7"/>
  <c r="Q15" i="7" s="1"/>
  <c r="Y15" i="7" s="1"/>
  <c r="Z15" i="7" s="1"/>
  <c r="O15" i="7"/>
  <c r="P15" i="7"/>
  <c r="S15" i="7"/>
  <c r="R15" i="7"/>
  <c r="T15" i="7"/>
  <c r="V7" i="7"/>
  <c r="N7" i="7"/>
  <c r="Q7" i="7" s="1"/>
  <c r="Y7" i="7" s="1"/>
  <c r="Z7" i="7" s="1"/>
  <c r="O7" i="7"/>
  <c r="P7" i="7"/>
  <c r="S7" i="7"/>
  <c r="R7" i="7"/>
  <c r="T7" i="7"/>
  <c r="O159" i="7"/>
  <c r="Q159" i="7" s="1"/>
  <c r="Y159" i="7" s="1"/>
  <c r="Z159" i="7" s="1"/>
  <c r="R159" i="7"/>
  <c r="S159" i="7"/>
  <c r="V159" i="7"/>
  <c r="O151" i="7"/>
  <c r="Q151" i="7" s="1"/>
  <c r="Y151" i="7" s="1"/>
  <c r="Z151" i="7" s="1"/>
  <c r="R151" i="7"/>
  <c r="S151" i="7"/>
  <c r="V151" i="7"/>
  <c r="O143" i="7"/>
  <c r="Q143" i="7" s="1"/>
  <c r="Y143" i="7" s="1"/>
  <c r="Z143" i="7" s="1"/>
  <c r="R143" i="7"/>
  <c r="S143" i="7"/>
  <c r="V143" i="7"/>
  <c r="O135" i="7"/>
  <c r="Q135" i="7" s="1"/>
  <c r="Y135" i="7" s="1"/>
  <c r="Z135" i="7" s="1"/>
  <c r="R135" i="7"/>
  <c r="S135" i="7"/>
  <c r="V135" i="7"/>
  <c r="O127" i="7"/>
  <c r="Q127" i="7" s="1"/>
  <c r="Y127" i="7" s="1"/>
  <c r="Z127" i="7" s="1"/>
  <c r="P127" i="7"/>
  <c r="R127" i="7"/>
  <c r="S127" i="7"/>
  <c r="T127" i="7"/>
  <c r="V127" i="7"/>
  <c r="O119" i="7"/>
  <c r="Q119" i="7" s="1"/>
  <c r="Y119" i="7" s="1"/>
  <c r="Z119" i="7" s="1"/>
  <c r="P119" i="7"/>
  <c r="R119" i="7"/>
  <c r="S119" i="7"/>
  <c r="T119" i="7"/>
  <c r="V119" i="7"/>
  <c r="T111" i="7"/>
  <c r="V111" i="7"/>
  <c r="N111" i="7"/>
  <c r="O111" i="7"/>
  <c r="P111" i="7"/>
  <c r="P103" i="7"/>
  <c r="V103" i="7"/>
  <c r="N103" i="7"/>
  <c r="O103" i="7"/>
  <c r="Q103" i="7" s="1"/>
  <c r="Y103" i="7" s="1"/>
  <c r="Z103" i="7" s="1"/>
  <c r="R103" i="7"/>
  <c r="P95" i="7"/>
  <c r="R95" i="7"/>
  <c r="S95" i="7"/>
  <c r="T95" i="7"/>
  <c r="V95" i="7"/>
  <c r="R87" i="7"/>
  <c r="S87" i="7"/>
  <c r="V87" i="7"/>
  <c r="N87" i="7"/>
  <c r="R79" i="7"/>
  <c r="S79" i="7"/>
  <c r="V79" i="7"/>
  <c r="N79" i="7"/>
  <c r="Q79" i="7" s="1"/>
  <c r="R71" i="7"/>
  <c r="S71" i="7"/>
  <c r="V71" i="7"/>
  <c r="N71" i="7"/>
  <c r="S63" i="7"/>
  <c r="V63" i="7"/>
  <c r="N63" i="7"/>
  <c r="O63" i="7"/>
  <c r="N55" i="7"/>
  <c r="O55" i="7"/>
  <c r="R55" i="7"/>
  <c r="S55" i="7"/>
  <c r="S47" i="7"/>
  <c r="V47" i="7"/>
  <c r="N47" i="7"/>
  <c r="Q47" i="7" s="1"/>
  <c r="Y47" i="7" s="1"/>
  <c r="Z47" i="7" s="1"/>
  <c r="O47" i="7"/>
  <c r="R47" i="7"/>
  <c r="O39" i="7"/>
  <c r="P39" i="7"/>
  <c r="R39" i="7"/>
  <c r="S39" i="7"/>
  <c r="V39" i="7"/>
  <c r="N39" i="7"/>
  <c r="Q39" i="7" s="1"/>
  <c r="Y39" i="7" s="1"/>
  <c r="Z39" i="7" s="1"/>
  <c r="T39" i="7"/>
  <c r="V31" i="7"/>
  <c r="N31" i="7"/>
  <c r="O31" i="7"/>
  <c r="P31" i="7"/>
  <c r="S31" i="7"/>
  <c r="U31" i="7" s="1"/>
  <c r="R31" i="7"/>
  <c r="T31" i="7"/>
  <c r="V23" i="7"/>
  <c r="N23" i="7"/>
  <c r="O23" i="7"/>
  <c r="P23" i="7"/>
  <c r="S23" i="7"/>
  <c r="O181" i="7"/>
  <c r="Q181" i="7" s="1"/>
  <c r="Y181" i="7" s="1"/>
  <c r="Z181" i="7" s="1"/>
  <c r="S178" i="7"/>
  <c r="S177" i="7"/>
  <c r="N174" i="7"/>
  <c r="Q174" i="7" s="1"/>
  <c r="Y174" i="7" s="1"/>
  <c r="Z174" i="7" s="1"/>
  <c r="O173" i="7"/>
  <c r="Q173" i="7" s="1"/>
  <c r="Y173" i="7" s="1"/>
  <c r="Z173" i="7" s="1"/>
  <c r="S170" i="7"/>
  <c r="S169" i="7"/>
  <c r="V167" i="7"/>
  <c r="N166" i="7"/>
  <c r="T164" i="7"/>
  <c r="T162" i="7"/>
  <c r="N160" i="7"/>
  <c r="Q160" i="7" s="1"/>
  <c r="Y160" i="7" s="1"/>
  <c r="Z160" i="7" s="1"/>
  <c r="N157" i="7"/>
  <c r="N153" i="7"/>
  <c r="Q153" i="7" s="1"/>
  <c r="Y153" i="7" s="1"/>
  <c r="Z153" i="7" s="1"/>
  <c r="N149" i="7"/>
  <c r="Q149" i="7" s="1"/>
  <c r="N145" i="7"/>
  <c r="N141" i="7"/>
  <c r="N137" i="7"/>
  <c r="Q137" i="7" s="1"/>
  <c r="N133" i="7"/>
  <c r="N129" i="7"/>
  <c r="Q129" i="7" s="1"/>
  <c r="Y129" i="7" s="1"/>
  <c r="Z129" i="7" s="1"/>
  <c r="N121" i="7"/>
  <c r="Q121" i="7" s="1"/>
  <c r="Y121" i="7" s="1"/>
  <c r="Z121" i="7" s="1"/>
  <c r="O117" i="7"/>
  <c r="R113" i="7"/>
  <c r="T109" i="7"/>
  <c r="T105" i="7"/>
  <c r="O101" i="7"/>
  <c r="P87" i="7"/>
  <c r="P71" i="7"/>
  <c r="P55" i="7"/>
  <c r="T55" i="7"/>
  <c r="O125" i="7"/>
  <c r="Q125" i="7" s="1"/>
  <c r="Y125" i="7" s="1"/>
  <c r="Z125" i="7" s="1"/>
  <c r="P125" i="7"/>
  <c r="R125" i="7"/>
  <c r="S125" i="7"/>
  <c r="T125" i="7"/>
  <c r="V125" i="7"/>
  <c r="R93" i="7"/>
  <c r="S93" i="7"/>
  <c r="T93" i="7"/>
  <c r="V93" i="7"/>
  <c r="N93" i="7"/>
  <c r="O93" i="7"/>
  <c r="P93" i="7"/>
  <c r="N53" i="7"/>
  <c r="O53" i="7"/>
  <c r="R53" i="7"/>
  <c r="S53" i="7"/>
  <c r="V53" i="7"/>
  <c r="V181" i="7"/>
  <c r="S175" i="7"/>
  <c r="P136" i="7"/>
  <c r="T136" i="7"/>
  <c r="P12" i="7"/>
  <c r="R12" i="7"/>
  <c r="S12" i="7"/>
  <c r="T12" i="7"/>
  <c r="N12" i="7"/>
  <c r="O12" i="7"/>
  <c r="V12" i="7"/>
  <c r="O132" i="7"/>
  <c r="R132" i="7"/>
  <c r="S132" i="7"/>
  <c r="V132" i="7"/>
  <c r="R84" i="7"/>
  <c r="S84" i="7"/>
  <c r="V84" i="7"/>
  <c r="N84" i="7"/>
  <c r="O84" i="7"/>
  <c r="V44" i="7"/>
  <c r="N44" i="7"/>
  <c r="Q44" i="7" s="1"/>
  <c r="Y44" i="7" s="1"/>
  <c r="Z44" i="7" s="1"/>
  <c r="O44" i="7"/>
  <c r="R44" i="7"/>
  <c r="V180" i="7"/>
  <c r="R176" i="7"/>
  <c r="S165" i="7"/>
  <c r="S108" i="7"/>
  <c r="P2" i="7"/>
  <c r="R2" i="7"/>
  <c r="T46" i="7"/>
  <c r="P46" i="7"/>
  <c r="P54" i="7"/>
  <c r="T54" i="7"/>
  <c r="T62" i="7"/>
  <c r="P62" i="7"/>
  <c r="T70" i="7"/>
  <c r="P70" i="7"/>
  <c r="T78" i="7"/>
  <c r="P78" i="7"/>
  <c r="T86" i="7"/>
  <c r="P86" i="7"/>
  <c r="P134" i="7"/>
  <c r="T134" i="7"/>
  <c r="P142" i="7"/>
  <c r="T142" i="7"/>
  <c r="P150" i="7"/>
  <c r="T150" i="7"/>
  <c r="N22" i="7"/>
  <c r="Q22" i="7" s="1"/>
  <c r="O22" i="7"/>
  <c r="P22" i="7"/>
  <c r="R22" i="7"/>
  <c r="S22" i="7"/>
  <c r="T22" i="7"/>
  <c r="V22" i="7"/>
  <c r="N14" i="7"/>
  <c r="Q14" i="7" s="1"/>
  <c r="O14" i="7"/>
  <c r="P14" i="7"/>
  <c r="R14" i="7"/>
  <c r="S14" i="7"/>
  <c r="T14" i="7"/>
  <c r="V14" i="7"/>
  <c r="N6" i="7"/>
  <c r="Q6" i="7" s="1"/>
  <c r="O6" i="7"/>
  <c r="P6" i="7"/>
  <c r="R6" i="7"/>
  <c r="S6" i="7"/>
  <c r="Y6" i="7" s="1"/>
  <c r="Z6" i="7" s="1"/>
  <c r="T6" i="7"/>
  <c r="V6" i="7"/>
  <c r="O158" i="7"/>
  <c r="R158" i="7"/>
  <c r="S158" i="7"/>
  <c r="V158" i="7"/>
  <c r="O150" i="7"/>
  <c r="Q150" i="7" s="1"/>
  <c r="Y150" i="7" s="1"/>
  <c r="Z150" i="7" s="1"/>
  <c r="R150" i="7"/>
  <c r="S150" i="7"/>
  <c r="V150" i="7"/>
  <c r="O142" i="7"/>
  <c r="R142" i="7"/>
  <c r="S142" i="7"/>
  <c r="V142" i="7"/>
  <c r="O134" i="7"/>
  <c r="R134" i="7"/>
  <c r="S134" i="7"/>
  <c r="V134" i="7"/>
  <c r="O126" i="7"/>
  <c r="P126" i="7"/>
  <c r="R126" i="7"/>
  <c r="S126" i="7"/>
  <c r="T126" i="7"/>
  <c r="V126" i="7"/>
  <c r="P118" i="7"/>
  <c r="R118" i="7"/>
  <c r="S118" i="7"/>
  <c r="T118" i="7"/>
  <c r="V118" i="7"/>
  <c r="T110" i="7"/>
  <c r="V110" i="7"/>
  <c r="N110" i="7"/>
  <c r="Q110" i="7" s="1"/>
  <c r="Y110" i="7" s="1"/>
  <c r="Z110" i="7" s="1"/>
  <c r="O110" i="7"/>
  <c r="P110" i="7"/>
  <c r="P102" i="7"/>
  <c r="V102" i="7"/>
  <c r="S102" i="7"/>
  <c r="T102" i="7"/>
  <c r="N102" i="7"/>
  <c r="Q102" i="7" s="1"/>
  <c r="Y102" i="7" s="1"/>
  <c r="Z102" i="7" s="1"/>
  <c r="R94" i="7"/>
  <c r="S94" i="7"/>
  <c r="T94" i="7"/>
  <c r="V94" i="7"/>
  <c r="N94" i="7"/>
  <c r="O94" i="7"/>
  <c r="P94" i="7"/>
  <c r="R86" i="7"/>
  <c r="S86" i="7"/>
  <c r="V86" i="7"/>
  <c r="N86" i="7"/>
  <c r="Q86" i="7" s="1"/>
  <c r="Y86" i="7" s="1"/>
  <c r="Z86" i="7" s="1"/>
  <c r="O86" i="7"/>
  <c r="R78" i="7"/>
  <c r="S78" i="7"/>
  <c r="V78" i="7"/>
  <c r="N78" i="7"/>
  <c r="Q78" i="7" s="1"/>
  <c r="O78" i="7"/>
  <c r="R70" i="7"/>
  <c r="S70" i="7"/>
  <c r="V70" i="7"/>
  <c r="N70" i="7"/>
  <c r="O70" i="7"/>
  <c r="V62" i="7"/>
  <c r="N62" i="7"/>
  <c r="O62" i="7"/>
  <c r="R62" i="7"/>
  <c r="S62" i="7"/>
  <c r="N54" i="7"/>
  <c r="O54" i="7"/>
  <c r="R54" i="7"/>
  <c r="S54" i="7"/>
  <c r="V54" i="7"/>
  <c r="V46" i="7"/>
  <c r="N46" i="7"/>
  <c r="O46" i="7"/>
  <c r="R46" i="7"/>
  <c r="S46" i="7"/>
  <c r="P38" i="7"/>
  <c r="R38" i="7"/>
  <c r="S38" i="7"/>
  <c r="T38" i="7"/>
  <c r="N38" i="7"/>
  <c r="V38" i="7"/>
  <c r="N30" i="7"/>
  <c r="O30" i="7"/>
  <c r="P30" i="7"/>
  <c r="R30" i="7"/>
  <c r="S30" i="7"/>
  <c r="T30" i="7"/>
  <c r="V30" i="7"/>
  <c r="N117" i="7"/>
  <c r="P113" i="7"/>
  <c r="S109" i="7"/>
  <c r="S105" i="7"/>
  <c r="N101" i="7"/>
  <c r="Q101" i="7" s="1"/>
  <c r="O87" i="7"/>
  <c r="O71" i="7"/>
  <c r="V55" i="7"/>
  <c r="Y177" i="7"/>
  <c r="Z177" i="7" s="1"/>
  <c r="Q152" i="7"/>
  <c r="Y152" i="7" s="1"/>
  <c r="Z152" i="7" s="1"/>
  <c r="Q142" i="7"/>
  <c r="Q140" i="7"/>
  <c r="Y140" i="7" s="1"/>
  <c r="Z140" i="7" s="1"/>
  <c r="Q139" i="7"/>
  <c r="Y139" i="7" s="1"/>
  <c r="Z139" i="7" s="1"/>
  <c r="Q138" i="7"/>
  <c r="Y137" i="7"/>
  <c r="Z137" i="7" s="1"/>
  <c r="Q136" i="7"/>
  <c r="Q134" i="7"/>
  <c r="Q132" i="7"/>
  <c r="Y132" i="7" s="1"/>
  <c r="Z132" i="7" s="1"/>
  <c r="Q126" i="7"/>
  <c r="Q124" i="7"/>
  <c r="Y124" i="7" s="1"/>
  <c r="Z124" i="7" s="1"/>
  <c r="Q122" i="7"/>
  <c r="Y122" i="7" s="1"/>
  <c r="Z122" i="7" s="1"/>
  <c r="Q120" i="7"/>
  <c r="Q166" i="7"/>
  <c r="Y166" i="7" s="1"/>
  <c r="Z166" i="7" s="1"/>
  <c r="Q158" i="7"/>
  <c r="Y158" i="7" s="1"/>
  <c r="Z158" i="7" s="1"/>
  <c r="Q156" i="7"/>
  <c r="Q112" i="7"/>
  <c r="Y112" i="7" s="1"/>
  <c r="Z112" i="7" s="1"/>
  <c r="Q100" i="7"/>
  <c r="Q107" i="7"/>
  <c r="Q99" i="7"/>
  <c r="Q106" i="7"/>
  <c r="Y106" i="7" s="1"/>
  <c r="Z106" i="7" s="1"/>
  <c r="Q98" i="7"/>
  <c r="Y98" i="7" s="1"/>
  <c r="Z98" i="7" s="1"/>
  <c r="Q97" i="7"/>
  <c r="Q58" i="7"/>
  <c r="Y58" i="7" s="1"/>
  <c r="Z58" i="7" s="1"/>
  <c r="Q54" i="7"/>
  <c r="Y54" i="7" s="1"/>
  <c r="Z54" i="7" s="1"/>
  <c r="Q40" i="7"/>
  <c r="Y40" i="7" s="1"/>
  <c r="Z40" i="7" s="1"/>
  <c r="Y27" i="7"/>
  <c r="Z27" i="7" s="1"/>
  <c r="Q50" i="7"/>
  <c r="Y50" i="7" s="1"/>
  <c r="Z50" i="7" s="1"/>
  <c r="Q38" i="7"/>
  <c r="Y22" i="7"/>
  <c r="Z22" i="7" s="1"/>
  <c r="T3" i="7"/>
  <c r="O4" i="7"/>
  <c r="N2" i="7"/>
  <c r="O2" i="7"/>
  <c r="S2" i="7"/>
  <c r="T2" i="7"/>
  <c r="V2" i="7"/>
  <c r="R5" i="7"/>
  <c r="P4" i="7"/>
  <c r="S5" i="7"/>
  <c r="N3" i="7"/>
  <c r="Q3" i="7" s="1"/>
  <c r="V3" i="7"/>
  <c r="T5" i="7"/>
  <c r="R4" i="7"/>
  <c r="O3" i="7"/>
  <c r="P3" i="7"/>
  <c r="S4" i="7"/>
  <c r="N5" i="7"/>
  <c r="V5" i="7"/>
  <c r="T4" i="7"/>
  <c r="O5" i="7"/>
  <c r="R3" i="7"/>
  <c r="AD119" i="7" l="1"/>
  <c r="AE119" i="7"/>
  <c r="AD161" i="7"/>
  <c r="AE161" i="7"/>
  <c r="AD52" i="7"/>
  <c r="AE52" i="7"/>
  <c r="AD118" i="7"/>
  <c r="AE118" i="7"/>
  <c r="AD135" i="7"/>
  <c r="AE135" i="7"/>
  <c r="AD151" i="7"/>
  <c r="AE151" i="7"/>
  <c r="AD44" i="7"/>
  <c r="AE44" i="7"/>
  <c r="AD129" i="7"/>
  <c r="AE129" i="7"/>
  <c r="AD128" i="7"/>
  <c r="AE128" i="7"/>
  <c r="AD179" i="7"/>
  <c r="AE179" i="7"/>
  <c r="AD125" i="7"/>
  <c r="AE125" i="7"/>
  <c r="AD181" i="7"/>
  <c r="AE181" i="7"/>
  <c r="AD130" i="7"/>
  <c r="AE130" i="7"/>
  <c r="AD162" i="7"/>
  <c r="AE162" i="7"/>
  <c r="AD123" i="7"/>
  <c r="AE123" i="7"/>
  <c r="AD36" i="7"/>
  <c r="AE36" i="7"/>
  <c r="AD150" i="7"/>
  <c r="AE150" i="7"/>
  <c r="AD29" i="7"/>
  <c r="AE29" i="7"/>
  <c r="AD39" i="7"/>
  <c r="AE39" i="7"/>
  <c r="AE7" i="7"/>
  <c r="AD7" i="7"/>
  <c r="AD15" i="7"/>
  <c r="AE15" i="7"/>
  <c r="AD116" i="7"/>
  <c r="AE116" i="7"/>
  <c r="AD164" i="7"/>
  <c r="AE164" i="7"/>
  <c r="AD141" i="7"/>
  <c r="AE141" i="7"/>
  <c r="AD56" i="7"/>
  <c r="AE56" i="7"/>
  <c r="AD108" i="7"/>
  <c r="AE108" i="7"/>
  <c r="AD171" i="7"/>
  <c r="AE171" i="7"/>
  <c r="AD28" i="7"/>
  <c r="AE28" i="7"/>
  <c r="AD60" i="7"/>
  <c r="AE60" i="7"/>
  <c r="AD169" i="7"/>
  <c r="AE169" i="7"/>
  <c r="AD34" i="7"/>
  <c r="AE34" i="7"/>
  <c r="AD67" i="7"/>
  <c r="AE67" i="7"/>
  <c r="AD148" i="7"/>
  <c r="AE148" i="7"/>
  <c r="AD103" i="7"/>
  <c r="AE103" i="7"/>
  <c r="AD145" i="7"/>
  <c r="AE145" i="7"/>
  <c r="AD110" i="7"/>
  <c r="AE110" i="7"/>
  <c r="AD153" i="7"/>
  <c r="AE153" i="7"/>
  <c r="AD47" i="7"/>
  <c r="AE47" i="7"/>
  <c r="AD127" i="7"/>
  <c r="AE127" i="7"/>
  <c r="AD143" i="7"/>
  <c r="AE143" i="7"/>
  <c r="AD159" i="7"/>
  <c r="AE159" i="7"/>
  <c r="AD160" i="7"/>
  <c r="AE160" i="7"/>
  <c r="AD144" i="7"/>
  <c r="AE144" i="7"/>
  <c r="AD102" i="7"/>
  <c r="AE102" i="7"/>
  <c r="AD6" i="7"/>
  <c r="AE6" i="7"/>
  <c r="AD121" i="7"/>
  <c r="AE121" i="7"/>
  <c r="AD173" i="7"/>
  <c r="AE173" i="7"/>
  <c r="AD167" i="7"/>
  <c r="AE167" i="7"/>
  <c r="AD66" i="7"/>
  <c r="AE66" i="7"/>
  <c r="AD131" i="7"/>
  <c r="AE131" i="7"/>
  <c r="AD95" i="7"/>
  <c r="AE95" i="7"/>
  <c r="AD50" i="7"/>
  <c r="AE50" i="7"/>
  <c r="AD158" i="7"/>
  <c r="AE158" i="7"/>
  <c r="AD132" i="7"/>
  <c r="AE132" i="7"/>
  <c r="AD104" i="7"/>
  <c r="AE104" i="7"/>
  <c r="AD45" i="7"/>
  <c r="AE45" i="7"/>
  <c r="AD22" i="7"/>
  <c r="AE22" i="7"/>
  <c r="Q63" i="7"/>
  <c r="Y63" i="7" s="1"/>
  <c r="Z63" i="7" s="1"/>
  <c r="Y80" i="7"/>
  <c r="Z80" i="7" s="1"/>
  <c r="Q81" i="7"/>
  <c r="Y81" i="7" s="1"/>
  <c r="Z81" i="7" s="1"/>
  <c r="Y114" i="7"/>
  <c r="Z114" i="7" s="1"/>
  <c r="Y147" i="7"/>
  <c r="Z147" i="7" s="1"/>
  <c r="Y163" i="7"/>
  <c r="Z163" i="7" s="1"/>
  <c r="Q77" i="7"/>
  <c r="Y77" i="7" s="1"/>
  <c r="Z77" i="7" s="1"/>
  <c r="AD27" i="7"/>
  <c r="AE27" i="7"/>
  <c r="Y99" i="7"/>
  <c r="Z99" i="7" s="1"/>
  <c r="Y126" i="7"/>
  <c r="Z126" i="7" s="1"/>
  <c r="Y134" i="7"/>
  <c r="Z134" i="7" s="1"/>
  <c r="Y142" i="7"/>
  <c r="Z142" i="7" s="1"/>
  <c r="Y101" i="7"/>
  <c r="Z101" i="7" s="1"/>
  <c r="Q94" i="7"/>
  <c r="Y94" i="7" s="1"/>
  <c r="Z94" i="7" s="1"/>
  <c r="Q12" i="7"/>
  <c r="Y12" i="7" s="1"/>
  <c r="Z12" i="7" s="1"/>
  <c r="Q157" i="7"/>
  <c r="Y79" i="7"/>
  <c r="Z79" i="7" s="1"/>
  <c r="Q111" i="7"/>
  <c r="Y111" i="7" s="1"/>
  <c r="Z111" i="7" s="1"/>
  <c r="Q68" i="7"/>
  <c r="Y68" i="7" s="1"/>
  <c r="Z68" i="7" s="1"/>
  <c r="Q8" i="7"/>
  <c r="Y8" i="7" s="1"/>
  <c r="Z8" i="7" s="1"/>
  <c r="Q16" i="7"/>
  <c r="Y16" i="7" s="1"/>
  <c r="Z16" i="7" s="1"/>
  <c r="Y149" i="7"/>
  <c r="Z149" i="7" s="1"/>
  <c r="Q163" i="7"/>
  <c r="Q61" i="7"/>
  <c r="Y61" i="7" s="1"/>
  <c r="Z61" i="7" s="1"/>
  <c r="Q37" i="7"/>
  <c r="Y37" i="7" s="1"/>
  <c r="Z37" i="7" s="1"/>
  <c r="Q85" i="7"/>
  <c r="Y85" i="7" s="1"/>
  <c r="Z85" i="7" s="1"/>
  <c r="Q115" i="7"/>
  <c r="Y115" i="7" s="1"/>
  <c r="Z115" i="7" s="1"/>
  <c r="Q13" i="7"/>
  <c r="Y13" i="7" s="1"/>
  <c r="Z13" i="7" s="1"/>
  <c r="AD54" i="7"/>
  <c r="AE54" i="7"/>
  <c r="AD166" i="7"/>
  <c r="AE166" i="7"/>
  <c r="AD96" i="7"/>
  <c r="AE96" i="7"/>
  <c r="AD177" i="7"/>
  <c r="AE177" i="7"/>
  <c r="AD72" i="7"/>
  <c r="AE72" i="7"/>
  <c r="Y100" i="7"/>
  <c r="Z100" i="7" s="1"/>
  <c r="Y120" i="7"/>
  <c r="Z120" i="7" s="1"/>
  <c r="Y136" i="7"/>
  <c r="Z136" i="7" s="1"/>
  <c r="Q30" i="7"/>
  <c r="Y30" i="7" s="1"/>
  <c r="Z30" i="7" s="1"/>
  <c r="Q62" i="7"/>
  <c r="Y62" i="7" s="1"/>
  <c r="Z62" i="7" s="1"/>
  <c r="Q93" i="7"/>
  <c r="Y93" i="7" s="1"/>
  <c r="Z93" i="7" s="1"/>
  <c r="Q133" i="7"/>
  <c r="Y133" i="7" s="1"/>
  <c r="Z133" i="7" s="1"/>
  <c r="Q23" i="7"/>
  <c r="Y23" i="7" s="1"/>
  <c r="Z23" i="7" s="1"/>
  <c r="Q31" i="7"/>
  <c r="Y31" i="7" s="1"/>
  <c r="Z31" i="7" s="1"/>
  <c r="Q25" i="7"/>
  <c r="Y25" i="7" s="1"/>
  <c r="Z25" i="7" s="1"/>
  <c r="Q33" i="7"/>
  <c r="Y33" i="7" s="1"/>
  <c r="Z33" i="7" s="1"/>
  <c r="Q26" i="7"/>
  <c r="Y26" i="7" s="1"/>
  <c r="Z26" i="7" s="1"/>
  <c r="Q35" i="7"/>
  <c r="Y35" i="7" s="1"/>
  <c r="Z35" i="7" s="1"/>
  <c r="AD40" i="7"/>
  <c r="AE40" i="7"/>
  <c r="AD98" i="7"/>
  <c r="AE98" i="7"/>
  <c r="AD124" i="7"/>
  <c r="AE124" i="7"/>
  <c r="AD76" i="7"/>
  <c r="AE76" i="7"/>
  <c r="AD106" i="7"/>
  <c r="AE106" i="7"/>
  <c r="Q57" i="7"/>
  <c r="Y57" i="7" s="1"/>
  <c r="Z57" i="7" s="1"/>
  <c r="Y38" i="7"/>
  <c r="Z38" i="7" s="1"/>
  <c r="Y156" i="7"/>
  <c r="Z156" i="7" s="1"/>
  <c r="AD165" i="7"/>
  <c r="AE165" i="7"/>
  <c r="AD137" i="7"/>
  <c r="AE137" i="7"/>
  <c r="AD152" i="7"/>
  <c r="AE152" i="7"/>
  <c r="Y78" i="7"/>
  <c r="Z78" i="7" s="1"/>
  <c r="Q71" i="7"/>
  <c r="Y71" i="7" s="1"/>
  <c r="Z71" i="7" s="1"/>
  <c r="Q168" i="7"/>
  <c r="Y168" i="7" s="1"/>
  <c r="Z168" i="7" s="1"/>
  <c r="Y180" i="7"/>
  <c r="Z180" i="7" s="1"/>
  <c r="Q42" i="7"/>
  <c r="Y42" i="7" s="1"/>
  <c r="Z42" i="7" s="1"/>
  <c r="Q90" i="7"/>
  <c r="Y90" i="7" s="1"/>
  <c r="Z90" i="7" s="1"/>
  <c r="Q10" i="7"/>
  <c r="Y10" i="7" s="1"/>
  <c r="Z10" i="7" s="1"/>
  <c r="Q18" i="7"/>
  <c r="Y18" i="7" s="1"/>
  <c r="Z18" i="7" s="1"/>
  <c r="Q147" i="7"/>
  <c r="Y178" i="7"/>
  <c r="Z178" i="7" s="1"/>
  <c r="Q43" i="7"/>
  <c r="Y43" i="7" s="1"/>
  <c r="Z43" i="7" s="1"/>
  <c r="Y59" i="7"/>
  <c r="Z59" i="7" s="1"/>
  <c r="Y155" i="7"/>
  <c r="Z155" i="7" s="1"/>
  <c r="Q20" i="7"/>
  <c r="Y20" i="7" s="1"/>
  <c r="Z20" i="7" s="1"/>
  <c r="AD69" i="7"/>
  <c r="AE69" i="7"/>
  <c r="AD146" i="7"/>
  <c r="AE146" i="7"/>
  <c r="AD91" i="7"/>
  <c r="AE91" i="7"/>
  <c r="AD112" i="7"/>
  <c r="AE112" i="7"/>
  <c r="Q53" i="7"/>
  <c r="Y53" i="7" s="1"/>
  <c r="Z53" i="7" s="1"/>
  <c r="Y107" i="7"/>
  <c r="Z107" i="7" s="1"/>
  <c r="Q48" i="7"/>
  <c r="Y48" i="7" s="1"/>
  <c r="Z48" i="7" s="1"/>
  <c r="Q176" i="7"/>
  <c r="Y176" i="7" s="1"/>
  <c r="Z176" i="7" s="1"/>
  <c r="AD113" i="7"/>
  <c r="AE113" i="7"/>
  <c r="AD122" i="7"/>
  <c r="AE122" i="7"/>
  <c r="Y138" i="7"/>
  <c r="Z138" i="7" s="1"/>
  <c r="Q117" i="7"/>
  <c r="Y117" i="7" s="1"/>
  <c r="Z117" i="7" s="1"/>
  <c r="Y14" i="7"/>
  <c r="Z14" i="7" s="1"/>
  <c r="Q84" i="7"/>
  <c r="Y84" i="7" s="1"/>
  <c r="Z84" i="7" s="1"/>
  <c r="Y172" i="7"/>
  <c r="Z172" i="7" s="1"/>
  <c r="Y175" i="7"/>
  <c r="Z175" i="7" s="1"/>
  <c r="Q64" i="7"/>
  <c r="Y64" i="7" s="1"/>
  <c r="Z64" i="7" s="1"/>
  <c r="Q41" i="7"/>
  <c r="Y41" i="7" s="1"/>
  <c r="Z41" i="7" s="1"/>
  <c r="Q9" i="7"/>
  <c r="Y9" i="7" s="1"/>
  <c r="Z9" i="7" s="1"/>
  <c r="Q17" i="7"/>
  <c r="Y17" i="7" s="1"/>
  <c r="Z17" i="7" s="1"/>
  <c r="Y157" i="7"/>
  <c r="Z157" i="7" s="1"/>
  <c r="Y170" i="7"/>
  <c r="Z170" i="7" s="1"/>
  <c r="Q75" i="7"/>
  <c r="Y75" i="7" s="1"/>
  <c r="Z75" i="7" s="1"/>
  <c r="Q11" i="7"/>
  <c r="Y11" i="7" s="1"/>
  <c r="Z11" i="7" s="1"/>
  <c r="Q19" i="7"/>
  <c r="Y19" i="7" s="1"/>
  <c r="Z19" i="7" s="1"/>
  <c r="AD140" i="7"/>
  <c r="AE140" i="7"/>
  <c r="AD51" i="7"/>
  <c r="AE51" i="7"/>
  <c r="AD92" i="7"/>
  <c r="AE92" i="7"/>
  <c r="AD154" i="7"/>
  <c r="AE154" i="7"/>
  <c r="Q49" i="7"/>
  <c r="Y49" i="7" s="1"/>
  <c r="Z49" i="7" s="1"/>
  <c r="Q74" i="7"/>
  <c r="Y74" i="7" s="1"/>
  <c r="Z74" i="7" s="1"/>
  <c r="Y105" i="7"/>
  <c r="Z105" i="7" s="1"/>
  <c r="AD86" i="7"/>
  <c r="AE86" i="7"/>
  <c r="AD174" i="7"/>
  <c r="AE174" i="7"/>
  <c r="AD73" i="7"/>
  <c r="AE73" i="7"/>
  <c r="AD83" i="7"/>
  <c r="AE83" i="7"/>
  <c r="Y97" i="7"/>
  <c r="Z97" i="7" s="1"/>
  <c r="AD139" i="7"/>
  <c r="AE139" i="7"/>
  <c r="Q46" i="7"/>
  <c r="Y46" i="7" s="1"/>
  <c r="Z46" i="7" s="1"/>
  <c r="Q70" i="7"/>
  <c r="Y70" i="7" s="1"/>
  <c r="Z70" i="7" s="1"/>
  <c r="Q55" i="7"/>
  <c r="Y55" i="7" s="1"/>
  <c r="Z55" i="7" s="1"/>
  <c r="Q87" i="7"/>
  <c r="Y87" i="7" s="1"/>
  <c r="Z87" i="7" s="1"/>
  <c r="Q24" i="7"/>
  <c r="Y24" i="7" s="1"/>
  <c r="Z24" i="7" s="1"/>
  <c r="Q32" i="7"/>
  <c r="Y32" i="7" s="1"/>
  <c r="Z32" i="7" s="1"/>
  <c r="Q88" i="7"/>
  <c r="Y88" i="7" s="1"/>
  <c r="Z88" i="7" s="1"/>
  <c r="Q21" i="7"/>
  <c r="Y21" i="7" s="1"/>
  <c r="Z21" i="7" s="1"/>
  <c r="Q65" i="7"/>
  <c r="Y65" i="7" s="1"/>
  <c r="Z65" i="7" s="1"/>
  <c r="Y89" i="7"/>
  <c r="Z89" i="7" s="1"/>
  <c r="Y109" i="7"/>
  <c r="Z109" i="7" s="1"/>
  <c r="Y82" i="7"/>
  <c r="Z82" i="7" s="1"/>
  <c r="AD58" i="7"/>
  <c r="AE58" i="7"/>
  <c r="Q2" i="7"/>
  <c r="Q5" i="7"/>
  <c r="Y5" i="7" s="1"/>
  <c r="Z5" i="7" s="1"/>
  <c r="Y3" i="7"/>
  <c r="Z3" i="7" s="1"/>
  <c r="Y4" i="7"/>
  <c r="Z4" i="7" s="1"/>
  <c r="AD87" i="7" l="1"/>
  <c r="AE87" i="7"/>
  <c r="AD138" i="7"/>
  <c r="AE138" i="7"/>
  <c r="AD163" i="7"/>
  <c r="AE163" i="7"/>
  <c r="AD109" i="7"/>
  <c r="AE109" i="7"/>
  <c r="AD8" i="7"/>
  <c r="AE8" i="7"/>
  <c r="AD142" i="7"/>
  <c r="AE142" i="7"/>
  <c r="AD147" i="7"/>
  <c r="AE147" i="7"/>
  <c r="AD4" i="7"/>
  <c r="AE4" i="7"/>
  <c r="AD89" i="7"/>
  <c r="AE89" i="7"/>
  <c r="AD70" i="7"/>
  <c r="AE70" i="7"/>
  <c r="AD19" i="7"/>
  <c r="AE19" i="7"/>
  <c r="AD64" i="7"/>
  <c r="AE64" i="7"/>
  <c r="AD155" i="7"/>
  <c r="AE155" i="7"/>
  <c r="AD42" i="7"/>
  <c r="AE42" i="7"/>
  <c r="AD35" i="7"/>
  <c r="AE35" i="7"/>
  <c r="AD62" i="7"/>
  <c r="AE62" i="7"/>
  <c r="AD115" i="7"/>
  <c r="AE115" i="7"/>
  <c r="AD68" i="7"/>
  <c r="AE68" i="7"/>
  <c r="AD134" i="7"/>
  <c r="AE134" i="7"/>
  <c r="AD114" i="7"/>
  <c r="AE114" i="7"/>
  <c r="AD82" i="7"/>
  <c r="AE82" i="7"/>
  <c r="AD9" i="7"/>
  <c r="AE9" i="7"/>
  <c r="AD101" i="7"/>
  <c r="AE101" i="7"/>
  <c r="AD49" i="7"/>
  <c r="AE49" i="7"/>
  <c r="AD90" i="7"/>
  <c r="AE90" i="7"/>
  <c r="AD46" i="7"/>
  <c r="AE46" i="7"/>
  <c r="AD59" i="7"/>
  <c r="AE59" i="7"/>
  <c r="AD30" i="7"/>
  <c r="AE30" i="7"/>
  <c r="AD111" i="7"/>
  <c r="AE111" i="7"/>
  <c r="AD5" i="7"/>
  <c r="AE5" i="7"/>
  <c r="AD21" i="7"/>
  <c r="AE21" i="7"/>
  <c r="AD75" i="7"/>
  <c r="AE75" i="7"/>
  <c r="AD172" i="7"/>
  <c r="AE172" i="7"/>
  <c r="AD43" i="7"/>
  <c r="AE43" i="7"/>
  <c r="AD168" i="7"/>
  <c r="AE168" i="7"/>
  <c r="AD33" i="7"/>
  <c r="AE33" i="7"/>
  <c r="AD136" i="7"/>
  <c r="AE136" i="7"/>
  <c r="AD37" i="7"/>
  <c r="AE37" i="7"/>
  <c r="AD79" i="7"/>
  <c r="AE79" i="7"/>
  <c r="AD99" i="7"/>
  <c r="AE99" i="7"/>
  <c r="AD80" i="7"/>
  <c r="AE80" i="7"/>
  <c r="AD133" i="7"/>
  <c r="AE133" i="7"/>
  <c r="AD41" i="7"/>
  <c r="AE41" i="7"/>
  <c r="AD13" i="7"/>
  <c r="AE13" i="7"/>
  <c r="AD65" i="7"/>
  <c r="AE65" i="7"/>
  <c r="AD26" i="7"/>
  <c r="AE26" i="7"/>
  <c r="AD126" i="7"/>
  <c r="AE126" i="7"/>
  <c r="AD88" i="7"/>
  <c r="AE88" i="7"/>
  <c r="AD170" i="7"/>
  <c r="AE170" i="7"/>
  <c r="AD84" i="7"/>
  <c r="AE84" i="7"/>
  <c r="AD176" i="7"/>
  <c r="AE176" i="7"/>
  <c r="AD178" i="7"/>
  <c r="AE178" i="7"/>
  <c r="AD71" i="7"/>
  <c r="AE71" i="7"/>
  <c r="AD156" i="7"/>
  <c r="AE156" i="7"/>
  <c r="AD25" i="7"/>
  <c r="AE25" i="7"/>
  <c r="AD120" i="7"/>
  <c r="AE120" i="7"/>
  <c r="AD61" i="7"/>
  <c r="AE61" i="7"/>
  <c r="AD63" i="7"/>
  <c r="AE63" i="7"/>
  <c r="AD74" i="7"/>
  <c r="AE74" i="7"/>
  <c r="AD10" i="7"/>
  <c r="AE10" i="7"/>
  <c r="AD93" i="7"/>
  <c r="AE93" i="7"/>
  <c r="AD175" i="7"/>
  <c r="AE175" i="7"/>
  <c r="AD180" i="7"/>
  <c r="AE180" i="7"/>
  <c r="AD32" i="7"/>
  <c r="AE32" i="7"/>
  <c r="AD157" i="7"/>
  <c r="AE157" i="7"/>
  <c r="AD14" i="7"/>
  <c r="AE14" i="7"/>
  <c r="AD48" i="7"/>
  <c r="AE48" i="7"/>
  <c r="AD78" i="7"/>
  <c r="AE78" i="7"/>
  <c r="AD38" i="7"/>
  <c r="AE38" i="7"/>
  <c r="AD31" i="7"/>
  <c r="AE31" i="7"/>
  <c r="AD100" i="7"/>
  <c r="AE100" i="7"/>
  <c r="AD12" i="7"/>
  <c r="AE12" i="7"/>
  <c r="AD53" i="7"/>
  <c r="AE53" i="7"/>
  <c r="AD16" i="7"/>
  <c r="AE16" i="7"/>
  <c r="AD55" i="7"/>
  <c r="AE55" i="7"/>
  <c r="AD20" i="7"/>
  <c r="AE20" i="7"/>
  <c r="AE3" i="7"/>
  <c r="AD3" i="7"/>
  <c r="AD11" i="7"/>
  <c r="AE11" i="7"/>
  <c r="AD85" i="7"/>
  <c r="AE85" i="7"/>
  <c r="AD81" i="7"/>
  <c r="AE81" i="7"/>
  <c r="Y2" i="7"/>
  <c r="Z2" i="7" s="1"/>
  <c r="AD97" i="7"/>
  <c r="AE97" i="7"/>
  <c r="AD24" i="7"/>
  <c r="AE24" i="7"/>
  <c r="AD105" i="7"/>
  <c r="AE105" i="7"/>
  <c r="AD17" i="7"/>
  <c r="AE17" i="7"/>
  <c r="AD117" i="7"/>
  <c r="AE117" i="7"/>
  <c r="AD107" i="7"/>
  <c r="AE107" i="7"/>
  <c r="AD18" i="7"/>
  <c r="AE18" i="7"/>
  <c r="AD57" i="7"/>
  <c r="AE57" i="7"/>
  <c r="AD23" i="7"/>
  <c r="AE23" i="7"/>
  <c r="AD149" i="7"/>
  <c r="AE149" i="7"/>
  <c r="AD94" i="7"/>
  <c r="AE94" i="7"/>
  <c r="AD77" i="7"/>
  <c r="AE77" i="7"/>
  <c r="AE2" i="7" l="1"/>
  <c r="AD2" i="7"/>
  <c r="J10" i="6" l="1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9" i="6"/>
  <c r="AK9" i="6"/>
  <c r="P9" i="6"/>
  <c r="P19" i="6"/>
  <c r="Q19" i="6"/>
  <c r="P20" i="6"/>
  <c r="Q20" i="6"/>
  <c r="P21" i="6"/>
  <c r="Q21" i="6"/>
  <c r="P22" i="6"/>
  <c r="Q22" i="6"/>
  <c r="P23" i="6"/>
  <c r="Q23" i="6"/>
  <c r="P24" i="6"/>
  <c r="Q24" i="6"/>
  <c r="P25" i="6"/>
  <c r="Q25" i="6"/>
  <c r="P26" i="6"/>
  <c r="Q26" i="6"/>
  <c r="P27" i="6"/>
  <c r="Q27" i="6"/>
  <c r="P28" i="6"/>
  <c r="Q28" i="6"/>
  <c r="P29" i="6"/>
  <c r="Q29" i="6"/>
  <c r="P30" i="6"/>
  <c r="Q30" i="6"/>
  <c r="P31" i="6"/>
  <c r="Q31" i="6"/>
  <c r="P32" i="6"/>
  <c r="Q32" i="6"/>
  <c r="P33" i="6"/>
  <c r="Q33" i="6"/>
  <c r="P34" i="6"/>
  <c r="Q34" i="6"/>
  <c r="P35" i="6"/>
  <c r="Q35" i="6"/>
  <c r="P36" i="6"/>
  <c r="Q36" i="6"/>
  <c r="P37" i="6"/>
  <c r="Q37" i="6"/>
  <c r="P38" i="6"/>
  <c r="Q38" i="6"/>
  <c r="P39" i="6"/>
  <c r="Q39" i="6"/>
  <c r="P40" i="6"/>
  <c r="Q40" i="6"/>
  <c r="P41" i="6"/>
  <c r="Q41" i="6"/>
  <c r="P42" i="6"/>
  <c r="Q42" i="6"/>
  <c r="P43" i="6"/>
  <c r="Q43" i="6"/>
  <c r="P44" i="6"/>
  <c r="Q44" i="6"/>
  <c r="P45" i="6"/>
  <c r="Q45" i="6"/>
  <c r="P46" i="6"/>
  <c r="Q46" i="6"/>
  <c r="P47" i="6"/>
  <c r="Q47" i="6"/>
  <c r="P48" i="6"/>
  <c r="Q48" i="6"/>
  <c r="P49" i="6"/>
  <c r="Q49" i="6"/>
  <c r="P50" i="6"/>
  <c r="Q50" i="6"/>
  <c r="P51" i="6"/>
  <c r="Q51" i="6"/>
  <c r="P52" i="6"/>
  <c r="Q52" i="6"/>
  <c r="P53" i="6"/>
  <c r="Q53" i="6"/>
  <c r="P54" i="6"/>
  <c r="Q54" i="6"/>
  <c r="P55" i="6"/>
  <c r="Q55" i="6"/>
  <c r="P56" i="6"/>
  <c r="Q56" i="6"/>
  <c r="P57" i="6"/>
  <c r="Q57" i="6"/>
  <c r="P58" i="6"/>
  <c r="Q58" i="6"/>
  <c r="P59" i="6"/>
  <c r="Q59" i="6"/>
  <c r="P60" i="6"/>
  <c r="Q60" i="6"/>
  <c r="P61" i="6"/>
  <c r="Q61" i="6"/>
  <c r="P62" i="6"/>
  <c r="Q62" i="6"/>
  <c r="P63" i="6"/>
  <c r="Q63" i="6"/>
  <c r="P64" i="6"/>
  <c r="Q64" i="6"/>
  <c r="P65" i="6"/>
  <c r="Q65" i="6"/>
  <c r="P66" i="6"/>
  <c r="Q66" i="6"/>
  <c r="P67" i="6"/>
  <c r="Q67" i="6"/>
  <c r="P68" i="6"/>
  <c r="Q68" i="6"/>
  <c r="P69" i="6"/>
  <c r="Q69" i="6"/>
  <c r="P70" i="6"/>
  <c r="Q70" i="6"/>
  <c r="P71" i="6"/>
  <c r="Q71" i="6"/>
  <c r="P72" i="6"/>
  <c r="Q72" i="6"/>
  <c r="P73" i="6"/>
  <c r="Q73" i="6"/>
  <c r="P74" i="6"/>
  <c r="Q74" i="6"/>
  <c r="P75" i="6"/>
  <c r="Q75" i="6"/>
  <c r="P76" i="6"/>
  <c r="Q76" i="6"/>
  <c r="P77" i="6"/>
  <c r="Q77" i="6"/>
  <c r="P78" i="6"/>
  <c r="Q78" i="6"/>
  <c r="P79" i="6"/>
  <c r="Q79" i="6"/>
  <c r="P80" i="6"/>
  <c r="Q80" i="6"/>
  <c r="P81" i="6"/>
  <c r="Q81" i="6"/>
  <c r="P82" i="6"/>
  <c r="Q82" i="6"/>
  <c r="P83" i="6"/>
  <c r="Q83" i="6"/>
  <c r="P84" i="6"/>
  <c r="Q84" i="6"/>
  <c r="P85" i="6"/>
  <c r="Q85" i="6"/>
  <c r="P86" i="6"/>
  <c r="Q86" i="6"/>
  <c r="P87" i="6"/>
  <c r="Q87" i="6"/>
  <c r="P88" i="6"/>
  <c r="Q88" i="6"/>
  <c r="P89" i="6"/>
  <c r="Q89" i="6"/>
  <c r="P90" i="6"/>
  <c r="Q90" i="6"/>
  <c r="P91" i="6"/>
  <c r="Q91" i="6"/>
  <c r="P92" i="6"/>
  <c r="Q92" i="6"/>
  <c r="P93" i="6"/>
  <c r="Q93" i="6"/>
  <c r="P94" i="6"/>
  <c r="Q94" i="6"/>
  <c r="P95" i="6"/>
  <c r="Q95" i="6"/>
  <c r="P96" i="6"/>
  <c r="Q96" i="6"/>
  <c r="P97" i="6"/>
  <c r="Q97" i="6"/>
  <c r="P98" i="6"/>
  <c r="Q98" i="6"/>
  <c r="P99" i="6"/>
  <c r="Q99" i="6"/>
  <c r="P100" i="6"/>
  <c r="Q100" i="6"/>
  <c r="P101" i="6"/>
  <c r="Q101" i="6"/>
  <c r="P102" i="6"/>
  <c r="Q102" i="6"/>
  <c r="P103" i="6"/>
  <c r="Q103" i="6"/>
  <c r="P104" i="6"/>
  <c r="Q104" i="6"/>
  <c r="P105" i="6"/>
  <c r="Q105" i="6"/>
  <c r="P106" i="6"/>
  <c r="Q106" i="6"/>
  <c r="P107" i="6"/>
  <c r="Q107" i="6"/>
  <c r="P108" i="6"/>
  <c r="Q108" i="6"/>
  <c r="P109" i="6"/>
  <c r="Q109" i="6"/>
  <c r="P110" i="6"/>
  <c r="Q110" i="6"/>
  <c r="P111" i="6"/>
  <c r="Q111" i="6"/>
  <c r="P112" i="6"/>
  <c r="Q112" i="6"/>
  <c r="P113" i="6"/>
  <c r="Q113" i="6"/>
  <c r="P114" i="6"/>
  <c r="Q114" i="6"/>
  <c r="P115" i="6"/>
  <c r="Q115" i="6"/>
  <c r="P116" i="6"/>
  <c r="Q116" i="6"/>
  <c r="P117" i="6"/>
  <c r="Q117" i="6"/>
  <c r="P118" i="6"/>
  <c r="Q118" i="6"/>
  <c r="P119" i="6"/>
  <c r="Q119" i="6"/>
  <c r="P120" i="6"/>
  <c r="Q120" i="6"/>
  <c r="P121" i="6"/>
  <c r="Q121" i="6"/>
  <c r="P122" i="6"/>
  <c r="Q122" i="6"/>
  <c r="P123" i="6"/>
  <c r="Q123" i="6"/>
  <c r="P124" i="6"/>
  <c r="Q124" i="6"/>
  <c r="P125" i="6"/>
  <c r="Q125" i="6"/>
  <c r="P126" i="6"/>
  <c r="Q126" i="6"/>
  <c r="P127" i="6"/>
  <c r="Q127" i="6"/>
  <c r="P128" i="6"/>
  <c r="Q128" i="6"/>
  <c r="P129" i="6"/>
  <c r="Q129" i="6"/>
  <c r="P130" i="6"/>
  <c r="Q130" i="6"/>
  <c r="P131" i="6"/>
  <c r="Q131" i="6"/>
  <c r="P132" i="6"/>
  <c r="Q132" i="6"/>
  <c r="P133" i="6"/>
  <c r="Q133" i="6"/>
  <c r="P134" i="6"/>
  <c r="Q134" i="6"/>
  <c r="P135" i="6"/>
  <c r="Q135" i="6"/>
  <c r="P136" i="6"/>
  <c r="Q136" i="6"/>
  <c r="P137" i="6"/>
  <c r="Q137" i="6"/>
  <c r="P138" i="6"/>
  <c r="Q138" i="6"/>
  <c r="P139" i="6"/>
  <c r="Q139" i="6"/>
  <c r="P140" i="6"/>
  <c r="Q140" i="6"/>
  <c r="P141" i="6"/>
  <c r="Q141" i="6"/>
  <c r="P142" i="6"/>
  <c r="Q142" i="6"/>
  <c r="P143" i="6"/>
  <c r="Q143" i="6"/>
  <c r="P144" i="6"/>
  <c r="Q144" i="6"/>
  <c r="P145" i="6"/>
  <c r="Q145" i="6"/>
  <c r="P146" i="6"/>
  <c r="Q146" i="6"/>
  <c r="P147" i="6"/>
  <c r="Q147" i="6"/>
  <c r="P148" i="6"/>
  <c r="Q148" i="6"/>
  <c r="P149" i="6"/>
  <c r="Q149" i="6"/>
  <c r="P150" i="6"/>
  <c r="Q150" i="6"/>
  <c r="P151" i="6"/>
  <c r="Q151" i="6"/>
  <c r="P152" i="6"/>
  <c r="Q152" i="6"/>
  <c r="P153" i="6"/>
  <c r="Q153" i="6"/>
  <c r="P154" i="6"/>
  <c r="Q154" i="6"/>
  <c r="P155" i="6"/>
  <c r="Q155" i="6"/>
  <c r="P156" i="6"/>
  <c r="Q156" i="6"/>
  <c r="P157" i="6"/>
  <c r="Q157" i="6"/>
  <c r="P158" i="6"/>
  <c r="Q158" i="6"/>
  <c r="P159" i="6"/>
  <c r="Q159" i="6"/>
  <c r="P160" i="6"/>
  <c r="Q160" i="6"/>
  <c r="P161" i="6"/>
  <c r="Q161" i="6"/>
  <c r="P162" i="6"/>
  <c r="Q162" i="6"/>
  <c r="P163" i="6"/>
  <c r="Q163" i="6"/>
  <c r="P164" i="6"/>
  <c r="Q164" i="6"/>
  <c r="P165" i="6"/>
  <c r="Q165" i="6"/>
  <c r="P166" i="6"/>
  <c r="Q166" i="6"/>
  <c r="P167" i="6"/>
  <c r="Q167" i="6"/>
  <c r="P168" i="6"/>
  <c r="Q168" i="6"/>
  <c r="P169" i="6"/>
  <c r="Q169" i="6"/>
  <c r="P170" i="6"/>
  <c r="Q170" i="6"/>
  <c r="P171" i="6"/>
  <c r="Q171" i="6"/>
  <c r="P172" i="6"/>
  <c r="Q172" i="6"/>
  <c r="P173" i="6"/>
  <c r="Q173" i="6"/>
  <c r="P174" i="6"/>
  <c r="Q174" i="6"/>
  <c r="P175" i="6"/>
  <c r="Q175" i="6"/>
  <c r="P176" i="6"/>
  <c r="Q176" i="6"/>
  <c r="P177" i="6"/>
  <c r="Q177" i="6"/>
  <c r="P178" i="6"/>
  <c r="Q178" i="6"/>
  <c r="P179" i="6"/>
  <c r="Q179" i="6"/>
  <c r="P180" i="6"/>
  <c r="Q180" i="6"/>
  <c r="P181" i="6"/>
  <c r="Q181" i="6"/>
  <c r="P182" i="6"/>
  <c r="Q182" i="6"/>
  <c r="P183" i="6"/>
  <c r="Q183" i="6"/>
  <c r="P184" i="6"/>
  <c r="Q184" i="6"/>
  <c r="P185" i="6"/>
  <c r="Q185" i="6"/>
  <c r="P186" i="6"/>
  <c r="Q186" i="6"/>
  <c r="P187" i="6"/>
  <c r="Q187" i="6"/>
  <c r="P188" i="6"/>
  <c r="Q188" i="6"/>
  <c r="P10" i="6"/>
  <c r="Q10" i="6"/>
  <c r="P11" i="6"/>
  <c r="Q11" i="6"/>
  <c r="P12" i="6"/>
  <c r="Q12" i="6"/>
  <c r="P13" i="6"/>
  <c r="Q13" i="6"/>
  <c r="P14" i="6"/>
  <c r="Q14" i="6"/>
  <c r="P15" i="6"/>
  <c r="Q15" i="6"/>
  <c r="P16" i="6"/>
  <c r="Q16" i="6"/>
  <c r="P17" i="6"/>
  <c r="Q17" i="6"/>
  <c r="P18" i="6"/>
  <c r="Q18" i="6"/>
  <c r="Q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L9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9" i="6"/>
  <c r="X188" i="6"/>
  <c r="X187" i="6"/>
  <c r="X186" i="6"/>
  <c r="X185" i="6"/>
  <c r="X184" i="6"/>
  <c r="X183" i="6"/>
  <c r="X182" i="6"/>
  <c r="X181" i="6"/>
  <c r="X180" i="6"/>
  <c r="X179" i="6"/>
  <c r="X178" i="6"/>
  <c r="X177" i="6"/>
  <c r="X176" i="6"/>
  <c r="X175" i="6"/>
  <c r="X174" i="6"/>
  <c r="X173" i="6"/>
  <c r="X172" i="6"/>
  <c r="X171" i="6"/>
  <c r="X170" i="6"/>
  <c r="X169" i="6"/>
  <c r="X168" i="6"/>
  <c r="X167" i="6"/>
  <c r="X166" i="6"/>
  <c r="X165" i="6"/>
  <c r="X164" i="6"/>
  <c r="X163" i="6"/>
  <c r="X162" i="6"/>
  <c r="X161" i="6"/>
  <c r="X160" i="6"/>
  <c r="X159" i="6"/>
  <c r="X158" i="6"/>
  <c r="X157" i="6"/>
  <c r="X156" i="6"/>
  <c r="X155" i="6"/>
  <c r="X154" i="6"/>
  <c r="X153" i="6"/>
  <c r="X152" i="6"/>
  <c r="X151" i="6"/>
  <c r="X150" i="6"/>
  <c r="X149" i="6"/>
  <c r="X148" i="6"/>
  <c r="X147" i="6"/>
  <c r="X146" i="6"/>
  <c r="X145" i="6"/>
  <c r="X144" i="6"/>
  <c r="X143" i="6"/>
  <c r="X142" i="6"/>
  <c r="X141" i="6"/>
  <c r="X140" i="6"/>
  <c r="X139" i="6"/>
  <c r="X90" i="6"/>
  <c r="X91" i="6"/>
  <c r="X92" i="6"/>
  <c r="X93" i="6"/>
  <c r="X94" i="6"/>
  <c r="X95" i="6"/>
  <c r="X96" i="6"/>
  <c r="X97" i="6"/>
  <c r="X98" i="6"/>
  <c r="X80" i="6"/>
  <c r="X81" i="6"/>
  <c r="X82" i="6"/>
  <c r="X83" i="6"/>
  <c r="X84" i="6"/>
  <c r="X85" i="6"/>
  <c r="X86" i="6"/>
  <c r="X87" i="6"/>
  <c r="X88" i="6"/>
  <c r="X70" i="6"/>
  <c r="X71" i="6"/>
  <c r="X72" i="6"/>
  <c r="X73" i="6"/>
  <c r="X74" i="6"/>
  <c r="X75" i="6"/>
  <c r="X76" i="6"/>
  <c r="X77" i="6"/>
  <c r="X78" i="6"/>
  <c r="X60" i="6"/>
  <c r="X61" i="6"/>
  <c r="X62" i="6"/>
  <c r="X63" i="6"/>
  <c r="X64" i="6"/>
  <c r="X65" i="6"/>
  <c r="X66" i="6"/>
  <c r="X67" i="6"/>
  <c r="X68" i="6"/>
  <c r="X50" i="6"/>
  <c r="X51" i="6"/>
  <c r="X52" i="6"/>
  <c r="X53" i="6"/>
  <c r="X54" i="6"/>
  <c r="X55" i="6"/>
  <c r="X56" i="6"/>
  <c r="X57" i="6"/>
  <c r="X58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9" i="6"/>
  <c r="AD9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X89" i="6"/>
  <c r="X79" i="6"/>
  <c r="X69" i="6"/>
  <c r="X59" i="6"/>
  <c r="X49" i="6"/>
  <c r="I35" i="5" l="1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34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7" i="5"/>
</calcChain>
</file>

<file path=xl/sharedStrings.xml><?xml version="1.0" encoding="utf-8"?>
<sst xmlns="http://schemas.openxmlformats.org/spreadsheetml/2006/main" count="3206" uniqueCount="284">
  <si>
    <t>batch_size</t>
  </si>
  <si>
    <t>head_dim</t>
  </si>
  <si>
    <t>q_heads</t>
  </si>
  <si>
    <t>kv_heads</t>
  </si>
  <si>
    <t>seq</t>
    <phoneticPr fontId="1" type="noConversion"/>
  </si>
  <si>
    <t>chunk</t>
    <phoneticPr fontId="1" type="noConversion"/>
  </si>
  <si>
    <t>pre</t>
    <phoneticPr fontId="1" type="noConversion"/>
  </si>
  <si>
    <t>q_heads</t>
    <phoneticPr fontId="1" type="noConversion"/>
  </si>
  <si>
    <t>kv_head</t>
    <phoneticPr fontId="1" type="noConversion"/>
  </si>
  <si>
    <t>batch</t>
    <phoneticPr fontId="1" type="noConversion"/>
  </si>
  <si>
    <t>pre(ms)</t>
    <phoneticPr fontId="1" type="noConversion"/>
  </si>
  <si>
    <t>new(ms)</t>
    <phoneticPr fontId="1" type="noConversion"/>
  </si>
  <si>
    <t>new/pre</t>
    <phoneticPr fontId="1" type="noConversion"/>
  </si>
  <si>
    <t>KV_decode</t>
    <phoneticPr fontId="1" type="noConversion"/>
  </si>
  <si>
    <t>Q decode</t>
    <phoneticPr fontId="1" type="noConversion"/>
  </si>
  <si>
    <t>pre:</t>
    <phoneticPr fontId="1" type="noConversion"/>
  </si>
  <si>
    <t>GQA之前实现，不同spc处理不同的q_head, 会load同一份kvcache</t>
    <phoneticPr fontId="1" type="noConversion"/>
  </si>
  <si>
    <t>将q_head折到H维度， 同一组q_head只需load一次kvcache</t>
    <phoneticPr fontId="1" type="noConversion"/>
  </si>
  <si>
    <t>chunk：</t>
    <phoneticPr fontId="1" type="noConversion"/>
  </si>
  <si>
    <t>参考prefill, 采用chunk的方式实现</t>
    <phoneticPr fontId="1" type="noConversion"/>
  </si>
  <si>
    <t>对于KV, 每个batch只有一个head, 每个warp处理一个head, 因此batch=16*16才能利用满硬件资源</t>
    <phoneticPr fontId="1" type="noConversion"/>
  </si>
  <si>
    <t>两种方法</t>
    <phoneticPr fontId="1" type="noConversion"/>
  </si>
  <si>
    <t>每个warp处理一个batch， 同kv一样， 只有batch足够大时才能打满硬件资源， 并且batch较小时， 每个warp处理的batch有 q-head行，耗时增加</t>
    <phoneticPr fontId="1" type="noConversion"/>
  </si>
  <si>
    <t>每个warp处理2行， batch较小时， 可利用更多的硬件资源，batch较大时， 因为q_head&lt;32, 同样存在资源浪费</t>
    <phoneticPr fontId="1" type="noConversion"/>
  </si>
  <si>
    <t>new(ms) h</t>
    <phoneticPr fontId="1" type="noConversion"/>
  </si>
  <si>
    <t>Line</t>
  </si>
  <si>
    <t>kernel</t>
  </si>
  <si>
    <t>running</t>
  </si>
  <si>
    <t>finished</t>
  </si>
  <si>
    <t>time:</t>
  </si>
  <si>
    <t>ms.</t>
  </si>
  <si>
    <t>pip</t>
    <phoneticPr fontId="1" type="noConversion"/>
  </si>
  <si>
    <t>chunk/pip</t>
    <phoneticPr fontId="1" type="noConversion"/>
  </si>
  <si>
    <t>pip/pre</t>
    <phoneticPr fontId="1" type="noConversion"/>
  </si>
  <si>
    <t>chunk/pre</t>
    <phoneticPr fontId="1" type="noConversion"/>
  </si>
  <si>
    <t>NUMA</t>
    <phoneticPr fontId="1" type="noConversion"/>
  </si>
  <si>
    <t>numa/uma</t>
    <phoneticPr fontId="1" type="noConversion"/>
  </si>
  <si>
    <t>KV UMA</t>
    <phoneticPr fontId="1" type="noConversion"/>
  </si>
  <si>
    <t>pip:</t>
    <phoneticPr fontId="1" type="noConversion"/>
  </si>
  <si>
    <t>GQA</t>
    <phoneticPr fontId="4" type="noConversion"/>
  </si>
  <si>
    <t>batch</t>
    <phoneticPr fontId="4" type="noConversion"/>
  </si>
  <si>
    <t>q_head</t>
    <phoneticPr fontId="4" type="noConversion"/>
  </si>
  <si>
    <t>kv_head</t>
    <phoneticPr fontId="4" type="noConversion"/>
  </si>
  <si>
    <t>spc_num</t>
    <phoneticPr fontId="4" type="noConversion"/>
  </si>
  <si>
    <t>Q_datatype</t>
    <phoneticPr fontId="4" type="noConversion"/>
  </si>
  <si>
    <t>KV_datatype</t>
    <phoneticPr fontId="4" type="noConversion"/>
  </si>
  <si>
    <t>ldm GMB</t>
    <phoneticPr fontId="4" type="noConversion"/>
  </si>
  <si>
    <t>ldm HBM</t>
    <phoneticPr fontId="4" type="noConversion"/>
  </si>
  <si>
    <t>N*head_perspc</t>
    <phoneticPr fontId="4" type="noConversion"/>
  </si>
  <si>
    <t>seq_idx</t>
    <phoneticPr fontId="4" type="noConversion"/>
  </si>
  <si>
    <t>head_dim</t>
    <phoneticPr fontId="4" type="noConversion"/>
  </si>
  <si>
    <t>load_Q</t>
    <phoneticPr fontId="4" type="noConversion"/>
  </si>
  <si>
    <t>load_K</t>
    <phoneticPr fontId="4" type="noConversion"/>
  </si>
  <si>
    <t>mma</t>
    <phoneticPr fontId="4" type="noConversion"/>
  </si>
  <si>
    <t>Q*K</t>
    <phoneticPr fontId="4" type="noConversion"/>
  </si>
  <si>
    <t>load_S</t>
    <phoneticPr fontId="4" type="noConversion"/>
  </si>
  <si>
    <t>load_V</t>
    <phoneticPr fontId="4" type="noConversion"/>
  </si>
  <si>
    <t>S*V</t>
    <phoneticPr fontId="4" type="noConversion"/>
  </si>
  <si>
    <t>store HBM</t>
    <phoneticPr fontId="4" type="noConversion"/>
  </si>
  <si>
    <t>softmax</t>
    <phoneticPr fontId="4" type="noConversion"/>
  </si>
  <si>
    <t>dtg+长尾</t>
    <phoneticPr fontId="4" type="noConversion"/>
  </si>
  <si>
    <t>total</t>
    <phoneticPr fontId="4" type="noConversion"/>
  </si>
  <si>
    <t>q_head_dim</t>
    <phoneticPr fontId="4" type="noConversion"/>
  </si>
  <si>
    <t>v_head_dim</t>
    <phoneticPr fontId="4" type="noConversion"/>
  </si>
  <si>
    <t>MMA  shapes per spc (ie 1 chunk)</t>
    <phoneticPr fontId="1" type="noConversion"/>
  </si>
  <si>
    <t>Attention theory perf analysis</t>
    <phoneticPr fontId="1" type="noConversion"/>
  </si>
  <si>
    <t>M</t>
    <phoneticPr fontId="1" type="noConversion"/>
  </si>
  <si>
    <t>N</t>
    <phoneticPr fontId="1" type="noConversion"/>
  </si>
  <si>
    <t>K</t>
    <phoneticPr fontId="1" type="noConversion"/>
  </si>
  <si>
    <t>Qi @ Ki</t>
    <phoneticPr fontId="1" type="noConversion"/>
  </si>
  <si>
    <t xml:space="preserve">BW data: https://conf01.birentech.com/pages/viewpage.action?pageId=122656325 </t>
    <phoneticPr fontId="1" type="noConversion"/>
  </si>
  <si>
    <t>QKi @ Vi</t>
    <phoneticPr fontId="1" type="noConversion"/>
  </si>
  <si>
    <t>Bandwidth</t>
    <phoneticPr fontId="1" type="noConversion"/>
  </si>
  <si>
    <t>Tcore spec</t>
    <phoneticPr fontId="1" type="noConversion"/>
  </si>
  <si>
    <t>B / cycles, 1 SPC</t>
    <phoneticPr fontId="1" type="noConversion"/>
  </si>
  <si>
    <t>GB / S, 16 SPC</t>
    <phoneticPr fontId="1" type="noConversion"/>
  </si>
  <si>
    <t>GEMM BF16</t>
    <phoneticPr fontId="1" type="noConversion"/>
  </si>
  <si>
    <t>8 * (4*8*8) * 8</t>
    <phoneticPr fontId="1" type="noConversion"/>
  </si>
  <si>
    <t>8 GEMM, DP8</t>
    <phoneticPr fontId="1" type="noConversion"/>
  </si>
  <si>
    <t>UMA</t>
    <phoneticPr fontId="1" type="noConversion"/>
  </si>
  <si>
    <t>GEMM FP32</t>
    <phoneticPr fontId="1" type="noConversion"/>
  </si>
  <si>
    <t>8 * (4*8*8) * 4</t>
    <phoneticPr fontId="1" type="noConversion"/>
  </si>
  <si>
    <t>8 GEMM, DP4</t>
  </si>
  <si>
    <t>NUMA</t>
    <phoneticPr fontId="1" type="noConversion"/>
  </si>
  <si>
    <t>GMB</t>
    <phoneticPr fontId="1" type="noConversion"/>
  </si>
  <si>
    <t>-</t>
    <phoneticPr fontId="1" type="noConversion"/>
  </si>
  <si>
    <t>Tcore input MMA1: Q@ K</t>
    <phoneticPr fontId="1" type="noConversion"/>
  </si>
  <si>
    <t>bf16/float: 2, 4</t>
    <phoneticPr fontId="1" type="noConversion"/>
  </si>
  <si>
    <t>mma dem size (B)</t>
    <phoneticPr fontId="1" type="noConversion"/>
  </si>
  <si>
    <t>arch: NUMA, UMA</t>
    <phoneticPr fontId="1" type="noConversion"/>
  </si>
  <si>
    <t>Input shape</t>
    <phoneticPr fontId="1" type="noConversion"/>
  </si>
  <si>
    <t>mem_arch_A</t>
    <phoneticPr fontId="1" type="noConversion"/>
  </si>
  <si>
    <t xml:space="preserve">Q </t>
    <phoneticPr fontId="1" type="noConversion"/>
  </si>
  <si>
    <t>mem_arch_B</t>
    <phoneticPr fontId="1" type="noConversion"/>
  </si>
  <si>
    <t>chunk_q</t>
    <phoneticPr fontId="1" type="noConversion"/>
  </si>
  <si>
    <t>1. cwarp 512, no cwarp 1024</t>
    <phoneticPr fontId="1" type="noConversion"/>
  </si>
  <si>
    <t>chunk_k</t>
    <phoneticPr fontId="1" type="noConversion"/>
  </si>
  <si>
    <t>2. cwarp 512, no cwarp 1024</t>
    <phoneticPr fontId="1" type="noConversion"/>
  </si>
  <si>
    <t>head_dim_qk</t>
    <phoneticPr fontId="1" type="noConversion"/>
  </si>
  <si>
    <t>head_dim_v</t>
    <phoneticPr fontId="1" type="noConversion"/>
  </si>
  <si>
    <t>QK</t>
    <phoneticPr fontId="1" type="noConversion"/>
  </si>
  <si>
    <t>seq_q</t>
    <phoneticPr fontId="1" type="noConversion"/>
  </si>
  <si>
    <t>V</t>
    <phoneticPr fontId="1" type="noConversion"/>
  </si>
  <si>
    <t>seq_k</t>
    <phoneticPr fontId="1" type="noConversion"/>
  </si>
  <si>
    <t>Operator</t>
    <phoneticPr fontId="1" type="noConversion"/>
  </si>
  <si>
    <t>MMA SHAPES</t>
    <phoneticPr fontId="1" type="noConversion"/>
  </si>
  <si>
    <t>IS_GMB ?</t>
    <phoneticPr fontId="1" type="noConversion"/>
  </si>
  <si>
    <t>LOAD, STORE BW (B/ cycles)</t>
    <phoneticPr fontId="1" type="noConversion"/>
  </si>
  <si>
    <t>CYCLES</t>
    <phoneticPr fontId="1" type="noConversion"/>
  </si>
  <si>
    <t>EXPECTED CYCLE</t>
    <phoneticPr fontId="1" type="noConversion"/>
  </si>
  <si>
    <t>chunk_q in seq_q</t>
    <phoneticPr fontId="1" type="noConversion"/>
  </si>
  <si>
    <t>MMA: C = A * B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</si>
  <si>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</si>
  <si>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</si>
  <si>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</si>
  <si>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BW A</t>
    <phoneticPr fontId="1" type="noConversion"/>
  </si>
  <si>
    <t>BW B</t>
    <phoneticPr fontId="1" type="noConversion"/>
  </si>
  <si>
    <t>BW C</t>
    <phoneticPr fontId="1" type="noConversion"/>
  </si>
  <si>
    <t>LOAD A</t>
    <phoneticPr fontId="1" type="noConversion"/>
  </si>
  <si>
    <t>LOAD B</t>
    <phoneticPr fontId="1" type="noConversion"/>
  </si>
  <si>
    <t>LOAD ALL</t>
    <phoneticPr fontId="1" type="noConversion"/>
  </si>
  <si>
    <t>MMA</t>
    <phoneticPr fontId="1" type="noConversion"/>
  </si>
  <si>
    <t>STORE C</t>
    <phoneticPr fontId="1" type="noConversion"/>
  </si>
  <si>
    <t>MAX(CYCLES[:])</t>
    <phoneticPr fontId="1" type="noConversion"/>
  </si>
  <si>
    <t>chunk_k in seq_k</t>
    <phoneticPr fontId="1" type="noConversion"/>
  </si>
  <si>
    <t>MMA1: Qi @ Ki</t>
    <phoneticPr fontId="1" type="noConversion"/>
  </si>
  <si>
    <t>NO</t>
    <phoneticPr fontId="1" type="noConversion"/>
  </si>
  <si>
    <t>YES</t>
    <phoneticPr fontId="1" type="noConversion"/>
  </si>
  <si>
    <t>total_chunk 1 batch</t>
    <phoneticPr fontId="1" type="noConversion"/>
  </si>
  <si>
    <t>causal mask</t>
    <phoneticPr fontId="1" type="noConversion"/>
  </si>
  <si>
    <t>MMA2: QKi @ Vi</t>
    <phoneticPr fontId="1" type="noConversion"/>
  </si>
  <si>
    <t>total chunk per spc</t>
    <phoneticPr fontId="1" type="noConversion"/>
  </si>
  <si>
    <t>split batch per spc</t>
    <phoneticPr fontId="1" type="noConversion"/>
  </si>
  <si>
    <t xml:space="preserve">Softmax - max computation </t>
    <phoneticPr fontId="1" type="noConversion"/>
  </si>
  <si>
    <t>softmax type</t>
    <phoneticPr fontId="1" type="noConversion"/>
  </si>
  <si>
    <t>1. fp32, 2. bf16</t>
    <phoneticPr fontId="1" type="noConversion"/>
  </si>
  <si>
    <t>Per thread, per chunk</t>
    <phoneticPr fontId="1" type="noConversion"/>
  </si>
  <si>
    <t>shape data: (chunk_q, chunk_k)</t>
    <phoneticPr fontId="1" type="noConversion"/>
  </si>
  <si>
    <t>Coroutine vector 1</t>
    <phoneticPr fontId="1" type="noConversion"/>
  </si>
  <si>
    <t>count</t>
    <phoneticPr fontId="1" type="noConversion"/>
  </si>
  <si>
    <t>cycle</t>
    <phoneticPr fontId="1" type="noConversion"/>
  </si>
  <si>
    <t>cycle all</t>
    <phoneticPr fontId="1" type="noConversion"/>
  </si>
  <si>
    <t>Eq.</t>
    <phoneticPr fontId="1" type="noConversion"/>
  </si>
  <si>
    <t>qk_new = exp(qk * scale - max)</t>
    <phoneticPr fontId="1" type="noConversion"/>
  </si>
  <si>
    <t>Summary 1 SPC 1 Chunk</t>
    <phoneticPr fontId="1" type="noConversion"/>
  </si>
  <si>
    <t>max</t>
    <phoneticPr fontId="1" type="noConversion"/>
  </si>
  <si>
    <t>(chunk_k / 32 + 5 ) * chunk_q / 16</t>
    <phoneticPr fontId="1" type="noConversion"/>
  </si>
  <si>
    <t>5 = warp reduce</t>
    <phoneticPr fontId="1" type="noConversion"/>
  </si>
  <si>
    <t>Type</t>
    <phoneticPr fontId="1" type="noConversion"/>
  </si>
  <si>
    <t>Ops.</t>
    <phoneticPr fontId="1" type="noConversion"/>
  </si>
  <si>
    <t>Cycle</t>
    <phoneticPr fontId="1" type="noConversion"/>
  </si>
  <si>
    <t>Ratio: cur / total</t>
    <phoneticPr fontId="1" type="noConversion"/>
  </si>
  <si>
    <t>shuffle</t>
    <phoneticPr fontId="1" type="noConversion"/>
  </si>
  <si>
    <t>5 * chunk_q / 16</t>
    <phoneticPr fontId="1" type="noConversion"/>
  </si>
  <si>
    <t>TCORE</t>
    <phoneticPr fontId="1" type="noConversion"/>
  </si>
  <si>
    <t>mul</t>
    <phoneticPr fontId="1" type="noConversion"/>
  </si>
  <si>
    <t>chunk_k / 32 * chunk_q / 16</t>
    <phoneticPr fontId="1" type="noConversion"/>
  </si>
  <si>
    <t>exp</t>
    <phoneticPr fontId="1" type="noConversion"/>
  </si>
  <si>
    <t>No exp during max</t>
    <phoneticPr fontId="1" type="noConversion"/>
  </si>
  <si>
    <t>VCORE</t>
    <phoneticPr fontId="1" type="noConversion"/>
  </si>
  <si>
    <t>Softmax</t>
    <phoneticPr fontId="1" type="noConversion"/>
  </si>
  <si>
    <t>mask</t>
    <phoneticPr fontId="1" type="noConversion"/>
  </si>
  <si>
    <t>mask cost: 3 add + 1 compare</t>
    <phoneticPr fontId="1" type="noConversion"/>
  </si>
  <si>
    <t>total</t>
    <phoneticPr fontId="1" type="noConversion"/>
  </si>
  <si>
    <t>Summary 1 SPC whole input</t>
    <phoneticPr fontId="1" type="noConversion"/>
  </si>
  <si>
    <t>notes: 16 EU, each EU 32 threads</t>
    <phoneticPr fontId="1" type="noConversion"/>
  </si>
  <si>
    <t>Load store softmax</t>
    <phoneticPr fontId="1" type="noConversion"/>
  </si>
  <si>
    <t>add apply Mask cost</t>
    <phoneticPr fontId="1" type="noConversion"/>
  </si>
  <si>
    <t>load qk (GMB)</t>
    <phoneticPr fontId="1" type="noConversion"/>
  </si>
  <si>
    <t>store qk (GMB)</t>
    <phoneticPr fontId="1" type="noConversion"/>
  </si>
  <si>
    <t>Load &amp; store 2 times (apply mask first, then store, then load to compute sum)</t>
    <phoneticPr fontId="1" type="noConversion"/>
  </si>
  <si>
    <t>Summary</t>
    <phoneticPr fontId="1" type="noConversion"/>
  </si>
  <si>
    <t>Time (ms)</t>
    <phoneticPr fontId="1" type="noConversion"/>
  </si>
  <si>
    <t>BR score</t>
    <phoneticPr fontId="1" type="noConversion"/>
  </si>
  <si>
    <t>Softmax - sum computation</t>
    <phoneticPr fontId="1" type="noConversion"/>
  </si>
  <si>
    <t>theory</t>
    <phoneticPr fontId="1" type="noConversion"/>
  </si>
  <si>
    <t>shape data: (chunk_q, head_dim)</t>
    <phoneticPr fontId="1" type="noConversion"/>
  </si>
  <si>
    <t>sudnn - graph</t>
    <phoneticPr fontId="1" type="noConversion"/>
  </si>
  <si>
    <t>Coroutine vector 2</t>
    <phoneticPr fontId="1" type="noConversion"/>
  </si>
  <si>
    <t>s* = s* x exp(m* - mi) + sum(qk)</t>
    <phoneticPr fontId="1" type="noConversion"/>
  </si>
  <si>
    <t>v* = v* x exp(m* - mi) + qkv</t>
    <phoneticPr fontId="1" type="noConversion"/>
  </si>
  <si>
    <t>head_dim / 32 * chunk_q / 16</t>
    <phoneticPr fontId="1" type="noConversion"/>
  </si>
  <si>
    <t>H100 GR score fwd</t>
    <phoneticPr fontId="1" type="noConversion"/>
  </si>
  <si>
    <t>add (in exp)</t>
    <phoneticPr fontId="1" type="noConversion"/>
  </si>
  <si>
    <t>GR score</t>
    <phoneticPr fontId="1" type="noConversion"/>
  </si>
  <si>
    <t>add (in sum reduce)</t>
    <phoneticPr fontId="1" type="noConversion"/>
  </si>
  <si>
    <t>add</t>
    <phoneticPr fontId="1" type="noConversion"/>
  </si>
  <si>
    <t>nv H100 - sdpa math (default)</t>
    <phoneticPr fontId="1" type="noConversion"/>
  </si>
  <si>
    <t>shuffle (in sum reduce)</t>
    <phoneticPr fontId="1" type="noConversion"/>
  </si>
  <si>
    <t>Sum shuffle + reduce is always done in fp32</t>
    <phoneticPr fontId="1" type="noConversion"/>
  </si>
  <si>
    <t>nv H100 - sdpa mem eff.</t>
    <phoneticPr fontId="1" type="noConversion"/>
  </si>
  <si>
    <t>NAN</t>
    <phoneticPr fontId="1" type="noConversion"/>
  </si>
  <si>
    <t>nv H100 - sdpa cudnn</t>
    <phoneticPr fontId="1" type="noConversion"/>
  </si>
  <si>
    <t>nv H100 - sdpa flash att.</t>
    <phoneticPr fontId="1" type="noConversion"/>
  </si>
  <si>
    <t>Softmax - summary</t>
    <phoneticPr fontId="1" type="noConversion"/>
  </si>
  <si>
    <t>softmax - max</t>
    <phoneticPr fontId="1" type="noConversion"/>
  </si>
  <si>
    <t>sudnn - eager</t>
    <phoneticPr fontId="1" type="noConversion"/>
  </si>
  <si>
    <t>softmax - sum</t>
    <phoneticPr fontId="1" type="noConversion"/>
  </si>
  <si>
    <t>load store</t>
    <phoneticPr fontId="1" type="noConversion"/>
  </si>
  <si>
    <t>A100 GR score fwd</t>
    <phoneticPr fontId="1" type="noConversion"/>
  </si>
  <si>
    <t>total sum</t>
    <phoneticPr fontId="1" type="noConversion"/>
  </si>
  <si>
    <t>total max</t>
    <phoneticPr fontId="1" type="noConversion"/>
  </si>
  <si>
    <t>nv A100 - sdpa math (default)</t>
    <phoneticPr fontId="1" type="noConversion"/>
  </si>
  <si>
    <t>nv A100 - sdpa mem eff.</t>
    <phoneticPr fontId="1" type="noConversion"/>
  </si>
  <si>
    <t>nv A100 - sdpa cudnn</t>
    <phoneticPr fontId="1" type="noConversion"/>
  </si>
  <si>
    <t>Tensor shapes per spc</t>
    <phoneticPr fontId="1" type="noConversion"/>
  </si>
  <si>
    <t>nv A100 - sdpa flash att.</t>
    <phoneticPr fontId="1" type="noConversion"/>
  </si>
  <si>
    <t xml:space="preserve">H </t>
    <phoneticPr fontId="1" type="noConversion"/>
  </si>
  <si>
    <t>W</t>
    <phoneticPr fontId="1" type="noConversion"/>
  </si>
  <si>
    <t>Shape</t>
    <phoneticPr fontId="1" type="noConversion"/>
  </si>
  <si>
    <t>Q</t>
    <phoneticPr fontId="1" type="noConversion"/>
  </si>
  <si>
    <t>[b, seq_q, head_dim_qk]</t>
    <phoneticPr fontId="1" type="noConversion"/>
  </si>
  <si>
    <t>[b, seq_k, head_dim_qk]</t>
    <phoneticPr fontId="1" type="noConversion"/>
  </si>
  <si>
    <t>[b, seq_k, head_dim_v]</t>
    <phoneticPr fontId="1" type="noConversion"/>
  </si>
  <si>
    <t xml:space="preserve">Notes about backend: </t>
    <phoneticPr fontId="1" type="noConversion"/>
  </si>
  <si>
    <t>Qi</t>
    <phoneticPr fontId="1" type="noConversion"/>
  </si>
  <si>
    <t>[1, chunk_q, head_dim_qk]</t>
    <phoneticPr fontId="1" type="noConversion"/>
  </si>
  <si>
    <t>https://pytorch.org/docs/stable/generated/torch.nn.attention.SDPBackend.html#torch.nn.attention.SDPBackend</t>
  </si>
  <si>
    <t>Ki</t>
    <phoneticPr fontId="1" type="noConversion"/>
  </si>
  <si>
    <t>[1, chunk_k, head_dim_qk]</t>
    <phoneticPr fontId="1" type="noConversion"/>
  </si>
  <si>
    <t>Vi</t>
    <phoneticPr fontId="1" type="noConversion"/>
  </si>
  <si>
    <t>[1, chunk_k, head_dim_v]</t>
    <phoneticPr fontId="1" type="noConversion"/>
  </si>
  <si>
    <t>QKi</t>
    <phoneticPr fontId="1" type="noConversion"/>
  </si>
  <si>
    <t>[1, chunk_q, chunk_k]</t>
    <phoneticPr fontId="1" type="noConversion"/>
  </si>
  <si>
    <t>Notes :cell D25</t>
    <phoneticPr fontId="1" type="noConversion"/>
  </si>
  <si>
    <t>Q*</t>
    <phoneticPr fontId="1" type="noConversion"/>
  </si>
  <si>
    <t>[1, chunk_q, head_dim_v]</t>
    <phoneticPr fontId="1" type="noConversion"/>
  </si>
  <si>
    <t>1. softmax use max（max, sum, load), use L56</t>
    <phoneticPr fontId="1" type="noConversion"/>
  </si>
  <si>
    <t>2. softmax sum(max + sum + load), use L55</t>
    <phoneticPr fontId="1" type="noConversion"/>
  </si>
  <si>
    <t>3. if use softmax sum, BR score &gt; 1</t>
    <phoneticPr fontId="1" type="noConversion"/>
  </si>
  <si>
    <t>Notes br score</t>
    <phoneticPr fontId="1" type="noConversion"/>
  </si>
  <si>
    <t>1. spda flash att. DS shape not supported</t>
    <phoneticPr fontId="1" type="noConversion"/>
  </si>
  <si>
    <t>2. tested on ngc 24.05-py3 (05/25/2024_</t>
    <phoneticPr fontId="1" type="noConversion"/>
  </si>
  <si>
    <t>Utilization rates</t>
    <phoneticPr fontId="1" type="noConversion"/>
  </si>
  <si>
    <t>Theory (ms)</t>
    <phoneticPr fontId="1" type="noConversion"/>
  </si>
  <si>
    <t>Real (ms)</t>
    <phoneticPr fontId="1" type="noConversion"/>
  </si>
  <si>
    <t>Rate theory / real</t>
    <phoneticPr fontId="1" type="noConversion"/>
  </si>
  <si>
    <t>TCORE rate</t>
    <phoneticPr fontId="1" type="noConversion"/>
  </si>
  <si>
    <t>VCORE rate</t>
    <phoneticPr fontId="1" type="noConversion"/>
  </si>
  <si>
    <t>to do: add gmb</t>
    <phoneticPr fontId="1" type="noConversion"/>
  </si>
  <si>
    <t>to do add gr score bwd</t>
    <phoneticPr fontId="1" type="noConversion"/>
  </si>
  <si>
    <t>head_dim=576</t>
    <phoneticPr fontId="1" type="noConversion"/>
  </si>
  <si>
    <t>head_dim=128</t>
    <phoneticPr fontId="1" type="noConversion"/>
  </si>
  <si>
    <t>UMA</t>
    <phoneticPr fontId="1" type="noConversion"/>
  </si>
  <si>
    <t>NUMA</t>
    <phoneticPr fontId="1" type="noConversion"/>
  </si>
  <si>
    <t>GMB</t>
    <phoneticPr fontId="1" type="noConversion"/>
  </si>
  <si>
    <t>preloadGMB</t>
    <phoneticPr fontId="1" type="noConversion"/>
  </si>
  <si>
    <t>preload</t>
    <phoneticPr fontId="1" type="noConversion"/>
  </si>
  <si>
    <t>reorder</t>
    <phoneticPr fontId="1" type="noConversion"/>
  </si>
  <si>
    <t>q_head</t>
    <phoneticPr fontId="1" type="noConversion"/>
  </si>
  <si>
    <t>kv_head</t>
    <phoneticPr fontId="1" type="noConversion"/>
  </si>
  <si>
    <t>q_head_per_die</t>
    <phoneticPr fontId="1" type="noConversion"/>
  </si>
  <si>
    <t>kv_head_per_die</t>
    <phoneticPr fontId="1" type="noConversion"/>
  </si>
  <si>
    <t>TP</t>
    <phoneticPr fontId="1" type="noConversion"/>
  </si>
  <si>
    <t>reorder</t>
    <phoneticPr fontId="4" type="noConversion"/>
  </si>
  <si>
    <t>实测</t>
    <phoneticPr fontId="1" type="noConversion"/>
  </si>
  <si>
    <t>N*kvhead_perspc</t>
    <phoneticPr fontId="4" type="noConversion"/>
  </si>
  <si>
    <t>lunch</t>
    <phoneticPr fontId="1" type="noConversion"/>
  </si>
  <si>
    <t>空kernel时间</t>
    <phoneticPr fontId="1" type="noConversion"/>
  </si>
  <si>
    <t>reorder-empty</t>
    <phoneticPr fontId="1" type="noConversion"/>
  </si>
  <si>
    <t>QK-empty</t>
    <phoneticPr fontId="1" type="noConversion"/>
  </si>
  <si>
    <t>SV-empty</t>
    <phoneticPr fontId="1" type="noConversion"/>
  </si>
  <si>
    <t>softmax-empty</t>
    <phoneticPr fontId="1" type="noConversion"/>
  </si>
  <si>
    <t>sum</t>
    <phoneticPr fontId="1" type="noConversion"/>
  </si>
  <si>
    <t>BF16</t>
    <phoneticPr fontId="1" type="noConversion"/>
  </si>
  <si>
    <t>INT8</t>
    <phoneticPr fontId="1" type="noConversion"/>
  </si>
  <si>
    <t>batch</t>
    <phoneticPr fontId="1" type="noConversion"/>
  </si>
  <si>
    <t>q_head</t>
    <phoneticPr fontId="1" type="noConversion"/>
  </si>
  <si>
    <t>kv_head</t>
    <phoneticPr fontId="1" type="noConversion"/>
  </si>
  <si>
    <t>commit</t>
    <phoneticPr fontId="1" type="noConversion"/>
  </si>
  <si>
    <t>f23f114f973a279689bddaee7d79796cd17f400f</t>
  </si>
  <si>
    <t xml:space="preserve"> base</t>
    <phoneticPr fontId="1" type="noConversion"/>
  </si>
  <si>
    <t>preloadGMB</t>
    <phoneticPr fontId="1" type="noConversion"/>
  </si>
  <si>
    <t>NUMA BF16</t>
    <phoneticPr fontId="1" type="noConversion"/>
  </si>
  <si>
    <t>NUMA INT8</t>
    <phoneticPr fontId="1" type="noConversion"/>
  </si>
  <si>
    <t>UMA BF16</t>
    <phoneticPr fontId="1" type="noConversion"/>
  </si>
  <si>
    <t>UMA INT8</t>
    <phoneticPr fontId="1" type="noConversion"/>
  </si>
  <si>
    <t>opt</t>
    <phoneticPr fontId="1" type="noConversion"/>
  </si>
  <si>
    <t>softmax opt</t>
    <phoneticPr fontId="1" type="noConversion"/>
  </si>
  <si>
    <t>softmax br_nn</t>
    <phoneticPr fontId="1" type="noConversion"/>
  </si>
  <si>
    <t>BF16</t>
    <phoneticPr fontId="1" type="noConversion"/>
  </si>
  <si>
    <t>FP32</t>
    <phoneticPr fontId="1" type="noConversion"/>
  </si>
  <si>
    <t>NUMA</t>
    <phoneticPr fontId="1" type="noConversion"/>
  </si>
  <si>
    <t>UMA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</si>
</sst>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 "/>
    <numFmt numFmtId="177" formatCode="0_);[Red]\(0\)"/>
    <numFmt numFmtId="178" formatCode="0.00_ "/>
    <numFmt numFmtId="179" formatCode="0.00_);[Red]\(0.00\)"/>
    <numFmt numFmtId="180" formatCode="0.0000_ 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6" fontId="0" fillId="0" borderId="0" xfId="0" applyNumberFormat="1">
      <alignment vertical="center"/>
    </xf>
    <xf numFmtId="0" fontId="0" fillId="0" borderId="0" xfId="0" applyFill="1">
      <alignment vertical="center"/>
    </xf>
    <xf numFmtId="20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20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2" xfId="0" applyBorder="1" applyAlignment="1"/>
    <xf numFmtId="176" fontId="0" fillId="0" borderId="1" xfId="0" applyNumberFormat="1" applyBorder="1" applyAlignment="1"/>
    <xf numFmtId="176" fontId="0" fillId="2" borderId="1" xfId="0" applyNumberFormat="1" applyFill="1" applyBorder="1" applyAlignment="1"/>
    <xf numFmtId="0" fontId="0" fillId="0" borderId="0" xfId="0" applyAlignment="1">
      <alignment vertical="center" wrapText="1"/>
    </xf>
    <xf numFmtId="10" fontId="0" fillId="0" borderId="0" xfId="0" applyNumberFormat="1" applyAlignment="1"/>
    <xf numFmtId="0" fontId="0" fillId="0" borderId="0" xfId="0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3" borderId="1" xfId="0" applyFill="1" applyBorder="1" applyAlignment="1" applyProtection="1">
      <protection locked="0"/>
    </xf>
    <xf numFmtId="0" fontId="0" fillId="0" borderId="1" xfId="0" applyFill="1" applyBorder="1" applyAlignment="1" applyProtection="1">
      <protection locked="0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0" xfId="0" applyFill="1" applyAlignment="1"/>
    <xf numFmtId="10" fontId="0" fillId="2" borderId="0" xfId="0" applyNumberFormat="1" applyFill="1" applyAlignment="1"/>
    <xf numFmtId="0" fontId="5" fillId="0" borderId="0" xfId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76" fontId="0" fillId="0" borderId="1" xfId="0" applyNumberFormat="1" applyBorder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ill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178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179" fontId="0" fillId="0" borderId="1" xfId="0" applyNumberFormat="1" applyBorder="1">
      <alignment vertical="center"/>
    </xf>
    <xf numFmtId="10" fontId="0" fillId="2" borderId="0" xfId="0" applyNumberFormat="1" applyFill="1">
      <alignment vertical="center"/>
    </xf>
    <xf numFmtId="0" fontId="7" fillId="4" borderId="0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3" fillId="2" borderId="0" xfId="0" applyFont="1" applyFill="1">
      <alignment vertical="center"/>
    </xf>
    <xf numFmtId="0" fontId="0" fillId="2" borderId="1" xfId="0" applyNumberFormat="1" applyFill="1" applyBorder="1" applyAlignment="1"/>
    <xf numFmtId="0" fontId="0" fillId="0" borderId="1" xfId="0" applyFill="1" applyBorder="1" applyAlignment="1"/>
    <xf numFmtId="0" fontId="0" fillId="0" borderId="2" xfId="0" applyFill="1" applyBorder="1" applyAlignment="1"/>
    <xf numFmtId="176" fontId="0" fillId="0" borderId="1" xfId="0" applyNumberFormat="1" applyFill="1" applyBorder="1" applyAlignment="1"/>
    <xf numFmtId="0" fontId="0" fillId="0" borderId="1" xfId="0" applyNumberFormat="1" applyFill="1" applyBorder="1" applyAlignment="1"/>
    <xf numFmtId="10" fontId="0" fillId="0" borderId="0" xfId="0" applyNumberFormat="1" applyFill="1" applyAlignment="1"/>
    <xf numFmtId="0" fontId="0" fillId="0" borderId="1" xfId="0" applyNumberFormat="1" applyBorder="1" applyAlignment="1" applyProtection="1">
      <protection locked="0"/>
    </xf>
    <xf numFmtId="0" fontId="0" fillId="6" borderId="0" xfId="0" applyFill="1">
      <alignment vertical="center"/>
    </xf>
    <xf numFmtId="0" fontId="0" fillId="6" borderId="1" xfId="0" applyFill="1" applyBorder="1" applyAlignment="1"/>
    <xf numFmtId="0" fontId="0" fillId="6" borderId="2" xfId="0" applyFill="1" applyBorder="1" applyAlignment="1"/>
    <xf numFmtId="176" fontId="0" fillId="6" borderId="1" xfId="0" applyNumberFormat="1" applyFill="1" applyBorder="1" applyAlignment="1"/>
    <xf numFmtId="10" fontId="0" fillId="6" borderId="0" xfId="0" applyNumberFormat="1" applyFill="1">
      <alignment vertical="center"/>
    </xf>
    <xf numFmtId="10" fontId="0" fillId="6" borderId="0" xfId="0" applyNumberFormat="1" applyFill="1" applyAlignment="1"/>
    <xf numFmtId="0" fontId="0" fillId="0" borderId="0" xfId="0" applyNumberFormat="1" applyAlignment="1"/>
    <xf numFmtId="0" fontId="9" fillId="0" borderId="0" xfId="0" applyFont="1">
      <alignment vertical="center"/>
    </xf>
    <xf numFmtId="46" fontId="9" fillId="0" borderId="0" xfId="0" applyNumberFormat="1" applyFont="1">
      <alignment vertical="center"/>
    </xf>
    <xf numFmtId="20" fontId="9" fillId="0" borderId="0" xfId="0" applyNumberFormat="1" applyFont="1">
      <alignment vertical="center"/>
    </xf>
    <xf numFmtId="0" fontId="9" fillId="0" borderId="0" xfId="0" applyNumberFormat="1" applyFont="1">
      <alignment vertical="center"/>
    </xf>
    <xf numFmtId="180" fontId="9" fillId="0" borderId="0" xfId="0" applyNumberFormat="1" applyFont="1">
      <alignment vertical="center"/>
    </xf>
    <xf numFmtId="180" fontId="0" fillId="0" borderId="0" xfId="0" applyNumberFormat="1">
      <alignment vertical="center"/>
    </xf>
    <xf numFmtId="10" fontId="9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188"/>
  <sheetViews>
    <sheetView workbookViewId="0">
      <pane ySplit="8" topLeftCell="A51" activePane="bottomLeft" state="frozen"/>
      <selection pane="bottomLeft" activeCell="A74" sqref="A74:XFD74"/>
    </sheetView>
  </sheetViews>
  <sheetFormatPr defaultRowHeight="13.8" x14ac:dyDescent="0.25"/>
  <cols>
    <col min="2" max="2" width="6.6640625" customWidth="1"/>
    <col min="3" max="3" width="8.44140625" customWidth="1"/>
    <col min="5" max="5" width="5.77734375" customWidth="1"/>
    <col min="6" max="6" width="4.77734375" customWidth="1"/>
    <col min="7" max="7" width="8.6640625" customWidth="1"/>
    <col min="8" max="9" width="10.5546875" customWidth="1"/>
    <col min="10" max="10" width="10" customWidth="1"/>
    <col min="11" max="11" width="4.44140625" customWidth="1"/>
    <col min="12" max="12" width="8.88671875" customWidth="1"/>
    <col min="13" max="13" width="4.6640625" customWidth="1"/>
    <col min="14" max="14" width="10.21875" customWidth="1"/>
    <col min="16" max="20" width="11.109375" customWidth="1"/>
    <col min="21" max="21" width="8.88671875" style="9"/>
    <col min="22" max="22" width="7" customWidth="1"/>
    <col min="23" max="23" width="9.77734375" bestFit="1" customWidth="1"/>
    <col min="24" max="24" width="6.5546875" bestFit="1" customWidth="1"/>
    <col min="25" max="25" width="8.88671875" customWidth="1"/>
    <col min="26" max="26" width="9.109375" customWidth="1"/>
    <col min="27" max="29" width="8.88671875" customWidth="1"/>
    <col min="30" max="30" width="12.77734375" customWidth="1"/>
    <col min="31" max="31" width="6.21875" customWidth="1"/>
    <col min="32" max="35" width="8.88671875" customWidth="1"/>
    <col min="37" max="39" width="8.88671875" customWidth="1"/>
    <col min="42" max="42" width="10" bestFit="1" customWidth="1"/>
  </cols>
  <sheetData>
    <row r="2" spans="2:44" x14ac:dyDescent="0.25">
      <c r="B2" t="s">
        <v>15</v>
      </c>
      <c r="C2" t="s">
        <v>16</v>
      </c>
    </row>
    <row r="3" spans="2:44" x14ac:dyDescent="0.25">
      <c r="B3" t="s">
        <v>38</v>
      </c>
      <c r="C3" t="s">
        <v>17</v>
      </c>
    </row>
    <row r="4" spans="2:44" ht="14.4" thickBot="1" x14ac:dyDescent="0.3">
      <c r="B4" t="s">
        <v>18</v>
      </c>
      <c r="C4" t="s">
        <v>19</v>
      </c>
    </row>
    <row r="5" spans="2:44" ht="14.4" thickBot="1" x14ac:dyDescent="0.3">
      <c r="B5" s="73" t="s">
        <v>241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5"/>
      <c r="R5" s="48"/>
      <c r="S5" s="48"/>
      <c r="T5" s="48"/>
      <c r="V5" s="76" t="s">
        <v>242</v>
      </c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8"/>
    </row>
    <row r="7" spans="2:44" x14ac:dyDescent="0.25">
      <c r="G7" s="72" t="s">
        <v>37</v>
      </c>
      <c r="H7" s="72"/>
      <c r="I7" s="72"/>
      <c r="J7" s="4">
        <v>1</v>
      </c>
      <c r="N7" s="72" t="s">
        <v>35</v>
      </c>
      <c r="O7" s="72"/>
      <c r="P7" s="4">
        <v>1</v>
      </c>
      <c r="Q7" s="4">
        <v>1</v>
      </c>
      <c r="R7" s="72" t="s">
        <v>245</v>
      </c>
      <c r="S7" s="72"/>
      <c r="T7" s="4"/>
      <c r="AA7" s="72" t="s">
        <v>37</v>
      </c>
      <c r="AB7" s="72"/>
      <c r="AC7" s="72"/>
      <c r="AD7" s="4">
        <v>1</v>
      </c>
      <c r="AF7" s="4">
        <v>1</v>
      </c>
      <c r="AG7" s="4">
        <v>1</v>
      </c>
      <c r="AI7" s="72" t="s">
        <v>35</v>
      </c>
      <c r="AJ7" s="72"/>
      <c r="AK7" s="4">
        <v>1</v>
      </c>
      <c r="AL7" s="4">
        <v>1</v>
      </c>
      <c r="AN7" s="72" t="s">
        <v>245</v>
      </c>
      <c r="AO7" s="72"/>
    </row>
    <row r="8" spans="2:44" x14ac:dyDescent="0.25">
      <c r="B8" t="s">
        <v>0</v>
      </c>
      <c r="C8" t="s">
        <v>1</v>
      </c>
      <c r="D8" t="s">
        <v>4</v>
      </c>
      <c r="E8" t="s">
        <v>2</v>
      </c>
      <c r="F8" t="s">
        <v>3</v>
      </c>
      <c r="G8" t="s">
        <v>6</v>
      </c>
      <c r="H8" t="s">
        <v>31</v>
      </c>
      <c r="I8" t="s">
        <v>5</v>
      </c>
      <c r="J8" t="s">
        <v>32</v>
      </c>
      <c r="L8" t="s">
        <v>33</v>
      </c>
      <c r="N8" t="s">
        <v>31</v>
      </c>
      <c r="O8" t="s">
        <v>5</v>
      </c>
      <c r="P8" t="s">
        <v>36</v>
      </c>
      <c r="Q8" t="s">
        <v>36</v>
      </c>
      <c r="R8" t="s">
        <v>244</v>
      </c>
      <c r="S8" t="s">
        <v>243</v>
      </c>
      <c r="V8" t="s">
        <v>0</v>
      </c>
      <c r="W8" t="s">
        <v>1</v>
      </c>
      <c r="X8" t="s">
        <v>4</v>
      </c>
      <c r="Y8" t="s">
        <v>2</v>
      </c>
      <c r="Z8" t="s">
        <v>3</v>
      </c>
      <c r="AA8" t="s">
        <v>6</v>
      </c>
      <c r="AB8" t="s">
        <v>31</v>
      </c>
      <c r="AC8" t="s">
        <v>5</v>
      </c>
      <c r="AD8" t="s">
        <v>32</v>
      </c>
      <c r="AF8" t="s">
        <v>33</v>
      </c>
      <c r="AG8" t="s">
        <v>34</v>
      </c>
      <c r="AI8" t="s">
        <v>31</v>
      </c>
      <c r="AJ8" t="s">
        <v>5</v>
      </c>
      <c r="AK8" t="s">
        <v>36</v>
      </c>
      <c r="AL8" t="s">
        <v>36</v>
      </c>
      <c r="AN8" t="s">
        <v>244</v>
      </c>
      <c r="AO8" t="s">
        <v>243</v>
      </c>
    </row>
    <row r="9" spans="2:44" x14ac:dyDescent="0.25">
      <c r="B9">
        <v>1</v>
      </c>
      <c r="C9" s="7">
        <v>576</v>
      </c>
      <c r="D9">
        <v>64</v>
      </c>
      <c r="E9">
        <v>8</v>
      </c>
      <c r="F9">
        <v>1</v>
      </c>
      <c r="G9">
        <v>7.0086999999999997E-2</v>
      </c>
      <c r="H9">
        <v>6.8062999999999999E-2</v>
      </c>
      <c r="I9">
        <v>7.3222999999999996E-2</v>
      </c>
      <c r="J9" s="4">
        <f>I9/H9</f>
        <v>1.075812115246169</v>
      </c>
      <c r="L9" s="5">
        <v>0.97150684149699662</v>
      </c>
      <c r="M9" s="5"/>
      <c r="N9">
        <v>6.6588999999999995E-2</v>
      </c>
      <c r="O9">
        <v>7.1869000000000002E-2</v>
      </c>
      <c r="P9" s="4">
        <f>N9/H9</f>
        <v>0.97834359343549349</v>
      </c>
      <c r="Q9" s="4">
        <f>O9/I9</f>
        <v>0.98150854239788055</v>
      </c>
      <c r="R9">
        <v>8.1664E-2</v>
      </c>
      <c r="S9">
        <v>8.1664E-2</v>
      </c>
      <c r="T9" s="4">
        <f>S9/R9</f>
        <v>1</v>
      </c>
      <c r="V9">
        <v>1</v>
      </c>
      <c r="W9" s="7">
        <v>128</v>
      </c>
      <c r="X9">
        <v>64</v>
      </c>
      <c r="Y9">
        <v>8</v>
      </c>
      <c r="Z9">
        <v>1</v>
      </c>
      <c r="AA9">
        <v>6.0402999999999998E-2</v>
      </c>
      <c r="AB9">
        <v>5.8790000000000002E-2</v>
      </c>
      <c r="AC9">
        <v>6.0149000000000001E-2</v>
      </c>
      <c r="AD9" s="4">
        <f>AC9/AB9</f>
        <v>1.0231161762204457</v>
      </c>
      <c r="AF9" s="5">
        <f>AB9/AA9</f>
        <v>0.97329602834296314</v>
      </c>
      <c r="AG9" s="5">
        <f>AC9/AA9</f>
        <v>0.9957949108487989</v>
      </c>
      <c r="AI9">
        <v>5.8569000000000003E-2</v>
      </c>
      <c r="AJ9">
        <v>5.8853999999999997E-2</v>
      </c>
      <c r="AK9" s="4">
        <f t="shared" ref="AK9:AK40" si="0">AI9/AB9</f>
        <v>0.99624085728865452</v>
      </c>
      <c r="AL9" s="4">
        <f t="shared" ref="AL9:AL40" si="1">AJ9/AC9</f>
        <v>0.97847013250428094</v>
      </c>
      <c r="AN9">
        <v>6.0224E-2</v>
      </c>
      <c r="AO9">
        <v>5.9968E-2</v>
      </c>
      <c r="AP9" s="4">
        <f>AO9/AN9</f>
        <v>0.99574920297555791</v>
      </c>
      <c r="AR9" s="4">
        <f>AO9/AC9</f>
        <v>0.99699080616469105</v>
      </c>
    </row>
    <row r="10" spans="2:44" x14ac:dyDescent="0.25">
      <c r="B10">
        <v>2</v>
      </c>
      <c r="C10" s="7">
        <v>576</v>
      </c>
      <c r="D10">
        <v>64</v>
      </c>
      <c r="E10">
        <v>8</v>
      </c>
      <c r="F10">
        <v>1</v>
      </c>
      <c r="G10">
        <v>7.6850000000000002E-2</v>
      </c>
      <c r="H10">
        <v>6.9972999999999994E-2</v>
      </c>
      <c r="I10">
        <v>7.4273000000000006E-2</v>
      </c>
      <c r="J10" s="4">
        <f t="shared" ref="J10:J73" si="2">I10/H10</f>
        <v>1.061452274448716</v>
      </c>
      <c r="L10" s="5">
        <v>0.90039037085230977</v>
      </c>
      <c r="M10" s="5"/>
      <c r="N10">
        <v>6.7652000000000004E-2</v>
      </c>
      <c r="O10">
        <v>7.3513999999999996E-2</v>
      </c>
      <c r="P10" s="4">
        <f t="shared" ref="P10:P41" si="3">N10/H10</f>
        <v>0.96683006302430952</v>
      </c>
      <c r="Q10" s="4">
        <f t="shared" ref="Q10:Q18" si="4">O10/I10</f>
        <v>0.98978094327682997</v>
      </c>
      <c r="R10">
        <v>8.3968000000000001E-2</v>
      </c>
      <c r="S10">
        <v>8.1215999999999997E-2</v>
      </c>
      <c r="T10" s="4">
        <f t="shared" ref="T10:T73" si="5">S10/R10</f>
        <v>0.9672256097560975</v>
      </c>
      <c r="V10">
        <v>2</v>
      </c>
      <c r="W10" s="7">
        <v>128</v>
      </c>
      <c r="X10">
        <v>64</v>
      </c>
      <c r="Y10">
        <v>8</v>
      </c>
      <c r="Z10">
        <v>1</v>
      </c>
      <c r="AA10">
        <v>6.1884000000000002E-2</v>
      </c>
      <c r="AB10">
        <v>5.8796000000000001E-2</v>
      </c>
      <c r="AC10">
        <v>6.0560000000000003E-2</v>
      </c>
      <c r="AD10" s="4">
        <f t="shared" ref="AD10:AD73" si="6">AC10/AB10</f>
        <v>1.0300020409551671</v>
      </c>
      <c r="AF10" s="5">
        <f t="shared" ref="AF10:AF73" si="7">AB10/AA10</f>
        <v>0.95010018744748237</v>
      </c>
      <c r="AG10" s="5">
        <f t="shared" ref="AG10:AG73" si="8">AC10/AA10</f>
        <v>0.97860513218279366</v>
      </c>
      <c r="AI10">
        <v>5.8744999999999999E-2</v>
      </c>
      <c r="AJ10">
        <v>6.0051E-2</v>
      </c>
      <c r="AK10" s="4">
        <f t="shared" si="0"/>
        <v>0.99913259405401722</v>
      </c>
      <c r="AL10" s="4">
        <f t="shared" si="1"/>
        <v>0.99159511228533681</v>
      </c>
      <c r="AN10">
        <v>6.1536E-2</v>
      </c>
      <c r="AO10">
        <v>6.0032000000000002E-2</v>
      </c>
      <c r="AP10" s="4">
        <f t="shared" ref="AP10:AP73" si="9">AO10/AN10</f>
        <v>0.97555902236089442</v>
      </c>
      <c r="AR10" s="4">
        <f t="shared" ref="AR10:AR73" si="10">AO10/AC10</f>
        <v>0.99128137384412152</v>
      </c>
    </row>
    <row r="11" spans="2:44" x14ac:dyDescent="0.25">
      <c r="B11">
        <v>4</v>
      </c>
      <c r="C11" s="7">
        <v>576</v>
      </c>
      <c r="D11">
        <v>64</v>
      </c>
      <c r="E11">
        <v>8</v>
      </c>
      <c r="F11">
        <v>1</v>
      </c>
      <c r="G11">
        <v>8.4272E-2</v>
      </c>
      <c r="H11">
        <v>6.9059999999999996E-2</v>
      </c>
      <c r="I11">
        <v>7.4246000000000006E-2</v>
      </c>
      <c r="J11" s="4">
        <f t="shared" si="2"/>
        <v>1.075094121054156</v>
      </c>
      <c r="L11" s="5">
        <v>0.8222066641351814</v>
      </c>
      <c r="M11" s="5"/>
      <c r="N11">
        <v>6.8803000000000003E-2</v>
      </c>
      <c r="O11">
        <v>7.4055999999999997E-2</v>
      </c>
      <c r="P11" s="4">
        <f t="shared" si="3"/>
        <v>0.9962785983203013</v>
      </c>
      <c r="Q11" s="4">
        <f t="shared" si="4"/>
        <v>0.99744093957923641</v>
      </c>
      <c r="R11">
        <v>7.6927999999999996E-2</v>
      </c>
      <c r="S11">
        <v>8.0703999999999998E-2</v>
      </c>
      <c r="T11" s="4">
        <f t="shared" si="5"/>
        <v>1.0490848585690515</v>
      </c>
      <c r="V11">
        <v>4</v>
      </c>
      <c r="W11" s="7">
        <v>128</v>
      </c>
      <c r="X11">
        <v>64</v>
      </c>
      <c r="Y11">
        <v>8</v>
      </c>
      <c r="Z11">
        <v>1</v>
      </c>
      <c r="AA11">
        <v>6.5572000000000005E-2</v>
      </c>
      <c r="AB11">
        <v>5.8592999999999999E-2</v>
      </c>
      <c r="AC11">
        <v>6.0295000000000001E-2</v>
      </c>
      <c r="AD11" s="4">
        <f t="shared" si="6"/>
        <v>1.0290478384789992</v>
      </c>
      <c r="AF11" s="5">
        <f t="shared" si="7"/>
        <v>0.8935673763191605</v>
      </c>
      <c r="AG11" s="5">
        <f t="shared" si="8"/>
        <v>0.91952357713658261</v>
      </c>
      <c r="AI11">
        <v>5.8616000000000001E-2</v>
      </c>
      <c r="AJ11">
        <v>6.0639999999999999E-2</v>
      </c>
      <c r="AK11" s="4">
        <f t="shared" si="0"/>
        <v>1.0003925383578243</v>
      </c>
      <c r="AL11" s="4">
        <f t="shared" si="1"/>
        <v>1.005721867484866</v>
      </c>
      <c r="AN11">
        <v>6.1760000000000002E-2</v>
      </c>
      <c r="AO11">
        <v>6.0224E-2</v>
      </c>
      <c r="AP11" s="4">
        <f t="shared" si="9"/>
        <v>0.97512953367875643</v>
      </c>
      <c r="AR11" s="4">
        <f t="shared" si="10"/>
        <v>0.99882245625673771</v>
      </c>
    </row>
    <row r="12" spans="2:44" x14ac:dyDescent="0.25">
      <c r="B12">
        <v>8</v>
      </c>
      <c r="C12" s="7">
        <v>576</v>
      </c>
      <c r="D12">
        <v>64</v>
      </c>
      <c r="E12">
        <v>8</v>
      </c>
      <c r="F12">
        <v>1</v>
      </c>
      <c r="G12">
        <v>0.108012</v>
      </c>
      <c r="H12">
        <v>7.1821999999999997E-2</v>
      </c>
      <c r="I12">
        <v>7.6605000000000006E-2</v>
      </c>
      <c r="J12" s="4">
        <f t="shared" si="2"/>
        <v>1.0665951936732478</v>
      </c>
      <c r="L12" s="4">
        <v>0.68810872865977857</v>
      </c>
      <c r="M12" s="4"/>
      <c r="N12">
        <v>6.9082000000000005E-2</v>
      </c>
      <c r="O12">
        <v>7.4301000000000006E-2</v>
      </c>
      <c r="P12" s="4">
        <f t="shared" si="3"/>
        <v>0.96185012948678683</v>
      </c>
      <c r="Q12" s="4">
        <f t="shared" si="4"/>
        <v>0.96992363422753081</v>
      </c>
      <c r="R12">
        <v>7.6544000000000001E-2</v>
      </c>
      <c r="S12">
        <v>8.3456000000000002E-2</v>
      </c>
      <c r="T12" s="4">
        <f>S12/R12</f>
        <v>1.0903010033444815</v>
      </c>
      <c r="V12">
        <v>8</v>
      </c>
      <c r="W12" s="7">
        <v>128</v>
      </c>
      <c r="X12">
        <v>64</v>
      </c>
      <c r="Y12">
        <v>8</v>
      </c>
      <c r="Z12">
        <v>1</v>
      </c>
      <c r="AA12">
        <v>7.4316999999999994E-2</v>
      </c>
      <c r="AB12">
        <v>5.9480999999999999E-2</v>
      </c>
      <c r="AC12">
        <v>6.0997000000000003E-2</v>
      </c>
      <c r="AD12" s="4">
        <f t="shared" si="6"/>
        <v>1.0254871303441435</v>
      </c>
      <c r="AF12" s="5">
        <f t="shared" si="7"/>
        <v>0.80036869087826479</v>
      </c>
      <c r="AG12" s="5">
        <f t="shared" si="8"/>
        <v>0.82076779202605066</v>
      </c>
      <c r="AI12">
        <v>5.9164000000000001E-2</v>
      </c>
      <c r="AJ12">
        <v>6.0761999999999997E-2</v>
      </c>
      <c r="AK12" s="4">
        <f t="shared" si="0"/>
        <v>0.9946705670718381</v>
      </c>
      <c r="AL12" s="4">
        <f t="shared" si="1"/>
        <v>0.99614735150909051</v>
      </c>
      <c r="AN12">
        <v>6.0639999999999999E-2</v>
      </c>
      <c r="AO12">
        <v>6.0864000000000001E-2</v>
      </c>
      <c r="AP12" s="4">
        <f t="shared" si="9"/>
        <v>1.003693931398417</v>
      </c>
      <c r="AR12" s="4">
        <f t="shared" si="10"/>
        <v>0.99781956489663426</v>
      </c>
    </row>
    <row r="13" spans="2:44" x14ac:dyDescent="0.25">
      <c r="B13">
        <v>16</v>
      </c>
      <c r="C13" s="7">
        <v>576</v>
      </c>
      <c r="D13">
        <v>64</v>
      </c>
      <c r="E13">
        <v>8</v>
      </c>
      <c r="F13">
        <v>1</v>
      </c>
      <c r="G13">
        <v>0.16931099999999999</v>
      </c>
      <c r="H13">
        <v>7.5857999999999995E-2</v>
      </c>
      <c r="I13">
        <v>8.0499000000000001E-2</v>
      </c>
      <c r="J13" s="4">
        <f t="shared" si="2"/>
        <v>1.061180099659891</v>
      </c>
      <c r="L13" s="4">
        <v>0.46476602229034147</v>
      </c>
      <c r="M13" s="4"/>
      <c r="N13">
        <v>6.9686999999999999E-2</v>
      </c>
      <c r="O13">
        <v>7.4647000000000005E-2</v>
      </c>
      <c r="P13" s="4">
        <f t="shared" si="3"/>
        <v>0.91865063671596936</v>
      </c>
      <c r="Q13" s="4">
        <f t="shared" si="4"/>
        <v>0.92730344476328908</v>
      </c>
      <c r="R13">
        <v>7.5999999999999998E-2</v>
      </c>
      <c r="S13">
        <v>8.3904000000000006E-2</v>
      </c>
      <c r="T13" s="4">
        <f t="shared" si="5"/>
        <v>1.1040000000000001</v>
      </c>
      <c r="V13">
        <v>16</v>
      </c>
      <c r="W13" s="7">
        <v>128</v>
      </c>
      <c r="X13">
        <v>64</v>
      </c>
      <c r="Y13">
        <v>8</v>
      </c>
      <c r="Z13">
        <v>1</v>
      </c>
      <c r="AA13">
        <v>9.2508000000000007E-2</v>
      </c>
      <c r="AB13">
        <v>5.9803000000000002E-2</v>
      </c>
      <c r="AC13">
        <v>6.1635000000000002E-2</v>
      </c>
      <c r="AD13" s="4">
        <f t="shared" si="6"/>
        <v>1.0306339146865542</v>
      </c>
      <c r="AF13" s="5">
        <f t="shared" si="7"/>
        <v>0.64646300860466122</v>
      </c>
      <c r="AG13" s="5">
        <f t="shared" si="8"/>
        <v>0.66626670125826948</v>
      </c>
      <c r="AI13">
        <v>5.9358000000000001E-2</v>
      </c>
      <c r="AJ13">
        <v>5.9916999999999998E-2</v>
      </c>
      <c r="AK13" s="4">
        <f t="shared" si="0"/>
        <v>0.99255890172733807</v>
      </c>
      <c r="AL13" s="4">
        <f t="shared" si="1"/>
        <v>0.97212622698142281</v>
      </c>
      <c r="AN13">
        <v>6.1440000000000002E-2</v>
      </c>
      <c r="AO13">
        <v>6.1440000000000002E-2</v>
      </c>
      <c r="AP13" s="4">
        <f t="shared" si="9"/>
        <v>1</v>
      </c>
      <c r="AR13" s="4">
        <f t="shared" si="10"/>
        <v>0.99683621319055726</v>
      </c>
    </row>
    <row r="14" spans="2:44" x14ac:dyDescent="0.25">
      <c r="B14">
        <v>32</v>
      </c>
      <c r="C14" s="7">
        <v>576</v>
      </c>
      <c r="D14">
        <v>64</v>
      </c>
      <c r="E14">
        <v>8</v>
      </c>
      <c r="F14">
        <v>1</v>
      </c>
      <c r="G14">
        <v>0.270818</v>
      </c>
      <c r="H14">
        <v>9.1287999999999994E-2</v>
      </c>
      <c r="I14">
        <v>0.102877</v>
      </c>
      <c r="J14" s="4">
        <f t="shared" si="2"/>
        <v>1.1269498729296292</v>
      </c>
      <c r="L14" s="4">
        <v>0.34965548818763892</v>
      </c>
      <c r="M14" s="4"/>
      <c r="N14">
        <v>7.6752000000000001E-2</v>
      </c>
      <c r="O14">
        <v>9.2016000000000001E-2</v>
      </c>
      <c r="P14" s="4">
        <f t="shared" si="3"/>
        <v>0.84076768030847437</v>
      </c>
      <c r="Q14" s="4">
        <f t="shared" si="4"/>
        <v>0.89442732583570672</v>
      </c>
      <c r="R14">
        <v>9.0079999999999993E-2</v>
      </c>
      <c r="S14">
        <v>0.102336</v>
      </c>
      <c r="T14" s="4">
        <f t="shared" si="5"/>
        <v>1.1360568383658971</v>
      </c>
      <c r="V14">
        <v>32</v>
      </c>
      <c r="W14">
        <v>128</v>
      </c>
      <c r="X14">
        <v>64</v>
      </c>
      <c r="Y14">
        <v>8</v>
      </c>
      <c r="Z14">
        <v>1</v>
      </c>
      <c r="AA14">
        <v>0.123111</v>
      </c>
      <c r="AB14">
        <v>6.4438999999999996E-2</v>
      </c>
      <c r="AC14">
        <v>7.0463999999999999E-2</v>
      </c>
      <c r="AD14" s="4">
        <f t="shared" si="6"/>
        <v>1.0934992783873121</v>
      </c>
      <c r="AF14" s="5">
        <f t="shared" si="7"/>
        <v>0.5234219525468885</v>
      </c>
      <c r="AG14" s="5">
        <f t="shared" si="8"/>
        <v>0.57236152740210056</v>
      </c>
      <c r="AI14">
        <v>6.3930000000000001E-2</v>
      </c>
      <c r="AJ14">
        <v>6.7186999999999997E-2</v>
      </c>
      <c r="AK14" s="4">
        <f t="shared" si="0"/>
        <v>0.99210105681342053</v>
      </c>
      <c r="AL14" s="4">
        <f t="shared" si="1"/>
        <v>0.95349398274296093</v>
      </c>
      <c r="AN14">
        <v>6.8895999999999999E-2</v>
      </c>
      <c r="AO14">
        <v>6.9120000000000001E-2</v>
      </c>
      <c r="AP14" s="4">
        <f t="shared" si="9"/>
        <v>1.0032512772875057</v>
      </c>
      <c r="AR14" s="4">
        <f t="shared" si="10"/>
        <v>0.98092643051771122</v>
      </c>
    </row>
    <row r="15" spans="2:44" x14ac:dyDescent="0.25">
      <c r="B15">
        <v>64</v>
      </c>
      <c r="C15">
        <v>576</v>
      </c>
      <c r="D15">
        <v>64</v>
      </c>
      <c r="E15">
        <v>8</v>
      </c>
      <c r="F15">
        <v>1</v>
      </c>
      <c r="G15">
        <v>0.47735</v>
      </c>
      <c r="H15">
        <v>0.121056</v>
      </c>
      <c r="I15">
        <v>0.14681900000000001</v>
      </c>
      <c r="J15" s="4">
        <f t="shared" si="2"/>
        <v>1.2128188606925721</v>
      </c>
      <c r="L15" s="4">
        <v>0.28427149890017811</v>
      </c>
      <c r="M15" s="4"/>
      <c r="N15">
        <v>0.102212</v>
      </c>
      <c r="O15">
        <v>0.13134899999999999</v>
      </c>
      <c r="P15" s="4">
        <f t="shared" si="3"/>
        <v>0.84433650541897964</v>
      </c>
      <c r="Q15" s="4">
        <f t="shared" si="4"/>
        <v>0.8946321661365354</v>
      </c>
      <c r="R15">
        <v>0.122144</v>
      </c>
      <c r="S15">
        <v>0.129216</v>
      </c>
      <c r="T15" s="4">
        <f t="shared" si="5"/>
        <v>1.057898873460833</v>
      </c>
      <c r="V15">
        <v>64</v>
      </c>
      <c r="W15">
        <v>128</v>
      </c>
      <c r="X15">
        <v>64</v>
      </c>
      <c r="Y15">
        <v>8</v>
      </c>
      <c r="Z15">
        <v>1</v>
      </c>
      <c r="AA15">
        <v>0.19674900000000001</v>
      </c>
      <c r="AB15">
        <v>7.2598999999999997E-2</v>
      </c>
      <c r="AC15">
        <v>8.4833000000000006E-2</v>
      </c>
      <c r="AD15" s="4">
        <f t="shared" si="6"/>
        <v>1.1685147178335791</v>
      </c>
      <c r="AF15" s="5">
        <f t="shared" si="7"/>
        <v>0.36899298090460431</v>
      </c>
      <c r="AG15" s="5">
        <f t="shared" si="8"/>
        <v>0.43117372896431494</v>
      </c>
      <c r="AI15">
        <v>7.1332999999999994E-2</v>
      </c>
      <c r="AJ15">
        <v>8.1477999999999995E-2</v>
      </c>
      <c r="AK15" s="4">
        <f t="shared" si="0"/>
        <v>0.98256174327470069</v>
      </c>
      <c r="AL15" s="4">
        <f t="shared" si="1"/>
        <v>0.96045171100868754</v>
      </c>
      <c r="AN15">
        <v>8.3839999999999998E-2</v>
      </c>
      <c r="AO15">
        <v>8.3711999999999995E-2</v>
      </c>
      <c r="AP15" s="4">
        <f t="shared" si="9"/>
        <v>0.99847328244274802</v>
      </c>
      <c r="AR15" s="4">
        <f t="shared" si="10"/>
        <v>0.98678580269470595</v>
      </c>
    </row>
    <row r="16" spans="2:44" x14ac:dyDescent="0.25">
      <c r="B16">
        <v>128</v>
      </c>
      <c r="C16">
        <v>576</v>
      </c>
      <c r="D16">
        <v>64</v>
      </c>
      <c r="E16">
        <v>8</v>
      </c>
      <c r="F16">
        <v>1</v>
      </c>
      <c r="G16">
        <v>0.90238600000000002</v>
      </c>
      <c r="H16">
        <v>0.18308099999999999</v>
      </c>
      <c r="I16">
        <v>0.23160800000000001</v>
      </c>
      <c r="J16" s="4">
        <f t="shared" si="2"/>
        <v>1.265057542836231</v>
      </c>
      <c r="L16" s="4">
        <v>0.23941528348179159</v>
      </c>
      <c r="M16" s="4"/>
      <c r="N16">
        <v>0.165211</v>
      </c>
      <c r="O16">
        <v>0.21342800000000001</v>
      </c>
      <c r="P16" s="4">
        <f t="shared" si="3"/>
        <v>0.90239292990534248</v>
      </c>
      <c r="Q16" s="4">
        <f t="shared" si="4"/>
        <v>0.9215053020621049</v>
      </c>
      <c r="R16">
        <v>0.19059200000000001</v>
      </c>
      <c r="S16">
        <v>0.198272</v>
      </c>
      <c r="T16" s="4">
        <f t="shared" si="5"/>
        <v>1.0402955003357959</v>
      </c>
      <c r="V16">
        <v>128</v>
      </c>
      <c r="W16">
        <v>128</v>
      </c>
      <c r="X16">
        <v>64</v>
      </c>
      <c r="Y16">
        <v>8</v>
      </c>
      <c r="Z16">
        <v>1</v>
      </c>
      <c r="AA16">
        <v>0.32904099999999997</v>
      </c>
      <c r="AB16">
        <v>9.0978000000000003E-2</v>
      </c>
      <c r="AC16">
        <v>0.116843</v>
      </c>
      <c r="AD16" s="4">
        <f t="shared" si="6"/>
        <v>1.2842995009782585</v>
      </c>
      <c r="AF16" s="5">
        <f t="shared" si="7"/>
        <v>0.27649441862868157</v>
      </c>
      <c r="AG16" s="5">
        <f t="shared" si="8"/>
        <v>0.3551016438680894</v>
      </c>
      <c r="AI16">
        <v>8.7970999999999994E-2</v>
      </c>
      <c r="AJ16">
        <v>0.11104600000000001</v>
      </c>
      <c r="AK16" s="4">
        <f t="shared" si="0"/>
        <v>0.96694805337554124</v>
      </c>
      <c r="AL16" s="4">
        <f t="shared" si="1"/>
        <v>0.95038641595987783</v>
      </c>
      <c r="AN16">
        <v>0.11580799999999999</v>
      </c>
      <c r="AO16">
        <v>0.113664</v>
      </c>
      <c r="AP16" s="4">
        <f t="shared" si="9"/>
        <v>0.98148659850787512</v>
      </c>
      <c r="AR16" s="4">
        <f t="shared" si="10"/>
        <v>0.9727925506876749</v>
      </c>
    </row>
    <row r="17" spans="2:44" x14ac:dyDescent="0.25">
      <c r="B17">
        <v>256</v>
      </c>
      <c r="C17">
        <v>576</v>
      </c>
      <c r="D17">
        <v>64</v>
      </c>
      <c r="E17">
        <v>8</v>
      </c>
      <c r="F17">
        <v>1</v>
      </c>
      <c r="G17">
        <v>1.7592099999999999</v>
      </c>
      <c r="H17">
        <v>0.32793899999999998</v>
      </c>
      <c r="I17">
        <v>0.412796</v>
      </c>
      <c r="J17" s="4">
        <f t="shared" si="2"/>
        <v>1.2587584886213594</v>
      </c>
      <c r="L17" s="4">
        <v>0.21061442351964801</v>
      </c>
      <c r="M17" s="4"/>
      <c r="N17">
        <v>0.285686</v>
      </c>
      <c r="O17">
        <v>0.37457400000000002</v>
      </c>
      <c r="P17" s="4">
        <f t="shared" si="3"/>
        <v>0.87115591619173083</v>
      </c>
      <c r="Q17" s="4">
        <f t="shared" si="4"/>
        <v>0.9074070485179121</v>
      </c>
      <c r="R17">
        <v>0.34188800000000003</v>
      </c>
      <c r="S17">
        <v>0.34291199999999999</v>
      </c>
      <c r="T17" s="4">
        <f t="shared" si="5"/>
        <v>1.0029951329090228</v>
      </c>
      <c r="V17">
        <v>256</v>
      </c>
      <c r="W17">
        <v>128</v>
      </c>
      <c r="X17">
        <v>64</v>
      </c>
      <c r="Y17">
        <v>8</v>
      </c>
      <c r="Z17">
        <v>1</v>
      </c>
      <c r="AA17">
        <v>0.60314100000000004</v>
      </c>
      <c r="AB17">
        <v>0.12657399999999999</v>
      </c>
      <c r="AC17">
        <v>0.17730099999999999</v>
      </c>
      <c r="AD17" s="4">
        <f t="shared" si="6"/>
        <v>1.4007695103259754</v>
      </c>
      <c r="AF17" s="5">
        <f t="shared" si="7"/>
        <v>0.20985805972401145</v>
      </c>
      <c r="AG17" s="5">
        <f t="shared" si="8"/>
        <v>0.29396277155756279</v>
      </c>
      <c r="AI17">
        <v>0.12220200000000001</v>
      </c>
      <c r="AJ17">
        <v>0.169965</v>
      </c>
      <c r="AK17" s="4">
        <f t="shared" si="0"/>
        <v>0.9654589410147425</v>
      </c>
      <c r="AL17" s="4">
        <f t="shared" si="1"/>
        <v>0.95862403483341896</v>
      </c>
      <c r="AN17">
        <v>0.17804800000000001</v>
      </c>
      <c r="AO17">
        <v>0.17497599999999999</v>
      </c>
      <c r="AP17" s="4">
        <f t="shared" si="9"/>
        <v>0.98274622573687986</v>
      </c>
      <c r="AR17" s="4">
        <f t="shared" si="10"/>
        <v>0.98688670678676382</v>
      </c>
    </row>
    <row r="18" spans="2:44" x14ac:dyDescent="0.25">
      <c r="B18">
        <v>512</v>
      </c>
      <c r="C18">
        <v>576</v>
      </c>
      <c r="D18">
        <v>64</v>
      </c>
      <c r="E18">
        <v>8</v>
      </c>
      <c r="F18">
        <v>1</v>
      </c>
      <c r="H18">
        <v>0.66871100000000006</v>
      </c>
      <c r="I18">
        <v>0.81277500000000003</v>
      </c>
      <c r="J18" s="4">
        <f t="shared" si="2"/>
        <v>1.2154353674457277</v>
      </c>
      <c r="L18" s="4"/>
      <c r="M18" s="4"/>
      <c r="N18">
        <v>0.59883200000000003</v>
      </c>
      <c r="O18">
        <v>0.73839200000000005</v>
      </c>
      <c r="P18" s="4">
        <f t="shared" si="3"/>
        <v>0.89550194329089838</v>
      </c>
      <c r="Q18" s="4">
        <f t="shared" si="4"/>
        <v>0.90848266740487837</v>
      </c>
      <c r="R18">
        <v>0.64828799999999998</v>
      </c>
      <c r="S18">
        <v>0.66195199999999998</v>
      </c>
      <c r="T18" s="4">
        <f t="shared" si="5"/>
        <v>1.0210770521743422</v>
      </c>
      <c r="V18">
        <v>512</v>
      </c>
      <c r="W18">
        <v>128</v>
      </c>
      <c r="X18">
        <v>64</v>
      </c>
      <c r="Y18">
        <v>8</v>
      </c>
      <c r="Z18">
        <v>1</v>
      </c>
      <c r="AA18">
        <v>1.1570800000000001</v>
      </c>
      <c r="AB18">
        <v>0.19614999999999999</v>
      </c>
      <c r="AC18">
        <v>0.30003999999999997</v>
      </c>
      <c r="AD18" s="4">
        <f t="shared" si="6"/>
        <v>1.5296456793270456</v>
      </c>
      <c r="AF18" s="5">
        <f t="shared" si="7"/>
        <v>0.16952155425726828</v>
      </c>
      <c r="AG18" s="5">
        <f t="shared" si="8"/>
        <v>0.25930791302243572</v>
      </c>
      <c r="AI18">
        <v>0.189469</v>
      </c>
      <c r="AJ18">
        <v>0.28722599999999998</v>
      </c>
      <c r="AK18" s="4">
        <f t="shared" si="0"/>
        <v>0.96593933214376759</v>
      </c>
      <c r="AL18" s="4">
        <f t="shared" si="1"/>
        <v>0.95729236101853088</v>
      </c>
      <c r="AN18">
        <v>0.30447999999999997</v>
      </c>
      <c r="AO18">
        <v>0.30291200000000001</v>
      </c>
      <c r="AP18" s="4">
        <f t="shared" si="9"/>
        <v>0.99485023646873372</v>
      </c>
      <c r="AR18" s="4">
        <f t="shared" si="10"/>
        <v>1.0095720570590589</v>
      </c>
    </row>
    <row r="19" spans="2:44" x14ac:dyDescent="0.25">
      <c r="B19">
        <v>1</v>
      </c>
      <c r="C19">
        <v>576</v>
      </c>
      <c r="D19">
        <v>128</v>
      </c>
      <c r="E19">
        <v>8</v>
      </c>
      <c r="F19">
        <v>1</v>
      </c>
      <c r="G19">
        <v>7.3205999999999993E-2</v>
      </c>
      <c r="H19">
        <v>6.9802000000000003E-2</v>
      </c>
      <c r="I19">
        <v>7.3275000000000007E-2</v>
      </c>
      <c r="J19" s="4">
        <f t="shared" si="2"/>
        <v>1.0497550213460933</v>
      </c>
      <c r="L19" s="5">
        <v>0.9530776165888043</v>
      </c>
      <c r="M19" s="5"/>
      <c r="N19">
        <v>6.9193000000000005E-2</v>
      </c>
      <c r="O19">
        <v>7.1586999999999998E-2</v>
      </c>
      <c r="P19" s="4">
        <f t="shared" si="3"/>
        <v>0.99127532162402221</v>
      </c>
      <c r="Q19" s="4">
        <f t="shared" ref="Q19:Q82" si="11">O19/I19</f>
        <v>0.97696349368816093</v>
      </c>
      <c r="R19">
        <v>7.4079999999999993E-2</v>
      </c>
      <c r="S19">
        <v>7.4431999999999998E-2</v>
      </c>
      <c r="T19" s="4">
        <f t="shared" si="5"/>
        <v>1.0047516198704105</v>
      </c>
      <c r="V19" s="8">
        <v>1</v>
      </c>
      <c r="W19" s="8">
        <v>128</v>
      </c>
      <c r="X19" s="8">
        <v>128</v>
      </c>
      <c r="Y19" s="8">
        <v>8</v>
      </c>
      <c r="Z19" s="8">
        <v>1</v>
      </c>
      <c r="AA19" s="8">
        <v>6.0353999999999998E-2</v>
      </c>
      <c r="AB19" s="8">
        <v>6.1110999999999999E-2</v>
      </c>
      <c r="AC19">
        <v>6.1251E-2</v>
      </c>
      <c r="AD19" s="4">
        <f t="shared" si="6"/>
        <v>1.0022909132562059</v>
      </c>
      <c r="AF19" s="5">
        <f t="shared" si="7"/>
        <v>1.0125426649435001</v>
      </c>
      <c r="AG19" s="5">
        <f t="shared" si="8"/>
        <v>1.0148623123570932</v>
      </c>
      <c r="AI19">
        <v>6.0567000000000003E-2</v>
      </c>
      <c r="AJ19">
        <v>5.9756999999999998E-2</v>
      </c>
      <c r="AK19" s="4">
        <f t="shared" si="0"/>
        <v>0.99109816563302844</v>
      </c>
      <c r="AL19" s="4">
        <f t="shared" si="1"/>
        <v>0.97560856149287356</v>
      </c>
      <c r="AN19">
        <v>6.1184000000000002E-2</v>
      </c>
      <c r="AO19">
        <v>6.08E-2</v>
      </c>
      <c r="AP19" s="4">
        <f t="shared" si="9"/>
        <v>0.99372384937238489</v>
      </c>
      <c r="AR19" s="4">
        <f t="shared" si="10"/>
        <v>0.9926368549084913</v>
      </c>
    </row>
    <row r="20" spans="2:44" x14ac:dyDescent="0.25">
      <c r="B20">
        <v>2</v>
      </c>
      <c r="C20">
        <v>576</v>
      </c>
      <c r="D20">
        <v>128</v>
      </c>
      <c r="E20">
        <v>8</v>
      </c>
      <c r="F20">
        <v>1</v>
      </c>
      <c r="G20">
        <v>7.6076000000000005E-2</v>
      </c>
      <c r="H20">
        <v>7.2552000000000005E-2</v>
      </c>
      <c r="I20">
        <v>7.5854000000000005E-2</v>
      </c>
      <c r="J20" s="4">
        <f t="shared" si="2"/>
        <v>1.045512184364318</v>
      </c>
      <c r="L20" s="5">
        <v>0.9535464535464534</v>
      </c>
      <c r="M20" s="5"/>
      <c r="N20">
        <v>7.0328000000000002E-2</v>
      </c>
      <c r="O20">
        <v>7.2758000000000003E-2</v>
      </c>
      <c r="P20" s="4">
        <f t="shared" si="3"/>
        <v>0.96934612415922372</v>
      </c>
      <c r="Q20" s="4">
        <f t="shared" si="11"/>
        <v>0.9591847496506446</v>
      </c>
      <c r="R20">
        <v>7.4111999999999997E-2</v>
      </c>
      <c r="S20">
        <v>7.5200000000000003E-2</v>
      </c>
      <c r="T20" s="4">
        <f t="shared" si="5"/>
        <v>1.0146804835924008</v>
      </c>
      <c r="V20">
        <v>2</v>
      </c>
      <c r="W20">
        <v>128</v>
      </c>
      <c r="X20">
        <v>128</v>
      </c>
      <c r="Y20">
        <v>8</v>
      </c>
      <c r="Z20">
        <v>1</v>
      </c>
      <c r="AA20">
        <v>6.1399000000000002E-2</v>
      </c>
      <c r="AB20">
        <v>6.1074000000000003E-2</v>
      </c>
      <c r="AC20">
        <v>6.2001000000000001E-2</v>
      </c>
      <c r="AD20" s="4">
        <f t="shared" si="6"/>
        <v>1.0151783082817565</v>
      </c>
      <c r="AF20" s="5">
        <f t="shared" si="7"/>
        <v>0.99470675418166421</v>
      </c>
      <c r="AG20" s="5">
        <f t="shared" si="8"/>
        <v>1.0098047199465789</v>
      </c>
      <c r="AI20">
        <v>6.0511000000000002E-2</v>
      </c>
      <c r="AJ20">
        <v>5.9974E-2</v>
      </c>
      <c r="AK20" s="4">
        <f t="shared" si="0"/>
        <v>0.99078167468972067</v>
      </c>
      <c r="AL20" s="4">
        <f t="shared" si="1"/>
        <v>0.96730697891969486</v>
      </c>
      <c r="AN20">
        <v>6.1055999999999999E-2</v>
      </c>
      <c r="AO20">
        <v>6.0735999999999998E-2</v>
      </c>
      <c r="AP20" s="4">
        <f t="shared" si="9"/>
        <v>0.99475890985324944</v>
      </c>
      <c r="AR20" s="4">
        <f t="shared" si="10"/>
        <v>0.9795971032725278</v>
      </c>
    </row>
    <row r="21" spans="2:44" x14ac:dyDescent="0.25">
      <c r="B21">
        <v>4</v>
      </c>
      <c r="C21">
        <v>576</v>
      </c>
      <c r="D21">
        <v>128</v>
      </c>
      <c r="E21">
        <v>8</v>
      </c>
      <c r="F21">
        <v>1</v>
      </c>
      <c r="G21">
        <v>8.9448E-2</v>
      </c>
      <c r="H21">
        <v>7.1859999999999993E-2</v>
      </c>
      <c r="I21">
        <v>7.5797000000000003E-2</v>
      </c>
      <c r="J21" s="4">
        <f t="shared" si="2"/>
        <v>1.0547870860005568</v>
      </c>
      <c r="L21" s="5">
        <v>0.80566362579375728</v>
      </c>
      <c r="M21" s="5"/>
      <c r="N21">
        <v>7.1328000000000003E-2</v>
      </c>
      <c r="O21">
        <v>7.4726000000000001E-2</v>
      </c>
      <c r="P21" s="4">
        <f t="shared" si="3"/>
        <v>0.99259671583634856</v>
      </c>
      <c r="Q21" s="4">
        <f t="shared" si="11"/>
        <v>0.9858701531722891</v>
      </c>
      <c r="R21">
        <v>7.6032000000000002E-2</v>
      </c>
      <c r="S21">
        <v>7.5135999999999994E-2</v>
      </c>
      <c r="T21" s="4">
        <f t="shared" si="5"/>
        <v>0.9882154882154881</v>
      </c>
      <c r="V21">
        <v>4</v>
      </c>
      <c r="W21">
        <v>128</v>
      </c>
      <c r="X21">
        <v>128</v>
      </c>
      <c r="Y21">
        <v>8</v>
      </c>
      <c r="Z21">
        <v>1</v>
      </c>
      <c r="AA21">
        <v>6.5603999999999996E-2</v>
      </c>
      <c r="AB21">
        <v>6.0717E-2</v>
      </c>
      <c r="AC21">
        <v>6.1580999999999997E-2</v>
      </c>
      <c r="AD21" s="4">
        <f t="shared" si="6"/>
        <v>1.0142299520727309</v>
      </c>
      <c r="AF21" s="5">
        <f t="shared" si="7"/>
        <v>0.9255075910005488</v>
      </c>
      <c r="AG21" s="5">
        <f t="shared" si="8"/>
        <v>0.93867751966343516</v>
      </c>
      <c r="AI21">
        <v>6.0745E-2</v>
      </c>
      <c r="AJ21">
        <v>6.1068999999999998E-2</v>
      </c>
      <c r="AK21" s="4">
        <f t="shared" si="0"/>
        <v>1.0004611558542089</v>
      </c>
      <c r="AL21" s="4">
        <f t="shared" si="1"/>
        <v>0.99168574722722924</v>
      </c>
      <c r="AN21">
        <v>6.1247999999999997E-2</v>
      </c>
      <c r="AO21">
        <v>6.1120000000000001E-2</v>
      </c>
      <c r="AP21" s="4">
        <f t="shared" si="9"/>
        <v>0.99791013584117039</v>
      </c>
      <c r="AR21" s="4">
        <f t="shared" si="10"/>
        <v>0.99251392474951694</v>
      </c>
    </row>
    <row r="22" spans="2:44" x14ac:dyDescent="0.25">
      <c r="B22">
        <v>8</v>
      </c>
      <c r="C22">
        <v>576</v>
      </c>
      <c r="D22">
        <v>128</v>
      </c>
      <c r="E22">
        <v>8</v>
      </c>
      <c r="F22">
        <v>1</v>
      </c>
      <c r="G22">
        <v>0.12615599999999999</v>
      </c>
      <c r="H22">
        <v>7.5586E-2</v>
      </c>
      <c r="I22">
        <v>7.9380000000000006E-2</v>
      </c>
      <c r="J22" s="4">
        <f t="shared" si="2"/>
        <v>1.0501944804593444</v>
      </c>
      <c r="L22" s="4">
        <v>0.70252703002631667</v>
      </c>
      <c r="M22" s="4"/>
      <c r="N22">
        <v>7.2151999999999994E-2</v>
      </c>
      <c r="O22">
        <v>7.4861999999999998E-2</v>
      </c>
      <c r="P22" s="4">
        <f t="shared" si="3"/>
        <v>0.95456830630010836</v>
      </c>
      <c r="Q22" s="4">
        <f t="shared" si="11"/>
        <v>0.94308390022675725</v>
      </c>
      <c r="R22">
        <v>7.5775999999999996E-2</v>
      </c>
      <c r="S22">
        <v>7.6672000000000004E-2</v>
      </c>
      <c r="T22" s="4">
        <f t="shared" si="5"/>
        <v>1.0118243243243243</v>
      </c>
      <c r="V22">
        <v>8</v>
      </c>
      <c r="W22">
        <v>128</v>
      </c>
      <c r="X22">
        <v>128</v>
      </c>
      <c r="Y22">
        <v>8</v>
      </c>
      <c r="Z22">
        <v>1</v>
      </c>
      <c r="AA22">
        <v>7.4305999999999997E-2</v>
      </c>
      <c r="AB22">
        <v>6.1892000000000003E-2</v>
      </c>
      <c r="AC22">
        <v>6.2633999999999995E-2</v>
      </c>
      <c r="AD22" s="4">
        <f t="shared" si="6"/>
        <v>1.0119886253473791</v>
      </c>
      <c r="AF22" s="5">
        <f t="shared" si="7"/>
        <v>0.83293408338492192</v>
      </c>
      <c r="AG22" s="5">
        <f t="shared" si="8"/>
        <v>0.84291981804968641</v>
      </c>
      <c r="AI22">
        <v>6.1219000000000003E-2</v>
      </c>
      <c r="AJ22">
        <v>6.0928000000000003E-2</v>
      </c>
      <c r="AK22" s="4">
        <f t="shared" si="0"/>
        <v>0.98912621986686489</v>
      </c>
      <c r="AL22" s="4">
        <f t="shared" si="1"/>
        <v>0.97276239741993176</v>
      </c>
      <c r="AN22">
        <v>6.1407999999999997E-2</v>
      </c>
      <c r="AO22">
        <v>6.1760000000000002E-2</v>
      </c>
      <c r="AP22" s="4">
        <f t="shared" si="9"/>
        <v>1.0057321521625848</v>
      </c>
      <c r="AR22" s="4">
        <f t="shared" si="10"/>
        <v>0.98604591755276694</v>
      </c>
    </row>
    <row r="23" spans="2:44" x14ac:dyDescent="0.25">
      <c r="B23">
        <v>16</v>
      </c>
      <c r="C23">
        <v>576</v>
      </c>
      <c r="D23">
        <v>128</v>
      </c>
      <c r="E23">
        <v>8</v>
      </c>
      <c r="F23">
        <v>1</v>
      </c>
      <c r="G23">
        <v>0.179978</v>
      </c>
      <c r="H23">
        <v>7.9014000000000001E-2</v>
      </c>
      <c r="I23">
        <v>8.1763000000000002E-2</v>
      </c>
      <c r="J23" s="4">
        <f t="shared" si="2"/>
        <v>1.0347913028070974</v>
      </c>
      <c r="L23" s="4">
        <v>0.47155207858738291</v>
      </c>
      <c r="M23" s="4"/>
      <c r="N23">
        <v>7.2914999999999994E-2</v>
      </c>
      <c r="O23">
        <v>7.5125999999999998E-2</v>
      </c>
      <c r="P23" s="4">
        <f t="shared" si="3"/>
        <v>0.92281114739160142</v>
      </c>
      <c r="Q23" s="4">
        <f t="shared" si="11"/>
        <v>0.91882636400327777</v>
      </c>
      <c r="R23">
        <v>7.6480000000000006E-2</v>
      </c>
      <c r="S23">
        <v>7.9231999999999997E-2</v>
      </c>
      <c r="T23" s="4">
        <f t="shared" si="5"/>
        <v>1.0359832635983262</v>
      </c>
      <c r="V23">
        <v>16</v>
      </c>
      <c r="W23">
        <v>128</v>
      </c>
      <c r="X23">
        <v>128</v>
      </c>
      <c r="Y23">
        <v>8</v>
      </c>
      <c r="Z23">
        <v>1</v>
      </c>
      <c r="AA23">
        <v>9.2587000000000003E-2</v>
      </c>
      <c r="AB23">
        <v>6.2019999999999999E-2</v>
      </c>
      <c r="AC23">
        <v>6.2658000000000005E-2</v>
      </c>
      <c r="AD23" s="4">
        <f t="shared" si="6"/>
        <v>1.0102870041921961</v>
      </c>
      <c r="AF23" s="5">
        <f t="shared" si="7"/>
        <v>0.66985645933014348</v>
      </c>
      <c r="AG23" s="5">
        <f t="shared" si="8"/>
        <v>0.67674727553544234</v>
      </c>
      <c r="AI23">
        <v>6.1421000000000003E-2</v>
      </c>
      <c r="AJ23">
        <v>6.1068999999999998E-2</v>
      </c>
      <c r="AK23" s="4">
        <f t="shared" si="0"/>
        <v>0.99034182521767178</v>
      </c>
      <c r="AL23" s="4">
        <f t="shared" si="1"/>
        <v>0.97464010980241933</v>
      </c>
      <c r="AN23">
        <v>6.2047999999999999E-2</v>
      </c>
      <c r="AO23">
        <v>6.2016000000000002E-2</v>
      </c>
      <c r="AP23" s="4">
        <f t="shared" si="9"/>
        <v>0.99948427024239306</v>
      </c>
      <c r="AR23" s="4">
        <f t="shared" si="10"/>
        <v>0.9897539021354016</v>
      </c>
    </row>
    <row r="24" spans="2:44" x14ac:dyDescent="0.25">
      <c r="B24">
        <v>32</v>
      </c>
      <c r="C24">
        <v>576</v>
      </c>
      <c r="D24">
        <v>128</v>
      </c>
      <c r="E24">
        <v>8</v>
      </c>
      <c r="F24">
        <v>1</v>
      </c>
      <c r="G24">
        <v>0.32668000000000003</v>
      </c>
      <c r="H24">
        <v>9.0159000000000003E-2</v>
      </c>
      <c r="I24">
        <v>0.10749300000000001</v>
      </c>
      <c r="J24" s="4">
        <f t="shared" si="2"/>
        <v>1.1922603400658836</v>
      </c>
      <c r="L24" s="4">
        <v>0.28924635729153914</v>
      </c>
      <c r="M24" s="4"/>
      <c r="N24">
        <v>8.0609E-2</v>
      </c>
      <c r="O24">
        <v>9.2633999999999994E-2</v>
      </c>
      <c r="P24" s="4">
        <f t="shared" si="3"/>
        <v>0.89407602125134478</v>
      </c>
      <c r="Q24" s="4">
        <f t="shared" si="11"/>
        <v>0.86176774301582415</v>
      </c>
      <c r="R24">
        <v>9.1679999999999998E-2</v>
      </c>
      <c r="S24">
        <v>9.5103999999999994E-2</v>
      </c>
      <c r="T24" s="4">
        <f t="shared" si="5"/>
        <v>1.037347294938918</v>
      </c>
      <c r="V24">
        <v>32</v>
      </c>
      <c r="W24">
        <v>128</v>
      </c>
      <c r="X24">
        <v>128</v>
      </c>
      <c r="Y24">
        <v>8</v>
      </c>
      <c r="Z24">
        <v>1</v>
      </c>
      <c r="AA24">
        <v>0.123296</v>
      </c>
      <c r="AB24">
        <v>6.8636000000000003E-2</v>
      </c>
      <c r="AC24">
        <v>7.2549000000000002E-2</v>
      </c>
      <c r="AD24" s="4">
        <f t="shared" si="6"/>
        <v>1.0570108980709831</v>
      </c>
      <c r="AF24" s="5">
        <f t="shared" si="7"/>
        <v>0.55667661562418891</v>
      </c>
      <c r="AG24" s="5">
        <f t="shared" si="8"/>
        <v>0.58841324941603945</v>
      </c>
      <c r="AI24">
        <v>6.7696999999999993E-2</v>
      </c>
      <c r="AJ24">
        <v>6.9433999999999996E-2</v>
      </c>
      <c r="AK24" s="4">
        <f t="shared" si="0"/>
        <v>0.98631913281659755</v>
      </c>
      <c r="AL24" s="4">
        <f t="shared" si="1"/>
        <v>0.95706350190905443</v>
      </c>
      <c r="AN24">
        <v>7.0431999999999995E-2</v>
      </c>
      <c r="AO24">
        <v>6.9952E-2</v>
      </c>
      <c r="AP24" s="4">
        <f t="shared" si="9"/>
        <v>0.99318491594729674</v>
      </c>
      <c r="AR24" s="4">
        <f t="shared" si="10"/>
        <v>0.96420350383878484</v>
      </c>
    </row>
    <row r="25" spans="2:44" x14ac:dyDescent="0.25">
      <c r="B25">
        <v>64</v>
      </c>
      <c r="C25">
        <v>576</v>
      </c>
      <c r="D25">
        <v>128</v>
      </c>
      <c r="E25">
        <v>8</v>
      </c>
      <c r="F25">
        <v>1</v>
      </c>
      <c r="G25">
        <v>0.55127300000000001</v>
      </c>
      <c r="H25">
        <v>0.123667</v>
      </c>
      <c r="I25">
        <v>0.153947</v>
      </c>
      <c r="J25" s="4">
        <f t="shared" si="2"/>
        <v>1.244851092045574</v>
      </c>
      <c r="L25" s="4">
        <v>0.24652395455609108</v>
      </c>
      <c r="M25" s="4"/>
      <c r="N25">
        <v>0.106478</v>
      </c>
      <c r="O25">
        <v>0.12978300000000001</v>
      </c>
      <c r="P25" s="4">
        <f t="shared" si="3"/>
        <v>0.86100576548311192</v>
      </c>
      <c r="Q25" s="4">
        <f t="shared" si="11"/>
        <v>0.84303688931905141</v>
      </c>
      <c r="R25">
        <v>0.12518399999999999</v>
      </c>
      <c r="S25">
        <v>0.12998399999999999</v>
      </c>
      <c r="T25" s="4">
        <f t="shared" si="5"/>
        <v>1.0383435582822085</v>
      </c>
      <c r="V25">
        <v>64</v>
      </c>
      <c r="W25">
        <v>128</v>
      </c>
      <c r="X25">
        <v>128</v>
      </c>
      <c r="Y25">
        <v>8</v>
      </c>
      <c r="Z25">
        <v>1</v>
      </c>
      <c r="AA25">
        <v>0.196959</v>
      </c>
      <c r="AB25">
        <v>8.2680000000000003E-2</v>
      </c>
      <c r="AC25">
        <v>9.0193999999999996E-2</v>
      </c>
      <c r="AD25" s="4">
        <f t="shared" si="6"/>
        <v>1.090880503144654</v>
      </c>
      <c r="AF25" s="5">
        <f t="shared" si="7"/>
        <v>0.41978279743499919</v>
      </c>
      <c r="AG25" s="5">
        <f t="shared" si="8"/>
        <v>0.45793286927736226</v>
      </c>
      <c r="AI25">
        <v>7.8780000000000003E-2</v>
      </c>
      <c r="AJ25">
        <v>8.5581000000000004E-2</v>
      </c>
      <c r="AK25" s="4">
        <f t="shared" si="0"/>
        <v>0.95283018867924529</v>
      </c>
      <c r="AL25" s="4">
        <f t="shared" si="1"/>
        <v>0.94885469099940134</v>
      </c>
      <c r="AN25">
        <v>8.7136000000000005E-2</v>
      </c>
      <c r="AO25">
        <v>8.6655999999999997E-2</v>
      </c>
      <c r="AP25" s="4">
        <f t="shared" si="9"/>
        <v>0.99449136981270647</v>
      </c>
      <c r="AR25" s="4">
        <f t="shared" si="10"/>
        <v>0.96077344390979447</v>
      </c>
    </row>
    <row r="26" spans="2:44" x14ac:dyDescent="0.25">
      <c r="B26">
        <v>128</v>
      </c>
      <c r="C26">
        <v>576</v>
      </c>
      <c r="D26">
        <v>128</v>
      </c>
      <c r="E26">
        <v>8</v>
      </c>
      <c r="F26">
        <v>1</v>
      </c>
      <c r="G26">
        <v>1.071428</v>
      </c>
      <c r="H26">
        <v>0.19303899999999999</v>
      </c>
      <c r="I26">
        <v>0.24130599999999999</v>
      </c>
      <c r="J26" s="4">
        <f t="shared" si="2"/>
        <v>1.2500375571775653</v>
      </c>
      <c r="L26" s="4">
        <v>0.20881757803604159</v>
      </c>
      <c r="M26" s="4"/>
      <c r="N26">
        <v>0.172653</v>
      </c>
      <c r="O26">
        <v>0.21135999999999999</v>
      </c>
      <c r="P26" s="4">
        <f t="shared" si="3"/>
        <v>0.89439439698713741</v>
      </c>
      <c r="Q26" s="4">
        <f t="shared" si="11"/>
        <v>0.87590030915103645</v>
      </c>
      <c r="R26">
        <v>0.19673599999999999</v>
      </c>
      <c r="S26">
        <v>0.20032</v>
      </c>
      <c r="T26" s="4">
        <f t="shared" si="5"/>
        <v>1.0182173064411191</v>
      </c>
      <c r="V26">
        <v>128</v>
      </c>
      <c r="W26">
        <v>128</v>
      </c>
      <c r="X26">
        <v>128</v>
      </c>
      <c r="Y26">
        <v>8</v>
      </c>
      <c r="Z26">
        <v>1</v>
      </c>
      <c r="AA26">
        <v>0.32935799999999998</v>
      </c>
      <c r="AB26">
        <v>0.10267900000000001</v>
      </c>
      <c r="AC26">
        <v>0.12578300000000001</v>
      </c>
      <c r="AD26" s="4">
        <f t="shared" si="6"/>
        <v>1.2250119303849862</v>
      </c>
      <c r="AF26" s="5">
        <f t="shared" si="7"/>
        <v>0.31175499001086965</v>
      </c>
      <c r="AG26" s="5">
        <f t="shared" si="8"/>
        <v>0.38190358212036751</v>
      </c>
      <c r="AI26">
        <v>0.101607</v>
      </c>
      <c r="AJ26">
        <v>0.119155</v>
      </c>
      <c r="AK26" s="4">
        <f t="shared" si="0"/>
        <v>0.98955969575083513</v>
      </c>
      <c r="AL26" s="4">
        <f t="shared" si="1"/>
        <v>0.94730607474777984</v>
      </c>
      <c r="AN26">
        <v>0.122112</v>
      </c>
      <c r="AO26">
        <v>0.119296</v>
      </c>
      <c r="AP26" s="4">
        <f t="shared" si="9"/>
        <v>0.97693920335429774</v>
      </c>
      <c r="AR26" s="4">
        <f t="shared" si="10"/>
        <v>0.94842705294038143</v>
      </c>
    </row>
    <row r="27" spans="2:44" x14ac:dyDescent="0.25">
      <c r="B27">
        <v>256</v>
      </c>
      <c r="C27">
        <v>576</v>
      </c>
      <c r="D27">
        <v>128</v>
      </c>
      <c r="E27">
        <v>8</v>
      </c>
      <c r="F27">
        <v>1</v>
      </c>
      <c r="H27">
        <v>0.33383400000000002</v>
      </c>
      <c r="I27">
        <v>0.42534</v>
      </c>
      <c r="J27" s="4">
        <f t="shared" si="2"/>
        <v>1.2741062923488919</v>
      </c>
      <c r="L27" s="4"/>
      <c r="M27" s="4"/>
      <c r="N27">
        <v>0.29799799999999999</v>
      </c>
      <c r="O27">
        <v>0.381021</v>
      </c>
      <c r="P27" s="4">
        <f t="shared" si="3"/>
        <v>0.89265323484126835</v>
      </c>
      <c r="Q27" s="4">
        <f t="shared" si="11"/>
        <v>0.89580335731414873</v>
      </c>
      <c r="R27">
        <v>0.35497600000000001</v>
      </c>
      <c r="S27">
        <v>0.353024</v>
      </c>
      <c r="T27" s="4">
        <f t="shared" si="5"/>
        <v>0.99450103668980439</v>
      </c>
      <c r="V27">
        <v>256</v>
      </c>
      <c r="W27">
        <v>128</v>
      </c>
      <c r="X27">
        <v>128</v>
      </c>
      <c r="Y27">
        <v>8</v>
      </c>
      <c r="Z27">
        <v>1</v>
      </c>
      <c r="AA27">
        <v>0.60354300000000005</v>
      </c>
      <c r="AB27">
        <v>0.14857000000000001</v>
      </c>
      <c r="AC27">
        <v>0.193415</v>
      </c>
      <c r="AD27" s="4">
        <f t="shared" si="6"/>
        <v>1.3018442485023893</v>
      </c>
      <c r="AF27" s="5">
        <f t="shared" si="7"/>
        <v>0.24616307371637147</v>
      </c>
      <c r="AG27" s="5">
        <f t="shared" si="8"/>
        <v>0.3204659817113279</v>
      </c>
      <c r="AI27">
        <v>0.14691499999999999</v>
      </c>
      <c r="AJ27">
        <v>0.1832</v>
      </c>
      <c r="AK27" s="4">
        <f t="shared" si="0"/>
        <v>0.98886046981220965</v>
      </c>
      <c r="AL27" s="4">
        <f t="shared" si="1"/>
        <v>0.94718610242225265</v>
      </c>
      <c r="AN27">
        <v>0.19097600000000001</v>
      </c>
      <c r="AO27">
        <v>0.18726400000000001</v>
      </c>
      <c r="AP27" s="4">
        <f t="shared" si="9"/>
        <v>0.98056300268096519</v>
      </c>
      <c r="AR27" s="4">
        <f t="shared" si="10"/>
        <v>0.96819791639738395</v>
      </c>
    </row>
    <row r="28" spans="2:44" x14ac:dyDescent="0.25">
      <c r="B28">
        <v>512</v>
      </c>
      <c r="C28">
        <v>576</v>
      </c>
      <c r="D28">
        <v>128</v>
      </c>
      <c r="E28">
        <v>8</v>
      </c>
      <c r="F28">
        <v>1</v>
      </c>
      <c r="H28">
        <v>0.66549400000000003</v>
      </c>
      <c r="I28">
        <v>0.82354300000000003</v>
      </c>
      <c r="J28" s="4">
        <f t="shared" si="2"/>
        <v>1.2374912471036552</v>
      </c>
      <c r="L28" s="4"/>
      <c r="M28" s="4"/>
      <c r="N28">
        <v>0.66043700000000005</v>
      </c>
      <c r="O28">
        <v>0.78550699999999996</v>
      </c>
      <c r="P28" s="4">
        <f t="shared" si="3"/>
        <v>0.99240113359399185</v>
      </c>
      <c r="Q28" s="4">
        <f t="shared" si="11"/>
        <v>0.95381419063728301</v>
      </c>
      <c r="R28">
        <v>0.68179199999999995</v>
      </c>
      <c r="S28">
        <v>0.69113599999999997</v>
      </c>
      <c r="T28" s="4">
        <f t="shared" si="5"/>
        <v>1.0137050596076222</v>
      </c>
      <c r="V28">
        <v>512</v>
      </c>
      <c r="W28">
        <v>128</v>
      </c>
      <c r="X28">
        <v>128</v>
      </c>
      <c r="Y28">
        <v>8</v>
      </c>
      <c r="Z28">
        <v>1</v>
      </c>
      <c r="AA28">
        <v>1.15743</v>
      </c>
      <c r="AB28">
        <v>0.243006</v>
      </c>
      <c r="AC28">
        <v>0.33340399999999998</v>
      </c>
      <c r="AD28" s="4">
        <f t="shared" si="6"/>
        <v>1.3719990452910626</v>
      </c>
      <c r="AF28" s="5">
        <f t="shared" si="7"/>
        <v>0.20995308571576685</v>
      </c>
      <c r="AG28" s="5">
        <f t="shared" si="8"/>
        <v>0.28805543315794474</v>
      </c>
      <c r="AI28">
        <v>0.23877599999999999</v>
      </c>
      <c r="AJ28">
        <v>0.311751</v>
      </c>
      <c r="AK28" s="4">
        <f t="shared" si="0"/>
        <v>0.98259302239450874</v>
      </c>
      <c r="AL28" s="4">
        <f t="shared" si="1"/>
        <v>0.93505476838910162</v>
      </c>
      <c r="AN28">
        <v>0.32934400000000003</v>
      </c>
      <c r="AO28">
        <v>0.326208</v>
      </c>
      <c r="AP28" s="4">
        <f t="shared" si="9"/>
        <v>0.99047804119704619</v>
      </c>
      <c r="AR28" s="4">
        <f t="shared" si="10"/>
        <v>0.97841657568595464</v>
      </c>
    </row>
    <row r="29" spans="2:44" x14ac:dyDescent="0.25">
      <c r="B29">
        <v>1</v>
      </c>
      <c r="C29">
        <v>576</v>
      </c>
      <c r="D29">
        <v>256</v>
      </c>
      <c r="E29">
        <v>8</v>
      </c>
      <c r="F29">
        <v>1</v>
      </c>
      <c r="G29">
        <v>8.1254999999999994E-2</v>
      </c>
      <c r="H29">
        <v>7.5996999999999995E-2</v>
      </c>
      <c r="I29">
        <v>7.7726000000000003E-2</v>
      </c>
      <c r="J29" s="4">
        <f t="shared" si="2"/>
        <v>1.0227508980617657</v>
      </c>
      <c r="L29" s="5">
        <v>0.93521629438188425</v>
      </c>
      <c r="M29" s="5"/>
      <c r="N29">
        <v>7.4311000000000002E-2</v>
      </c>
      <c r="O29">
        <v>7.4494000000000005E-2</v>
      </c>
      <c r="P29" s="4">
        <f t="shared" si="3"/>
        <v>0.97781491374659535</v>
      </c>
      <c r="Q29" s="4">
        <f t="shared" si="11"/>
        <v>0.95841803257597202</v>
      </c>
      <c r="R29">
        <v>7.9551999999999998E-2</v>
      </c>
      <c r="S29">
        <v>8.2559999999999995E-2</v>
      </c>
      <c r="T29" s="4">
        <f t="shared" si="5"/>
        <v>1.0378117457763476</v>
      </c>
      <c r="V29" s="8">
        <v>1</v>
      </c>
      <c r="W29" s="8">
        <v>128</v>
      </c>
      <c r="X29" s="8">
        <v>256</v>
      </c>
      <c r="Y29" s="8">
        <v>8</v>
      </c>
      <c r="Z29" s="8">
        <v>1</v>
      </c>
      <c r="AA29" s="8">
        <v>6.1987E-2</v>
      </c>
      <c r="AB29" s="8">
        <v>6.5279000000000004E-2</v>
      </c>
      <c r="AC29">
        <v>6.3228999999999994E-2</v>
      </c>
      <c r="AD29" s="4">
        <f t="shared" si="6"/>
        <v>0.96859633266440959</v>
      </c>
      <c r="AF29" s="5">
        <f t="shared" si="7"/>
        <v>1.0531079097230065</v>
      </c>
      <c r="AG29" s="5">
        <f t="shared" si="8"/>
        <v>1.0200364592575861</v>
      </c>
      <c r="AI29">
        <v>6.5044000000000005E-2</v>
      </c>
      <c r="AJ29">
        <v>6.1779000000000001E-2</v>
      </c>
      <c r="AK29" s="4">
        <f t="shared" si="0"/>
        <v>0.99640006740299336</v>
      </c>
      <c r="AL29" s="4">
        <f t="shared" si="1"/>
        <v>0.97706748485663231</v>
      </c>
      <c r="AN29">
        <v>6.3743999999999995E-2</v>
      </c>
      <c r="AO29">
        <v>6.3743999999999995E-2</v>
      </c>
      <c r="AP29" s="4">
        <f t="shared" si="9"/>
        <v>1</v>
      </c>
      <c r="AR29" s="4">
        <f t="shared" si="10"/>
        <v>1.0081449967578169</v>
      </c>
    </row>
    <row r="30" spans="2:44" x14ac:dyDescent="0.25">
      <c r="B30">
        <v>2</v>
      </c>
      <c r="C30">
        <v>576</v>
      </c>
      <c r="D30">
        <v>256</v>
      </c>
      <c r="E30">
        <v>8</v>
      </c>
      <c r="F30">
        <v>1</v>
      </c>
      <c r="G30">
        <v>8.7212999999999999E-2</v>
      </c>
      <c r="H30">
        <v>8.0895999999999996E-2</v>
      </c>
      <c r="I30">
        <v>8.2115999999999995E-2</v>
      </c>
      <c r="J30" s="4">
        <f t="shared" si="2"/>
        <v>1.0150810917721518</v>
      </c>
      <c r="L30" s="5">
        <v>0.92690309930858927</v>
      </c>
      <c r="M30" s="5"/>
      <c r="N30">
        <v>7.6033000000000003E-2</v>
      </c>
      <c r="O30">
        <v>7.6183000000000001E-2</v>
      </c>
      <c r="P30" s="4">
        <f t="shared" si="3"/>
        <v>0.939885779272152</v>
      </c>
      <c r="Q30" s="4">
        <f t="shared" si="11"/>
        <v>0.92774855083053254</v>
      </c>
      <c r="R30">
        <v>8.0703999999999998E-2</v>
      </c>
      <c r="S30">
        <v>8.3648E-2</v>
      </c>
      <c r="T30" s="4">
        <f t="shared" si="5"/>
        <v>1.0364789849325933</v>
      </c>
      <c r="V30" s="8">
        <v>2</v>
      </c>
      <c r="W30" s="8">
        <v>128</v>
      </c>
      <c r="X30" s="8">
        <v>256</v>
      </c>
      <c r="Y30" s="8">
        <v>8</v>
      </c>
      <c r="Z30" s="8">
        <v>1</v>
      </c>
      <c r="AA30" s="8">
        <v>6.3321000000000002E-2</v>
      </c>
      <c r="AB30" s="8">
        <v>6.5935999999999995E-2</v>
      </c>
      <c r="AC30">
        <v>6.4759999999999998E-2</v>
      </c>
      <c r="AD30" s="4">
        <f t="shared" si="6"/>
        <v>0.98216452317398695</v>
      </c>
      <c r="AF30" s="5">
        <f t="shared" si="7"/>
        <v>1.0412975158320303</v>
      </c>
      <c r="AG30" s="5">
        <f t="shared" si="8"/>
        <v>1.0227254781194233</v>
      </c>
      <c r="AI30">
        <v>6.5009999999999998E-2</v>
      </c>
      <c r="AJ30">
        <v>6.1977999999999998E-2</v>
      </c>
      <c r="AK30" s="4">
        <f t="shared" si="0"/>
        <v>0.98595607862169377</v>
      </c>
      <c r="AL30" s="4">
        <f t="shared" si="1"/>
        <v>0.95704138357010504</v>
      </c>
      <c r="AN30">
        <v>6.4032000000000006E-2</v>
      </c>
      <c r="AO30">
        <v>6.3936000000000007E-2</v>
      </c>
      <c r="AP30" s="4">
        <f t="shared" si="9"/>
        <v>0.99850074962518742</v>
      </c>
      <c r="AR30" s="4">
        <f t="shared" si="10"/>
        <v>0.98727609635577529</v>
      </c>
    </row>
    <row r="31" spans="2:44" x14ac:dyDescent="0.25">
      <c r="B31">
        <v>4</v>
      </c>
      <c r="C31">
        <v>576</v>
      </c>
      <c r="D31">
        <v>256</v>
      </c>
      <c r="E31">
        <v>8</v>
      </c>
      <c r="F31">
        <v>1</v>
      </c>
      <c r="G31">
        <v>0.106501</v>
      </c>
      <c r="H31">
        <v>8.0767000000000005E-2</v>
      </c>
      <c r="I31">
        <v>8.2560999999999996E-2</v>
      </c>
      <c r="J31" s="4">
        <f t="shared" si="2"/>
        <v>1.0222120420468754</v>
      </c>
      <c r="L31" s="5">
        <v>0.76049051182617999</v>
      </c>
      <c r="M31" s="5"/>
      <c r="N31">
        <v>7.9105999999999996E-2</v>
      </c>
      <c r="O31">
        <v>8.0185999999999993E-2</v>
      </c>
      <c r="P31" s="4">
        <f t="shared" si="3"/>
        <v>0.97943467010041219</v>
      </c>
      <c r="Q31" s="4">
        <f t="shared" si="11"/>
        <v>0.9712333910684221</v>
      </c>
      <c r="R31">
        <v>8.3584000000000006E-2</v>
      </c>
      <c r="S31">
        <v>8.3968000000000001E-2</v>
      </c>
      <c r="T31" s="4">
        <f t="shared" si="5"/>
        <v>1.004594180704441</v>
      </c>
      <c r="V31">
        <v>4</v>
      </c>
      <c r="W31">
        <v>128</v>
      </c>
      <c r="X31">
        <v>256</v>
      </c>
      <c r="Y31">
        <v>8</v>
      </c>
      <c r="Z31">
        <v>1</v>
      </c>
      <c r="AA31">
        <v>6.9058999999999995E-2</v>
      </c>
      <c r="AB31">
        <v>6.5768999999999994E-2</v>
      </c>
      <c r="AC31">
        <v>6.4320000000000002E-2</v>
      </c>
      <c r="AD31" s="4">
        <f t="shared" si="6"/>
        <v>0.97796834374857466</v>
      </c>
      <c r="AF31" s="5">
        <f t="shared" si="7"/>
        <v>0.95235957659392689</v>
      </c>
      <c r="AG31" s="5">
        <f t="shared" si="8"/>
        <v>0.93137751777465649</v>
      </c>
      <c r="AI31">
        <v>6.5937999999999997E-2</v>
      </c>
      <c r="AJ31">
        <v>6.3289999999999999E-2</v>
      </c>
      <c r="AK31" s="4">
        <f t="shared" si="0"/>
        <v>1.0025695996594139</v>
      </c>
      <c r="AL31" s="4">
        <f t="shared" si="1"/>
        <v>0.98398631840796014</v>
      </c>
      <c r="AN31">
        <v>0.51151999999999997</v>
      </c>
      <c r="AO31">
        <v>6.4000000000000001E-2</v>
      </c>
      <c r="AP31" s="4">
        <f t="shared" si="9"/>
        <v>0.12511729746637473</v>
      </c>
      <c r="AR31" s="4">
        <f t="shared" si="10"/>
        <v>0.99502487562189057</v>
      </c>
    </row>
    <row r="32" spans="2:44" x14ac:dyDescent="0.25">
      <c r="B32">
        <v>8</v>
      </c>
      <c r="C32">
        <v>576</v>
      </c>
      <c r="D32">
        <v>256</v>
      </c>
      <c r="E32">
        <v>8</v>
      </c>
      <c r="F32">
        <v>1</v>
      </c>
      <c r="G32">
        <v>0.16566600000000001</v>
      </c>
      <c r="H32">
        <v>8.7615999999999999E-2</v>
      </c>
      <c r="I32">
        <v>8.9078000000000004E-2</v>
      </c>
      <c r="J32" s="4">
        <f t="shared" si="2"/>
        <v>1.0166864499634771</v>
      </c>
      <c r="L32" s="4">
        <v>0.58210495816884578</v>
      </c>
      <c r="M32" s="4"/>
      <c r="N32">
        <v>7.9844999999999999E-2</v>
      </c>
      <c r="O32">
        <v>8.0278000000000002E-2</v>
      </c>
      <c r="P32" s="4">
        <f t="shared" si="3"/>
        <v>0.91130615412710003</v>
      </c>
      <c r="Q32" s="4">
        <f t="shared" si="11"/>
        <v>0.9012101753519387</v>
      </c>
      <c r="R32">
        <v>8.2944000000000004E-2</v>
      </c>
      <c r="S32">
        <v>8.6272000000000001E-2</v>
      </c>
      <c r="T32" s="4">
        <f t="shared" si="5"/>
        <v>1.0401234567901234</v>
      </c>
      <c r="V32">
        <v>8</v>
      </c>
      <c r="W32">
        <v>128</v>
      </c>
      <c r="X32">
        <v>256</v>
      </c>
      <c r="Y32">
        <v>8</v>
      </c>
      <c r="Z32">
        <v>1</v>
      </c>
      <c r="AA32">
        <v>8.2516999999999993E-2</v>
      </c>
      <c r="AB32">
        <v>6.7302000000000001E-2</v>
      </c>
      <c r="AC32">
        <v>6.5947000000000006E-2</v>
      </c>
      <c r="AD32" s="4">
        <f t="shared" si="6"/>
        <v>0.97986686874089934</v>
      </c>
      <c r="AF32" s="5">
        <f t="shared" si="7"/>
        <v>0.81561375231770428</v>
      </c>
      <c r="AG32" s="5">
        <f t="shared" si="8"/>
        <v>0.79919289358556433</v>
      </c>
      <c r="AI32">
        <v>6.6311999999999996E-2</v>
      </c>
      <c r="AJ32">
        <v>6.3397999999999996E-2</v>
      </c>
      <c r="AK32" s="4">
        <f t="shared" si="0"/>
        <v>0.98529018454132111</v>
      </c>
      <c r="AL32" s="4">
        <f t="shared" si="1"/>
        <v>0.96134774894991415</v>
      </c>
      <c r="AN32">
        <v>6.5056000000000003E-2</v>
      </c>
      <c r="AO32">
        <v>6.4575999999999995E-2</v>
      </c>
      <c r="AP32" s="4">
        <f t="shared" si="9"/>
        <v>0.99262174126906033</v>
      </c>
      <c r="AR32" s="4">
        <f t="shared" si="10"/>
        <v>0.97921057819157797</v>
      </c>
    </row>
    <row r="33" spans="2:44" x14ac:dyDescent="0.25">
      <c r="B33">
        <v>16</v>
      </c>
      <c r="C33">
        <v>576</v>
      </c>
      <c r="D33">
        <v>256</v>
      </c>
      <c r="E33">
        <v>8</v>
      </c>
      <c r="F33">
        <v>1</v>
      </c>
      <c r="G33">
        <v>0.254133</v>
      </c>
      <c r="H33">
        <v>9.4172000000000006E-2</v>
      </c>
      <c r="I33">
        <v>9.4187000000000007E-2</v>
      </c>
      <c r="J33" s="4">
        <f t="shared" si="2"/>
        <v>1.0001592830140593</v>
      </c>
      <c r="L33" s="4">
        <v>0.38124131852219112</v>
      </c>
      <c r="M33" s="4"/>
      <c r="N33">
        <v>8.0807000000000004E-2</v>
      </c>
      <c r="O33">
        <v>8.0502000000000004E-2</v>
      </c>
      <c r="P33" s="4">
        <f t="shared" si="3"/>
        <v>0.85807883447309174</v>
      </c>
      <c r="Q33" s="4">
        <f t="shared" si="11"/>
        <v>0.85470394003418726</v>
      </c>
      <c r="R33">
        <v>8.3968000000000001E-2</v>
      </c>
      <c r="S33">
        <v>9.0048000000000003E-2</v>
      </c>
      <c r="T33" s="4">
        <f t="shared" si="5"/>
        <v>1.0724085365853659</v>
      </c>
      <c r="V33">
        <v>16</v>
      </c>
      <c r="W33">
        <v>128</v>
      </c>
      <c r="X33">
        <v>256</v>
      </c>
      <c r="Y33">
        <v>8</v>
      </c>
      <c r="Z33">
        <v>1</v>
      </c>
      <c r="AA33">
        <v>0.11160399999999999</v>
      </c>
      <c r="AB33">
        <v>6.8060999999999997E-2</v>
      </c>
      <c r="AC33">
        <v>6.6416000000000003E-2</v>
      </c>
      <c r="AD33" s="4">
        <f t="shared" si="6"/>
        <v>0.97583050498817248</v>
      </c>
      <c r="AF33" s="5">
        <f t="shared" si="7"/>
        <v>0.60984373319952689</v>
      </c>
      <c r="AG33" s="5">
        <f t="shared" si="8"/>
        <v>0.59510411813196662</v>
      </c>
      <c r="AI33">
        <v>6.6808000000000006E-2</v>
      </c>
      <c r="AJ33">
        <v>6.3795000000000004E-2</v>
      </c>
      <c r="AK33" s="4">
        <f t="shared" si="0"/>
        <v>0.9815900442250336</v>
      </c>
      <c r="AL33" s="4">
        <f t="shared" si="1"/>
        <v>0.96053661768248622</v>
      </c>
      <c r="AN33">
        <v>6.7007999999999998E-2</v>
      </c>
      <c r="AO33">
        <v>6.5343999999999999E-2</v>
      </c>
      <c r="AP33" s="4">
        <f t="shared" si="9"/>
        <v>0.97516714422158546</v>
      </c>
      <c r="AR33" s="4">
        <f t="shared" si="10"/>
        <v>0.98385931100939528</v>
      </c>
    </row>
    <row r="34" spans="2:44" x14ac:dyDescent="0.25">
      <c r="B34">
        <v>32</v>
      </c>
      <c r="C34">
        <v>576</v>
      </c>
      <c r="D34">
        <v>256</v>
      </c>
      <c r="E34">
        <v>8</v>
      </c>
      <c r="F34">
        <v>1</v>
      </c>
      <c r="G34">
        <v>0.47364000000000001</v>
      </c>
      <c r="H34">
        <v>0.11241</v>
      </c>
      <c r="I34">
        <v>0.12801599999999999</v>
      </c>
      <c r="J34" s="4">
        <f t="shared" si="2"/>
        <v>1.1388310648518816</v>
      </c>
      <c r="L34" s="4">
        <v>0.24008529684992821</v>
      </c>
      <c r="M34" s="4"/>
      <c r="N34">
        <v>9.4490000000000005E-2</v>
      </c>
      <c r="O34">
        <v>0.104307</v>
      </c>
      <c r="P34" s="4">
        <f t="shared" si="3"/>
        <v>0.84058357797348993</v>
      </c>
      <c r="Q34" s="4">
        <f t="shared" si="11"/>
        <v>0.81479658792650922</v>
      </c>
      <c r="R34">
        <v>0.105792</v>
      </c>
      <c r="S34">
        <v>0.111168</v>
      </c>
      <c r="T34" s="4">
        <f t="shared" si="5"/>
        <v>1.0508166969147006</v>
      </c>
      <c r="V34">
        <v>32</v>
      </c>
      <c r="W34">
        <v>128</v>
      </c>
      <c r="X34">
        <v>256</v>
      </c>
      <c r="Y34">
        <v>8</v>
      </c>
      <c r="Z34">
        <v>1</v>
      </c>
      <c r="AA34">
        <v>0.158161</v>
      </c>
      <c r="AB34">
        <v>7.6894000000000004E-2</v>
      </c>
      <c r="AC34">
        <v>7.9856999999999997E-2</v>
      </c>
      <c r="AD34" s="4">
        <f t="shared" si="6"/>
        <v>1.0385335656878298</v>
      </c>
      <c r="AF34" s="5">
        <f t="shared" si="7"/>
        <v>0.48617547941654393</v>
      </c>
      <c r="AG34" s="5">
        <f t="shared" si="8"/>
        <v>0.50490955418845351</v>
      </c>
      <c r="AI34">
        <v>7.5842999999999994E-2</v>
      </c>
      <c r="AJ34">
        <v>7.5417999999999999E-2</v>
      </c>
      <c r="AK34" s="4">
        <f t="shared" si="0"/>
        <v>0.98633183343303754</v>
      </c>
      <c r="AL34" s="4">
        <f t="shared" si="1"/>
        <v>0.94441313848504205</v>
      </c>
      <c r="AN34">
        <v>7.6064000000000007E-2</v>
      </c>
      <c r="AO34">
        <v>7.6095999999999997E-2</v>
      </c>
      <c r="AP34" s="4">
        <f t="shared" si="9"/>
        <v>1.0004206983592763</v>
      </c>
      <c r="AR34" s="4">
        <f t="shared" si="10"/>
        <v>0.95290331467498157</v>
      </c>
    </row>
    <row r="35" spans="2:44" x14ac:dyDescent="0.25">
      <c r="B35">
        <v>64</v>
      </c>
      <c r="C35">
        <v>576</v>
      </c>
      <c r="D35">
        <v>256</v>
      </c>
      <c r="E35">
        <v>8</v>
      </c>
      <c r="F35">
        <v>1</v>
      </c>
      <c r="G35">
        <v>0.92425599999999997</v>
      </c>
      <c r="H35">
        <v>0.16583800000000001</v>
      </c>
      <c r="I35">
        <v>0.19070300000000001</v>
      </c>
      <c r="J35" s="4">
        <f t="shared" si="2"/>
        <v>1.1499354792025953</v>
      </c>
      <c r="L35" s="4">
        <v>0.18485354706921028</v>
      </c>
      <c r="M35" s="4"/>
      <c r="N35">
        <v>0.14261499999999999</v>
      </c>
      <c r="O35">
        <v>0.15919</v>
      </c>
      <c r="P35" s="4">
        <f t="shared" si="3"/>
        <v>0.8599657497075458</v>
      </c>
      <c r="Q35" s="4">
        <f t="shared" si="11"/>
        <v>0.83475351724933533</v>
      </c>
      <c r="R35">
        <v>0.14508799999999999</v>
      </c>
      <c r="S35">
        <v>0.15027199999999999</v>
      </c>
      <c r="T35" s="4">
        <f t="shared" si="5"/>
        <v>1.0357300397000442</v>
      </c>
      <c r="V35">
        <v>64</v>
      </c>
      <c r="W35">
        <v>128</v>
      </c>
      <c r="X35">
        <v>256</v>
      </c>
      <c r="Y35">
        <v>8</v>
      </c>
      <c r="Z35">
        <v>1</v>
      </c>
      <c r="AA35">
        <v>0.27051999999999998</v>
      </c>
      <c r="AB35">
        <v>9.7001000000000004E-2</v>
      </c>
      <c r="AC35">
        <v>0.104116</v>
      </c>
      <c r="AD35" s="4">
        <f t="shared" si="6"/>
        <v>1.0733497592808321</v>
      </c>
      <c r="AF35" s="5">
        <f t="shared" si="7"/>
        <v>0.3585723791216916</v>
      </c>
      <c r="AG35" s="5">
        <f t="shared" si="8"/>
        <v>0.38487357681502293</v>
      </c>
      <c r="AI35">
        <v>9.5802999999999999E-2</v>
      </c>
      <c r="AJ35">
        <v>9.6076999999999996E-2</v>
      </c>
      <c r="AK35" s="4">
        <f t="shared" si="0"/>
        <v>0.98764961185967148</v>
      </c>
      <c r="AL35" s="4">
        <f t="shared" si="1"/>
        <v>0.92278804410465243</v>
      </c>
      <c r="AN35">
        <v>9.7152000000000002E-2</v>
      </c>
      <c r="AO35">
        <v>9.6640000000000004E-2</v>
      </c>
      <c r="AP35" s="4">
        <f t="shared" si="9"/>
        <v>0.9947299077733861</v>
      </c>
      <c r="AR35" s="4">
        <f t="shared" si="10"/>
        <v>0.9281954742786892</v>
      </c>
    </row>
    <row r="36" spans="2:44" x14ac:dyDescent="0.25">
      <c r="B36">
        <v>128</v>
      </c>
      <c r="C36">
        <v>576</v>
      </c>
      <c r="D36">
        <v>256</v>
      </c>
      <c r="E36">
        <v>8</v>
      </c>
      <c r="F36">
        <v>1</v>
      </c>
      <c r="G36">
        <v>1.7806280000000001</v>
      </c>
      <c r="H36">
        <v>0.28129900000000002</v>
      </c>
      <c r="I36">
        <v>0.31914300000000001</v>
      </c>
      <c r="J36" s="4">
        <f t="shared" si="2"/>
        <v>1.1345330058052108</v>
      </c>
      <c r="L36" s="4">
        <v>0.1715383561305337</v>
      </c>
      <c r="M36" s="4"/>
      <c r="N36">
        <v>0.210286</v>
      </c>
      <c r="O36">
        <v>0.24973100000000001</v>
      </c>
      <c r="P36" s="4">
        <f t="shared" si="3"/>
        <v>0.74755331515575951</v>
      </c>
      <c r="Q36" s="4">
        <f t="shared" si="11"/>
        <v>0.78250502126006216</v>
      </c>
      <c r="R36">
        <v>0.222688</v>
      </c>
      <c r="S36">
        <v>0.23391999999999999</v>
      </c>
      <c r="T36" s="4">
        <f t="shared" si="5"/>
        <v>1.0504382813622646</v>
      </c>
      <c r="V36">
        <v>128</v>
      </c>
      <c r="W36">
        <v>128</v>
      </c>
      <c r="X36">
        <v>256</v>
      </c>
      <c r="Y36">
        <v>8</v>
      </c>
      <c r="Z36">
        <v>1</v>
      </c>
      <c r="AA36">
        <v>0.46443200000000001</v>
      </c>
      <c r="AB36">
        <v>0.135659</v>
      </c>
      <c r="AC36">
        <v>0.151919</v>
      </c>
      <c r="AD36" s="4">
        <f t="shared" si="6"/>
        <v>1.1198593532312637</v>
      </c>
      <c r="AF36" s="5">
        <f t="shared" si="7"/>
        <v>0.29209658249216247</v>
      </c>
      <c r="AG36" s="5">
        <f t="shared" si="8"/>
        <v>0.32710708995073551</v>
      </c>
      <c r="AI36">
        <v>0.13374900000000001</v>
      </c>
      <c r="AJ36">
        <v>0.13722200000000001</v>
      </c>
      <c r="AK36" s="4">
        <f t="shared" si="0"/>
        <v>0.98592058027849239</v>
      </c>
      <c r="AL36" s="4">
        <f t="shared" si="1"/>
        <v>0.9032576570409232</v>
      </c>
      <c r="AN36">
        <v>0.140096</v>
      </c>
      <c r="AO36">
        <v>0.13817599999999999</v>
      </c>
      <c r="AP36" s="4">
        <f t="shared" si="9"/>
        <v>0.98629511192325259</v>
      </c>
      <c r="AR36" s="4">
        <f t="shared" si="10"/>
        <v>0.90953731922932612</v>
      </c>
    </row>
    <row r="37" spans="2:44" x14ac:dyDescent="0.25">
      <c r="B37">
        <v>256</v>
      </c>
      <c r="C37">
        <v>576</v>
      </c>
      <c r="D37">
        <v>256</v>
      </c>
      <c r="E37">
        <v>8</v>
      </c>
      <c r="F37">
        <v>1</v>
      </c>
      <c r="H37">
        <v>0.50956699999999999</v>
      </c>
      <c r="I37">
        <v>0.57167800000000002</v>
      </c>
      <c r="J37" s="4">
        <f t="shared" si="2"/>
        <v>1.121889761307149</v>
      </c>
      <c r="L37" s="4"/>
      <c r="M37" s="4"/>
      <c r="N37">
        <v>0.41196199999999999</v>
      </c>
      <c r="O37">
        <v>0.49751000000000001</v>
      </c>
      <c r="P37" s="4">
        <f t="shared" si="3"/>
        <v>0.80845502161639193</v>
      </c>
      <c r="Q37" s="4">
        <f t="shared" si="11"/>
        <v>0.87026263036184703</v>
      </c>
      <c r="R37">
        <v>0.39792</v>
      </c>
      <c r="S37">
        <v>0.42457600000000001</v>
      </c>
      <c r="T37" s="4">
        <f t="shared" si="5"/>
        <v>1.0669883393646964</v>
      </c>
      <c r="V37">
        <v>256</v>
      </c>
      <c r="W37">
        <v>128</v>
      </c>
      <c r="X37">
        <v>256</v>
      </c>
      <c r="Y37">
        <v>8</v>
      </c>
      <c r="Z37">
        <v>1</v>
      </c>
      <c r="AA37">
        <v>0.90264900000000003</v>
      </c>
      <c r="AB37">
        <v>0.214535</v>
      </c>
      <c r="AC37">
        <v>0.24712700000000001</v>
      </c>
      <c r="AD37" s="4">
        <f t="shared" si="6"/>
        <v>1.1519192672524297</v>
      </c>
      <c r="AF37" s="5">
        <f t="shared" si="7"/>
        <v>0.23767267232335049</v>
      </c>
      <c r="AG37" s="5">
        <f t="shared" si="8"/>
        <v>0.27377973054864074</v>
      </c>
      <c r="AI37">
        <v>0.209809</v>
      </c>
      <c r="AJ37">
        <v>0.21873300000000001</v>
      </c>
      <c r="AK37" s="4">
        <f t="shared" si="0"/>
        <v>0.97797096044934384</v>
      </c>
      <c r="AL37" s="4">
        <f t="shared" si="1"/>
        <v>0.8851036106940966</v>
      </c>
      <c r="AN37">
        <v>0.22473599999999999</v>
      </c>
      <c r="AO37">
        <v>0.22220799999999999</v>
      </c>
      <c r="AP37" s="4">
        <f t="shared" si="9"/>
        <v>0.98875124590630781</v>
      </c>
      <c r="AR37" s="4">
        <f t="shared" si="10"/>
        <v>0.89916520655371523</v>
      </c>
    </row>
    <row r="38" spans="2:44" x14ac:dyDescent="0.25">
      <c r="B38">
        <v>512</v>
      </c>
      <c r="C38">
        <v>576</v>
      </c>
      <c r="D38">
        <v>256</v>
      </c>
      <c r="E38">
        <v>8</v>
      </c>
      <c r="F38">
        <v>1</v>
      </c>
      <c r="H38">
        <v>0.98775599999999997</v>
      </c>
      <c r="I38">
        <v>1.104263</v>
      </c>
      <c r="J38" s="4">
        <f t="shared" si="2"/>
        <v>1.1179511944245339</v>
      </c>
      <c r="L38" s="4"/>
      <c r="M38" s="4"/>
      <c r="N38">
        <v>0.86927500000000002</v>
      </c>
      <c r="O38">
        <v>1.032619</v>
      </c>
      <c r="P38" s="4">
        <f t="shared" si="3"/>
        <v>0.8800503363178761</v>
      </c>
      <c r="Q38" s="4">
        <f t="shared" si="11"/>
        <v>0.93512052835239423</v>
      </c>
      <c r="R38">
        <v>0.75235200000000002</v>
      </c>
      <c r="S38">
        <v>0.84992000000000001</v>
      </c>
      <c r="T38" s="4">
        <f t="shared" si="5"/>
        <v>1.12968397771256</v>
      </c>
      <c r="V38">
        <v>512</v>
      </c>
      <c r="W38">
        <v>128</v>
      </c>
      <c r="X38">
        <v>256</v>
      </c>
      <c r="Y38">
        <v>8</v>
      </c>
      <c r="Z38">
        <v>1</v>
      </c>
      <c r="AA38">
        <v>1.822592</v>
      </c>
      <c r="AB38">
        <v>0.37137799999999999</v>
      </c>
      <c r="AC38">
        <v>0.44086399999999998</v>
      </c>
      <c r="AD38" s="4">
        <f t="shared" si="6"/>
        <v>1.1871031671235237</v>
      </c>
      <c r="AF38" s="5">
        <f t="shared" si="7"/>
        <v>0.20376365088840509</v>
      </c>
      <c r="AG38" s="5">
        <f t="shared" si="8"/>
        <v>0.24188847531427768</v>
      </c>
      <c r="AI38">
        <v>0.36178900000000003</v>
      </c>
      <c r="AJ38">
        <v>0.37873899999999999</v>
      </c>
      <c r="AK38" s="4">
        <f t="shared" si="0"/>
        <v>0.97417994603880698</v>
      </c>
      <c r="AL38" s="4">
        <f t="shared" si="1"/>
        <v>0.85908352689264722</v>
      </c>
      <c r="AN38">
        <v>0.39948800000000001</v>
      </c>
      <c r="AO38">
        <v>0.39001599999999997</v>
      </c>
      <c r="AP38" s="4">
        <f t="shared" si="9"/>
        <v>0.9762896507529637</v>
      </c>
      <c r="AR38" s="4">
        <f t="shared" si="10"/>
        <v>0.88466284387021843</v>
      </c>
    </row>
    <row r="39" spans="2:44" x14ac:dyDescent="0.25">
      <c r="B39">
        <v>1</v>
      </c>
      <c r="C39">
        <v>576</v>
      </c>
      <c r="D39">
        <v>512</v>
      </c>
      <c r="E39">
        <v>8</v>
      </c>
      <c r="F39">
        <v>1</v>
      </c>
      <c r="G39">
        <v>0.100799</v>
      </c>
      <c r="H39">
        <v>8.9270000000000002E-2</v>
      </c>
      <c r="I39">
        <v>8.6041999999999993E-2</v>
      </c>
      <c r="J39" s="4">
        <f t="shared" si="2"/>
        <v>0.96384003584630884</v>
      </c>
      <c r="L39" s="5">
        <v>0.88655641425014131</v>
      </c>
      <c r="M39" s="5"/>
      <c r="N39">
        <v>8.6870000000000003E-2</v>
      </c>
      <c r="O39">
        <v>8.2640000000000005E-2</v>
      </c>
      <c r="P39" s="4">
        <f t="shared" si="3"/>
        <v>0.9731152682872185</v>
      </c>
      <c r="Q39" s="4">
        <f t="shared" si="11"/>
        <v>0.96046117012621757</v>
      </c>
      <c r="R39">
        <v>9.4144000000000005E-2</v>
      </c>
      <c r="S39">
        <v>9.4144000000000005E-2</v>
      </c>
      <c r="T39" s="4">
        <f t="shared" si="5"/>
        <v>1</v>
      </c>
      <c r="V39" s="8">
        <v>1</v>
      </c>
      <c r="W39" s="8">
        <v>128</v>
      </c>
      <c r="X39" s="8">
        <v>512</v>
      </c>
      <c r="Y39" s="8">
        <v>8</v>
      </c>
      <c r="Z39" s="8">
        <v>1</v>
      </c>
      <c r="AA39" s="8">
        <v>6.6258999999999998E-2</v>
      </c>
      <c r="AB39" s="8">
        <v>7.3385000000000006E-2</v>
      </c>
      <c r="AC39">
        <v>6.7854999999999999E-2</v>
      </c>
      <c r="AD39" s="4">
        <f t="shared" si="6"/>
        <v>0.92464400081760567</v>
      </c>
      <c r="AF39" s="5">
        <f t="shared" si="7"/>
        <v>1.1075476539036206</v>
      </c>
      <c r="AG39" s="5">
        <f t="shared" si="8"/>
        <v>1.0240872938015968</v>
      </c>
      <c r="AI39">
        <v>7.2916999999999996E-2</v>
      </c>
      <c r="AJ39">
        <v>6.6258999999999998E-2</v>
      </c>
      <c r="AK39" s="4">
        <f t="shared" si="0"/>
        <v>0.99362267493356937</v>
      </c>
      <c r="AL39" s="4">
        <f t="shared" si="1"/>
        <v>0.9764792572397023</v>
      </c>
      <c r="AN39">
        <v>6.9823999999999997E-2</v>
      </c>
      <c r="AO39">
        <v>6.9695999999999994E-2</v>
      </c>
      <c r="AP39" s="4">
        <f t="shared" si="9"/>
        <v>0.99816681943171393</v>
      </c>
      <c r="AR39" s="4">
        <f t="shared" si="10"/>
        <v>1.0271313830963082</v>
      </c>
    </row>
    <row r="40" spans="2:44" x14ac:dyDescent="0.25">
      <c r="B40">
        <v>2</v>
      </c>
      <c r="C40">
        <v>576</v>
      </c>
      <c r="D40">
        <v>512</v>
      </c>
      <c r="E40">
        <v>8</v>
      </c>
      <c r="F40">
        <v>1</v>
      </c>
      <c r="G40">
        <v>0.105113</v>
      </c>
      <c r="H40">
        <v>9.8359000000000002E-2</v>
      </c>
      <c r="I40">
        <v>9.622E-2</v>
      </c>
      <c r="J40" s="4">
        <f t="shared" si="2"/>
        <v>0.97825313392775448</v>
      </c>
      <c r="L40" s="5">
        <v>0.93666815712614049</v>
      </c>
      <c r="M40" s="5"/>
      <c r="N40">
        <v>8.9896000000000004E-2</v>
      </c>
      <c r="O40">
        <v>8.5476999999999997E-2</v>
      </c>
      <c r="P40" s="4">
        <f t="shared" si="3"/>
        <v>0.91395805162720245</v>
      </c>
      <c r="Q40" s="4">
        <f t="shared" si="11"/>
        <v>0.88834961546456037</v>
      </c>
      <c r="R40">
        <v>9.5967999999999998E-2</v>
      </c>
      <c r="S40">
        <v>9.6895999999999996E-2</v>
      </c>
      <c r="T40" s="4">
        <f t="shared" si="5"/>
        <v>1.0096698899633212</v>
      </c>
      <c r="V40" s="8">
        <v>2</v>
      </c>
      <c r="W40" s="8">
        <v>128</v>
      </c>
      <c r="X40" s="8">
        <v>512</v>
      </c>
      <c r="Y40" s="8">
        <v>8</v>
      </c>
      <c r="Z40" s="8">
        <v>1</v>
      </c>
      <c r="AA40" s="8">
        <v>6.6840999999999998E-2</v>
      </c>
      <c r="AB40" s="8">
        <v>7.5555999999999998E-2</v>
      </c>
      <c r="AC40">
        <v>7.0281999999999997E-2</v>
      </c>
      <c r="AD40" s="4">
        <f t="shared" si="6"/>
        <v>0.93019746942665038</v>
      </c>
      <c r="AF40" s="5">
        <f t="shared" si="7"/>
        <v>1.130384045720441</v>
      </c>
      <c r="AG40" s="5">
        <f t="shared" si="8"/>
        <v>1.0514803788094134</v>
      </c>
      <c r="AI40">
        <v>7.3316999999999993E-2</v>
      </c>
      <c r="AJ40">
        <v>6.6725999999999994E-2</v>
      </c>
      <c r="AK40" s="4">
        <f t="shared" si="0"/>
        <v>0.97036635078617173</v>
      </c>
      <c r="AL40" s="4">
        <f t="shared" si="1"/>
        <v>0.94940383028371411</v>
      </c>
      <c r="AN40">
        <v>6.9952E-2</v>
      </c>
      <c r="AO40">
        <v>7.0272000000000001E-2</v>
      </c>
      <c r="AP40" s="4">
        <f t="shared" si="9"/>
        <v>1.0045745654162854</v>
      </c>
      <c r="AR40" s="4">
        <f t="shared" si="10"/>
        <v>0.99985771605816576</v>
      </c>
    </row>
    <row r="41" spans="2:44" x14ac:dyDescent="0.25">
      <c r="B41">
        <v>4</v>
      </c>
      <c r="C41">
        <v>576</v>
      </c>
      <c r="D41">
        <v>512</v>
      </c>
      <c r="E41">
        <v>8</v>
      </c>
      <c r="F41">
        <v>1</v>
      </c>
      <c r="G41">
        <v>0.14982300000000001</v>
      </c>
      <c r="H41">
        <v>9.9526000000000003E-2</v>
      </c>
      <c r="I41">
        <v>9.7497E-2</v>
      </c>
      <c r="J41" s="4">
        <f t="shared" si="2"/>
        <v>0.97961336736129245</v>
      </c>
      <c r="L41" s="5">
        <v>0.6645641857391722</v>
      </c>
      <c r="M41" s="5"/>
      <c r="N41">
        <v>0.10116</v>
      </c>
      <c r="O41">
        <v>9.6542000000000003E-2</v>
      </c>
      <c r="P41" s="4">
        <f t="shared" si="3"/>
        <v>1.0164178204690231</v>
      </c>
      <c r="Q41" s="4">
        <f t="shared" si="11"/>
        <v>0.99020482681518407</v>
      </c>
      <c r="R41">
        <v>9.9807999999999994E-2</v>
      </c>
      <c r="S41">
        <v>9.7087999999999994E-2</v>
      </c>
      <c r="T41" s="4">
        <f t="shared" si="5"/>
        <v>0.97274767553703112</v>
      </c>
      <c r="V41">
        <v>4</v>
      </c>
      <c r="W41">
        <v>128</v>
      </c>
      <c r="X41">
        <v>512</v>
      </c>
      <c r="Y41">
        <v>8</v>
      </c>
      <c r="Z41">
        <v>1</v>
      </c>
      <c r="AA41">
        <v>7.7585000000000001E-2</v>
      </c>
      <c r="AB41">
        <v>7.5967000000000007E-2</v>
      </c>
      <c r="AC41">
        <v>7.0193000000000005E-2</v>
      </c>
      <c r="AD41" s="4">
        <f t="shared" si="6"/>
        <v>0.92399331288585829</v>
      </c>
      <c r="AF41" s="5">
        <f t="shared" si="7"/>
        <v>0.97914545337371917</v>
      </c>
      <c r="AG41" s="5">
        <f t="shared" si="8"/>
        <v>0.90472385125990851</v>
      </c>
      <c r="AI41">
        <v>7.5898999999999994E-2</v>
      </c>
      <c r="AJ41">
        <v>6.9440000000000002E-2</v>
      </c>
      <c r="AK41" s="4">
        <f t="shared" ref="AK41:AK72" si="12">AI41/AB41</f>
        <v>0.99910487448497354</v>
      </c>
      <c r="AL41" s="4">
        <f t="shared" ref="AL41:AL72" si="13">AJ41/AC41</f>
        <v>0.98927243457324798</v>
      </c>
      <c r="AN41">
        <v>7.1263999999999994E-2</v>
      </c>
      <c r="AO41">
        <v>7.0143999999999998E-2</v>
      </c>
      <c r="AP41" s="4">
        <f t="shared" si="9"/>
        <v>0.98428378985181864</v>
      </c>
      <c r="AR41" s="4">
        <f t="shared" si="10"/>
        <v>0.99930192469334533</v>
      </c>
    </row>
    <row r="42" spans="2:44" x14ac:dyDescent="0.25">
      <c r="B42">
        <v>8</v>
      </c>
      <c r="C42">
        <v>576</v>
      </c>
      <c r="D42">
        <v>512</v>
      </c>
      <c r="E42">
        <v>8</v>
      </c>
      <c r="F42">
        <v>1</v>
      </c>
      <c r="G42">
        <v>0.23983199999999999</v>
      </c>
      <c r="H42">
        <v>0.113815</v>
      </c>
      <c r="I42">
        <v>0.110871</v>
      </c>
      <c r="J42" s="4">
        <f t="shared" si="2"/>
        <v>0.97413346219742558</v>
      </c>
      <c r="L42" s="4">
        <v>0.48551486040228164</v>
      </c>
      <c r="M42" s="4"/>
      <c r="N42">
        <v>0.101158</v>
      </c>
      <c r="O42">
        <v>9.6701999999999996E-2</v>
      </c>
      <c r="P42" s="4">
        <f t="shared" ref="P42:P73" si="14">N42/H42</f>
        <v>0.88879321706277725</v>
      </c>
      <c r="Q42" s="4">
        <f t="shared" si="11"/>
        <v>0.87220283031631352</v>
      </c>
      <c r="R42">
        <v>0.10041600000000001</v>
      </c>
      <c r="S42">
        <v>0.101824</v>
      </c>
      <c r="T42" s="4">
        <f t="shared" si="5"/>
        <v>1.0140216698534097</v>
      </c>
      <c r="V42">
        <v>8</v>
      </c>
      <c r="W42">
        <v>128</v>
      </c>
      <c r="X42">
        <v>512</v>
      </c>
      <c r="Y42">
        <v>8</v>
      </c>
      <c r="Z42">
        <v>1</v>
      </c>
      <c r="AA42">
        <v>0.103612</v>
      </c>
      <c r="AB42">
        <v>7.8756999999999994E-2</v>
      </c>
      <c r="AC42">
        <v>7.3665999999999995E-2</v>
      </c>
      <c r="AD42" s="4">
        <f t="shared" si="6"/>
        <v>0.93535812689665687</v>
      </c>
      <c r="AF42" s="5">
        <f t="shared" si="7"/>
        <v>0.76011465853376059</v>
      </c>
      <c r="AG42" s="5">
        <f t="shared" si="8"/>
        <v>0.71097942323283014</v>
      </c>
      <c r="AI42">
        <v>7.6139999999999999E-2</v>
      </c>
      <c r="AJ42">
        <v>6.9453000000000001E-2</v>
      </c>
      <c r="AK42" s="4">
        <f t="shared" si="12"/>
        <v>0.96677120763868618</v>
      </c>
      <c r="AL42" s="4">
        <f t="shared" si="13"/>
        <v>0.94280943718947685</v>
      </c>
      <c r="AN42">
        <v>7.1199999999999999E-2</v>
      </c>
      <c r="AO42">
        <v>7.1295999999999998E-2</v>
      </c>
      <c r="AP42" s="4">
        <f t="shared" si="9"/>
        <v>1.0013483146067415</v>
      </c>
      <c r="AR42" s="4">
        <f t="shared" si="10"/>
        <v>0.96782776314717789</v>
      </c>
    </row>
    <row r="43" spans="2:44" x14ac:dyDescent="0.25">
      <c r="B43">
        <v>16</v>
      </c>
      <c r="C43">
        <v>576</v>
      </c>
      <c r="D43">
        <v>512</v>
      </c>
      <c r="E43">
        <v>8</v>
      </c>
      <c r="F43">
        <v>1</v>
      </c>
      <c r="G43">
        <v>0.42191800000000002</v>
      </c>
      <c r="H43">
        <v>0.124376</v>
      </c>
      <c r="I43">
        <v>0.12001000000000001</v>
      </c>
      <c r="J43" s="4">
        <f t="shared" si="2"/>
        <v>0.96489676464912844</v>
      </c>
      <c r="L43" s="4">
        <v>0.30516830284557667</v>
      </c>
      <c r="M43" s="4"/>
      <c r="N43">
        <v>0.101897</v>
      </c>
      <c r="O43">
        <v>9.5136999999999999E-2</v>
      </c>
      <c r="P43" s="4">
        <f t="shared" si="14"/>
        <v>0.8192657747475397</v>
      </c>
      <c r="Q43" s="4">
        <f t="shared" si="11"/>
        <v>0.79274227147737686</v>
      </c>
      <c r="R43">
        <v>0.10144</v>
      </c>
      <c r="S43">
        <v>0.10879999999999999</v>
      </c>
      <c r="T43" s="4">
        <f t="shared" si="5"/>
        <v>1.0725552050473186</v>
      </c>
      <c r="V43">
        <v>16</v>
      </c>
      <c r="W43">
        <v>128</v>
      </c>
      <c r="X43">
        <v>512</v>
      </c>
      <c r="Y43">
        <v>8</v>
      </c>
      <c r="Z43">
        <v>1</v>
      </c>
      <c r="AA43">
        <v>0.14591499999999999</v>
      </c>
      <c r="AB43">
        <v>7.9536999999999997E-2</v>
      </c>
      <c r="AC43">
        <v>7.4436000000000002E-2</v>
      </c>
      <c r="AD43" s="4">
        <f t="shared" si="6"/>
        <v>0.93586632636383071</v>
      </c>
      <c r="AF43" s="5">
        <f t="shared" si="7"/>
        <v>0.54509132028920948</v>
      </c>
      <c r="AG43" s="5">
        <f t="shared" si="8"/>
        <v>0.51013261145187272</v>
      </c>
      <c r="AI43">
        <v>7.6300000000000007E-2</v>
      </c>
      <c r="AJ43">
        <v>6.9760000000000003E-2</v>
      </c>
      <c r="AK43" s="4">
        <f t="shared" si="12"/>
        <v>0.95930196009404445</v>
      </c>
      <c r="AL43" s="4">
        <f t="shared" si="13"/>
        <v>0.93718093395668767</v>
      </c>
      <c r="AN43">
        <v>0.295072</v>
      </c>
      <c r="AO43">
        <v>7.2447999999999999E-2</v>
      </c>
      <c r="AP43" s="4">
        <f t="shared" si="9"/>
        <v>0.24552651556230343</v>
      </c>
      <c r="AR43" s="4">
        <f t="shared" si="10"/>
        <v>0.97329249287978925</v>
      </c>
    </row>
    <row r="44" spans="2:44" x14ac:dyDescent="0.25">
      <c r="B44">
        <v>32</v>
      </c>
      <c r="C44">
        <v>576</v>
      </c>
      <c r="D44">
        <v>512</v>
      </c>
      <c r="E44">
        <v>8</v>
      </c>
      <c r="F44">
        <v>1</v>
      </c>
      <c r="G44">
        <v>0.770984</v>
      </c>
      <c r="H44">
        <v>0.15919700000000001</v>
      </c>
      <c r="I44">
        <v>0.174875</v>
      </c>
      <c r="J44" s="4">
        <f t="shared" si="2"/>
        <v>1.0984817553094592</v>
      </c>
      <c r="L44" s="4">
        <v>0.21573988565262056</v>
      </c>
      <c r="M44" s="4"/>
      <c r="N44">
        <v>0.14108499999999999</v>
      </c>
      <c r="O44">
        <v>0.14346999999999999</v>
      </c>
      <c r="P44" s="4">
        <f t="shared" si="14"/>
        <v>0.88622901185323832</v>
      </c>
      <c r="Q44" s="4">
        <f t="shared" si="11"/>
        <v>0.82041458184417437</v>
      </c>
      <c r="R44">
        <v>0.13203200000000001</v>
      </c>
      <c r="S44">
        <v>0.13996800000000001</v>
      </c>
      <c r="T44" s="4">
        <f t="shared" si="5"/>
        <v>1.060106640814348</v>
      </c>
      <c r="V44">
        <v>32</v>
      </c>
      <c r="W44">
        <v>128</v>
      </c>
      <c r="X44">
        <v>512</v>
      </c>
      <c r="Y44">
        <v>8</v>
      </c>
      <c r="Z44">
        <v>1</v>
      </c>
      <c r="AA44">
        <v>0.22480800000000001</v>
      </c>
      <c r="AB44">
        <v>9.6170000000000005E-2</v>
      </c>
      <c r="AC44">
        <v>9.7199999999999995E-2</v>
      </c>
      <c r="AD44" s="4">
        <f t="shared" si="6"/>
        <v>1.0107102006862847</v>
      </c>
      <c r="AF44" s="5">
        <f t="shared" si="7"/>
        <v>0.42778726735703354</v>
      </c>
      <c r="AG44" s="5">
        <f t="shared" si="8"/>
        <v>0.4323689548414647</v>
      </c>
      <c r="AI44">
        <v>9.5001000000000002E-2</v>
      </c>
      <c r="AJ44">
        <v>8.8511999999999993E-2</v>
      </c>
      <c r="AK44" s="4">
        <f t="shared" si="12"/>
        <v>0.98784444213372147</v>
      </c>
      <c r="AL44" s="4">
        <f t="shared" si="13"/>
        <v>0.91061728395061725</v>
      </c>
      <c r="AN44">
        <v>8.7071999999999997E-2</v>
      </c>
      <c r="AO44">
        <v>8.7999999999999995E-2</v>
      </c>
      <c r="AP44" s="4">
        <f t="shared" si="9"/>
        <v>1.0106578463800073</v>
      </c>
      <c r="AR44" s="4">
        <f t="shared" si="10"/>
        <v>0.90534979423868311</v>
      </c>
    </row>
    <row r="45" spans="2:44" x14ac:dyDescent="0.25">
      <c r="B45">
        <v>64</v>
      </c>
      <c r="C45">
        <v>576</v>
      </c>
      <c r="D45">
        <v>512</v>
      </c>
      <c r="E45">
        <v>8</v>
      </c>
      <c r="F45">
        <v>1</v>
      </c>
      <c r="G45">
        <v>1.4782770000000001</v>
      </c>
      <c r="H45">
        <v>0.25500699999999998</v>
      </c>
      <c r="I45">
        <v>0.27660099999999999</v>
      </c>
      <c r="J45" s="4">
        <f t="shared" si="2"/>
        <v>1.0846800283913776</v>
      </c>
      <c r="L45" s="4">
        <v>0.19112994384678919</v>
      </c>
      <c r="M45" s="4"/>
      <c r="N45">
        <v>0.20156299999999999</v>
      </c>
      <c r="O45">
        <v>0.21299000000000001</v>
      </c>
      <c r="P45" s="4">
        <f t="shared" si="14"/>
        <v>0.79042143941146714</v>
      </c>
      <c r="Q45" s="4">
        <f t="shared" si="11"/>
        <v>0.77002613873413339</v>
      </c>
      <c r="R45">
        <v>0.18959999999999999</v>
      </c>
      <c r="S45">
        <v>0.20396800000000001</v>
      </c>
      <c r="T45" s="4">
        <f t="shared" si="5"/>
        <v>1.0757805907172997</v>
      </c>
      <c r="V45">
        <v>64</v>
      </c>
      <c r="W45">
        <v>128</v>
      </c>
      <c r="X45">
        <v>512</v>
      </c>
      <c r="Y45">
        <v>8</v>
      </c>
      <c r="Z45">
        <v>1</v>
      </c>
      <c r="AA45">
        <v>0.433085</v>
      </c>
      <c r="AB45">
        <v>0.13566500000000001</v>
      </c>
      <c r="AC45">
        <v>0.13470699999999999</v>
      </c>
      <c r="AD45" s="4">
        <f t="shared" si="6"/>
        <v>0.99293848818781549</v>
      </c>
      <c r="AF45" s="5">
        <f t="shared" si="7"/>
        <v>0.31325259475622569</v>
      </c>
      <c r="AG45" s="5">
        <f t="shared" si="8"/>
        <v>0.31104055785815715</v>
      </c>
      <c r="AI45">
        <v>0.130217</v>
      </c>
      <c r="AJ45">
        <v>0.121696</v>
      </c>
      <c r="AK45" s="4">
        <f t="shared" si="12"/>
        <v>0.95984225850440419</v>
      </c>
      <c r="AL45" s="4">
        <f t="shared" si="13"/>
        <v>0.90341259177325606</v>
      </c>
      <c r="AN45">
        <v>0.117184</v>
      </c>
      <c r="AO45">
        <v>0.117312</v>
      </c>
      <c r="AP45" s="4">
        <f t="shared" si="9"/>
        <v>1.0010922992900055</v>
      </c>
      <c r="AR45" s="4">
        <f t="shared" si="10"/>
        <v>0.87086788362891321</v>
      </c>
    </row>
    <row r="46" spans="2:44" x14ac:dyDescent="0.25">
      <c r="B46">
        <v>128</v>
      </c>
      <c r="C46">
        <v>576</v>
      </c>
      <c r="D46">
        <v>512</v>
      </c>
      <c r="E46">
        <v>8</v>
      </c>
      <c r="F46">
        <v>1</v>
      </c>
      <c r="G46">
        <v>2.8951009999999999</v>
      </c>
      <c r="H46">
        <v>0.45979900000000001</v>
      </c>
      <c r="I46">
        <v>0.488259</v>
      </c>
      <c r="J46" s="4">
        <f t="shared" si="2"/>
        <v>1.0618966113453923</v>
      </c>
      <c r="L46" s="4">
        <v>0.17100923249309782</v>
      </c>
      <c r="M46" s="4"/>
      <c r="N46">
        <v>0.324679</v>
      </c>
      <c r="O46">
        <v>0.352993</v>
      </c>
      <c r="P46" s="4">
        <f t="shared" si="14"/>
        <v>0.70613246222806048</v>
      </c>
      <c r="Q46" s="4">
        <f t="shared" si="11"/>
        <v>0.72296260796011957</v>
      </c>
      <c r="R46">
        <v>0.30825599999999997</v>
      </c>
      <c r="S46">
        <v>0.34144000000000002</v>
      </c>
      <c r="T46" s="4">
        <f t="shared" si="5"/>
        <v>1.1076507837641443</v>
      </c>
      <c r="V46">
        <v>128</v>
      </c>
      <c r="W46">
        <v>128</v>
      </c>
      <c r="X46">
        <v>512</v>
      </c>
      <c r="Y46">
        <v>8</v>
      </c>
      <c r="Z46">
        <v>1</v>
      </c>
      <c r="AA46">
        <v>0.75835399999999997</v>
      </c>
      <c r="AB46">
        <v>0.208178</v>
      </c>
      <c r="AC46">
        <v>0.212557</v>
      </c>
      <c r="AD46" s="4">
        <f t="shared" si="6"/>
        <v>1.0210348836092189</v>
      </c>
      <c r="AF46" s="5">
        <f t="shared" si="7"/>
        <v>0.27451295832816863</v>
      </c>
      <c r="AG46" s="5">
        <f t="shared" si="8"/>
        <v>0.28028730645582406</v>
      </c>
      <c r="AI46">
        <v>0.20120499999999999</v>
      </c>
      <c r="AJ46">
        <v>0.18859500000000001</v>
      </c>
      <c r="AK46" s="4">
        <f t="shared" si="12"/>
        <v>0.96650462584903296</v>
      </c>
      <c r="AL46" s="4">
        <f t="shared" si="13"/>
        <v>0.88726788579063509</v>
      </c>
      <c r="AN46">
        <v>0.17760000000000001</v>
      </c>
      <c r="AO46">
        <v>0.17868800000000001</v>
      </c>
      <c r="AP46" s="4">
        <f t="shared" si="9"/>
        <v>1.0061261261261261</v>
      </c>
      <c r="AR46" s="4">
        <f t="shared" si="10"/>
        <v>0.84065921141152733</v>
      </c>
    </row>
    <row r="47" spans="2:44" x14ac:dyDescent="0.25">
      <c r="B47">
        <v>256</v>
      </c>
      <c r="C47">
        <v>576</v>
      </c>
      <c r="D47">
        <v>512</v>
      </c>
      <c r="E47">
        <v>8</v>
      </c>
      <c r="F47">
        <v>1</v>
      </c>
      <c r="H47">
        <v>0.85981700000000005</v>
      </c>
      <c r="I47">
        <v>0.902756</v>
      </c>
      <c r="J47" s="4">
        <f t="shared" si="2"/>
        <v>1.0499396964702954</v>
      </c>
      <c r="L47" s="4"/>
      <c r="M47" s="4"/>
      <c r="N47">
        <v>0.70233100000000004</v>
      </c>
      <c r="O47">
        <v>0.73199899999999996</v>
      </c>
      <c r="P47" s="4">
        <f t="shared" si="14"/>
        <v>0.81683776896711746</v>
      </c>
      <c r="Q47" s="4">
        <f t="shared" si="11"/>
        <v>0.81084922171661</v>
      </c>
      <c r="R47">
        <v>0.57254400000000005</v>
      </c>
      <c r="S47">
        <v>0.619008</v>
      </c>
      <c r="T47" s="4">
        <f t="shared" si="5"/>
        <v>1.0811535881958416</v>
      </c>
      <c r="V47">
        <v>256</v>
      </c>
      <c r="W47">
        <v>128</v>
      </c>
      <c r="X47">
        <v>512</v>
      </c>
      <c r="Y47">
        <v>8</v>
      </c>
      <c r="Z47">
        <v>1</v>
      </c>
      <c r="AA47">
        <v>1.4954289999999999</v>
      </c>
      <c r="AB47">
        <v>0.35464699999999999</v>
      </c>
      <c r="AC47">
        <v>0.36369099999999999</v>
      </c>
      <c r="AD47" s="4">
        <f t="shared" si="6"/>
        <v>1.0255014140821719</v>
      </c>
      <c r="AF47" s="5">
        <f t="shared" si="7"/>
        <v>0.2371540206857029</v>
      </c>
      <c r="AG47" s="5">
        <f t="shared" si="8"/>
        <v>0.24320178356846098</v>
      </c>
      <c r="AI47">
        <v>0.33974399999999999</v>
      </c>
      <c r="AJ47">
        <v>0.30509399999999998</v>
      </c>
      <c r="AK47" s="4">
        <f t="shared" si="12"/>
        <v>0.95797793298688561</v>
      </c>
      <c r="AL47" s="4">
        <f t="shared" si="13"/>
        <v>0.83888245791069893</v>
      </c>
      <c r="AN47">
        <v>0.298848</v>
      </c>
      <c r="AO47">
        <v>0.30099199999999998</v>
      </c>
      <c r="AP47" s="4">
        <f t="shared" si="9"/>
        <v>1.0071742156547809</v>
      </c>
      <c r="AR47" s="4">
        <f t="shared" si="10"/>
        <v>0.82760365255120416</v>
      </c>
    </row>
    <row r="48" spans="2:44" x14ac:dyDescent="0.25">
      <c r="B48">
        <v>512</v>
      </c>
      <c r="C48">
        <v>576</v>
      </c>
      <c r="D48">
        <v>512</v>
      </c>
      <c r="E48">
        <v>8</v>
      </c>
      <c r="F48">
        <v>1</v>
      </c>
      <c r="H48">
        <v>1.6747609999999999</v>
      </c>
      <c r="I48">
        <v>1.7288140000000001</v>
      </c>
      <c r="J48" s="4">
        <f t="shared" si="2"/>
        <v>1.0322750529777085</v>
      </c>
      <c r="L48" s="4"/>
      <c r="M48" s="4"/>
      <c r="N48">
        <v>1.3776250000000001</v>
      </c>
      <c r="O48">
        <v>1.4149560000000001</v>
      </c>
      <c r="P48" s="4">
        <f t="shared" si="14"/>
        <v>0.82258005769181397</v>
      </c>
      <c r="Q48" s="4">
        <f t="shared" si="11"/>
        <v>0.81845473255075452</v>
      </c>
      <c r="R48">
        <v>1.067968</v>
      </c>
      <c r="S48">
        <v>1.1936640000000001</v>
      </c>
      <c r="T48" s="4">
        <f t="shared" si="5"/>
        <v>1.1176964103793372</v>
      </c>
      <c r="V48">
        <v>512</v>
      </c>
      <c r="W48">
        <v>128</v>
      </c>
      <c r="X48">
        <v>512</v>
      </c>
      <c r="Y48">
        <v>8</v>
      </c>
      <c r="Z48">
        <v>1</v>
      </c>
      <c r="AA48">
        <v>3.0800149999999999</v>
      </c>
      <c r="AB48">
        <v>0.63420500000000002</v>
      </c>
      <c r="AC48">
        <v>0.65984200000000004</v>
      </c>
      <c r="AD48" s="4">
        <f t="shared" si="6"/>
        <v>1.0404238377180881</v>
      </c>
      <c r="AF48" s="5">
        <f t="shared" si="7"/>
        <v>0.20590971147867787</v>
      </c>
      <c r="AG48" s="5">
        <f t="shared" si="8"/>
        <v>0.21423337224007027</v>
      </c>
      <c r="AI48">
        <v>0.61403700000000005</v>
      </c>
      <c r="AJ48">
        <v>0.53994200000000003</v>
      </c>
      <c r="AK48" s="4">
        <f t="shared" si="12"/>
        <v>0.96819955692559978</v>
      </c>
      <c r="AL48" s="4">
        <f t="shared" si="13"/>
        <v>0.81828983302063218</v>
      </c>
      <c r="AN48">
        <v>0.54288000000000003</v>
      </c>
      <c r="AO48">
        <v>0.54815999999999998</v>
      </c>
      <c r="AP48" s="4">
        <f t="shared" si="9"/>
        <v>1.0097259062776303</v>
      </c>
      <c r="AR48" s="4">
        <f t="shared" si="10"/>
        <v>0.83074432970317125</v>
      </c>
    </row>
    <row r="49" spans="2:44" x14ac:dyDescent="0.25">
      <c r="B49">
        <v>1</v>
      </c>
      <c r="C49">
        <v>576</v>
      </c>
      <c r="D49">
        <v>1024</v>
      </c>
      <c r="E49">
        <v>8</v>
      </c>
      <c r="F49">
        <v>1</v>
      </c>
      <c r="G49">
        <v>0.143207</v>
      </c>
      <c r="H49">
        <v>0.117628</v>
      </c>
      <c r="I49">
        <v>0.105506</v>
      </c>
      <c r="J49" s="4">
        <f t="shared" si="2"/>
        <v>0.89694630530145891</v>
      </c>
      <c r="L49" s="5">
        <v>0.82137046373431466</v>
      </c>
      <c r="M49" s="5"/>
      <c r="N49">
        <v>0.117534</v>
      </c>
      <c r="O49">
        <v>0.104295</v>
      </c>
      <c r="P49" s="4">
        <f t="shared" si="14"/>
        <v>0.99920087054102769</v>
      </c>
      <c r="Q49" s="4">
        <f t="shared" si="11"/>
        <v>0.98852197979261835</v>
      </c>
      <c r="R49">
        <v>0.122976</v>
      </c>
      <c r="S49">
        <v>0.12268800000000001</v>
      </c>
      <c r="T49" s="4">
        <f t="shared" si="5"/>
        <v>0.99765807962529274</v>
      </c>
      <c r="V49" s="8">
        <v>1</v>
      </c>
      <c r="W49" s="8">
        <v>128</v>
      </c>
      <c r="X49" s="8">
        <f>1024</f>
        <v>1024</v>
      </c>
      <c r="Y49" s="8">
        <v>8</v>
      </c>
      <c r="Z49" s="8">
        <v>1</v>
      </c>
      <c r="AA49" s="8">
        <v>7.5610999999999998E-2</v>
      </c>
      <c r="AB49" s="8">
        <v>9.1335E-2</v>
      </c>
      <c r="AC49">
        <v>7.7041999999999999E-2</v>
      </c>
      <c r="AD49" s="4">
        <f t="shared" si="6"/>
        <v>0.84351015492418024</v>
      </c>
      <c r="AF49" s="5">
        <f t="shared" si="7"/>
        <v>1.2079591593815715</v>
      </c>
      <c r="AG49" s="5">
        <f t="shared" si="8"/>
        <v>1.0189258176720319</v>
      </c>
      <c r="AI49">
        <v>9.0740000000000001E-2</v>
      </c>
      <c r="AJ49">
        <v>7.5411000000000006E-2</v>
      </c>
      <c r="AK49" s="4">
        <f t="shared" si="12"/>
        <v>0.99348552033722015</v>
      </c>
      <c r="AL49" s="4">
        <f t="shared" si="13"/>
        <v>0.97882972923859723</v>
      </c>
      <c r="AN49">
        <v>8.4959999999999994E-2</v>
      </c>
      <c r="AO49">
        <v>8.1727999999999995E-2</v>
      </c>
      <c r="AP49" s="4">
        <f t="shared" si="9"/>
        <v>0.96195856873822971</v>
      </c>
      <c r="AR49" s="4">
        <f t="shared" si="10"/>
        <v>1.0608239661483345</v>
      </c>
    </row>
    <row r="50" spans="2:44" x14ac:dyDescent="0.25">
      <c r="B50">
        <v>2</v>
      </c>
      <c r="C50">
        <v>576</v>
      </c>
      <c r="D50">
        <v>1024</v>
      </c>
      <c r="E50">
        <v>8</v>
      </c>
      <c r="F50">
        <v>1</v>
      </c>
      <c r="G50">
        <v>0.14538100000000001</v>
      </c>
      <c r="H50">
        <v>0.13514699999999999</v>
      </c>
      <c r="I50">
        <v>0.124782</v>
      </c>
      <c r="J50" s="4">
        <f t="shared" si="2"/>
        <v>0.92330573375657632</v>
      </c>
      <c r="L50" s="5">
        <v>0.92883526733204458</v>
      </c>
      <c r="M50" s="5"/>
      <c r="N50">
        <v>0.12428400000000001</v>
      </c>
      <c r="O50">
        <v>0.110886</v>
      </c>
      <c r="P50" s="4">
        <f t="shared" si="14"/>
        <v>0.91962085728873011</v>
      </c>
      <c r="Q50" s="4">
        <f t="shared" si="11"/>
        <v>0.88863778429581186</v>
      </c>
      <c r="R50">
        <v>0.12406399999999999</v>
      </c>
      <c r="S50">
        <v>0.12582399999999999</v>
      </c>
      <c r="T50" s="4">
        <f t="shared" si="5"/>
        <v>1.0141862264637607</v>
      </c>
      <c r="V50" s="8">
        <v>2</v>
      </c>
      <c r="W50" s="8">
        <v>128</v>
      </c>
      <c r="X50" s="8">
        <f>1024</f>
        <v>1024</v>
      </c>
      <c r="Y50" s="8">
        <v>8</v>
      </c>
      <c r="Z50" s="8">
        <v>1</v>
      </c>
      <c r="AA50" s="8">
        <v>7.6846999999999999E-2</v>
      </c>
      <c r="AB50" s="8">
        <v>9.5576999999999995E-2</v>
      </c>
      <c r="AC50">
        <v>8.1587999999999994E-2</v>
      </c>
      <c r="AD50" s="4">
        <f t="shared" si="6"/>
        <v>0.85363633510154113</v>
      </c>
      <c r="AF50" s="5">
        <f t="shared" si="7"/>
        <v>1.2437310500084584</v>
      </c>
      <c r="AG50" s="5">
        <f t="shared" si="8"/>
        <v>1.061694015381212</v>
      </c>
      <c r="AI50">
        <v>9.1408000000000003E-2</v>
      </c>
      <c r="AJ50">
        <v>7.6448000000000002E-2</v>
      </c>
      <c r="AK50" s="4">
        <f t="shared" si="12"/>
        <v>0.95638071921068879</v>
      </c>
      <c r="AL50" s="4">
        <f t="shared" si="13"/>
        <v>0.93700053929499449</v>
      </c>
      <c r="AN50">
        <v>8.4096000000000004E-2</v>
      </c>
      <c r="AO50">
        <v>8.1855999999999998E-2</v>
      </c>
      <c r="AP50" s="4">
        <f t="shared" si="9"/>
        <v>0.97336377473363767</v>
      </c>
      <c r="AR50" s="4">
        <f t="shared" si="10"/>
        <v>1.0032847967838407</v>
      </c>
    </row>
    <row r="51" spans="2:44" x14ac:dyDescent="0.25">
      <c r="B51">
        <v>4</v>
      </c>
      <c r="C51">
        <v>576</v>
      </c>
      <c r="D51">
        <v>1024</v>
      </c>
      <c r="E51">
        <v>8</v>
      </c>
      <c r="F51">
        <v>1</v>
      </c>
      <c r="G51">
        <v>0.22856699999999999</v>
      </c>
      <c r="H51">
        <v>0.13944899999999999</v>
      </c>
      <c r="I51">
        <v>0.128888</v>
      </c>
      <c r="J51" s="4">
        <f t="shared" si="2"/>
        <v>0.92426621919124563</v>
      </c>
      <c r="L51" s="5">
        <v>0.61053870418739364</v>
      </c>
      <c r="M51" s="5"/>
      <c r="N51">
        <v>0.153645</v>
      </c>
      <c r="O51">
        <v>0.136709</v>
      </c>
      <c r="P51" s="4">
        <f t="shared" si="14"/>
        <v>1.1018006583051869</v>
      </c>
      <c r="Q51" s="4">
        <f t="shared" si="11"/>
        <v>1.0606805909006269</v>
      </c>
      <c r="R51">
        <v>0.14067199999999999</v>
      </c>
      <c r="S51">
        <v>0.12761600000000001</v>
      </c>
      <c r="T51" s="4">
        <f t="shared" si="5"/>
        <v>0.90718835304822576</v>
      </c>
      <c r="V51" s="8">
        <v>4</v>
      </c>
      <c r="W51" s="8">
        <v>128</v>
      </c>
      <c r="X51" s="8">
        <f>1024</f>
        <v>1024</v>
      </c>
      <c r="Y51" s="8">
        <v>8</v>
      </c>
      <c r="Z51" s="8">
        <v>1</v>
      </c>
      <c r="AA51" s="8">
        <v>9.5550999999999997E-2</v>
      </c>
      <c r="AB51" s="8">
        <v>9.5688999999999996E-2</v>
      </c>
      <c r="AC51">
        <v>8.1925999999999999E-2</v>
      </c>
      <c r="AD51" s="4">
        <f t="shared" si="6"/>
        <v>0.85616946566481</v>
      </c>
      <c r="AF51" s="5">
        <f t="shared" si="7"/>
        <v>1.0014442549005242</v>
      </c>
      <c r="AG51" s="5">
        <f t="shared" si="8"/>
        <v>0.8574059926112757</v>
      </c>
      <c r="AI51">
        <v>9.7275E-2</v>
      </c>
      <c r="AJ51">
        <v>8.3129999999999996E-2</v>
      </c>
      <c r="AK51" s="4">
        <f t="shared" si="12"/>
        <v>1.0165745278976686</v>
      </c>
      <c r="AL51" s="4">
        <f t="shared" si="13"/>
        <v>1.0146961892439519</v>
      </c>
      <c r="AN51">
        <v>8.6239999999999997E-2</v>
      </c>
      <c r="AO51">
        <v>8.2112000000000004E-2</v>
      </c>
      <c r="AP51" s="4">
        <f t="shared" si="9"/>
        <v>0.95213358070500931</v>
      </c>
      <c r="AR51" s="4">
        <f t="shared" si="10"/>
        <v>1.0022703415277201</v>
      </c>
    </row>
    <row r="52" spans="2:44" x14ac:dyDescent="0.25">
      <c r="B52">
        <v>8</v>
      </c>
      <c r="C52">
        <v>576</v>
      </c>
      <c r="D52">
        <v>1024</v>
      </c>
      <c r="E52">
        <v>8</v>
      </c>
      <c r="F52">
        <v>1</v>
      </c>
      <c r="G52">
        <v>0.40549099999999999</v>
      </c>
      <c r="H52">
        <v>0.16772999999999999</v>
      </c>
      <c r="I52">
        <v>0.15551200000000001</v>
      </c>
      <c r="J52" s="4">
        <f t="shared" si="2"/>
        <v>0.92715673999880777</v>
      </c>
      <c r="L52" s="4">
        <v>0.4220784185099053</v>
      </c>
      <c r="M52" s="4"/>
      <c r="N52">
        <v>0.15667500000000001</v>
      </c>
      <c r="O52">
        <v>0.14305499999999999</v>
      </c>
      <c r="P52" s="4">
        <f t="shared" si="14"/>
        <v>0.93409050259345383</v>
      </c>
      <c r="Q52" s="4">
        <f t="shared" si="11"/>
        <v>0.91989685683419919</v>
      </c>
      <c r="R52">
        <v>0.14086399999999999</v>
      </c>
      <c r="S52">
        <v>0.13952000000000001</v>
      </c>
      <c r="T52" s="4">
        <f t="shared" si="5"/>
        <v>0.99045888232621548</v>
      </c>
      <c r="V52">
        <v>8</v>
      </c>
      <c r="W52">
        <v>128</v>
      </c>
      <c r="X52">
        <f>1024</f>
        <v>1024</v>
      </c>
      <c r="Y52">
        <v>8</v>
      </c>
      <c r="Z52">
        <v>1</v>
      </c>
      <c r="AA52">
        <v>0.14337</v>
      </c>
      <c r="AB52">
        <v>0.101011</v>
      </c>
      <c r="AC52">
        <v>8.7368000000000001E-2</v>
      </c>
      <c r="AD52" s="4">
        <f t="shared" si="6"/>
        <v>0.86493550207403147</v>
      </c>
      <c r="AF52" s="5">
        <f t="shared" si="7"/>
        <v>0.70454767385087536</v>
      </c>
      <c r="AG52" s="5">
        <f t="shared" si="8"/>
        <v>0.60938829601729794</v>
      </c>
      <c r="AI52">
        <v>9.8317000000000002E-2</v>
      </c>
      <c r="AJ52">
        <v>8.2720000000000002E-2</v>
      </c>
      <c r="AK52" s="4">
        <f t="shared" si="12"/>
        <v>0.97332963736622746</v>
      </c>
      <c r="AL52" s="4">
        <f t="shared" si="13"/>
        <v>0.94679974361322228</v>
      </c>
      <c r="AN52">
        <v>8.5311999999999999E-2</v>
      </c>
      <c r="AO52">
        <v>8.4671999999999997E-2</v>
      </c>
      <c r="AP52" s="4">
        <f t="shared" si="9"/>
        <v>0.99249812453113273</v>
      </c>
      <c r="AR52" s="4">
        <f t="shared" si="10"/>
        <v>0.96914201996154192</v>
      </c>
    </row>
    <row r="53" spans="2:44" x14ac:dyDescent="0.25">
      <c r="B53">
        <v>16</v>
      </c>
      <c r="C53">
        <v>576</v>
      </c>
      <c r="D53">
        <v>1024</v>
      </c>
      <c r="E53">
        <v>8</v>
      </c>
      <c r="F53">
        <v>1</v>
      </c>
      <c r="G53">
        <v>0.74856</v>
      </c>
      <c r="H53">
        <v>0.18482899999999999</v>
      </c>
      <c r="I53">
        <v>0.175374</v>
      </c>
      <c r="J53" s="4">
        <f t="shared" si="2"/>
        <v>0.94884460771848578</v>
      </c>
      <c r="L53" s="4">
        <v>0.25046088489900609</v>
      </c>
      <c r="M53" s="4"/>
      <c r="N53">
        <v>0.156137</v>
      </c>
      <c r="O53">
        <v>0.13755700000000001</v>
      </c>
      <c r="P53" s="4">
        <f t="shared" si="14"/>
        <v>0.8447646202706286</v>
      </c>
      <c r="Q53" s="4">
        <f t="shared" si="11"/>
        <v>0.78436370271533984</v>
      </c>
      <c r="R53">
        <v>0.14099200000000001</v>
      </c>
      <c r="S53">
        <v>0.14707200000000001</v>
      </c>
      <c r="T53" s="4">
        <f t="shared" si="5"/>
        <v>1.0431230140717205</v>
      </c>
      <c r="V53">
        <v>16</v>
      </c>
      <c r="W53">
        <v>128</v>
      </c>
      <c r="X53">
        <f>1024</f>
        <v>1024</v>
      </c>
      <c r="Y53">
        <v>8</v>
      </c>
      <c r="Z53">
        <v>1</v>
      </c>
      <c r="AA53">
        <v>0.22483700000000001</v>
      </c>
      <c r="AB53">
        <v>0.10489900000000001</v>
      </c>
      <c r="AC53">
        <v>9.1359999999999997E-2</v>
      </c>
      <c r="AD53" s="4">
        <f t="shared" si="6"/>
        <v>0.87093299268820479</v>
      </c>
      <c r="AF53" s="5">
        <f t="shared" si="7"/>
        <v>0.46655577151447492</v>
      </c>
      <c r="AG53" s="5">
        <f t="shared" si="8"/>
        <v>0.40633881434105595</v>
      </c>
      <c r="AI53">
        <v>9.8088999999999996E-2</v>
      </c>
      <c r="AJ53">
        <v>8.3814E-2</v>
      </c>
      <c r="AK53" s="4">
        <f t="shared" si="12"/>
        <v>0.93508041068074998</v>
      </c>
      <c r="AL53" s="4">
        <f t="shared" si="13"/>
        <v>0.91740367775831877</v>
      </c>
      <c r="AN53">
        <v>8.5248000000000004E-2</v>
      </c>
      <c r="AO53">
        <v>8.6720000000000005E-2</v>
      </c>
      <c r="AP53" s="4">
        <f t="shared" si="9"/>
        <v>1.0172672672672673</v>
      </c>
      <c r="AR53" s="4">
        <f t="shared" si="10"/>
        <v>0.94921190893169882</v>
      </c>
    </row>
    <row r="54" spans="2:44" x14ac:dyDescent="0.25">
      <c r="B54">
        <v>32</v>
      </c>
      <c r="C54">
        <v>576</v>
      </c>
      <c r="D54">
        <v>1024</v>
      </c>
      <c r="E54">
        <v>8</v>
      </c>
      <c r="F54">
        <v>1</v>
      </c>
      <c r="G54">
        <v>1.440847</v>
      </c>
      <c r="H54">
        <v>0.26082300000000003</v>
      </c>
      <c r="I54">
        <v>0.28098200000000001</v>
      </c>
      <c r="J54" s="4">
        <f t="shared" si="2"/>
        <v>1.0772899629250487</v>
      </c>
      <c r="L54" s="4">
        <v>0.18828855527339128</v>
      </c>
      <c r="M54" s="4"/>
      <c r="N54">
        <v>0.210975</v>
      </c>
      <c r="O54">
        <v>0.208511</v>
      </c>
      <c r="P54" s="4">
        <f t="shared" si="14"/>
        <v>0.80888188541654671</v>
      </c>
      <c r="Q54" s="4">
        <f t="shared" si="11"/>
        <v>0.74207956381547568</v>
      </c>
      <c r="R54">
        <v>0.18659200000000001</v>
      </c>
      <c r="S54">
        <v>0.20217599999999999</v>
      </c>
      <c r="T54" s="4">
        <f t="shared" si="5"/>
        <v>1.083519121934488</v>
      </c>
      <c r="V54">
        <v>32</v>
      </c>
      <c r="W54">
        <v>128</v>
      </c>
      <c r="X54">
        <f>1024</f>
        <v>1024</v>
      </c>
      <c r="Y54">
        <v>8</v>
      </c>
      <c r="Z54">
        <v>1</v>
      </c>
      <c r="AA54">
        <v>0.396422</v>
      </c>
      <c r="AB54">
        <v>0.135875</v>
      </c>
      <c r="AC54">
        <v>0.127475</v>
      </c>
      <c r="AD54" s="4">
        <f t="shared" si="6"/>
        <v>0.93817847286108558</v>
      </c>
      <c r="AF54" s="5">
        <f t="shared" si="7"/>
        <v>0.3427534294262175</v>
      </c>
      <c r="AG54" s="5">
        <f t="shared" si="8"/>
        <v>0.32156388898698862</v>
      </c>
      <c r="AI54">
        <v>0.13051399999999999</v>
      </c>
      <c r="AJ54">
        <v>0.111539</v>
      </c>
      <c r="AK54" s="4">
        <f t="shared" si="12"/>
        <v>0.96054461821527137</v>
      </c>
      <c r="AL54" s="4">
        <f t="shared" si="13"/>
        <v>0.8749872524024318</v>
      </c>
      <c r="AN54">
        <v>0.10825600000000001</v>
      </c>
      <c r="AO54">
        <v>0.112512</v>
      </c>
      <c r="AP54" s="4">
        <f t="shared" si="9"/>
        <v>1.0393142181495714</v>
      </c>
      <c r="AR54" s="4">
        <f t="shared" si="10"/>
        <v>0.88262012159246905</v>
      </c>
    </row>
    <row r="55" spans="2:44" x14ac:dyDescent="0.25">
      <c r="B55">
        <v>64</v>
      </c>
      <c r="C55">
        <v>576</v>
      </c>
      <c r="D55">
        <v>1024</v>
      </c>
      <c r="E55">
        <v>8</v>
      </c>
      <c r="F55">
        <v>1</v>
      </c>
      <c r="G55">
        <v>2.7965589999999998</v>
      </c>
      <c r="H55">
        <v>0.45156499999999999</v>
      </c>
      <c r="I55">
        <v>0.47519299999999998</v>
      </c>
      <c r="J55" s="4">
        <f t="shared" si="2"/>
        <v>1.0523246930120802</v>
      </c>
      <c r="L55" s="4">
        <v>0.17480911362856999</v>
      </c>
      <c r="M55" s="4"/>
      <c r="N55">
        <v>0.332154</v>
      </c>
      <c r="O55">
        <v>0.34027299999999999</v>
      </c>
      <c r="P55" s="4">
        <f t="shared" si="14"/>
        <v>0.73556187924219107</v>
      </c>
      <c r="Q55" s="4">
        <f t="shared" si="11"/>
        <v>0.71607325865490445</v>
      </c>
      <c r="R55">
        <v>0.29248000000000002</v>
      </c>
      <c r="S55">
        <v>0.31801600000000002</v>
      </c>
      <c r="T55" s="4">
        <f t="shared" si="5"/>
        <v>1.0873085339168491</v>
      </c>
      <c r="V55">
        <v>64</v>
      </c>
      <c r="W55">
        <v>128</v>
      </c>
      <c r="X55">
        <f>1024</f>
        <v>1024</v>
      </c>
      <c r="Y55">
        <v>8</v>
      </c>
      <c r="Z55">
        <v>1</v>
      </c>
      <c r="AA55">
        <v>0.70907100000000001</v>
      </c>
      <c r="AB55">
        <v>0.20402799999999999</v>
      </c>
      <c r="AC55">
        <v>0.19656899999999999</v>
      </c>
      <c r="AD55" s="4">
        <f t="shared" si="6"/>
        <v>0.96344129237163534</v>
      </c>
      <c r="AF55" s="5">
        <f t="shared" si="7"/>
        <v>0.28773987372209553</v>
      </c>
      <c r="AG55" s="5">
        <f t="shared" si="8"/>
        <v>0.27722047580566683</v>
      </c>
      <c r="AI55">
        <v>0.194215</v>
      </c>
      <c r="AJ55">
        <v>0.166266</v>
      </c>
      <c r="AK55" s="4">
        <f t="shared" si="12"/>
        <v>0.95190366028192219</v>
      </c>
      <c r="AL55" s="4">
        <f t="shared" si="13"/>
        <v>0.84584039192344673</v>
      </c>
      <c r="AN55">
        <v>0.154976</v>
      </c>
      <c r="AO55">
        <v>0.163328</v>
      </c>
      <c r="AP55" s="4">
        <f t="shared" si="9"/>
        <v>1.0538922155688624</v>
      </c>
      <c r="AR55" s="4">
        <f t="shared" si="10"/>
        <v>0.83089398633558698</v>
      </c>
    </row>
    <row r="56" spans="2:44" x14ac:dyDescent="0.25">
      <c r="B56">
        <v>128</v>
      </c>
      <c r="C56">
        <v>576</v>
      </c>
      <c r="D56">
        <v>1024</v>
      </c>
      <c r="E56">
        <v>8</v>
      </c>
      <c r="F56">
        <v>1</v>
      </c>
      <c r="G56">
        <v>5.4246800000000004</v>
      </c>
      <c r="H56">
        <v>0.85325899999999999</v>
      </c>
      <c r="I56">
        <v>0.86334100000000003</v>
      </c>
      <c r="J56" s="4">
        <f t="shared" si="2"/>
        <v>1.0118158730233142</v>
      </c>
      <c r="L56" s="4">
        <v>0.16413742377430557</v>
      </c>
      <c r="M56" s="4"/>
      <c r="N56">
        <v>0.66184799999999999</v>
      </c>
      <c r="O56">
        <v>0.68449400000000005</v>
      </c>
      <c r="P56" s="4">
        <f t="shared" si="14"/>
        <v>0.7756706931892895</v>
      </c>
      <c r="Q56" s="4">
        <f t="shared" si="11"/>
        <v>0.79284315235810654</v>
      </c>
      <c r="R56">
        <v>0.479904</v>
      </c>
      <c r="S56">
        <v>0.55225599999999997</v>
      </c>
      <c r="T56" s="4">
        <f t="shared" si="5"/>
        <v>1.1507634860305394</v>
      </c>
      <c r="V56">
        <v>128</v>
      </c>
      <c r="W56">
        <v>128</v>
      </c>
      <c r="X56">
        <f>1024</f>
        <v>1024</v>
      </c>
      <c r="Y56">
        <v>8</v>
      </c>
      <c r="Z56">
        <v>1</v>
      </c>
      <c r="AA56">
        <v>1.419009</v>
      </c>
      <c r="AB56">
        <v>0.34551900000000002</v>
      </c>
      <c r="AC56">
        <v>0.323019</v>
      </c>
      <c r="AD56" s="4">
        <f t="shared" si="6"/>
        <v>0.93488057096715371</v>
      </c>
      <c r="AF56" s="5">
        <f t="shared" si="7"/>
        <v>0.24349317023359263</v>
      </c>
      <c r="AG56" s="5">
        <f t="shared" si="8"/>
        <v>0.22763703401458343</v>
      </c>
      <c r="AI56">
        <v>0.32362200000000002</v>
      </c>
      <c r="AJ56">
        <v>0.26466600000000001</v>
      </c>
      <c r="AK56" s="4">
        <f t="shared" si="12"/>
        <v>0.93662577166523409</v>
      </c>
      <c r="AL56" s="4">
        <f t="shared" si="13"/>
        <v>0.81935118367650206</v>
      </c>
      <c r="AN56">
        <v>0.249888</v>
      </c>
      <c r="AO56">
        <v>0.26649600000000001</v>
      </c>
      <c r="AP56" s="4">
        <f t="shared" si="9"/>
        <v>1.0664617748751442</v>
      </c>
      <c r="AR56" s="4">
        <f t="shared" si="10"/>
        <v>0.82501648509839987</v>
      </c>
    </row>
    <row r="57" spans="2:44" x14ac:dyDescent="0.25">
      <c r="B57">
        <v>256</v>
      </c>
      <c r="C57">
        <v>576</v>
      </c>
      <c r="D57">
        <v>1024</v>
      </c>
      <c r="E57">
        <v>8</v>
      </c>
      <c r="F57">
        <v>1</v>
      </c>
      <c r="H57">
        <v>1.6530800000000001</v>
      </c>
      <c r="I57">
        <v>1.627472</v>
      </c>
      <c r="J57" s="4">
        <f t="shared" si="2"/>
        <v>0.98450891668884744</v>
      </c>
      <c r="L57" s="4"/>
      <c r="M57" s="4"/>
      <c r="N57">
        <v>1.242038</v>
      </c>
      <c r="O57">
        <v>1.289919</v>
      </c>
      <c r="P57" s="4">
        <f t="shared" si="14"/>
        <v>0.75134778716093586</v>
      </c>
      <c r="Q57" s="4">
        <f t="shared" si="11"/>
        <v>0.79259059449256275</v>
      </c>
      <c r="R57">
        <v>0.84806400000000004</v>
      </c>
      <c r="S57">
        <v>1.034624</v>
      </c>
      <c r="T57" s="4">
        <f t="shared" si="5"/>
        <v>1.2199833974794354</v>
      </c>
      <c r="V57">
        <v>256</v>
      </c>
      <c r="W57">
        <v>128</v>
      </c>
      <c r="X57">
        <f>1024</f>
        <v>1024</v>
      </c>
      <c r="Y57">
        <v>8</v>
      </c>
      <c r="Z57">
        <v>1</v>
      </c>
      <c r="AA57">
        <v>2.8065660000000001</v>
      </c>
      <c r="AB57">
        <v>0.61458100000000004</v>
      </c>
      <c r="AC57">
        <v>0.566195</v>
      </c>
      <c r="AD57" s="4">
        <f t="shared" si="6"/>
        <v>0.92126993838078297</v>
      </c>
      <c r="AF57" s="5">
        <f t="shared" si="7"/>
        <v>0.21897970687309687</v>
      </c>
      <c r="AG57" s="5">
        <f t="shared" si="8"/>
        <v>0.20173942105761988</v>
      </c>
      <c r="AI57">
        <v>0.58084100000000005</v>
      </c>
      <c r="AJ57">
        <v>0.45092500000000002</v>
      </c>
      <c r="AK57" s="4">
        <f t="shared" si="12"/>
        <v>0.9451008085183239</v>
      </c>
      <c r="AL57" s="4">
        <f t="shared" si="13"/>
        <v>0.79641289661688996</v>
      </c>
      <c r="AN57">
        <v>0.44569599999999998</v>
      </c>
      <c r="AO57">
        <v>0.47033599999999998</v>
      </c>
      <c r="AP57" s="4">
        <f t="shared" si="9"/>
        <v>1.0552843193566916</v>
      </c>
      <c r="AR57" s="4">
        <f t="shared" si="10"/>
        <v>0.83069613825625443</v>
      </c>
    </row>
    <row r="58" spans="2:44" x14ac:dyDescent="0.25">
      <c r="B58">
        <v>512</v>
      </c>
      <c r="C58">
        <v>576</v>
      </c>
      <c r="D58">
        <v>1024</v>
      </c>
      <c r="E58">
        <v>8</v>
      </c>
      <c r="F58">
        <v>1</v>
      </c>
      <c r="H58">
        <v>3.284351</v>
      </c>
      <c r="I58">
        <v>3.1558760000000001</v>
      </c>
      <c r="J58" s="4">
        <f t="shared" si="2"/>
        <v>0.96088268275832889</v>
      </c>
      <c r="L58" s="4"/>
      <c r="M58" s="4"/>
      <c r="N58">
        <v>2.4346610000000002</v>
      </c>
      <c r="O58">
        <v>2.4917690000000001</v>
      </c>
      <c r="P58" s="4">
        <f t="shared" si="14"/>
        <v>0.74129135406051305</v>
      </c>
      <c r="Q58" s="4">
        <f t="shared" si="11"/>
        <v>0.7895649258716122</v>
      </c>
      <c r="R58">
        <v>1.6171199999999999</v>
      </c>
      <c r="S58">
        <v>2.000896</v>
      </c>
      <c r="T58" s="4">
        <f t="shared" si="5"/>
        <v>1.237320668843376</v>
      </c>
      <c r="V58">
        <v>512</v>
      </c>
      <c r="W58">
        <v>128</v>
      </c>
      <c r="X58">
        <f>1024</f>
        <v>1024</v>
      </c>
      <c r="Y58">
        <v>8</v>
      </c>
      <c r="Z58">
        <v>1</v>
      </c>
      <c r="AA58">
        <v>5.7231160000000001</v>
      </c>
      <c r="AB58">
        <v>1.1362239999999999</v>
      </c>
      <c r="AC58">
        <v>1.0374760000000001</v>
      </c>
      <c r="AD58" s="4">
        <f t="shared" si="6"/>
        <v>0.91309108063198818</v>
      </c>
      <c r="AF58" s="5">
        <f t="shared" si="7"/>
        <v>0.19853240787011828</v>
      </c>
      <c r="AG58" s="5">
        <f t="shared" si="8"/>
        <v>0.18127817084259695</v>
      </c>
      <c r="AI58">
        <v>1.097183</v>
      </c>
      <c r="AJ58">
        <v>0.80884500000000004</v>
      </c>
      <c r="AK58" s="4">
        <f t="shared" si="12"/>
        <v>0.96563969780606651</v>
      </c>
      <c r="AL58" s="4">
        <f t="shared" si="13"/>
        <v>0.77962767331485261</v>
      </c>
      <c r="AN58">
        <v>0.81654400000000005</v>
      </c>
      <c r="AO58">
        <v>0.87712000000000001</v>
      </c>
      <c r="AP58" s="4">
        <f t="shared" si="9"/>
        <v>1.0741858368930517</v>
      </c>
      <c r="AR58" s="4">
        <f t="shared" si="10"/>
        <v>0.84543642455343537</v>
      </c>
    </row>
    <row r="59" spans="2:44" x14ac:dyDescent="0.25">
      <c r="B59">
        <v>1</v>
      </c>
      <c r="C59">
        <v>576</v>
      </c>
      <c r="D59">
        <v>2048</v>
      </c>
      <c r="E59">
        <v>8</v>
      </c>
      <c r="F59">
        <v>1</v>
      </c>
      <c r="G59">
        <v>0.22698499999999999</v>
      </c>
      <c r="H59">
        <v>0.1709</v>
      </c>
      <c r="I59">
        <v>0.14333499999999999</v>
      </c>
      <c r="J59" s="4">
        <f t="shared" si="2"/>
        <v>0.8387068461088355</v>
      </c>
      <c r="L59" s="5">
        <v>0.7569310747406216</v>
      </c>
      <c r="M59" s="5"/>
      <c r="N59">
        <v>0.170233</v>
      </c>
      <c r="O59">
        <v>0.14049200000000001</v>
      </c>
      <c r="P59" s="4">
        <f t="shared" si="14"/>
        <v>0.99609713282621415</v>
      </c>
      <c r="Q59" s="4">
        <f t="shared" si="11"/>
        <v>0.98016534691457091</v>
      </c>
      <c r="R59">
        <v>0.15612799999999999</v>
      </c>
      <c r="S59">
        <v>0.155392</v>
      </c>
      <c r="T59" s="4">
        <f t="shared" si="5"/>
        <v>0.99528591924574716</v>
      </c>
      <c r="V59" s="8">
        <v>1</v>
      </c>
      <c r="W59" s="8">
        <v>128</v>
      </c>
      <c r="X59" s="8">
        <f>2048</f>
        <v>2048</v>
      </c>
      <c r="Y59" s="8">
        <v>8</v>
      </c>
      <c r="Z59" s="8">
        <v>1</v>
      </c>
      <c r="AA59" s="8">
        <v>9.5191999999999999E-2</v>
      </c>
      <c r="AB59" s="8">
        <v>0.125837</v>
      </c>
      <c r="AC59">
        <v>9.6602999999999994E-2</v>
      </c>
      <c r="AD59" s="4">
        <f t="shared" si="6"/>
        <v>0.7676835906768279</v>
      </c>
      <c r="AF59" s="5">
        <f t="shared" si="7"/>
        <v>1.321928313303639</v>
      </c>
      <c r="AG59" s="5">
        <f t="shared" si="8"/>
        <v>1.0148226741743003</v>
      </c>
      <c r="AI59">
        <v>0.12587899999999999</v>
      </c>
      <c r="AJ59">
        <v>9.4707E-2</v>
      </c>
      <c r="AK59" s="4">
        <f t="shared" si="12"/>
        <v>1.0003337651088311</v>
      </c>
      <c r="AL59" s="4">
        <f t="shared" si="13"/>
        <v>0.98037328033290894</v>
      </c>
      <c r="AN59">
        <v>0.10156800000000001</v>
      </c>
      <c r="AO59">
        <v>9.9904000000000007E-2</v>
      </c>
      <c r="AP59" s="4">
        <f t="shared" si="9"/>
        <v>0.98361688720856966</v>
      </c>
      <c r="AR59" s="4">
        <f t="shared" si="10"/>
        <v>1.0341707814457108</v>
      </c>
    </row>
    <row r="60" spans="2:44" x14ac:dyDescent="0.25">
      <c r="B60">
        <v>2</v>
      </c>
      <c r="C60">
        <v>576</v>
      </c>
      <c r="D60">
        <v>2048</v>
      </c>
      <c r="E60">
        <v>8</v>
      </c>
      <c r="F60">
        <v>1</v>
      </c>
      <c r="G60">
        <v>0.22805500000000001</v>
      </c>
      <c r="H60">
        <v>0.20899100000000001</v>
      </c>
      <c r="I60">
        <v>0.18237500000000001</v>
      </c>
      <c r="J60" s="4">
        <f t="shared" si="2"/>
        <v>0.87264523352680257</v>
      </c>
      <c r="L60" s="5">
        <v>0.91761636447348227</v>
      </c>
      <c r="M60" s="5"/>
      <c r="N60">
        <v>0.18362500000000001</v>
      </c>
      <c r="O60">
        <v>0.15376699999999999</v>
      </c>
      <c r="P60" s="4">
        <f t="shared" si="14"/>
        <v>0.87862635233096165</v>
      </c>
      <c r="Q60" s="4">
        <f t="shared" si="11"/>
        <v>0.84313639479095259</v>
      </c>
      <c r="R60">
        <v>0.15737599999999999</v>
      </c>
      <c r="S60">
        <v>0.16025600000000001</v>
      </c>
      <c r="T60" s="4">
        <f t="shared" si="5"/>
        <v>1.0183001220008134</v>
      </c>
      <c r="V60" s="8">
        <v>2</v>
      </c>
      <c r="W60" s="8">
        <v>128</v>
      </c>
      <c r="X60" s="8">
        <f>2048</f>
        <v>2048</v>
      </c>
      <c r="Y60" s="8">
        <v>8</v>
      </c>
      <c r="Z60" s="8">
        <v>1</v>
      </c>
      <c r="AA60" s="8">
        <v>9.6858E-2</v>
      </c>
      <c r="AB60" s="8">
        <v>0.134188</v>
      </c>
      <c r="AC60">
        <v>0.104584</v>
      </c>
      <c r="AD60" s="4">
        <f t="shared" si="6"/>
        <v>0.77938414761379549</v>
      </c>
      <c r="AF60" s="5">
        <f t="shared" si="7"/>
        <v>1.3854095686468852</v>
      </c>
      <c r="AG60" s="5">
        <f t="shared" si="8"/>
        <v>1.0797662557558487</v>
      </c>
      <c r="AI60">
        <v>0.12769</v>
      </c>
      <c r="AJ60">
        <v>9.6773999999999999E-2</v>
      </c>
      <c r="AK60" s="4">
        <f t="shared" si="12"/>
        <v>0.95157540167526156</v>
      </c>
      <c r="AL60" s="4">
        <f t="shared" si="13"/>
        <v>0.92532318519085144</v>
      </c>
      <c r="AN60">
        <v>0.102016</v>
      </c>
      <c r="AO60">
        <v>0.100992</v>
      </c>
      <c r="AP60" s="4">
        <f t="shared" si="9"/>
        <v>0.9899623588456713</v>
      </c>
      <c r="AR60" s="4">
        <f t="shared" si="10"/>
        <v>0.96565440220301391</v>
      </c>
    </row>
    <row r="61" spans="2:44" x14ac:dyDescent="0.25">
      <c r="B61">
        <v>4</v>
      </c>
      <c r="C61">
        <v>576</v>
      </c>
      <c r="D61">
        <v>2048</v>
      </c>
      <c r="E61">
        <v>8</v>
      </c>
      <c r="F61">
        <v>1</v>
      </c>
      <c r="G61">
        <v>0.39781</v>
      </c>
      <c r="H61">
        <v>0.21837599999999999</v>
      </c>
      <c r="I61">
        <v>0.191524</v>
      </c>
      <c r="J61" s="4">
        <f t="shared" si="2"/>
        <v>0.87703776971828407</v>
      </c>
      <c r="L61" s="5">
        <v>0.54928986199441954</v>
      </c>
      <c r="M61" s="5"/>
      <c r="N61">
        <v>0.238372</v>
      </c>
      <c r="O61">
        <v>0.20457700000000001</v>
      </c>
      <c r="P61" s="4">
        <f t="shared" si="14"/>
        <v>1.0915668388467599</v>
      </c>
      <c r="Q61" s="4">
        <f t="shared" si="11"/>
        <v>1.0681533384849942</v>
      </c>
      <c r="R61">
        <v>0.18496000000000001</v>
      </c>
      <c r="S61">
        <v>0.16716800000000001</v>
      </c>
      <c r="T61" s="4">
        <f t="shared" si="5"/>
        <v>0.90380622837370239</v>
      </c>
      <c r="V61" s="8">
        <v>4</v>
      </c>
      <c r="W61" s="8">
        <v>128</v>
      </c>
      <c r="X61" s="8">
        <f>2048</f>
        <v>2048</v>
      </c>
      <c r="Y61" s="8">
        <v>8</v>
      </c>
      <c r="Z61" s="8">
        <v>1</v>
      </c>
      <c r="AA61" s="8">
        <v>0.13390199999999999</v>
      </c>
      <c r="AB61" s="8">
        <v>0.13600100000000001</v>
      </c>
      <c r="AC61">
        <v>0.106113</v>
      </c>
      <c r="AD61" s="4">
        <f t="shared" si="6"/>
        <v>0.78023691002272033</v>
      </c>
      <c r="AF61" s="5">
        <f t="shared" si="7"/>
        <v>1.0156756433809802</v>
      </c>
      <c r="AG61" s="5">
        <f t="shared" si="8"/>
        <v>0.79246762557691452</v>
      </c>
      <c r="AI61">
        <v>0.14127700000000001</v>
      </c>
      <c r="AJ61">
        <v>0.111578</v>
      </c>
      <c r="AK61" s="4">
        <f t="shared" si="12"/>
        <v>1.0387938323982913</v>
      </c>
      <c r="AL61" s="4">
        <f t="shared" si="13"/>
        <v>1.0515017010168406</v>
      </c>
      <c r="AN61">
        <v>0.103968</v>
      </c>
      <c r="AO61">
        <v>0.102144</v>
      </c>
      <c r="AP61" s="4">
        <f t="shared" si="9"/>
        <v>0.98245614035087714</v>
      </c>
      <c r="AR61" s="4">
        <f t="shared" si="10"/>
        <v>0.96259647734019393</v>
      </c>
    </row>
    <row r="62" spans="2:44" x14ac:dyDescent="0.25">
      <c r="B62">
        <v>8</v>
      </c>
      <c r="C62">
        <v>576</v>
      </c>
      <c r="D62">
        <v>2048</v>
      </c>
      <c r="E62">
        <v>8</v>
      </c>
      <c r="F62">
        <v>1</v>
      </c>
      <c r="G62">
        <v>0.74311099999999997</v>
      </c>
      <c r="H62">
        <v>0.27498800000000001</v>
      </c>
      <c r="I62">
        <v>0.24663499999999999</v>
      </c>
      <c r="J62" s="4">
        <f t="shared" si="2"/>
        <v>0.89689368263342395</v>
      </c>
      <c r="L62" s="4">
        <v>0.37885322650317382</v>
      </c>
      <c r="M62" s="4"/>
      <c r="N62">
        <v>0.24685799999999999</v>
      </c>
      <c r="O62">
        <v>0.21205599999999999</v>
      </c>
      <c r="P62" s="4">
        <f t="shared" si="14"/>
        <v>0.89770462711100119</v>
      </c>
      <c r="Q62" s="4">
        <f t="shared" si="11"/>
        <v>0.85979686581385451</v>
      </c>
      <c r="R62">
        <v>0.18643199999999999</v>
      </c>
      <c r="S62">
        <v>0.18163199999999999</v>
      </c>
      <c r="T62" s="4">
        <f t="shared" si="5"/>
        <v>0.97425334706488154</v>
      </c>
      <c r="V62">
        <v>8</v>
      </c>
      <c r="W62">
        <v>128</v>
      </c>
      <c r="X62">
        <f>2048</f>
        <v>2048</v>
      </c>
      <c r="Y62">
        <v>8</v>
      </c>
      <c r="Z62">
        <v>1</v>
      </c>
      <c r="AA62">
        <v>0.218556</v>
      </c>
      <c r="AB62">
        <v>0.14746999999999999</v>
      </c>
      <c r="AC62">
        <v>0.117908</v>
      </c>
      <c r="AD62" s="4">
        <f t="shared" si="6"/>
        <v>0.79953888926561334</v>
      </c>
      <c r="AF62" s="5">
        <f t="shared" si="7"/>
        <v>0.6747469756035066</v>
      </c>
      <c r="AG62" s="5">
        <f t="shared" si="8"/>
        <v>0.53948644740935958</v>
      </c>
      <c r="AI62">
        <v>0.14383299999999999</v>
      </c>
      <c r="AJ62">
        <v>0.111078</v>
      </c>
      <c r="AK62" s="4">
        <f t="shared" si="12"/>
        <v>0.97533735675052557</v>
      </c>
      <c r="AL62" s="4">
        <f t="shared" si="13"/>
        <v>0.9420734810190996</v>
      </c>
      <c r="AN62">
        <v>0.104544</v>
      </c>
      <c r="AO62">
        <v>0.106368</v>
      </c>
      <c r="AP62" s="4">
        <f t="shared" si="9"/>
        <v>1.0174471992653811</v>
      </c>
      <c r="AR62" s="4">
        <f t="shared" si="10"/>
        <v>0.90212708213183168</v>
      </c>
    </row>
    <row r="63" spans="2:44" x14ac:dyDescent="0.25">
      <c r="B63">
        <v>16</v>
      </c>
      <c r="C63">
        <v>576</v>
      </c>
      <c r="D63">
        <v>2048</v>
      </c>
      <c r="E63">
        <v>8</v>
      </c>
      <c r="F63">
        <v>1</v>
      </c>
      <c r="G63">
        <v>1.4152849999999999</v>
      </c>
      <c r="H63">
        <v>0.30992700000000001</v>
      </c>
      <c r="I63">
        <v>0.28092499999999998</v>
      </c>
      <c r="J63" s="4">
        <f t="shared" si="2"/>
        <v>0.90642312544566939</v>
      </c>
      <c r="L63" s="4">
        <v>0.23076765457134077</v>
      </c>
      <c r="M63" s="4"/>
      <c r="N63">
        <v>0.24620600000000001</v>
      </c>
      <c r="O63">
        <v>0.20979300000000001</v>
      </c>
      <c r="P63" s="4">
        <f t="shared" si="14"/>
        <v>0.794399971606217</v>
      </c>
      <c r="Q63" s="4">
        <f t="shared" si="11"/>
        <v>0.74679362819257822</v>
      </c>
      <c r="R63">
        <v>0.18720000000000001</v>
      </c>
      <c r="S63">
        <v>0.19897599999999999</v>
      </c>
      <c r="T63" s="4">
        <f t="shared" si="5"/>
        <v>1.0629059829059828</v>
      </c>
      <c r="V63">
        <v>16</v>
      </c>
      <c r="W63">
        <v>128</v>
      </c>
      <c r="X63">
        <f>2048</f>
        <v>2048</v>
      </c>
      <c r="Y63">
        <v>8</v>
      </c>
      <c r="Z63">
        <v>1</v>
      </c>
      <c r="AA63">
        <v>0.38423299999999999</v>
      </c>
      <c r="AB63">
        <v>0.15895899999999999</v>
      </c>
      <c r="AC63">
        <v>0.12926499999999999</v>
      </c>
      <c r="AD63" s="4">
        <f t="shared" si="6"/>
        <v>0.81319711372114822</v>
      </c>
      <c r="AF63" s="5">
        <f t="shared" si="7"/>
        <v>0.41370470521792763</v>
      </c>
      <c r="AG63" s="5">
        <f t="shared" si="8"/>
        <v>0.33642347221607721</v>
      </c>
      <c r="AI63">
        <v>0.14434900000000001</v>
      </c>
      <c r="AJ63">
        <v>0.11328000000000001</v>
      </c>
      <c r="AK63" s="4">
        <f t="shared" si="12"/>
        <v>0.90808950735724314</v>
      </c>
      <c r="AL63" s="4">
        <f t="shared" si="13"/>
        <v>0.87633930298224583</v>
      </c>
      <c r="AN63">
        <v>0.104736</v>
      </c>
      <c r="AO63">
        <v>0.11014400000000001</v>
      </c>
      <c r="AP63" s="4">
        <f t="shared" si="9"/>
        <v>1.0516345860067218</v>
      </c>
      <c r="AR63" s="4">
        <f t="shared" si="10"/>
        <v>0.85207906239121201</v>
      </c>
    </row>
    <row r="64" spans="2:44" x14ac:dyDescent="0.25">
      <c r="B64">
        <v>32</v>
      </c>
      <c r="C64">
        <v>576</v>
      </c>
      <c r="D64">
        <v>2048</v>
      </c>
      <c r="E64">
        <v>8</v>
      </c>
      <c r="F64">
        <v>1</v>
      </c>
      <c r="G64">
        <v>2.7340749999999998</v>
      </c>
      <c r="H64">
        <v>0.459366</v>
      </c>
      <c r="I64">
        <v>0.490178</v>
      </c>
      <c r="J64" s="4">
        <f t="shared" si="2"/>
        <v>1.0670750556201374</v>
      </c>
      <c r="L64" s="4">
        <v>0.17739784022018415</v>
      </c>
      <c r="M64" s="4"/>
      <c r="N64">
        <v>0.36034699999999997</v>
      </c>
      <c r="O64">
        <v>0.33355099999999999</v>
      </c>
      <c r="P64" s="4">
        <f t="shared" si="14"/>
        <v>0.78444421224034855</v>
      </c>
      <c r="Q64" s="4">
        <f t="shared" si="11"/>
        <v>0.68046913570172463</v>
      </c>
      <c r="R64">
        <v>0.27692800000000001</v>
      </c>
      <c r="S64">
        <v>0.30521599999999999</v>
      </c>
      <c r="T64" s="4">
        <f t="shared" si="5"/>
        <v>1.1021492951236422</v>
      </c>
      <c r="V64">
        <v>32</v>
      </c>
      <c r="W64">
        <v>128</v>
      </c>
      <c r="X64">
        <f>2048</f>
        <v>2048</v>
      </c>
      <c r="Y64">
        <v>8</v>
      </c>
      <c r="Z64">
        <v>1</v>
      </c>
      <c r="AA64">
        <v>0.73390500000000003</v>
      </c>
      <c r="AB64">
        <v>0.222498</v>
      </c>
      <c r="AC64">
        <v>0.19988500000000001</v>
      </c>
      <c r="AD64" s="4">
        <f t="shared" si="6"/>
        <v>0.89836762577641149</v>
      </c>
      <c r="AF64" s="5">
        <f t="shared" si="7"/>
        <v>0.30317002881844379</v>
      </c>
      <c r="AG64" s="5">
        <f t="shared" si="8"/>
        <v>0.2723581389961916</v>
      </c>
      <c r="AI64">
        <v>0.20585500000000001</v>
      </c>
      <c r="AJ64">
        <v>0.16711699999999999</v>
      </c>
      <c r="AK64" s="4">
        <f t="shared" si="12"/>
        <v>0.92519932763440571</v>
      </c>
      <c r="AL64" s="4">
        <f t="shared" si="13"/>
        <v>0.83606573779923443</v>
      </c>
      <c r="AN64">
        <v>0.147648</v>
      </c>
      <c r="AO64">
        <v>0.16044800000000001</v>
      </c>
      <c r="AP64" s="4">
        <f t="shared" si="9"/>
        <v>1.0866926744690073</v>
      </c>
      <c r="AR64" s="4">
        <f t="shared" si="10"/>
        <v>0.80270155339320115</v>
      </c>
    </row>
    <row r="65" spans="2:44" x14ac:dyDescent="0.25">
      <c r="B65">
        <v>64</v>
      </c>
      <c r="C65">
        <v>576</v>
      </c>
      <c r="D65">
        <v>2048</v>
      </c>
      <c r="E65">
        <v>8</v>
      </c>
      <c r="F65">
        <v>1</v>
      </c>
      <c r="G65">
        <v>5.3839680000000003</v>
      </c>
      <c r="H65">
        <v>0.90119899999999997</v>
      </c>
      <c r="I65">
        <v>0.89857200000000004</v>
      </c>
      <c r="J65" s="4">
        <f t="shared" si="2"/>
        <v>0.99708499454615473</v>
      </c>
      <c r="L65" s="4">
        <v>0.17398988998448728</v>
      </c>
      <c r="M65" s="4"/>
      <c r="N65">
        <v>0.69146200000000002</v>
      </c>
      <c r="O65">
        <v>0.73258800000000002</v>
      </c>
      <c r="P65" s="4">
        <f t="shared" si="14"/>
        <v>0.7672689383809792</v>
      </c>
      <c r="Q65" s="4">
        <f t="shared" si="11"/>
        <v>0.81528024465485238</v>
      </c>
      <c r="R65">
        <v>0.47788799999999998</v>
      </c>
      <c r="S65">
        <v>0.52678400000000003</v>
      </c>
      <c r="T65" s="4">
        <f t="shared" si="5"/>
        <v>1.1023168608544263</v>
      </c>
      <c r="V65">
        <v>64</v>
      </c>
      <c r="W65">
        <v>128</v>
      </c>
      <c r="X65">
        <f>2048</f>
        <v>2048</v>
      </c>
      <c r="Y65">
        <v>8</v>
      </c>
      <c r="Z65">
        <v>1</v>
      </c>
      <c r="AA65">
        <v>1.3894340000000001</v>
      </c>
      <c r="AB65">
        <v>0.34425800000000001</v>
      </c>
      <c r="AC65">
        <v>0.33194800000000002</v>
      </c>
      <c r="AD65" s="4">
        <f t="shared" si="6"/>
        <v>0.96424193482794884</v>
      </c>
      <c r="AF65" s="5">
        <f t="shared" si="7"/>
        <v>0.24776851581291373</v>
      </c>
      <c r="AG65" s="5">
        <f t="shared" si="8"/>
        <v>0.23890879307689319</v>
      </c>
      <c r="AI65">
        <v>0.32875799999999999</v>
      </c>
      <c r="AJ65">
        <v>0.27265299999999998</v>
      </c>
      <c r="AK65" s="4">
        <f t="shared" si="12"/>
        <v>0.95497562874355857</v>
      </c>
      <c r="AL65" s="4">
        <f t="shared" si="13"/>
        <v>0.82137262462795368</v>
      </c>
      <c r="AN65">
        <v>0.23280000000000001</v>
      </c>
      <c r="AO65">
        <v>0.25964799999999999</v>
      </c>
      <c r="AP65" s="4">
        <f t="shared" si="9"/>
        <v>1.1153264604810995</v>
      </c>
      <c r="AR65" s="4">
        <f t="shared" si="10"/>
        <v>0.78219480159543053</v>
      </c>
    </row>
    <row r="66" spans="2:44" x14ac:dyDescent="0.25">
      <c r="B66">
        <v>128</v>
      </c>
      <c r="C66">
        <v>576</v>
      </c>
      <c r="D66">
        <v>2048</v>
      </c>
      <c r="E66">
        <v>8</v>
      </c>
      <c r="F66">
        <v>1</v>
      </c>
      <c r="G66">
        <v>10.693434</v>
      </c>
      <c r="H66">
        <v>1.784743</v>
      </c>
      <c r="I66">
        <v>1.667009</v>
      </c>
      <c r="J66" s="4">
        <f t="shared" si="2"/>
        <v>0.93403307927247792</v>
      </c>
      <c r="L66" s="4">
        <v>0.17588793272582035</v>
      </c>
      <c r="M66" s="4"/>
      <c r="N66">
        <v>1.2169289999999999</v>
      </c>
      <c r="O66">
        <v>1.2949139999999999</v>
      </c>
      <c r="P66" s="4">
        <f t="shared" si="14"/>
        <v>0.68185111245708763</v>
      </c>
      <c r="Q66" s="4">
        <f t="shared" si="11"/>
        <v>0.77678884757070898</v>
      </c>
      <c r="R66">
        <v>0.80367999999999995</v>
      </c>
      <c r="S66">
        <v>0.97836800000000002</v>
      </c>
      <c r="T66" s="4">
        <f t="shared" si="5"/>
        <v>1.2173601433406331</v>
      </c>
      <c r="V66">
        <v>128</v>
      </c>
      <c r="W66">
        <v>128</v>
      </c>
      <c r="X66">
        <f>2048</f>
        <v>2048</v>
      </c>
      <c r="Y66">
        <v>8</v>
      </c>
      <c r="Z66">
        <v>1</v>
      </c>
      <c r="AA66">
        <v>2.712691</v>
      </c>
      <c r="AB66">
        <v>0.60201899999999997</v>
      </c>
      <c r="AC66">
        <v>0.57773300000000005</v>
      </c>
      <c r="AD66" s="4">
        <f t="shared" si="6"/>
        <v>0.95965908052735893</v>
      </c>
      <c r="AF66" s="5">
        <f t="shared" si="7"/>
        <v>0.22192686155555497</v>
      </c>
      <c r="AG66" s="5">
        <f t="shared" si="8"/>
        <v>0.21297412790472636</v>
      </c>
      <c r="AI66">
        <v>0.57599100000000003</v>
      </c>
      <c r="AJ66">
        <v>0.47444500000000001</v>
      </c>
      <c r="AK66" s="4">
        <f t="shared" si="12"/>
        <v>0.95676548414584928</v>
      </c>
      <c r="AL66" s="4">
        <f t="shared" si="13"/>
        <v>0.82121845212234712</v>
      </c>
      <c r="AN66">
        <v>0.40521600000000002</v>
      </c>
      <c r="AO66">
        <v>0.45440000000000003</v>
      </c>
      <c r="AP66" s="4">
        <f t="shared" si="9"/>
        <v>1.1213772407802258</v>
      </c>
      <c r="AR66" s="4">
        <f t="shared" si="10"/>
        <v>0.78652249395481988</v>
      </c>
    </row>
    <row r="67" spans="2:44" x14ac:dyDescent="0.25">
      <c r="B67">
        <v>256</v>
      </c>
      <c r="C67">
        <v>576</v>
      </c>
      <c r="D67">
        <v>2048</v>
      </c>
      <c r="E67">
        <v>8</v>
      </c>
      <c r="F67">
        <v>1</v>
      </c>
      <c r="H67">
        <v>3.5551759999999999</v>
      </c>
      <c r="I67">
        <v>3.1927660000000002</v>
      </c>
      <c r="J67" s="4">
        <f t="shared" si="2"/>
        <v>0.89806130554436692</v>
      </c>
      <c r="L67" s="4"/>
      <c r="M67" s="4"/>
      <c r="N67">
        <v>2.3123879999999999</v>
      </c>
      <c r="O67">
        <v>2.4433739999999999</v>
      </c>
      <c r="P67" s="4">
        <f t="shared" si="14"/>
        <v>0.65042855824859303</v>
      </c>
      <c r="Q67" s="4">
        <f t="shared" si="11"/>
        <v>0.76528439603779286</v>
      </c>
      <c r="R67">
        <v>1.4708479999999999</v>
      </c>
      <c r="S67">
        <v>1.857024</v>
      </c>
      <c r="T67" s="4">
        <f t="shared" si="5"/>
        <v>1.2625533025846316</v>
      </c>
      <c r="V67">
        <v>256</v>
      </c>
      <c r="W67">
        <v>128</v>
      </c>
      <c r="X67">
        <f>2048</f>
        <v>2048</v>
      </c>
      <c r="Y67">
        <v>8</v>
      </c>
      <c r="Z67">
        <v>1</v>
      </c>
      <c r="AA67">
        <v>5.4171930000000001</v>
      </c>
      <c r="AB67">
        <v>1.111612</v>
      </c>
      <c r="AC67">
        <v>1.0398259999999999</v>
      </c>
      <c r="AD67" s="4">
        <f t="shared" si="6"/>
        <v>0.93542171189227885</v>
      </c>
      <c r="AF67" s="5">
        <f t="shared" si="7"/>
        <v>0.20520073772523889</v>
      </c>
      <c r="AG67" s="5">
        <f t="shared" si="8"/>
        <v>0.19194922536450149</v>
      </c>
      <c r="AI67">
        <v>1.0691619999999999</v>
      </c>
      <c r="AJ67">
        <v>0.82685399999999998</v>
      </c>
      <c r="AK67" s="4">
        <f t="shared" si="12"/>
        <v>0.96181221505345382</v>
      </c>
      <c r="AL67" s="4">
        <f t="shared" si="13"/>
        <v>0.79518496363814717</v>
      </c>
      <c r="AN67">
        <v>0.74620799999999998</v>
      </c>
      <c r="AO67">
        <v>0.84435199999999999</v>
      </c>
      <c r="AP67" s="4">
        <f t="shared" si="9"/>
        <v>1.1315236502422916</v>
      </c>
      <c r="AR67" s="4">
        <f t="shared" si="10"/>
        <v>0.81201277906111224</v>
      </c>
    </row>
    <row r="68" spans="2:44" x14ac:dyDescent="0.25">
      <c r="B68" s="2">
        <v>512</v>
      </c>
      <c r="C68">
        <v>576</v>
      </c>
      <c r="D68" s="2">
        <v>2048</v>
      </c>
      <c r="E68">
        <v>8</v>
      </c>
      <c r="F68">
        <v>1</v>
      </c>
      <c r="H68">
        <v>7.0989440000000004</v>
      </c>
      <c r="I68">
        <v>6.2124319999999997</v>
      </c>
      <c r="J68" s="4">
        <f t="shared" si="2"/>
        <v>0.87512058131462922</v>
      </c>
      <c r="L68" s="4"/>
      <c r="M68" s="4"/>
      <c r="N68">
        <v>4.4946000000000002</v>
      </c>
      <c r="O68">
        <v>4.7208079999999999</v>
      </c>
      <c r="P68" s="4">
        <f t="shared" si="14"/>
        <v>0.63313642141704451</v>
      </c>
      <c r="Q68" s="4">
        <f t="shared" si="11"/>
        <v>0.75989692925411501</v>
      </c>
      <c r="R68">
        <v>2.8661759999999998</v>
      </c>
      <c r="S68">
        <v>3.6297600000000001</v>
      </c>
      <c r="T68" s="4">
        <f t="shared" si="5"/>
        <v>1.2664121114683817</v>
      </c>
      <c r="V68">
        <v>512</v>
      </c>
      <c r="W68">
        <v>128</v>
      </c>
      <c r="X68">
        <f>2048</f>
        <v>2048</v>
      </c>
      <c r="Y68">
        <v>8</v>
      </c>
      <c r="Z68">
        <v>1</v>
      </c>
      <c r="AA68">
        <v>11.01422</v>
      </c>
      <c r="AB68">
        <v>2.1102400000000001</v>
      </c>
      <c r="AC68">
        <v>1.959997</v>
      </c>
      <c r="AD68" s="4">
        <f t="shared" si="6"/>
        <v>0.92880288497990748</v>
      </c>
      <c r="AF68" s="5">
        <f t="shared" si="7"/>
        <v>0.19159232337832366</v>
      </c>
      <c r="AG68" s="5">
        <f t="shared" si="8"/>
        <v>0.1779515026937904</v>
      </c>
      <c r="AI68">
        <v>2.0576620000000001</v>
      </c>
      <c r="AJ68">
        <v>1.480653</v>
      </c>
      <c r="AK68" s="4">
        <f t="shared" si="12"/>
        <v>0.97508435059519294</v>
      </c>
      <c r="AL68" s="4">
        <f t="shared" si="13"/>
        <v>0.75543636036177608</v>
      </c>
      <c r="AN68">
        <v>1.433792</v>
      </c>
      <c r="AO68">
        <v>1.6284799999999999</v>
      </c>
      <c r="AP68" s="4">
        <f>AO68/AN68</f>
        <v>1.1357853858858189</v>
      </c>
      <c r="AR68" s="4">
        <f t="shared" si="10"/>
        <v>0.83085841457920595</v>
      </c>
    </row>
    <row r="69" spans="2:44" x14ac:dyDescent="0.25">
      <c r="B69">
        <v>1</v>
      </c>
      <c r="C69">
        <v>576</v>
      </c>
      <c r="D69">
        <v>4096</v>
      </c>
      <c r="E69">
        <v>8</v>
      </c>
      <c r="F69">
        <v>1</v>
      </c>
      <c r="G69">
        <v>0.39460400000000001</v>
      </c>
      <c r="H69">
        <v>0.275947</v>
      </c>
      <c r="I69">
        <v>0.21886</v>
      </c>
      <c r="J69" s="4">
        <f t="shared" si="2"/>
        <v>0.79312331715872975</v>
      </c>
      <c r="L69" s="5">
        <v>0.70029193824695124</v>
      </c>
      <c r="M69" s="5"/>
      <c r="N69">
        <v>0.27673199999999998</v>
      </c>
      <c r="O69">
        <v>0.214674</v>
      </c>
      <c r="P69" s="4">
        <f t="shared" si="14"/>
        <v>1.0028447491728483</v>
      </c>
      <c r="Q69" s="4">
        <f t="shared" si="11"/>
        <v>0.98087361783788729</v>
      </c>
      <c r="R69">
        <v>0.22265599999999999</v>
      </c>
      <c r="S69">
        <v>0.219328</v>
      </c>
      <c r="T69" s="4">
        <f t="shared" si="5"/>
        <v>0.9850531762000575</v>
      </c>
      <c r="V69" s="8">
        <v>1</v>
      </c>
      <c r="W69" s="8">
        <v>128</v>
      </c>
      <c r="X69" s="8">
        <f>4096</f>
        <v>4096</v>
      </c>
      <c r="Y69" s="8">
        <v>8</v>
      </c>
      <c r="Z69" s="8">
        <v>1</v>
      </c>
      <c r="AA69" s="8">
        <v>0.13572600000000001</v>
      </c>
      <c r="AB69" s="8">
        <v>0.19586700000000001</v>
      </c>
      <c r="AC69">
        <v>0.13563600000000001</v>
      </c>
      <c r="AD69" s="4">
        <f t="shared" si="6"/>
        <v>0.69249031230375713</v>
      </c>
      <c r="AF69" s="5">
        <f t="shared" si="7"/>
        <v>1.443105963485257</v>
      </c>
      <c r="AG69" s="5">
        <f t="shared" si="8"/>
        <v>0.99933689934131997</v>
      </c>
      <c r="AI69">
        <v>0.19498599999999999</v>
      </c>
      <c r="AJ69">
        <v>0.13113</v>
      </c>
      <c r="AK69" s="4">
        <f t="shared" si="12"/>
        <v>0.99550204986036428</v>
      </c>
      <c r="AL69" s="4">
        <f t="shared" si="13"/>
        <v>0.96677873131027159</v>
      </c>
      <c r="AN69">
        <v>0.14112</v>
      </c>
      <c r="AO69">
        <v>0.138048</v>
      </c>
      <c r="AP69" s="4">
        <f t="shared" si="9"/>
        <v>0.97823129251700691</v>
      </c>
      <c r="AR69" s="4">
        <f t="shared" si="10"/>
        <v>1.0177828894983632</v>
      </c>
    </row>
    <row r="70" spans="2:44" x14ac:dyDescent="0.25">
      <c r="B70">
        <v>2</v>
      </c>
      <c r="C70">
        <v>576</v>
      </c>
      <c r="D70">
        <v>4096</v>
      </c>
      <c r="E70">
        <v>8</v>
      </c>
      <c r="F70">
        <v>1</v>
      </c>
      <c r="G70">
        <v>0.39103700000000002</v>
      </c>
      <c r="H70">
        <v>0.35597000000000001</v>
      </c>
      <c r="I70">
        <v>0.29751499999999997</v>
      </c>
      <c r="J70" s="4">
        <f t="shared" si="2"/>
        <v>0.83578672360030326</v>
      </c>
      <c r="L70" s="5">
        <v>0.9092975856504627</v>
      </c>
      <c r="M70" s="5"/>
      <c r="N70">
        <v>0.303062</v>
      </c>
      <c r="O70">
        <v>0.24084700000000001</v>
      </c>
      <c r="P70" s="4">
        <f t="shared" si="14"/>
        <v>0.8513694974295587</v>
      </c>
      <c r="Q70" s="4">
        <f t="shared" si="11"/>
        <v>0.80952893131438763</v>
      </c>
      <c r="R70">
        <v>0.22364800000000001</v>
      </c>
      <c r="S70">
        <v>0.23788799999999999</v>
      </c>
      <c r="T70" s="4">
        <f t="shared" si="5"/>
        <v>1.0636714837601944</v>
      </c>
      <c r="V70" s="8">
        <v>2</v>
      </c>
      <c r="W70" s="8">
        <v>128</v>
      </c>
      <c r="X70" s="8">
        <f>4096</f>
        <v>4096</v>
      </c>
      <c r="Y70" s="8">
        <v>8</v>
      </c>
      <c r="Z70" s="8">
        <v>1</v>
      </c>
      <c r="AA70" s="8">
        <v>0.13827800000000001</v>
      </c>
      <c r="AB70" s="8">
        <v>0.21348700000000001</v>
      </c>
      <c r="AC70">
        <v>0.15212300000000001</v>
      </c>
      <c r="AD70" s="4">
        <f t="shared" si="6"/>
        <v>0.71256329425210907</v>
      </c>
      <c r="AF70" s="5">
        <f t="shared" si="7"/>
        <v>1.5438970769030502</v>
      </c>
      <c r="AG70" s="5">
        <f t="shared" si="8"/>
        <v>1.1001243871042392</v>
      </c>
      <c r="AI70">
        <v>0.20016300000000001</v>
      </c>
      <c r="AJ70">
        <v>0.137382</v>
      </c>
      <c r="AK70" s="4">
        <f t="shared" si="12"/>
        <v>0.93758870563547192</v>
      </c>
      <c r="AL70" s="4">
        <f t="shared" si="13"/>
        <v>0.90309815083846623</v>
      </c>
      <c r="AN70">
        <v>0.1416</v>
      </c>
      <c r="AO70">
        <v>0.14099200000000001</v>
      </c>
      <c r="AP70" s="4">
        <f t="shared" si="9"/>
        <v>0.99570621468926557</v>
      </c>
      <c r="AR70" s="4">
        <f t="shared" si="10"/>
        <v>0.92682894762790635</v>
      </c>
    </row>
    <row r="71" spans="2:44" x14ac:dyDescent="0.25">
      <c r="B71">
        <v>4</v>
      </c>
      <c r="C71">
        <v>576</v>
      </c>
      <c r="D71">
        <v>4096</v>
      </c>
      <c r="E71">
        <v>8</v>
      </c>
      <c r="F71">
        <v>1</v>
      </c>
      <c r="G71">
        <v>0.72094199999999997</v>
      </c>
      <c r="H71">
        <v>0.37651699999999999</v>
      </c>
      <c r="I71">
        <v>0.31764700000000001</v>
      </c>
      <c r="J71" s="4">
        <f t="shared" si="2"/>
        <v>0.84364583803652959</v>
      </c>
      <c r="L71" s="5">
        <v>0.52324181418200078</v>
      </c>
      <c r="M71" s="5"/>
      <c r="N71">
        <v>0.41308</v>
      </c>
      <c r="O71">
        <v>0.34063700000000002</v>
      </c>
      <c r="P71" s="4">
        <f t="shared" si="14"/>
        <v>1.0971084970930929</v>
      </c>
      <c r="Q71" s="4">
        <f t="shared" si="11"/>
        <v>1.0723759393288776</v>
      </c>
      <c r="R71">
        <v>0.27094400000000002</v>
      </c>
      <c r="S71">
        <v>0.24127999999999999</v>
      </c>
      <c r="T71" s="4">
        <f t="shared" si="5"/>
        <v>0.89051612141254277</v>
      </c>
      <c r="V71" s="8">
        <v>4</v>
      </c>
      <c r="W71" s="8">
        <v>128</v>
      </c>
      <c r="X71" s="8">
        <f>4096</f>
        <v>4096</v>
      </c>
      <c r="Y71" s="8">
        <v>8</v>
      </c>
      <c r="Z71" s="8">
        <v>1</v>
      </c>
      <c r="AA71" s="8">
        <v>0.213506</v>
      </c>
      <c r="AB71" s="8">
        <v>0.217143</v>
      </c>
      <c r="AC71">
        <v>0.155834</v>
      </c>
      <c r="AD71" s="4">
        <f t="shared" si="6"/>
        <v>0.71765610680519287</v>
      </c>
      <c r="AF71" s="5">
        <f t="shared" si="7"/>
        <v>1.0170346500800915</v>
      </c>
      <c r="AG71" s="5">
        <f t="shared" si="8"/>
        <v>0.72988112746246003</v>
      </c>
      <c r="AI71">
        <v>0.229599</v>
      </c>
      <c r="AJ71">
        <v>0.16647000000000001</v>
      </c>
      <c r="AK71" s="4">
        <f t="shared" si="12"/>
        <v>1.057363120155842</v>
      </c>
      <c r="AL71" s="4">
        <f t="shared" si="13"/>
        <v>1.068252114429457</v>
      </c>
      <c r="AN71">
        <v>0.14403199999999999</v>
      </c>
      <c r="AO71">
        <v>0.14105599999999999</v>
      </c>
      <c r="AP71" s="4">
        <f t="shared" si="9"/>
        <v>0.97933792490557647</v>
      </c>
      <c r="AR71" s="4">
        <f t="shared" si="10"/>
        <v>0.90516832013552873</v>
      </c>
    </row>
    <row r="72" spans="2:44" x14ac:dyDescent="0.25">
      <c r="B72">
        <v>8</v>
      </c>
      <c r="C72">
        <v>576</v>
      </c>
      <c r="D72">
        <v>4096</v>
      </c>
      <c r="E72">
        <v>8</v>
      </c>
      <c r="F72">
        <v>1</v>
      </c>
      <c r="G72">
        <v>1.3903479999999999</v>
      </c>
      <c r="H72">
        <v>0.491147</v>
      </c>
      <c r="I72">
        <v>0.42371700000000001</v>
      </c>
      <c r="J72" s="4">
        <f t="shared" si="2"/>
        <v>0.86270912781713016</v>
      </c>
      <c r="L72" s="4">
        <v>0.35906406165938315</v>
      </c>
      <c r="M72" s="4"/>
      <c r="N72">
        <v>0.41592899999999999</v>
      </c>
      <c r="O72">
        <v>0.34109400000000001</v>
      </c>
      <c r="P72" s="4">
        <f t="shared" si="14"/>
        <v>0.84685236802830921</v>
      </c>
      <c r="Q72" s="4">
        <f t="shared" si="11"/>
        <v>0.80500428351942455</v>
      </c>
      <c r="R72">
        <v>0.27740799999999999</v>
      </c>
      <c r="S72">
        <v>0.27174399999999999</v>
      </c>
      <c r="T72" s="4">
        <f t="shared" si="5"/>
        <v>0.97958242011766061</v>
      </c>
      <c r="V72">
        <v>8</v>
      </c>
      <c r="W72">
        <v>128</v>
      </c>
      <c r="X72">
        <f>4096</f>
        <v>4096</v>
      </c>
      <c r="Y72">
        <v>8</v>
      </c>
      <c r="Z72">
        <v>1</v>
      </c>
      <c r="AA72">
        <v>0.37281300000000001</v>
      </c>
      <c r="AB72">
        <v>0.24057100000000001</v>
      </c>
      <c r="AC72">
        <v>0.17739099999999999</v>
      </c>
      <c r="AD72" s="4">
        <f t="shared" si="6"/>
        <v>0.73737482905254581</v>
      </c>
      <c r="AF72" s="5">
        <f t="shared" si="7"/>
        <v>0.64528597446977443</v>
      </c>
      <c r="AG72" s="5">
        <f t="shared" si="8"/>
        <v>0.4758176351146553</v>
      </c>
      <c r="AI72">
        <v>0.23544399999999999</v>
      </c>
      <c r="AJ72">
        <v>0.166605</v>
      </c>
      <c r="AK72" s="4">
        <f t="shared" si="12"/>
        <v>0.97868820431390313</v>
      </c>
      <c r="AL72" s="4">
        <f t="shared" si="13"/>
        <v>0.93919646430765935</v>
      </c>
      <c r="AN72">
        <v>0.144928</v>
      </c>
      <c r="AO72">
        <v>0.148928</v>
      </c>
      <c r="AP72" s="4">
        <f t="shared" si="9"/>
        <v>1.0275999116802828</v>
      </c>
      <c r="AR72" s="4">
        <f t="shared" si="10"/>
        <v>0.83954653843768856</v>
      </c>
    </row>
    <row r="73" spans="2:44" x14ac:dyDescent="0.25">
      <c r="B73">
        <v>16</v>
      </c>
      <c r="C73">
        <v>576</v>
      </c>
      <c r="D73">
        <v>4096</v>
      </c>
      <c r="E73">
        <v>8</v>
      </c>
      <c r="F73">
        <v>1</v>
      </c>
      <c r="G73">
        <v>2.7113909999999999</v>
      </c>
      <c r="H73">
        <v>0.56328100000000003</v>
      </c>
      <c r="I73">
        <v>0.48807499999999998</v>
      </c>
      <c r="J73" s="4">
        <f t="shared" si="2"/>
        <v>0.86648582146388742</v>
      </c>
      <c r="L73" s="4">
        <v>0.21051814363918742</v>
      </c>
      <c r="M73" s="4"/>
      <c r="N73">
        <v>0.433504</v>
      </c>
      <c r="O73">
        <v>0.34264299999999998</v>
      </c>
      <c r="P73" s="4">
        <f t="shared" si="14"/>
        <v>0.76960522368054307</v>
      </c>
      <c r="Q73" s="4">
        <f t="shared" si="11"/>
        <v>0.70202940121907487</v>
      </c>
      <c r="R73">
        <v>0.27872000000000002</v>
      </c>
      <c r="S73">
        <v>0.30214400000000002</v>
      </c>
      <c r="T73" s="4">
        <f t="shared" si="5"/>
        <v>1.0840413318025259</v>
      </c>
      <c r="V73">
        <v>16</v>
      </c>
      <c r="W73">
        <v>128</v>
      </c>
      <c r="X73">
        <f>4096</f>
        <v>4096</v>
      </c>
      <c r="Y73">
        <v>8</v>
      </c>
      <c r="Z73">
        <v>1</v>
      </c>
      <c r="AA73">
        <v>0.720688</v>
      </c>
      <c r="AB73">
        <v>0.265461</v>
      </c>
      <c r="AC73">
        <v>0.199881</v>
      </c>
      <c r="AD73" s="4">
        <f t="shared" si="6"/>
        <v>0.75295806163617252</v>
      </c>
      <c r="AF73" s="5">
        <f t="shared" si="7"/>
        <v>0.36834386031125815</v>
      </c>
      <c r="AG73" s="5">
        <f t="shared" si="8"/>
        <v>0.27734747907555002</v>
      </c>
      <c r="AI73">
        <v>0.23655599999999999</v>
      </c>
      <c r="AJ73">
        <v>0.16952300000000001</v>
      </c>
      <c r="AK73" s="4">
        <f t="shared" ref="AK73:AK104" si="15">AI73/AB73</f>
        <v>0.89111394894165241</v>
      </c>
      <c r="AL73" s="4">
        <f t="shared" ref="AL73:AL104" si="16">AJ73/AC73</f>
        <v>0.84811963118055245</v>
      </c>
      <c r="AN73">
        <v>0.14505599999999999</v>
      </c>
      <c r="AO73">
        <v>0.15872</v>
      </c>
      <c r="AP73" s="4">
        <f t="shared" si="9"/>
        <v>1.0941981028016767</v>
      </c>
      <c r="AR73" s="4">
        <f t="shared" si="10"/>
        <v>0.79407247312150731</v>
      </c>
    </row>
    <row r="74" spans="2:44" x14ac:dyDescent="0.25">
      <c r="B74">
        <v>32</v>
      </c>
      <c r="C74">
        <v>576</v>
      </c>
      <c r="D74">
        <v>4096</v>
      </c>
      <c r="E74">
        <v>8</v>
      </c>
      <c r="F74">
        <v>1</v>
      </c>
      <c r="G74">
        <v>5.3134040000000002</v>
      </c>
      <c r="H74">
        <v>0.98673299999999997</v>
      </c>
      <c r="I74">
        <v>0.881884</v>
      </c>
      <c r="J74" s="4">
        <f t="shared" ref="J74:J137" si="17">I74/H74</f>
        <v>0.89374126536763243</v>
      </c>
      <c r="L74" s="4">
        <v>0.18976328545693119</v>
      </c>
      <c r="M74" s="4"/>
      <c r="N74">
        <v>0.69521900000000003</v>
      </c>
      <c r="O74">
        <v>0.68904799999999999</v>
      </c>
      <c r="P74" s="4">
        <f t="shared" ref="P74:P105" si="18">N74/H74</f>
        <v>0.70456648353708662</v>
      </c>
      <c r="Q74" s="4">
        <f t="shared" si="11"/>
        <v>0.7813363208766686</v>
      </c>
      <c r="R74">
        <v>0.44684800000000002</v>
      </c>
      <c r="S74">
        <v>0.51225600000000004</v>
      </c>
      <c r="T74" s="4">
        <f t="shared" ref="T74:T98" si="19">S74/R74</f>
        <v>1.1463763964480091</v>
      </c>
      <c r="V74">
        <v>32</v>
      </c>
      <c r="W74">
        <v>128</v>
      </c>
      <c r="X74">
        <f>4096</f>
        <v>4096</v>
      </c>
      <c r="Y74">
        <v>8</v>
      </c>
      <c r="Z74">
        <v>1</v>
      </c>
      <c r="AA74">
        <v>1.3507979999999999</v>
      </c>
      <c r="AB74">
        <v>0.39693299999999998</v>
      </c>
      <c r="AC74">
        <v>0.32766400000000001</v>
      </c>
      <c r="AD74" s="4">
        <f t="shared" ref="AD74:AD137" si="20">AC74/AB74</f>
        <v>0.82548944028337279</v>
      </c>
      <c r="AF74" s="5">
        <f t="shared" ref="AF74:AF137" si="21">AB74/AA74</f>
        <v>0.2938507460034735</v>
      </c>
      <c r="AG74" s="5">
        <f t="shared" ref="AG74:AG137" si="22">AC74/AA74</f>
        <v>0.2425706878452589</v>
      </c>
      <c r="AI74">
        <v>0.35603400000000002</v>
      </c>
      <c r="AJ74">
        <v>0.27081</v>
      </c>
      <c r="AK74" s="4">
        <f t="shared" si="15"/>
        <v>0.89696245965943888</v>
      </c>
      <c r="AL74" s="4">
        <f t="shared" si="16"/>
        <v>0.82648688900825229</v>
      </c>
      <c r="AN74">
        <v>0.22598399999999999</v>
      </c>
      <c r="AO74">
        <v>0.25420799999999999</v>
      </c>
      <c r="AP74" s="4">
        <f t="shared" ref="AP74:AP98" si="23">AO74/AN74</f>
        <v>1.1248937977909941</v>
      </c>
      <c r="AR74" s="4">
        <f t="shared" ref="AR74:AR98" si="24">AO74/AC74</f>
        <v>0.77581913179354456</v>
      </c>
    </row>
    <row r="75" spans="2:44" x14ac:dyDescent="0.25">
      <c r="B75">
        <v>64</v>
      </c>
      <c r="C75">
        <v>576</v>
      </c>
      <c r="D75">
        <v>4096</v>
      </c>
      <c r="E75">
        <v>8</v>
      </c>
      <c r="F75">
        <v>1</v>
      </c>
      <c r="G75">
        <v>10.537006</v>
      </c>
      <c r="H75">
        <v>1.919022</v>
      </c>
      <c r="I75">
        <v>1.6328309999999999</v>
      </c>
      <c r="J75" s="4">
        <f t="shared" si="17"/>
        <v>0.85086622248207677</v>
      </c>
      <c r="L75" s="4">
        <v>0.18370341632148637</v>
      </c>
      <c r="M75" s="4"/>
      <c r="N75">
        <v>1.244848</v>
      </c>
      <c r="O75">
        <v>1.2730889999999999</v>
      </c>
      <c r="P75" s="4">
        <f t="shared" si="18"/>
        <v>0.64868875917003554</v>
      </c>
      <c r="Q75" s="4">
        <f t="shared" si="11"/>
        <v>0.77968203690400295</v>
      </c>
      <c r="R75">
        <v>0.778976</v>
      </c>
      <c r="S75">
        <v>0.93958399999999997</v>
      </c>
      <c r="T75" s="4">
        <f t="shared" si="19"/>
        <v>1.2061783674978432</v>
      </c>
      <c r="V75">
        <v>64</v>
      </c>
      <c r="W75">
        <v>128</v>
      </c>
      <c r="X75">
        <f>4096</f>
        <v>4096</v>
      </c>
      <c r="Y75">
        <v>8</v>
      </c>
      <c r="Z75">
        <v>1</v>
      </c>
      <c r="AA75">
        <v>2.6945440000000001</v>
      </c>
      <c r="AB75">
        <v>0.63598500000000002</v>
      </c>
      <c r="AC75">
        <v>0.56909200000000004</v>
      </c>
      <c r="AD75" s="4">
        <f t="shared" si="20"/>
        <v>0.89481984638002476</v>
      </c>
      <c r="AF75" s="5">
        <f t="shared" si="21"/>
        <v>0.2360269492723073</v>
      </c>
      <c r="AG75" s="5">
        <f t="shared" si="22"/>
        <v>0.21120159848939191</v>
      </c>
      <c r="AI75">
        <v>0.59893300000000005</v>
      </c>
      <c r="AJ75">
        <v>0.47721000000000002</v>
      </c>
      <c r="AK75" s="4">
        <f t="shared" si="15"/>
        <v>0.94174076432620268</v>
      </c>
      <c r="AL75" s="4">
        <f t="shared" si="16"/>
        <v>0.83854631588565642</v>
      </c>
      <c r="AN75">
        <v>0.39167999999999997</v>
      </c>
      <c r="AO75">
        <v>0.44505600000000001</v>
      </c>
      <c r="AP75" s="4">
        <f t="shared" si="23"/>
        <v>1.1362745098039218</v>
      </c>
      <c r="AR75" s="4">
        <f t="shared" si="24"/>
        <v>0.78204578521574719</v>
      </c>
    </row>
    <row r="76" spans="2:44" x14ac:dyDescent="0.25">
      <c r="B76">
        <v>128</v>
      </c>
      <c r="C76">
        <v>576</v>
      </c>
      <c r="D76">
        <v>4096</v>
      </c>
      <c r="E76">
        <v>8</v>
      </c>
      <c r="F76">
        <v>1</v>
      </c>
      <c r="G76">
        <v>21.037534999999998</v>
      </c>
      <c r="H76">
        <v>3.755906</v>
      </c>
      <c r="I76">
        <v>3.1405630000000002</v>
      </c>
      <c r="J76" s="4">
        <f t="shared" si="17"/>
        <v>0.83616656007897971</v>
      </c>
      <c r="L76" s="4">
        <v>0.18056136329660297</v>
      </c>
      <c r="M76" s="4"/>
      <c r="N76">
        <v>2.3029090000000001</v>
      </c>
      <c r="O76">
        <v>2.3853580000000001</v>
      </c>
      <c r="P76" s="4">
        <f t="shared" si="18"/>
        <v>0.61314340667737699</v>
      </c>
      <c r="Q76" s="4">
        <f t="shared" si="11"/>
        <v>0.75953196926793065</v>
      </c>
      <c r="R76">
        <v>1.42896</v>
      </c>
      <c r="S76">
        <v>1.795712</v>
      </c>
      <c r="T76" s="4">
        <f t="shared" si="19"/>
        <v>1.2566565894076811</v>
      </c>
      <c r="V76">
        <v>128</v>
      </c>
      <c r="W76">
        <v>128</v>
      </c>
      <c r="X76">
        <f>4096</f>
        <v>4096</v>
      </c>
      <c r="Y76">
        <v>8</v>
      </c>
      <c r="Z76">
        <v>1</v>
      </c>
      <c r="AA76">
        <v>5.3288500000000001</v>
      </c>
      <c r="AB76">
        <v>1.1312359999999999</v>
      </c>
      <c r="AC76">
        <v>1.026491</v>
      </c>
      <c r="AD76" s="4">
        <f t="shared" si="20"/>
        <v>0.90740658889922188</v>
      </c>
      <c r="AF76" s="5">
        <f t="shared" si="21"/>
        <v>0.21228520224813982</v>
      </c>
      <c r="AG76" s="5">
        <f t="shared" si="22"/>
        <v>0.19262899124576599</v>
      </c>
      <c r="AI76">
        <v>1.0843400000000001</v>
      </c>
      <c r="AJ76">
        <v>0.832314</v>
      </c>
      <c r="AK76" s="4">
        <f t="shared" si="15"/>
        <v>0.95854445933474552</v>
      </c>
      <c r="AL76" s="4">
        <f t="shared" si="16"/>
        <v>0.81083419143470326</v>
      </c>
      <c r="AN76">
        <v>0.72028800000000004</v>
      </c>
      <c r="AO76">
        <v>0.82777599999999996</v>
      </c>
      <c r="AP76" s="4">
        <f t="shared" si="23"/>
        <v>1.1492291972100048</v>
      </c>
      <c r="AR76" s="4">
        <f t="shared" si="24"/>
        <v>0.80641330513370302</v>
      </c>
    </row>
    <row r="77" spans="2:44" x14ac:dyDescent="0.25">
      <c r="B77">
        <v>256</v>
      </c>
      <c r="C77">
        <v>576</v>
      </c>
      <c r="D77">
        <v>4096</v>
      </c>
      <c r="E77">
        <v>8</v>
      </c>
      <c r="F77">
        <v>1</v>
      </c>
      <c r="H77">
        <v>7.4096489999999999</v>
      </c>
      <c r="I77">
        <v>6.1053879999999996</v>
      </c>
      <c r="J77" s="4">
        <f t="shared" si="17"/>
        <v>0.82397803188788021</v>
      </c>
      <c r="L77" s="4"/>
      <c r="M77" s="4"/>
      <c r="N77">
        <v>4.3922340000000002</v>
      </c>
      <c r="O77">
        <v>4.6055960000000002</v>
      </c>
      <c r="P77" s="4">
        <f t="shared" si="18"/>
        <v>0.59277220823820398</v>
      </c>
      <c r="Q77" s="4">
        <f t="shared" si="11"/>
        <v>0.75434943692358303</v>
      </c>
      <c r="R77">
        <v>2.7138879999999999</v>
      </c>
      <c r="S77">
        <v>3.5109119999999998</v>
      </c>
      <c r="T77" s="4">
        <f t="shared" si="19"/>
        <v>1.2936834534070676</v>
      </c>
      <c r="V77">
        <v>256</v>
      </c>
      <c r="W77">
        <v>128</v>
      </c>
      <c r="X77">
        <f>4096</f>
        <v>4096</v>
      </c>
      <c r="Y77">
        <v>8</v>
      </c>
      <c r="Z77">
        <v>1</v>
      </c>
      <c r="AA77">
        <v>10.765574000000001</v>
      </c>
      <c r="AB77">
        <v>2.113318</v>
      </c>
      <c r="AC77">
        <v>1.911281</v>
      </c>
      <c r="AD77" s="4">
        <f t="shared" si="20"/>
        <v>0.90439820225824985</v>
      </c>
      <c r="AF77" s="5">
        <f t="shared" si="21"/>
        <v>0.19630332762563332</v>
      </c>
      <c r="AG77" s="5">
        <f t="shared" si="22"/>
        <v>0.177536376601935</v>
      </c>
      <c r="AI77">
        <v>2.0541649999999998</v>
      </c>
      <c r="AJ77">
        <v>1.4829829999999999</v>
      </c>
      <c r="AK77" s="4">
        <f t="shared" si="15"/>
        <v>0.97200941836486499</v>
      </c>
      <c r="AL77" s="4">
        <f t="shared" si="16"/>
        <v>0.77591050190945232</v>
      </c>
      <c r="AN77">
        <v>1.377696</v>
      </c>
      <c r="AO77">
        <v>1.595008</v>
      </c>
      <c r="AP77" s="4">
        <f t="shared" si="23"/>
        <v>1.1577358139967018</v>
      </c>
      <c r="AR77" s="4">
        <f t="shared" si="24"/>
        <v>0.83452302408698664</v>
      </c>
    </row>
    <row r="78" spans="2:44" x14ac:dyDescent="0.25">
      <c r="B78">
        <v>512</v>
      </c>
      <c r="C78">
        <v>576</v>
      </c>
      <c r="D78">
        <v>4096</v>
      </c>
      <c r="E78">
        <v>8</v>
      </c>
      <c r="F78">
        <v>1</v>
      </c>
      <c r="H78">
        <v>14.760866999999999</v>
      </c>
      <c r="I78">
        <v>12.085981</v>
      </c>
      <c r="J78" s="4">
        <f t="shared" si="17"/>
        <v>0.8187853057682859</v>
      </c>
      <c r="L78" s="4"/>
      <c r="M78" s="4"/>
      <c r="N78">
        <v>8.5717110000000005</v>
      </c>
      <c r="O78">
        <v>9.002103</v>
      </c>
      <c r="P78" s="4">
        <f t="shared" si="18"/>
        <v>0.58070511711812056</v>
      </c>
      <c r="Q78" s="4">
        <f t="shared" si="11"/>
        <v>0.74483842064620154</v>
      </c>
      <c r="R78">
        <v>5.325952</v>
      </c>
      <c r="S78">
        <v>6.8852479999999998</v>
      </c>
      <c r="T78" s="4">
        <f t="shared" si="19"/>
        <v>1.292773198106179</v>
      </c>
      <c r="V78">
        <v>512</v>
      </c>
      <c r="W78">
        <v>128</v>
      </c>
      <c r="X78">
        <f>4096</f>
        <v>4096</v>
      </c>
      <c r="Y78">
        <v>8</v>
      </c>
      <c r="Z78">
        <v>1</v>
      </c>
      <c r="AA78">
        <v>21.724388000000001</v>
      </c>
      <c r="AB78">
        <v>4.0626150000000001</v>
      </c>
      <c r="AC78">
        <v>3.6560049999999999</v>
      </c>
      <c r="AD78" s="4">
        <f t="shared" si="20"/>
        <v>0.89991421781291114</v>
      </c>
      <c r="AF78" s="5">
        <f t="shared" si="21"/>
        <v>0.18700710924514882</v>
      </c>
      <c r="AG78" s="5">
        <f t="shared" si="22"/>
        <v>0.16829035644180171</v>
      </c>
      <c r="AI78">
        <v>3.9986250000000001</v>
      </c>
      <c r="AJ78">
        <v>2.7574529999999999</v>
      </c>
      <c r="AK78" s="4">
        <f t="shared" si="15"/>
        <v>0.98424906125734291</v>
      </c>
      <c r="AL78" s="4">
        <f t="shared" si="16"/>
        <v>0.75422571905672997</v>
      </c>
      <c r="AN78">
        <v>2.690496</v>
      </c>
      <c r="AO78">
        <v>3.1473279999999999</v>
      </c>
      <c r="AP78" s="4">
        <f t="shared" si="23"/>
        <v>1.169794714431837</v>
      </c>
      <c r="AR78" s="4">
        <f t="shared" si="24"/>
        <v>0.86086534345549304</v>
      </c>
    </row>
    <row r="79" spans="2:44" s="9" customFormat="1" x14ac:dyDescent="0.25">
      <c r="B79" s="9">
        <v>1</v>
      </c>
      <c r="C79" s="9">
        <v>576</v>
      </c>
      <c r="D79" s="9">
        <v>8192</v>
      </c>
      <c r="E79" s="9">
        <v>8</v>
      </c>
      <c r="F79" s="9">
        <v>1</v>
      </c>
      <c r="G79" s="9">
        <v>0.73324199999999995</v>
      </c>
      <c r="H79" s="9">
        <v>0.49013899999999999</v>
      </c>
      <c r="I79" s="9">
        <v>0.372423</v>
      </c>
      <c r="J79" s="47">
        <f t="shared" si="17"/>
        <v>0.75983139476760675</v>
      </c>
      <c r="L79" s="47">
        <v>0.66924971564640323</v>
      </c>
      <c r="M79" s="47"/>
      <c r="N79" s="9">
        <v>0.49120999999999998</v>
      </c>
      <c r="O79" s="9">
        <v>0.36364800000000003</v>
      </c>
      <c r="P79" s="47">
        <f t="shared" si="18"/>
        <v>1.0021850944323958</v>
      </c>
      <c r="Q79" s="47">
        <f t="shared" si="11"/>
        <v>0.97643808250296038</v>
      </c>
      <c r="R79">
        <v>0.35609600000000002</v>
      </c>
      <c r="S79">
        <v>0.35148800000000002</v>
      </c>
      <c r="T79" s="4">
        <f t="shared" si="19"/>
        <v>0.98705966930265998</v>
      </c>
      <c r="V79" s="50">
        <v>1</v>
      </c>
      <c r="W79" s="50">
        <v>128</v>
      </c>
      <c r="X79" s="50">
        <f>8192</f>
        <v>8192</v>
      </c>
      <c r="Y79" s="50">
        <v>8</v>
      </c>
      <c r="Z79" s="50">
        <v>1</v>
      </c>
      <c r="AA79" s="50">
        <v>0.21574399999999999</v>
      </c>
      <c r="AB79" s="50">
        <v>0.336256</v>
      </c>
      <c r="AC79" s="9">
        <v>0.213862</v>
      </c>
      <c r="AD79" s="47">
        <f t="shared" si="20"/>
        <v>0.63600946897601829</v>
      </c>
      <c r="AF79" s="47">
        <f t="shared" si="21"/>
        <v>1.558587956096114</v>
      </c>
      <c r="AG79" s="47">
        <f t="shared" si="22"/>
        <v>0.99127669830910714</v>
      </c>
      <c r="AI79" s="9">
        <v>0.33268199999999998</v>
      </c>
      <c r="AJ79" s="9">
        <v>0.20341100000000001</v>
      </c>
      <c r="AK79" s="47">
        <f t="shared" si="15"/>
        <v>0.98937119337647506</v>
      </c>
      <c r="AL79" s="47">
        <f t="shared" si="16"/>
        <v>0.95113203841729721</v>
      </c>
      <c r="AN79">
        <v>0.2208</v>
      </c>
      <c r="AO79">
        <v>0.21420800000000001</v>
      </c>
      <c r="AP79" s="4">
        <f t="shared" si="23"/>
        <v>0.97014492753623194</v>
      </c>
      <c r="AR79" s="4">
        <f t="shared" si="24"/>
        <v>1.0016178657264967</v>
      </c>
    </row>
    <row r="80" spans="2:44" s="9" customFormat="1" x14ac:dyDescent="0.25">
      <c r="B80" s="9">
        <v>2</v>
      </c>
      <c r="C80" s="9">
        <v>576</v>
      </c>
      <c r="D80" s="9">
        <v>8192</v>
      </c>
      <c r="E80" s="9">
        <v>8</v>
      </c>
      <c r="F80" s="9">
        <v>1</v>
      </c>
      <c r="G80" s="9">
        <v>0.71946500000000002</v>
      </c>
      <c r="H80" s="9">
        <v>0.65015199999999995</v>
      </c>
      <c r="I80" s="9">
        <v>0.52649199999999996</v>
      </c>
      <c r="J80" s="47">
        <f t="shared" si="17"/>
        <v>0.80979832408421415</v>
      </c>
      <c r="L80" s="47">
        <v>0.89728478800219613</v>
      </c>
      <c r="M80" s="47"/>
      <c r="N80" s="9">
        <v>0.57348900000000003</v>
      </c>
      <c r="O80" s="9">
        <v>0.45189800000000002</v>
      </c>
      <c r="P80" s="47">
        <f t="shared" si="18"/>
        <v>0.88208449716374027</v>
      </c>
      <c r="Q80" s="47">
        <f t="shared" si="11"/>
        <v>0.858318834854091</v>
      </c>
      <c r="R80">
        <v>0.35808000000000001</v>
      </c>
      <c r="S80">
        <v>0.36729600000000001</v>
      </c>
      <c r="T80" s="4">
        <f t="shared" si="19"/>
        <v>1.0257372654155497</v>
      </c>
      <c r="V80" s="50">
        <v>2</v>
      </c>
      <c r="W80" s="50">
        <v>128</v>
      </c>
      <c r="X80" s="50">
        <f>8192</f>
        <v>8192</v>
      </c>
      <c r="Y80" s="50">
        <v>8</v>
      </c>
      <c r="Z80" s="50">
        <v>1</v>
      </c>
      <c r="AA80" s="50">
        <v>0.225241</v>
      </c>
      <c r="AB80" s="50">
        <v>0.37155700000000003</v>
      </c>
      <c r="AC80" s="9">
        <v>0.24545900000000001</v>
      </c>
      <c r="AD80" s="47">
        <f t="shared" si="20"/>
        <v>0.66062273083268519</v>
      </c>
      <c r="AF80" s="47">
        <f t="shared" si="21"/>
        <v>1.6495975421881452</v>
      </c>
      <c r="AG80" s="47">
        <f t="shared" si="22"/>
        <v>1.089761633095218</v>
      </c>
      <c r="AI80" s="9">
        <v>0.34746300000000002</v>
      </c>
      <c r="AJ80" s="9">
        <v>0.217306</v>
      </c>
      <c r="AK80" s="47">
        <f t="shared" si="15"/>
        <v>0.93515396022682928</v>
      </c>
      <c r="AL80" s="47">
        <f t="shared" si="16"/>
        <v>0.88530467410035885</v>
      </c>
      <c r="AN80">
        <v>0.21993599999999999</v>
      </c>
      <c r="AO80">
        <v>0.21721599999999999</v>
      </c>
      <c r="AP80" s="4">
        <f t="shared" si="23"/>
        <v>0.98763276589553328</v>
      </c>
      <c r="AR80" s="4">
        <f t="shared" si="24"/>
        <v>0.88493801408789241</v>
      </c>
    </row>
    <row r="81" spans="2:44" x14ac:dyDescent="0.25">
      <c r="B81">
        <v>4</v>
      </c>
      <c r="C81">
        <v>576</v>
      </c>
      <c r="D81">
        <v>8192</v>
      </c>
      <c r="E81">
        <v>8</v>
      </c>
      <c r="F81">
        <v>1</v>
      </c>
      <c r="G81">
        <v>1.37747</v>
      </c>
      <c r="H81">
        <v>0.69249300000000003</v>
      </c>
      <c r="I81">
        <v>0.56592799999999999</v>
      </c>
      <c r="J81" s="4">
        <f t="shared" si="17"/>
        <v>0.81723280957352629</v>
      </c>
      <c r="L81" s="5">
        <v>0.50469338715180734</v>
      </c>
      <c r="M81" s="5"/>
      <c r="N81">
        <v>0.92008000000000001</v>
      </c>
      <c r="O81">
        <v>0.69454400000000005</v>
      </c>
      <c r="P81" s="4">
        <f t="shared" si="18"/>
        <v>1.3286488094464493</v>
      </c>
      <c r="Q81" s="4">
        <f t="shared" si="11"/>
        <v>1.227265659235804</v>
      </c>
      <c r="R81">
        <v>0.44019200000000003</v>
      </c>
      <c r="S81">
        <v>0.38291199999999997</v>
      </c>
      <c r="T81" s="4">
        <f t="shared" si="19"/>
        <v>0.86987496365222439</v>
      </c>
      <c r="V81" s="8">
        <v>4</v>
      </c>
      <c r="W81" s="8">
        <v>128</v>
      </c>
      <c r="X81" s="8">
        <f>8192</f>
        <v>8192</v>
      </c>
      <c r="Y81" s="8">
        <v>8</v>
      </c>
      <c r="Z81" s="8">
        <v>1</v>
      </c>
      <c r="AA81" s="8">
        <v>0.367392</v>
      </c>
      <c r="AB81" s="8">
        <v>0.37873099999999998</v>
      </c>
      <c r="AC81">
        <v>0.25369900000000001</v>
      </c>
      <c r="AD81" s="4">
        <f t="shared" si="20"/>
        <v>0.6698659470706122</v>
      </c>
      <c r="AF81" s="5">
        <f t="shared" si="21"/>
        <v>1.0308634918561101</v>
      </c>
      <c r="AG81" s="5">
        <f t="shared" si="22"/>
        <v>0.69054034927271146</v>
      </c>
      <c r="AI81">
        <v>0.40182499999999999</v>
      </c>
      <c r="AJ81">
        <v>0.26630999999999999</v>
      </c>
      <c r="AK81" s="4">
        <f t="shared" si="15"/>
        <v>1.0609773163538236</v>
      </c>
      <c r="AL81" s="4">
        <f t="shared" si="16"/>
        <v>1.0497085128439607</v>
      </c>
      <c r="AN81">
        <v>0.221856</v>
      </c>
      <c r="AO81">
        <v>0.216448</v>
      </c>
      <c r="AP81" s="4">
        <f t="shared" si="23"/>
        <v>0.97562382806865722</v>
      </c>
      <c r="AR81" s="4">
        <f t="shared" si="24"/>
        <v>0.85316851859881193</v>
      </c>
    </row>
    <row r="82" spans="2:44" x14ac:dyDescent="0.25">
      <c r="B82">
        <v>8</v>
      </c>
      <c r="C82">
        <v>576</v>
      </c>
      <c r="D82">
        <v>8192</v>
      </c>
      <c r="E82">
        <v>8</v>
      </c>
      <c r="F82">
        <v>1</v>
      </c>
      <c r="G82">
        <v>2.680275</v>
      </c>
      <c r="H82">
        <v>0.92495499999999997</v>
      </c>
      <c r="I82">
        <v>0.77490000000000003</v>
      </c>
      <c r="J82" s="4">
        <f t="shared" si="17"/>
        <v>0.83777048613175786</v>
      </c>
      <c r="L82" s="4">
        <v>0.34845790077510702</v>
      </c>
      <c r="M82" s="4"/>
      <c r="N82">
        <v>0.93984800000000002</v>
      </c>
      <c r="O82">
        <v>0.68617700000000004</v>
      </c>
      <c r="P82" s="4">
        <f t="shared" si="18"/>
        <v>1.0161013238481873</v>
      </c>
      <c r="Q82" s="4">
        <f t="shared" si="11"/>
        <v>0.88550393599174093</v>
      </c>
      <c r="R82">
        <v>0.44364799999999999</v>
      </c>
      <c r="S82">
        <v>0.44729600000000003</v>
      </c>
      <c r="T82" s="4">
        <f t="shared" si="19"/>
        <v>1.0082227351413735</v>
      </c>
      <c r="V82">
        <v>8</v>
      </c>
      <c r="W82">
        <v>128</v>
      </c>
      <c r="X82">
        <f>8192</f>
        <v>8192</v>
      </c>
      <c r="Y82">
        <v>8</v>
      </c>
      <c r="Z82">
        <v>1</v>
      </c>
      <c r="AA82">
        <v>0.69224300000000005</v>
      </c>
      <c r="AB82">
        <v>0.42692000000000002</v>
      </c>
      <c r="AC82">
        <v>0.29230699999999998</v>
      </c>
      <c r="AD82" s="4">
        <f t="shared" si="20"/>
        <v>0.68468799775133504</v>
      </c>
      <c r="AF82" s="5">
        <f t="shared" si="21"/>
        <v>0.61671985126610163</v>
      </c>
      <c r="AG82" s="5">
        <f t="shared" si="22"/>
        <v>0.42226068013688828</v>
      </c>
      <c r="AI82">
        <v>0.41509099999999999</v>
      </c>
      <c r="AJ82">
        <v>0.26875500000000002</v>
      </c>
      <c r="AK82" s="4">
        <f t="shared" si="15"/>
        <v>0.97229223273681242</v>
      </c>
      <c r="AL82" s="4">
        <f t="shared" si="16"/>
        <v>0.91942717759068393</v>
      </c>
      <c r="AN82">
        <v>0.22233600000000001</v>
      </c>
      <c r="AO82">
        <v>0.236928</v>
      </c>
      <c r="AP82" s="4">
        <f t="shared" si="23"/>
        <v>1.0656303972366148</v>
      </c>
      <c r="AR82" s="4">
        <f t="shared" si="24"/>
        <v>0.81054507760676275</v>
      </c>
    </row>
    <row r="83" spans="2:44" x14ac:dyDescent="0.25">
      <c r="B83">
        <v>16</v>
      </c>
      <c r="C83">
        <v>576</v>
      </c>
      <c r="D83">
        <v>8192</v>
      </c>
      <c r="E83">
        <v>8</v>
      </c>
      <c r="F83">
        <v>1</v>
      </c>
      <c r="G83">
        <v>5.3073499999999996</v>
      </c>
      <c r="H83">
        <v>1.11077</v>
      </c>
      <c r="I83">
        <v>0.87891300000000006</v>
      </c>
      <c r="J83" s="4">
        <f t="shared" si="17"/>
        <v>0.79126461823779903</v>
      </c>
      <c r="L83" s="4">
        <v>0.22022873938971427</v>
      </c>
      <c r="M83" s="4"/>
      <c r="N83">
        <v>0.93929700000000005</v>
      </c>
      <c r="O83">
        <v>0.67786400000000002</v>
      </c>
      <c r="P83" s="4">
        <f t="shared" si="18"/>
        <v>0.84562690746059044</v>
      </c>
      <c r="Q83" s="4">
        <f t="shared" ref="Q83:Q146" si="25">O83/I83</f>
        <v>0.77125267233503203</v>
      </c>
      <c r="R83">
        <v>0.44159999999999999</v>
      </c>
      <c r="S83">
        <v>0.50547200000000003</v>
      </c>
      <c r="T83" s="4">
        <f t="shared" si="19"/>
        <v>1.1446376811594203</v>
      </c>
      <c r="V83">
        <v>16</v>
      </c>
      <c r="W83">
        <v>128</v>
      </c>
      <c r="X83">
        <f>8192</f>
        <v>8192</v>
      </c>
      <c r="Y83">
        <v>8</v>
      </c>
      <c r="Z83">
        <v>1</v>
      </c>
      <c r="AA83">
        <v>1.336303</v>
      </c>
      <c r="AB83">
        <v>0.47640399999999999</v>
      </c>
      <c r="AC83">
        <v>0.32756200000000002</v>
      </c>
      <c r="AD83" s="4">
        <f t="shared" si="20"/>
        <v>0.68757189276328501</v>
      </c>
      <c r="AF83" s="5">
        <f t="shared" si="21"/>
        <v>0.35650896540679772</v>
      </c>
      <c r="AG83" s="5">
        <f t="shared" si="22"/>
        <v>0.24512554413183238</v>
      </c>
      <c r="AI83">
        <v>0.41437000000000002</v>
      </c>
      <c r="AJ83">
        <v>0.269318</v>
      </c>
      <c r="AK83" s="4">
        <f t="shared" si="15"/>
        <v>0.86978698751479844</v>
      </c>
      <c r="AL83" s="4">
        <f t="shared" si="16"/>
        <v>0.82218938704733757</v>
      </c>
      <c r="AN83">
        <v>0.22348799999999999</v>
      </c>
      <c r="AO83">
        <v>0.25523200000000001</v>
      </c>
      <c r="AP83" s="4">
        <f t="shared" si="23"/>
        <v>1.1420389461626577</v>
      </c>
      <c r="AR83" s="4">
        <f t="shared" si="24"/>
        <v>0.77918684096445867</v>
      </c>
    </row>
    <row r="84" spans="2:44" x14ac:dyDescent="0.25">
      <c r="B84">
        <v>32</v>
      </c>
      <c r="C84">
        <v>576</v>
      </c>
      <c r="D84">
        <v>8192</v>
      </c>
      <c r="E84">
        <v>8</v>
      </c>
      <c r="F84">
        <v>1</v>
      </c>
      <c r="G84">
        <v>10.454022</v>
      </c>
      <c r="H84">
        <v>1.9385619999999999</v>
      </c>
      <c r="I84">
        <v>1.6319859999999999</v>
      </c>
      <c r="J84" s="4">
        <f t="shared" si="17"/>
        <v>0.84185391026957102</v>
      </c>
      <c r="L84" s="4">
        <v>0.19046889321640992</v>
      </c>
      <c r="M84" s="4"/>
      <c r="N84">
        <v>1.394631</v>
      </c>
      <c r="O84">
        <v>1.2580880000000001</v>
      </c>
      <c r="P84" s="4">
        <f t="shared" si="18"/>
        <v>0.71941521602094749</v>
      </c>
      <c r="Q84" s="4">
        <f t="shared" si="25"/>
        <v>0.77089386796210269</v>
      </c>
      <c r="R84">
        <v>0.75254399999999999</v>
      </c>
      <c r="S84">
        <v>0.91788800000000004</v>
      </c>
      <c r="T84" s="4">
        <f t="shared" si="19"/>
        <v>1.2197133988178765</v>
      </c>
      <c r="V84">
        <v>32</v>
      </c>
      <c r="W84">
        <v>128</v>
      </c>
      <c r="X84">
        <f>8192</f>
        <v>8192</v>
      </c>
      <c r="Y84">
        <v>8</v>
      </c>
      <c r="Z84">
        <v>1</v>
      </c>
      <c r="AA84">
        <v>2.6613570000000002</v>
      </c>
      <c r="AB84">
        <v>0.74941000000000002</v>
      </c>
      <c r="AC84">
        <v>0.56617799999999996</v>
      </c>
      <c r="AD84" s="4">
        <f t="shared" si="20"/>
        <v>0.75549832534927464</v>
      </c>
      <c r="AF84" s="5">
        <f t="shared" si="21"/>
        <v>0.28158942975331758</v>
      </c>
      <c r="AG84" s="5">
        <f t="shared" si="22"/>
        <v>0.21274034261468863</v>
      </c>
      <c r="AI84">
        <v>0.656219</v>
      </c>
      <c r="AJ84">
        <v>0.47094999999999998</v>
      </c>
      <c r="AK84" s="4">
        <f t="shared" si="15"/>
        <v>0.8756475093740409</v>
      </c>
      <c r="AL84" s="4">
        <f t="shared" si="16"/>
        <v>0.83180554525255312</v>
      </c>
      <c r="AN84">
        <v>0.68032000000000004</v>
      </c>
      <c r="AO84">
        <v>0.442048</v>
      </c>
      <c r="AP84" s="4">
        <f t="shared" si="23"/>
        <v>0.64976481655691432</v>
      </c>
      <c r="AR84" s="4">
        <f t="shared" si="24"/>
        <v>0.78075799483554642</v>
      </c>
    </row>
    <row r="85" spans="2:44" x14ac:dyDescent="0.25">
      <c r="B85">
        <v>64</v>
      </c>
      <c r="C85">
        <v>576</v>
      </c>
      <c r="D85">
        <v>8192</v>
      </c>
      <c r="E85">
        <v>8</v>
      </c>
      <c r="F85">
        <v>1</v>
      </c>
      <c r="G85">
        <v>20.864822</v>
      </c>
      <c r="H85">
        <v>3.859486</v>
      </c>
      <c r="I85">
        <v>3.1122209999999999</v>
      </c>
      <c r="J85" s="4">
        <f t="shared" si="17"/>
        <v>0.80638224882795273</v>
      </c>
      <c r="L85" s="4">
        <v>0.18824589061914834</v>
      </c>
      <c r="M85" s="4"/>
      <c r="N85">
        <v>2.4666869999999999</v>
      </c>
      <c r="O85">
        <v>2.3614860000000002</v>
      </c>
      <c r="P85" s="4">
        <f t="shared" si="18"/>
        <v>0.63912318894277631</v>
      </c>
      <c r="Q85" s="4">
        <f t="shared" si="25"/>
        <v>0.75877837724249031</v>
      </c>
      <c r="R85">
        <v>1.3864320000000001</v>
      </c>
      <c r="S85">
        <v>1.7536639999999999</v>
      </c>
      <c r="T85" s="4">
        <f t="shared" si="19"/>
        <v>1.2648755943313481</v>
      </c>
      <c r="V85">
        <v>64</v>
      </c>
      <c r="W85">
        <v>128</v>
      </c>
      <c r="X85">
        <f>8192</f>
        <v>8192</v>
      </c>
      <c r="Y85">
        <v>8</v>
      </c>
      <c r="Z85">
        <v>1</v>
      </c>
      <c r="AA85">
        <v>5.3704239999999999</v>
      </c>
      <c r="AB85">
        <v>1.2287589999999999</v>
      </c>
      <c r="AC85">
        <v>1.015714</v>
      </c>
      <c r="AD85" s="4">
        <f t="shared" si="20"/>
        <v>0.82661775010396676</v>
      </c>
      <c r="AF85" s="5">
        <f t="shared" si="21"/>
        <v>0.22880111514472601</v>
      </c>
      <c r="AG85" s="5">
        <f t="shared" si="22"/>
        <v>0.18913106302221203</v>
      </c>
      <c r="AI85">
        <v>1.1336390000000001</v>
      </c>
      <c r="AJ85">
        <v>0.83104</v>
      </c>
      <c r="AK85" s="4">
        <f t="shared" si="15"/>
        <v>0.92258856293219427</v>
      </c>
      <c r="AL85" s="4">
        <f t="shared" si="16"/>
        <v>0.81818307121886669</v>
      </c>
      <c r="AN85">
        <v>0.70630400000000004</v>
      </c>
      <c r="AO85">
        <v>0.82649600000000001</v>
      </c>
      <c r="AP85" s="4">
        <f t="shared" si="23"/>
        <v>1.1701703515766582</v>
      </c>
      <c r="AR85" s="4">
        <f t="shared" si="24"/>
        <v>0.81370937094497076</v>
      </c>
    </row>
    <row r="86" spans="2:44" x14ac:dyDescent="0.25">
      <c r="B86">
        <v>128</v>
      </c>
      <c r="C86">
        <v>576</v>
      </c>
      <c r="D86">
        <v>8192</v>
      </c>
      <c r="E86">
        <v>8</v>
      </c>
      <c r="F86">
        <v>1</v>
      </c>
      <c r="G86">
        <v>41.633338999999999</v>
      </c>
      <c r="H86">
        <v>7.5863079999999998</v>
      </c>
      <c r="I86">
        <v>6.0660040000000004</v>
      </c>
      <c r="J86" s="4">
        <f t="shared" si="17"/>
        <v>0.79959896170838307</v>
      </c>
      <c r="L86" s="4">
        <v>0.18473099166992107</v>
      </c>
      <c r="M86" s="4"/>
      <c r="N86">
        <v>4.4723350000000002</v>
      </c>
      <c r="O86">
        <v>4.5598789999999996</v>
      </c>
      <c r="P86" s="4">
        <f t="shared" si="18"/>
        <v>0.5895272113918919</v>
      </c>
      <c r="Q86" s="4">
        <f t="shared" si="25"/>
        <v>0.75171051651136389</v>
      </c>
      <c r="R86">
        <v>2.6026880000000001</v>
      </c>
      <c r="S86">
        <v>3.4150399999999999</v>
      </c>
      <c r="T86" s="4">
        <f t="shared" si="19"/>
        <v>1.3121203924557994</v>
      </c>
      <c r="V86">
        <v>128</v>
      </c>
      <c r="W86">
        <v>128</v>
      </c>
      <c r="X86">
        <f>8192</f>
        <v>8192</v>
      </c>
      <c r="Y86">
        <v>8</v>
      </c>
      <c r="Z86">
        <v>1</v>
      </c>
      <c r="AA86">
        <v>10.808669</v>
      </c>
      <c r="AB86">
        <v>2.2033879999999999</v>
      </c>
      <c r="AC86">
        <v>1.897138</v>
      </c>
      <c r="AD86" s="4">
        <f t="shared" si="20"/>
        <v>0.86100949991558462</v>
      </c>
      <c r="AF86" s="5">
        <f t="shared" si="21"/>
        <v>0.20385377700066493</v>
      </c>
      <c r="AG86" s="5">
        <f t="shared" si="22"/>
        <v>0.1755200385912456</v>
      </c>
      <c r="AI86">
        <v>2.099729</v>
      </c>
      <c r="AJ86">
        <v>1.4747140000000001</v>
      </c>
      <c r="AK86" s="4">
        <f t="shared" si="15"/>
        <v>0.95295472245469248</v>
      </c>
      <c r="AL86" s="4">
        <f t="shared" si="16"/>
        <v>0.77733617691491086</v>
      </c>
      <c r="AN86">
        <v>1.3457600000000001</v>
      </c>
      <c r="AO86">
        <v>1.58432</v>
      </c>
      <c r="AP86" s="4">
        <f t="shared" si="23"/>
        <v>1.1772678635120675</v>
      </c>
      <c r="AR86" s="4">
        <f t="shared" si="24"/>
        <v>0.83511057181923509</v>
      </c>
    </row>
    <row r="87" spans="2:44" x14ac:dyDescent="0.25">
      <c r="B87">
        <v>256</v>
      </c>
      <c r="C87">
        <v>576</v>
      </c>
      <c r="D87">
        <v>8192</v>
      </c>
      <c r="E87">
        <v>8</v>
      </c>
      <c r="F87">
        <v>1</v>
      </c>
      <c r="H87">
        <v>15.006664000000001</v>
      </c>
      <c r="I87">
        <v>11.993288</v>
      </c>
      <c r="J87" s="4">
        <f t="shared" si="17"/>
        <v>0.79919747653442497</v>
      </c>
      <c r="L87" s="4"/>
      <c r="M87" s="4"/>
      <c r="N87">
        <v>8.5153479999999995</v>
      </c>
      <c r="O87">
        <v>8.8870419999999992</v>
      </c>
      <c r="P87" s="4">
        <f t="shared" si="18"/>
        <v>0.56743777297872455</v>
      </c>
      <c r="Q87" s="4">
        <f t="shared" si="25"/>
        <v>0.74100130006050047</v>
      </c>
      <c r="R87">
        <v>5.0996480000000002</v>
      </c>
      <c r="S87">
        <v>6.7493119999999998</v>
      </c>
      <c r="T87" s="4">
        <f t="shared" si="19"/>
        <v>1.3234858562787077</v>
      </c>
      <c r="V87">
        <v>256</v>
      </c>
      <c r="W87">
        <v>128</v>
      </c>
      <c r="X87">
        <f>8192</f>
        <v>8192</v>
      </c>
      <c r="Y87">
        <v>8</v>
      </c>
      <c r="Z87">
        <v>1</v>
      </c>
      <c r="AA87">
        <v>21.847394999999999</v>
      </c>
      <c r="AB87">
        <v>4.1369300000000004</v>
      </c>
      <c r="AC87">
        <v>3.607132</v>
      </c>
      <c r="AD87" s="4">
        <f t="shared" si="20"/>
        <v>0.87193450215497958</v>
      </c>
      <c r="AF87" s="5">
        <f t="shared" si="21"/>
        <v>0.18935575614392475</v>
      </c>
      <c r="AG87" s="5">
        <f t="shared" si="22"/>
        <v>0.16510581696353274</v>
      </c>
      <c r="AI87">
        <v>4.0217700000000001</v>
      </c>
      <c r="AJ87">
        <v>2.761409</v>
      </c>
      <c r="AK87" s="4">
        <f t="shared" si="15"/>
        <v>0.97216293241606688</v>
      </c>
      <c r="AL87" s="4">
        <f t="shared" si="16"/>
        <v>0.76554143291678822</v>
      </c>
      <c r="AN87">
        <v>2.6279680000000001</v>
      </c>
      <c r="AO87">
        <v>3.1219199999999998</v>
      </c>
      <c r="AP87" s="4">
        <f t="shared" si="23"/>
        <v>1.187959670741805</v>
      </c>
      <c r="AR87" s="4">
        <f t="shared" si="24"/>
        <v>0.86548537730252173</v>
      </c>
    </row>
    <row r="88" spans="2:44" x14ac:dyDescent="0.25">
      <c r="B88">
        <v>512</v>
      </c>
      <c r="C88">
        <v>576</v>
      </c>
      <c r="D88">
        <v>8192</v>
      </c>
      <c r="E88">
        <v>8</v>
      </c>
      <c r="F88">
        <v>1</v>
      </c>
      <c r="H88">
        <v>29.640212999999999</v>
      </c>
      <c r="I88">
        <v>23.818235000000001</v>
      </c>
      <c r="J88" s="4">
        <f t="shared" si="17"/>
        <v>0.80357840208503228</v>
      </c>
      <c r="L88" s="4"/>
      <c r="M88" s="4"/>
      <c r="N88">
        <v>16.808111</v>
      </c>
      <c r="O88">
        <v>17.525423</v>
      </c>
      <c r="P88" s="4">
        <f t="shared" si="18"/>
        <v>0.56707119479876889</v>
      </c>
      <c r="Q88" s="4">
        <f t="shared" si="25"/>
        <v>0.73579855938107919</v>
      </c>
      <c r="R88">
        <v>10.13936</v>
      </c>
      <c r="S88">
        <v>13.608768</v>
      </c>
      <c r="T88" s="4">
        <f t="shared" si="19"/>
        <v>1.3421722870082529</v>
      </c>
      <c r="V88">
        <v>512</v>
      </c>
      <c r="W88">
        <v>128</v>
      </c>
      <c r="X88">
        <f>8192</f>
        <v>8192</v>
      </c>
      <c r="Y88">
        <v>8</v>
      </c>
      <c r="Z88">
        <v>1</v>
      </c>
      <c r="AA88">
        <v>44.215907999999999</v>
      </c>
      <c r="AB88">
        <v>7.985322</v>
      </c>
      <c r="AC88">
        <v>6.9685050000000004</v>
      </c>
      <c r="AD88" s="4">
        <f t="shared" si="20"/>
        <v>0.87266424572484369</v>
      </c>
      <c r="AF88" s="5">
        <f t="shared" si="21"/>
        <v>0.18059839458685323</v>
      </c>
      <c r="AG88" s="5">
        <f t="shared" si="22"/>
        <v>0.15760176179125396</v>
      </c>
      <c r="AI88">
        <v>7.8732280000000001</v>
      </c>
      <c r="AJ88">
        <v>5.2773380000000003</v>
      </c>
      <c r="AK88" s="4">
        <f t="shared" si="15"/>
        <v>0.98596249468712727</v>
      </c>
      <c r="AL88" s="4">
        <f t="shared" si="16"/>
        <v>0.75731279521217243</v>
      </c>
      <c r="AN88">
        <v>5.2003519999999996</v>
      </c>
      <c r="AO88">
        <v>6.1870719999999997</v>
      </c>
      <c r="AP88" s="4">
        <f t="shared" si="23"/>
        <v>1.189741002147547</v>
      </c>
      <c r="AR88" s="4">
        <f t="shared" si="24"/>
        <v>0.8878621741679168</v>
      </c>
    </row>
    <row r="89" spans="2:44" x14ac:dyDescent="0.25">
      <c r="B89">
        <v>1</v>
      </c>
      <c r="C89">
        <v>576</v>
      </c>
      <c r="D89">
        <v>16384</v>
      </c>
      <c r="E89">
        <v>8</v>
      </c>
      <c r="F89">
        <v>1</v>
      </c>
      <c r="G89">
        <v>1.4035930000000001</v>
      </c>
      <c r="H89">
        <v>0.91907499999999998</v>
      </c>
      <c r="I89">
        <v>0.67993599999999998</v>
      </c>
      <c r="J89" s="4">
        <f t="shared" si="17"/>
        <v>0.73980469493784506</v>
      </c>
      <c r="L89" s="5">
        <v>0.65550839880221679</v>
      </c>
      <c r="M89" s="5"/>
      <c r="N89">
        <v>0.92864999999999998</v>
      </c>
      <c r="O89">
        <v>0.67283300000000001</v>
      </c>
      <c r="P89" s="4">
        <f t="shared" si="18"/>
        <v>1.0104180833990697</v>
      </c>
      <c r="Q89" s="4">
        <f t="shared" si="25"/>
        <v>0.98955342855798201</v>
      </c>
      <c r="R89">
        <v>0.61839999999999995</v>
      </c>
      <c r="S89">
        <v>0.61030399999999996</v>
      </c>
      <c r="T89" s="4">
        <f t="shared" si="19"/>
        <v>0.98690815006468302</v>
      </c>
      <c r="V89" s="8">
        <v>1</v>
      </c>
      <c r="W89" s="8">
        <v>128</v>
      </c>
      <c r="X89" s="8">
        <f>16384</f>
        <v>16384</v>
      </c>
      <c r="Y89" s="8">
        <v>8</v>
      </c>
      <c r="Z89" s="8">
        <v>1</v>
      </c>
      <c r="AA89" s="8">
        <v>0.38042599999999999</v>
      </c>
      <c r="AB89" s="8">
        <v>0.61742399999999997</v>
      </c>
      <c r="AC89">
        <v>0.37048900000000001</v>
      </c>
      <c r="AD89" s="4">
        <f t="shared" si="20"/>
        <v>0.60005603928580686</v>
      </c>
      <c r="AF89" s="5">
        <f t="shared" si="21"/>
        <v>1.6229805533796322</v>
      </c>
      <c r="AG89" s="5">
        <f t="shared" si="22"/>
        <v>0.97387928269886925</v>
      </c>
      <c r="AI89">
        <v>0.60916899999999996</v>
      </c>
      <c r="AJ89">
        <v>0.34842200000000001</v>
      </c>
      <c r="AK89" s="4">
        <f t="shared" si="15"/>
        <v>0.98662993340071004</v>
      </c>
      <c r="AL89" s="4">
        <f t="shared" si="16"/>
        <v>0.94043817765169813</v>
      </c>
      <c r="AN89">
        <v>0.382656</v>
      </c>
      <c r="AO89">
        <v>0.36768000000000001</v>
      </c>
      <c r="AP89" s="4">
        <f t="shared" si="23"/>
        <v>0.96086302057200201</v>
      </c>
      <c r="AR89" s="4">
        <f t="shared" si="24"/>
        <v>0.9924181284734499</v>
      </c>
    </row>
    <row r="90" spans="2:44" x14ac:dyDescent="0.25">
      <c r="B90">
        <v>2</v>
      </c>
      <c r="C90">
        <v>576</v>
      </c>
      <c r="D90">
        <v>16384</v>
      </c>
      <c r="E90">
        <v>8</v>
      </c>
      <c r="F90">
        <v>1</v>
      </c>
      <c r="G90">
        <v>1.3782239999999999</v>
      </c>
      <c r="H90">
        <v>1.238583</v>
      </c>
      <c r="I90">
        <v>0.98188900000000001</v>
      </c>
      <c r="J90" s="4">
        <f t="shared" si="17"/>
        <v>0.79275187855799734</v>
      </c>
      <c r="L90" s="5">
        <v>0.89224538246322804</v>
      </c>
      <c r="M90" s="5"/>
      <c r="N90">
        <v>1.0929150000000001</v>
      </c>
      <c r="O90">
        <v>0.83883700000000005</v>
      </c>
      <c r="P90" s="4">
        <f t="shared" si="18"/>
        <v>0.8823914101840572</v>
      </c>
      <c r="Q90" s="4">
        <f t="shared" si="25"/>
        <v>0.85430939749808787</v>
      </c>
      <c r="R90">
        <v>0.61219199999999996</v>
      </c>
      <c r="S90">
        <v>0.64204799999999995</v>
      </c>
      <c r="T90" s="4">
        <f t="shared" si="19"/>
        <v>1.0487690136427787</v>
      </c>
      <c r="V90" s="8">
        <v>2</v>
      </c>
      <c r="W90" s="8">
        <v>128</v>
      </c>
      <c r="X90" s="8">
        <f>16384</f>
        <v>16384</v>
      </c>
      <c r="Y90" s="8">
        <v>8</v>
      </c>
      <c r="Z90" s="8">
        <v>1</v>
      </c>
      <c r="AA90" s="8">
        <v>0.39124799999999998</v>
      </c>
      <c r="AB90" s="8">
        <v>0.687809</v>
      </c>
      <c r="AC90">
        <v>0.423184</v>
      </c>
      <c r="AD90" s="4">
        <f t="shared" si="20"/>
        <v>0.61526383051108668</v>
      </c>
      <c r="AF90" s="5">
        <f t="shared" si="21"/>
        <v>1.7579872612767351</v>
      </c>
      <c r="AG90" s="5">
        <f t="shared" si="22"/>
        <v>1.0816259763628184</v>
      </c>
      <c r="AI90">
        <v>0.63322999999999996</v>
      </c>
      <c r="AJ90">
        <v>0.37763200000000002</v>
      </c>
      <c r="AK90" s="4">
        <f t="shared" si="15"/>
        <v>0.92064802874053697</v>
      </c>
      <c r="AL90" s="4">
        <f t="shared" si="16"/>
        <v>0.89235887935271663</v>
      </c>
      <c r="AN90">
        <v>0.38358399999999998</v>
      </c>
      <c r="AO90">
        <v>0.370112</v>
      </c>
      <c r="AP90" s="4">
        <f t="shared" si="23"/>
        <v>0.96487861850337875</v>
      </c>
      <c r="AR90" s="4">
        <f t="shared" si="24"/>
        <v>0.87458883133577825</v>
      </c>
    </row>
    <row r="91" spans="2:44" x14ac:dyDescent="0.25">
      <c r="B91">
        <v>4</v>
      </c>
      <c r="C91">
        <v>576</v>
      </c>
      <c r="D91">
        <v>16384</v>
      </c>
      <c r="E91">
        <v>8</v>
      </c>
      <c r="F91">
        <v>1</v>
      </c>
      <c r="G91">
        <v>2.670607</v>
      </c>
      <c r="H91">
        <v>1.326363</v>
      </c>
      <c r="I91">
        <v>1.05403</v>
      </c>
      <c r="J91" s="4">
        <f t="shared" si="17"/>
        <v>0.79467687201769055</v>
      </c>
      <c r="L91" s="5">
        <v>0.49817438507425466</v>
      </c>
      <c r="M91" s="5"/>
      <c r="N91">
        <v>1.819226</v>
      </c>
      <c r="O91">
        <v>1.2654799999999999</v>
      </c>
      <c r="P91" s="4">
        <f t="shared" si="18"/>
        <v>1.3715898287271282</v>
      </c>
      <c r="Q91" s="4">
        <f t="shared" si="25"/>
        <v>1.2006109883020406</v>
      </c>
      <c r="R91">
        <v>0.75724800000000003</v>
      </c>
      <c r="S91">
        <v>1.03552</v>
      </c>
      <c r="T91" s="4">
        <f t="shared" si="19"/>
        <v>1.3674780256930357</v>
      </c>
      <c r="V91" s="8">
        <v>4</v>
      </c>
      <c r="W91" s="8">
        <v>128</v>
      </c>
      <c r="X91" s="8">
        <f>16384</f>
        <v>16384</v>
      </c>
      <c r="Y91" s="8">
        <v>8</v>
      </c>
      <c r="Z91" s="8">
        <v>1</v>
      </c>
      <c r="AA91" s="8">
        <v>0.683118</v>
      </c>
      <c r="AB91" s="8">
        <v>0.70228400000000002</v>
      </c>
      <c r="AC91">
        <v>0.44124799999999997</v>
      </c>
      <c r="AD91" s="4">
        <f t="shared" si="20"/>
        <v>0.62830421880606702</v>
      </c>
      <c r="AF91" s="5">
        <f t="shared" si="21"/>
        <v>1.0280566461431262</v>
      </c>
      <c r="AG91" s="5">
        <f t="shared" si="22"/>
        <v>0.6459323279433421</v>
      </c>
      <c r="AI91">
        <v>0.74978299999999998</v>
      </c>
      <c r="AJ91">
        <v>0.46329599999999999</v>
      </c>
      <c r="AK91" s="4">
        <f t="shared" si="15"/>
        <v>1.0676350308422233</v>
      </c>
      <c r="AL91" s="4">
        <f t="shared" si="16"/>
        <v>1.0499673652911741</v>
      </c>
      <c r="AN91">
        <v>0.37884800000000002</v>
      </c>
      <c r="AO91">
        <v>0.37280000000000002</v>
      </c>
      <c r="AP91" s="4">
        <f t="shared" si="23"/>
        <v>0.98403581383562799</v>
      </c>
      <c r="AR91" s="4">
        <f t="shared" si="24"/>
        <v>0.84487635071433764</v>
      </c>
    </row>
    <row r="92" spans="2:44" x14ac:dyDescent="0.25">
      <c r="B92">
        <v>8</v>
      </c>
      <c r="C92">
        <v>576</v>
      </c>
      <c r="D92">
        <v>16384</v>
      </c>
      <c r="E92">
        <v>8</v>
      </c>
      <c r="F92">
        <v>1</v>
      </c>
      <c r="G92">
        <v>5.2509360000000003</v>
      </c>
      <c r="H92">
        <v>1.7688330000000001</v>
      </c>
      <c r="I92">
        <v>1.4731460000000001</v>
      </c>
      <c r="J92" s="4">
        <f t="shared" si="17"/>
        <v>0.8328349821605544</v>
      </c>
      <c r="L92" s="4">
        <v>0.33915058191530045</v>
      </c>
      <c r="M92" s="4"/>
      <c r="N92">
        <v>1.8640319999999999</v>
      </c>
      <c r="O92">
        <v>1.256629</v>
      </c>
      <c r="P92" s="4">
        <f t="shared" si="18"/>
        <v>1.0538202306266333</v>
      </c>
      <c r="Q92" s="4">
        <f t="shared" si="25"/>
        <v>0.85302407229154475</v>
      </c>
      <c r="R92">
        <v>0.74963199999999997</v>
      </c>
      <c r="S92">
        <v>0.79788800000000004</v>
      </c>
      <c r="T92" s="4">
        <f t="shared" si="19"/>
        <v>1.0643729189789124</v>
      </c>
      <c r="V92">
        <v>8</v>
      </c>
      <c r="W92">
        <v>128</v>
      </c>
      <c r="X92">
        <f>16384</f>
        <v>16384</v>
      </c>
      <c r="Y92">
        <v>8</v>
      </c>
      <c r="Z92">
        <v>1</v>
      </c>
      <c r="AA92">
        <v>1.3220080000000001</v>
      </c>
      <c r="AB92">
        <v>0.800535</v>
      </c>
      <c r="AC92">
        <v>0.50888900000000004</v>
      </c>
      <c r="AD92" s="4">
        <f t="shared" si="20"/>
        <v>0.63568613489728754</v>
      </c>
      <c r="AF92" s="5">
        <f t="shared" si="21"/>
        <v>0.60554474708171202</v>
      </c>
      <c r="AG92" s="5">
        <f t="shared" si="22"/>
        <v>0.38493639977972904</v>
      </c>
      <c r="AI92">
        <v>0.77916300000000005</v>
      </c>
      <c r="AJ92">
        <v>0.46814699999999998</v>
      </c>
      <c r="AK92" s="4">
        <f t="shared" si="15"/>
        <v>0.9733028537165771</v>
      </c>
      <c r="AL92" s="4">
        <f t="shared" si="16"/>
        <v>0.91993931879054169</v>
      </c>
      <c r="AN92">
        <v>0.38028800000000001</v>
      </c>
      <c r="AO92">
        <v>0.40710400000000002</v>
      </c>
      <c r="AP92" s="4">
        <f t="shared" si="23"/>
        <v>1.0705149781218446</v>
      </c>
      <c r="AR92" s="4">
        <f t="shared" si="24"/>
        <v>0.7999858515314735</v>
      </c>
    </row>
    <row r="93" spans="2:44" x14ac:dyDescent="0.25">
      <c r="B93">
        <v>16</v>
      </c>
      <c r="C93">
        <v>576</v>
      </c>
      <c r="D93">
        <v>16384</v>
      </c>
      <c r="E93">
        <v>8</v>
      </c>
      <c r="F93">
        <v>1</v>
      </c>
      <c r="G93">
        <v>10.434558000000001</v>
      </c>
      <c r="H93">
        <v>2.185549</v>
      </c>
      <c r="I93">
        <v>1.6215619999999999</v>
      </c>
      <c r="J93" s="4">
        <f t="shared" si="17"/>
        <v>0.74194721783863005</v>
      </c>
      <c r="L93" s="4">
        <v>0.21461512792396187</v>
      </c>
      <c r="M93" s="4"/>
      <c r="N93">
        <v>1.8675390000000001</v>
      </c>
      <c r="O93">
        <v>1.253061</v>
      </c>
      <c r="P93" s="4">
        <f t="shared" si="18"/>
        <v>0.85449422547835807</v>
      </c>
      <c r="Q93" s="4">
        <f t="shared" si="25"/>
        <v>0.77274936141818817</v>
      </c>
      <c r="R93">
        <v>0.76531199999999999</v>
      </c>
      <c r="S93">
        <v>0.91430400000000001</v>
      </c>
      <c r="T93" s="4">
        <f t="shared" si="19"/>
        <v>1.1946813848469644</v>
      </c>
      <c r="V93">
        <v>16</v>
      </c>
      <c r="W93">
        <v>128</v>
      </c>
      <c r="X93">
        <f>16384</f>
        <v>16384</v>
      </c>
      <c r="Y93">
        <v>8</v>
      </c>
      <c r="Z93">
        <v>1</v>
      </c>
      <c r="AA93">
        <v>2.6201850000000002</v>
      </c>
      <c r="AB93">
        <v>0.901864</v>
      </c>
      <c r="AC93">
        <v>0.56691100000000005</v>
      </c>
      <c r="AD93" s="4">
        <f t="shared" si="20"/>
        <v>0.62859921229808491</v>
      </c>
      <c r="AF93" s="5">
        <f t="shared" si="21"/>
        <v>0.34419859666397601</v>
      </c>
      <c r="AG93" s="5">
        <f t="shared" si="22"/>
        <v>0.21636296673708155</v>
      </c>
      <c r="AI93">
        <v>0.76658400000000004</v>
      </c>
      <c r="AJ93">
        <v>0.46906199999999998</v>
      </c>
      <c r="AK93" s="4">
        <f t="shared" si="15"/>
        <v>0.84999955647414693</v>
      </c>
      <c r="AL93" s="4">
        <f t="shared" si="16"/>
        <v>0.82739971529922673</v>
      </c>
      <c r="AN93">
        <v>0.38044800000000001</v>
      </c>
      <c r="AO93">
        <v>0.45100800000000002</v>
      </c>
      <c r="AP93" s="4">
        <f t="shared" si="23"/>
        <v>1.1854655563966692</v>
      </c>
      <c r="AR93" s="4">
        <f t="shared" si="24"/>
        <v>0.79555344666093963</v>
      </c>
    </row>
    <row r="94" spans="2:44" x14ac:dyDescent="0.25">
      <c r="B94">
        <v>32</v>
      </c>
      <c r="C94">
        <v>576</v>
      </c>
      <c r="D94">
        <v>16384</v>
      </c>
      <c r="E94">
        <v>8</v>
      </c>
      <c r="F94">
        <v>1</v>
      </c>
      <c r="G94">
        <v>20.783829000000001</v>
      </c>
      <c r="H94">
        <v>3.84755</v>
      </c>
      <c r="I94">
        <v>3.1086049999999998</v>
      </c>
      <c r="J94" s="4">
        <f t="shared" si="17"/>
        <v>0.80794401632207502</v>
      </c>
      <c r="L94" s="4">
        <v>0.18960842104695916</v>
      </c>
      <c r="M94" s="4"/>
      <c r="N94">
        <v>2.6845870000000001</v>
      </c>
      <c r="O94">
        <v>2.3670610000000001</v>
      </c>
      <c r="P94" s="4">
        <f t="shared" si="18"/>
        <v>0.69773934061935516</v>
      </c>
      <c r="Q94" s="4">
        <f t="shared" si="25"/>
        <v>0.76145441443991768</v>
      </c>
      <c r="R94">
        <v>1.3645119999999999</v>
      </c>
      <c r="S94">
        <v>1.74464</v>
      </c>
      <c r="T94" s="4">
        <f t="shared" si="19"/>
        <v>1.2785816467718862</v>
      </c>
      <c r="V94">
        <v>32</v>
      </c>
      <c r="W94">
        <v>128</v>
      </c>
      <c r="X94">
        <f>16384</f>
        <v>16384</v>
      </c>
      <c r="Y94">
        <v>8</v>
      </c>
      <c r="Z94">
        <v>1</v>
      </c>
      <c r="AA94">
        <v>5.3731099999999996</v>
      </c>
      <c r="AB94">
        <v>1.451038</v>
      </c>
      <c r="AC94">
        <v>1.0140530000000001</v>
      </c>
      <c r="AD94" s="4">
        <f t="shared" si="20"/>
        <v>0.69884661876532528</v>
      </c>
      <c r="AF94" s="5">
        <f t="shared" si="21"/>
        <v>0.270055517195814</v>
      </c>
      <c r="AG94" s="5">
        <f t="shared" si="22"/>
        <v>0.18872738507121578</v>
      </c>
      <c r="AI94">
        <v>1.257639</v>
      </c>
      <c r="AJ94">
        <v>0.83577000000000001</v>
      </c>
      <c r="AK94" s="4">
        <f t="shared" si="15"/>
        <v>0.86671679170359417</v>
      </c>
      <c r="AL94" s="4">
        <f t="shared" si="16"/>
        <v>0.82418769038699158</v>
      </c>
      <c r="AN94">
        <v>0.69878399999999996</v>
      </c>
      <c r="AO94">
        <v>0.82303999999999999</v>
      </c>
      <c r="AP94" s="4">
        <f t="shared" si="23"/>
        <v>1.1778174657691076</v>
      </c>
      <c r="AR94" s="4">
        <f t="shared" si="24"/>
        <v>0.81163410590965157</v>
      </c>
    </row>
    <row r="95" spans="2:44" x14ac:dyDescent="0.25">
      <c r="B95">
        <v>64</v>
      </c>
      <c r="C95">
        <v>576</v>
      </c>
      <c r="D95">
        <v>16384</v>
      </c>
      <c r="E95">
        <v>8</v>
      </c>
      <c r="F95">
        <v>1</v>
      </c>
      <c r="G95">
        <v>41.503039999999999</v>
      </c>
      <c r="H95">
        <v>7.6670769999999999</v>
      </c>
      <c r="I95">
        <v>6.0388820000000001</v>
      </c>
      <c r="J95" s="4">
        <f t="shared" si="17"/>
        <v>0.7876381051083744</v>
      </c>
      <c r="L95" s="4">
        <v>0.18593729519572541</v>
      </c>
      <c r="M95" s="4"/>
      <c r="N95">
        <v>4.8753849999999996</v>
      </c>
      <c r="O95">
        <v>4.6184190000000003</v>
      </c>
      <c r="P95" s="4">
        <f t="shared" si="18"/>
        <v>0.63588574889752636</v>
      </c>
      <c r="Q95" s="4">
        <f t="shared" si="25"/>
        <v>0.76478046764285179</v>
      </c>
      <c r="R95">
        <v>2.6723840000000001</v>
      </c>
      <c r="S95">
        <v>3.39392</v>
      </c>
      <c r="T95" s="4">
        <f t="shared" si="19"/>
        <v>1.2699971261615097</v>
      </c>
      <c r="V95">
        <v>64</v>
      </c>
      <c r="W95">
        <v>128</v>
      </c>
      <c r="X95">
        <f>16384</f>
        <v>16384</v>
      </c>
      <c r="Y95">
        <v>8</v>
      </c>
      <c r="Z95">
        <v>1</v>
      </c>
      <c r="AA95">
        <v>10.929600000000001</v>
      </c>
      <c r="AB95">
        <v>2.4109479999999999</v>
      </c>
      <c r="AC95">
        <v>1.8830769999999999</v>
      </c>
      <c r="AD95" s="4">
        <f t="shared" si="20"/>
        <v>0.78105251544205845</v>
      </c>
      <c r="AF95" s="5">
        <f t="shared" si="21"/>
        <v>0.22058885961059871</v>
      </c>
      <c r="AG95" s="5">
        <f t="shared" si="22"/>
        <v>0.17229148367735322</v>
      </c>
      <c r="AI95">
        <v>2.2057799999999999</v>
      </c>
      <c r="AJ95">
        <v>1.5036799999999999</v>
      </c>
      <c r="AK95" s="4">
        <f t="shared" si="15"/>
        <v>0.91490152421371174</v>
      </c>
      <c r="AL95" s="4">
        <f t="shared" si="16"/>
        <v>0.79852284319759625</v>
      </c>
      <c r="AN95">
        <v>1.333248</v>
      </c>
      <c r="AO95">
        <v>1.5800320000000001</v>
      </c>
      <c r="AP95" s="4">
        <f t="shared" si="23"/>
        <v>1.185099846390169</v>
      </c>
      <c r="AR95" s="4">
        <f t="shared" si="24"/>
        <v>0.83906924677004724</v>
      </c>
    </row>
    <row r="96" spans="2:44" x14ac:dyDescent="0.25">
      <c r="B96">
        <v>128</v>
      </c>
      <c r="C96">
        <v>576</v>
      </c>
      <c r="D96">
        <v>16384</v>
      </c>
      <c r="E96">
        <v>8</v>
      </c>
      <c r="F96">
        <v>1</v>
      </c>
      <c r="G96">
        <v>82.841247999999993</v>
      </c>
      <c r="H96">
        <v>15.183164</v>
      </c>
      <c r="I96">
        <v>11.946564</v>
      </c>
      <c r="J96" s="4">
        <f t="shared" si="17"/>
        <v>0.78682967529034142</v>
      </c>
      <c r="L96" s="4">
        <v>0.18451246654323702</v>
      </c>
      <c r="M96" s="4"/>
      <c r="N96">
        <v>8.8475380000000001</v>
      </c>
      <c r="O96">
        <v>8.9022849999999991</v>
      </c>
      <c r="P96" s="4">
        <f t="shared" si="18"/>
        <v>0.58272030783570539</v>
      </c>
      <c r="Q96" s="4">
        <f t="shared" si="25"/>
        <v>0.74517534916315675</v>
      </c>
      <c r="R96">
        <v>5.0242240000000002</v>
      </c>
      <c r="S96">
        <v>6.6939520000000003</v>
      </c>
      <c r="T96" s="4">
        <f t="shared" si="19"/>
        <v>1.3323355009649251</v>
      </c>
      <c r="V96">
        <v>128</v>
      </c>
      <c r="W96">
        <v>128</v>
      </c>
      <c r="X96">
        <f>16384</f>
        <v>16384</v>
      </c>
      <c r="Y96">
        <v>8</v>
      </c>
      <c r="Z96">
        <v>1</v>
      </c>
      <c r="AA96">
        <v>22.058904999999999</v>
      </c>
      <c r="AB96">
        <v>4.3366959999999999</v>
      </c>
      <c r="AC96">
        <v>3.577169</v>
      </c>
      <c r="AD96" s="4">
        <f t="shared" si="20"/>
        <v>0.8248604467548567</v>
      </c>
      <c r="AF96" s="5">
        <f t="shared" si="21"/>
        <v>0.19659615923818521</v>
      </c>
      <c r="AG96" s="5">
        <f t="shared" si="22"/>
        <v>0.1621643957394984</v>
      </c>
      <c r="AI96">
        <v>4.132288</v>
      </c>
      <c r="AJ96">
        <v>2.7792520000000001</v>
      </c>
      <c r="AK96" s="4">
        <f t="shared" si="15"/>
        <v>0.95286549944935039</v>
      </c>
      <c r="AL96" s="4">
        <f t="shared" si="16"/>
        <v>0.77694176596073594</v>
      </c>
      <c r="AN96">
        <v>2.596768</v>
      </c>
      <c r="AO96">
        <v>3.1291519999999999</v>
      </c>
      <c r="AP96" s="4">
        <f t="shared" si="23"/>
        <v>1.2050179299806529</v>
      </c>
      <c r="AR96" s="4">
        <f t="shared" si="24"/>
        <v>0.87475654630798827</v>
      </c>
    </row>
    <row r="97" spans="2:44" x14ac:dyDescent="0.25">
      <c r="B97">
        <v>256</v>
      </c>
      <c r="C97">
        <v>576</v>
      </c>
      <c r="D97">
        <v>16384</v>
      </c>
      <c r="E97">
        <v>8</v>
      </c>
      <c r="F97">
        <v>1</v>
      </c>
      <c r="H97">
        <v>30.186176</v>
      </c>
      <c r="I97">
        <v>23.704370000000001</v>
      </c>
      <c r="J97" s="4">
        <f t="shared" si="17"/>
        <v>0.78527237103500624</v>
      </c>
      <c r="L97" s="4"/>
      <c r="M97" s="4"/>
      <c r="N97">
        <v>16.897255000000001</v>
      </c>
      <c r="O97">
        <v>17.431168</v>
      </c>
      <c r="P97" s="4">
        <f t="shared" si="18"/>
        <v>0.55976798783655146</v>
      </c>
      <c r="Q97" s="4">
        <f t="shared" si="25"/>
        <v>0.73535672958192932</v>
      </c>
      <c r="R97">
        <v>9.9341749999999998</v>
      </c>
      <c r="S97">
        <v>13.559616</v>
      </c>
      <c r="T97" s="4">
        <f t="shared" si="19"/>
        <v>1.3649463594108218</v>
      </c>
      <c r="V97">
        <v>256</v>
      </c>
      <c r="W97">
        <v>128</v>
      </c>
      <c r="X97">
        <f>16384</f>
        <v>16384</v>
      </c>
      <c r="Y97">
        <v>8</v>
      </c>
      <c r="Z97">
        <v>1</v>
      </c>
      <c r="AA97">
        <v>44.337226999999999</v>
      </c>
      <c r="AB97">
        <v>8.1710279999999997</v>
      </c>
      <c r="AC97">
        <v>6.892277</v>
      </c>
      <c r="AD97" s="4">
        <f t="shared" si="20"/>
        <v>0.84350182131305884</v>
      </c>
      <c r="AF97" s="5">
        <f t="shared" si="21"/>
        <v>0.18429271636676781</v>
      </c>
      <c r="AG97" s="5">
        <f t="shared" si="22"/>
        <v>0.15545124191009962</v>
      </c>
      <c r="AI97">
        <v>7.9624290000000002</v>
      </c>
      <c r="AJ97">
        <v>5.3301239999999996</v>
      </c>
      <c r="AK97" s="4">
        <f t="shared" si="15"/>
        <v>0.97447089888812033</v>
      </c>
      <c r="AL97" s="4">
        <f t="shared" si="16"/>
        <v>0.77334732774089021</v>
      </c>
      <c r="AN97">
        <v>5.130528</v>
      </c>
      <c r="AO97">
        <v>6.1773439999999997</v>
      </c>
      <c r="AP97" s="4">
        <f t="shared" si="23"/>
        <v>1.2040366995365779</v>
      </c>
      <c r="AR97" s="4">
        <f t="shared" si="24"/>
        <v>0.89627041977564159</v>
      </c>
    </row>
    <row r="98" spans="2:44" s="9" customFormat="1" x14ac:dyDescent="0.25">
      <c r="B98" s="9">
        <v>512</v>
      </c>
      <c r="C98" s="9">
        <v>576</v>
      </c>
      <c r="D98" s="9">
        <v>16384</v>
      </c>
      <c r="E98" s="9">
        <v>8</v>
      </c>
      <c r="F98" s="9">
        <v>1</v>
      </c>
      <c r="H98" s="9">
        <v>55.324406000000003</v>
      </c>
      <c r="I98" s="9">
        <v>47.760505999999999</v>
      </c>
      <c r="J98" s="47">
        <f t="shared" si="17"/>
        <v>0.86328095415972472</v>
      </c>
      <c r="L98" s="47"/>
      <c r="M98" s="47"/>
      <c r="N98" s="9">
        <v>33.067413000000002</v>
      </c>
      <c r="O98" s="9">
        <v>34.601112000000001</v>
      </c>
      <c r="P98" s="47">
        <f t="shared" si="18"/>
        <v>0.59770028077662507</v>
      </c>
      <c r="Q98" s="47">
        <f t="shared" si="25"/>
        <v>0.72447121896070366</v>
      </c>
      <c r="R98" s="9">
        <v>20.057376999999999</v>
      </c>
      <c r="S98" s="9">
        <v>27.556225000000001</v>
      </c>
      <c r="T98" s="47">
        <f t="shared" si="19"/>
        <v>1.3738698235566895</v>
      </c>
      <c r="V98" s="9">
        <v>512</v>
      </c>
      <c r="W98" s="9">
        <v>128</v>
      </c>
      <c r="X98" s="9">
        <f>16384</f>
        <v>16384</v>
      </c>
      <c r="Y98" s="9">
        <v>8</v>
      </c>
      <c r="Z98" s="9">
        <v>1</v>
      </c>
      <c r="AA98" s="9">
        <v>88.830460000000002</v>
      </c>
      <c r="AB98" s="9">
        <v>15.832815</v>
      </c>
      <c r="AC98" s="9">
        <v>13.469061999999999</v>
      </c>
      <c r="AD98" s="47">
        <f t="shared" si="20"/>
        <v>0.85070544940997539</v>
      </c>
      <c r="AF98" s="47">
        <f t="shared" si="21"/>
        <v>0.17823632794426597</v>
      </c>
      <c r="AG98" s="47">
        <f t="shared" si="22"/>
        <v>0.15162661546501052</v>
      </c>
      <c r="AI98" s="9">
        <v>15.623239999999999</v>
      </c>
      <c r="AJ98" s="9">
        <v>10.397112999999999</v>
      </c>
      <c r="AK98" s="47">
        <f t="shared" si="15"/>
        <v>0.98676325088116035</v>
      </c>
      <c r="AL98" s="47">
        <f t="shared" si="16"/>
        <v>0.77192554314472672</v>
      </c>
      <c r="AN98" s="9">
        <v>10.228353</v>
      </c>
      <c r="AO98" s="9">
        <v>12.345408000000001</v>
      </c>
      <c r="AP98" s="47">
        <f t="shared" si="23"/>
        <v>1.2069790708240125</v>
      </c>
      <c r="AR98" s="4">
        <f t="shared" si="24"/>
        <v>0.91657518541380245</v>
      </c>
    </row>
    <row r="99" spans="2:44" x14ac:dyDescent="0.25">
      <c r="B99">
        <v>1</v>
      </c>
      <c r="C99">
        <v>576</v>
      </c>
      <c r="D99">
        <v>64</v>
      </c>
      <c r="E99">
        <v>16</v>
      </c>
      <c r="F99">
        <v>1</v>
      </c>
      <c r="H99">
        <v>7.2718000000000005E-2</v>
      </c>
      <c r="I99">
        <v>8.0746999999999999E-2</v>
      </c>
      <c r="J99" s="4">
        <f t="shared" si="17"/>
        <v>1.1104128276355234</v>
      </c>
      <c r="L99" s="4"/>
      <c r="M99" s="4"/>
      <c r="N99">
        <v>7.1159E-2</v>
      </c>
      <c r="O99">
        <v>7.6035000000000005E-2</v>
      </c>
      <c r="P99" s="4">
        <f t="shared" si="18"/>
        <v>0.97856101652960747</v>
      </c>
      <c r="Q99" s="4">
        <f t="shared" si="25"/>
        <v>0.94164489083185765</v>
      </c>
      <c r="R99">
        <v>7.6178999999999997E-2</v>
      </c>
      <c r="T99" s="4"/>
      <c r="V99">
        <v>1</v>
      </c>
      <c r="W99">
        <v>128</v>
      </c>
      <c r="X99">
        <v>64</v>
      </c>
      <c r="Y99">
        <v>16</v>
      </c>
      <c r="Z99">
        <v>1</v>
      </c>
      <c r="AA99">
        <v>6.1963999999999998E-2</v>
      </c>
      <c r="AB99">
        <v>5.9936999999999997E-2</v>
      </c>
      <c r="AC99">
        <v>6.1213999999999998E-2</v>
      </c>
      <c r="AD99" s="4">
        <f t="shared" si="20"/>
        <v>1.0213057043228724</v>
      </c>
      <c r="AF99" s="5">
        <f t="shared" si="21"/>
        <v>0.96728745723323217</v>
      </c>
      <c r="AG99" s="5">
        <f t="shared" si="22"/>
        <v>0.98789619779226645</v>
      </c>
      <c r="AI99">
        <v>5.9803000000000002E-2</v>
      </c>
      <c r="AJ99">
        <v>5.9846000000000003E-2</v>
      </c>
      <c r="AK99" s="4">
        <f t="shared" si="15"/>
        <v>0.99776431920182862</v>
      </c>
      <c r="AL99" s="4">
        <f t="shared" si="16"/>
        <v>0.97765217107197711</v>
      </c>
      <c r="AN99">
        <v>6.0748999999999997E-2</v>
      </c>
      <c r="AP99" s="4"/>
      <c r="AR99" s="4"/>
    </row>
    <row r="100" spans="2:44" x14ac:dyDescent="0.25">
      <c r="B100">
        <v>2</v>
      </c>
      <c r="C100">
        <v>576</v>
      </c>
      <c r="D100">
        <v>64</v>
      </c>
      <c r="E100">
        <v>16</v>
      </c>
      <c r="F100">
        <v>1</v>
      </c>
      <c r="H100">
        <v>7.3957999999999996E-2</v>
      </c>
      <c r="I100">
        <v>7.8495999999999996E-2</v>
      </c>
      <c r="J100" s="4">
        <f t="shared" si="17"/>
        <v>1.0613591497877173</v>
      </c>
      <c r="L100" s="4"/>
      <c r="M100" s="4"/>
      <c r="N100">
        <v>7.2427000000000005E-2</v>
      </c>
      <c r="O100">
        <v>7.7084E-2</v>
      </c>
      <c r="P100" s="4">
        <f t="shared" si="18"/>
        <v>0.9792990616295737</v>
      </c>
      <c r="Q100" s="4">
        <f t="shared" si="25"/>
        <v>0.98201182225845907</v>
      </c>
      <c r="R100">
        <v>7.6844999999999997E-2</v>
      </c>
      <c r="T100" s="4"/>
      <c r="V100">
        <v>2</v>
      </c>
      <c r="W100">
        <v>128</v>
      </c>
      <c r="X100">
        <v>64</v>
      </c>
      <c r="Y100">
        <v>16</v>
      </c>
      <c r="Z100">
        <v>1</v>
      </c>
      <c r="AA100">
        <v>6.6316E-2</v>
      </c>
      <c r="AB100">
        <v>6.0024000000000001E-2</v>
      </c>
      <c r="AC100">
        <v>6.1800000000000001E-2</v>
      </c>
      <c r="AD100" s="4">
        <f t="shared" si="20"/>
        <v>1.0295881647341063</v>
      </c>
      <c r="AF100" s="5">
        <f t="shared" si="21"/>
        <v>0.90512093612401234</v>
      </c>
      <c r="AG100" s="5">
        <f t="shared" si="22"/>
        <v>0.93190180348633811</v>
      </c>
      <c r="AI100">
        <v>5.9824000000000002E-2</v>
      </c>
      <c r="AJ100">
        <v>6.0102000000000003E-2</v>
      </c>
      <c r="AK100" s="4">
        <f t="shared" si="15"/>
        <v>0.99666799946687989</v>
      </c>
      <c r="AL100" s="4">
        <f t="shared" si="16"/>
        <v>0.97252427184466017</v>
      </c>
      <c r="AN100">
        <v>6.1234999999999998E-2</v>
      </c>
      <c r="AP100" s="4"/>
      <c r="AR100" s="4"/>
    </row>
    <row r="101" spans="2:44" x14ac:dyDescent="0.25">
      <c r="B101">
        <v>4</v>
      </c>
      <c r="C101">
        <v>576</v>
      </c>
      <c r="D101">
        <v>64</v>
      </c>
      <c r="E101">
        <v>16</v>
      </c>
      <c r="F101">
        <v>1</v>
      </c>
      <c r="H101">
        <v>7.2408E-2</v>
      </c>
      <c r="I101">
        <v>7.732E-2</v>
      </c>
      <c r="J101" s="4">
        <f t="shared" si="17"/>
        <v>1.0678378079770192</v>
      </c>
      <c r="L101" s="4"/>
      <c r="M101" s="4"/>
      <c r="N101">
        <v>7.2151000000000007E-2</v>
      </c>
      <c r="O101">
        <v>7.714E-2</v>
      </c>
      <c r="P101" s="4">
        <f t="shared" si="18"/>
        <v>0.9964506684344272</v>
      </c>
      <c r="Q101" s="4">
        <f t="shared" si="25"/>
        <v>0.99767201241593384</v>
      </c>
      <c r="R101">
        <v>7.6901999999999998E-2</v>
      </c>
      <c r="T101" s="4"/>
      <c r="V101">
        <v>4</v>
      </c>
      <c r="W101">
        <v>128</v>
      </c>
      <c r="X101">
        <v>64</v>
      </c>
      <c r="Y101">
        <v>16</v>
      </c>
      <c r="Z101">
        <v>1</v>
      </c>
      <c r="AA101">
        <v>7.4524000000000007E-2</v>
      </c>
      <c r="AB101">
        <v>5.9449000000000002E-2</v>
      </c>
      <c r="AC101">
        <v>6.1017000000000002E-2</v>
      </c>
      <c r="AD101" s="4">
        <f t="shared" si="20"/>
        <v>1.0263755487897188</v>
      </c>
      <c r="AF101" s="5">
        <f t="shared" si="21"/>
        <v>0.7977161719714454</v>
      </c>
      <c r="AG101" s="5">
        <f t="shared" si="22"/>
        <v>0.81875637378562605</v>
      </c>
      <c r="AI101">
        <v>5.9475E-2</v>
      </c>
      <c r="AJ101">
        <v>6.0365000000000002E-2</v>
      </c>
      <c r="AK101" s="4">
        <f t="shared" si="15"/>
        <v>1.0004373496610539</v>
      </c>
      <c r="AL101" s="4">
        <f t="shared" si="16"/>
        <v>0.98931445334906665</v>
      </c>
      <c r="AN101">
        <v>6.1210000000000001E-2</v>
      </c>
      <c r="AP101" s="4"/>
      <c r="AR101" s="4"/>
    </row>
    <row r="102" spans="2:44" x14ac:dyDescent="0.25">
      <c r="B102">
        <v>8</v>
      </c>
      <c r="C102">
        <v>576</v>
      </c>
      <c r="D102">
        <v>64</v>
      </c>
      <c r="E102">
        <v>16</v>
      </c>
      <c r="F102">
        <v>1</v>
      </c>
      <c r="H102">
        <v>7.5330999999999995E-2</v>
      </c>
      <c r="I102">
        <v>7.9616999999999993E-2</v>
      </c>
      <c r="J102" s="4">
        <f t="shared" si="17"/>
        <v>1.056895567561827</v>
      </c>
      <c r="L102" s="4"/>
      <c r="M102" s="4"/>
      <c r="N102">
        <v>7.2562000000000001E-2</v>
      </c>
      <c r="O102">
        <v>7.7165999999999998E-2</v>
      </c>
      <c r="P102" s="4">
        <f t="shared" si="18"/>
        <v>0.96324222431668249</v>
      </c>
      <c r="Q102" s="4">
        <f t="shared" si="25"/>
        <v>0.96921511737443011</v>
      </c>
      <c r="R102">
        <v>7.6992000000000005E-2</v>
      </c>
      <c r="T102" s="4"/>
      <c r="V102">
        <v>8</v>
      </c>
      <c r="W102">
        <v>128</v>
      </c>
      <c r="X102">
        <v>64</v>
      </c>
      <c r="Y102">
        <v>16</v>
      </c>
      <c r="Z102">
        <v>1</v>
      </c>
      <c r="AA102">
        <v>9.3053999999999998E-2</v>
      </c>
      <c r="AB102">
        <v>6.0523E-2</v>
      </c>
      <c r="AC102">
        <v>6.1913999999999997E-2</v>
      </c>
      <c r="AD102" s="4">
        <f t="shared" si="20"/>
        <v>1.0229829981990317</v>
      </c>
      <c r="AF102" s="5">
        <f t="shared" si="21"/>
        <v>0.65040729039052592</v>
      </c>
      <c r="AG102" s="5">
        <f t="shared" si="22"/>
        <v>0.66535559997420846</v>
      </c>
      <c r="AI102">
        <v>6.0165000000000003E-2</v>
      </c>
      <c r="AJ102">
        <v>6.0634E-2</v>
      </c>
      <c r="AK102" s="4">
        <f t="shared" si="15"/>
        <v>0.99408489334633121</v>
      </c>
      <c r="AL102" s="4">
        <f t="shared" si="16"/>
        <v>0.97932616209581036</v>
      </c>
      <c r="AN102">
        <v>6.1530000000000001E-2</v>
      </c>
      <c r="AP102" s="4"/>
      <c r="AR102" s="4"/>
    </row>
    <row r="103" spans="2:44" x14ac:dyDescent="0.25">
      <c r="B103">
        <v>16</v>
      </c>
      <c r="C103">
        <v>576</v>
      </c>
      <c r="D103">
        <v>64</v>
      </c>
      <c r="E103">
        <v>16</v>
      </c>
      <c r="F103">
        <v>1</v>
      </c>
      <c r="H103">
        <v>7.9555000000000001E-2</v>
      </c>
      <c r="I103">
        <v>8.6989999999999998E-2</v>
      </c>
      <c r="J103" s="4">
        <f t="shared" si="17"/>
        <v>1.0934573565457859</v>
      </c>
      <c r="L103" s="4"/>
      <c r="M103" s="4"/>
      <c r="N103">
        <v>7.3278999999999997E-2</v>
      </c>
      <c r="O103">
        <v>7.7692999999999998E-2</v>
      </c>
      <c r="P103" s="4">
        <f t="shared" si="18"/>
        <v>0.92111118094400091</v>
      </c>
      <c r="Q103" s="4">
        <f t="shared" si="25"/>
        <v>0.89312564662604899</v>
      </c>
      <c r="R103">
        <v>7.7670000000000003E-2</v>
      </c>
      <c r="T103" s="4"/>
      <c r="V103">
        <v>16</v>
      </c>
      <c r="W103">
        <v>128</v>
      </c>
      <c r="X103">
        <v>64</v>
      </c>
      <c r="Y103">
        <v>16</v>
      </c>
      <c r="Z103">
        <v>1</v>
      </c>
      <c r="AA103">
        <v>0.12384100000000001</v>
      </c>
      <c r="AB103">
        <v>6.0772E-2</v>
      </c>
      <c r="AC103">
        <v>6.2758999999999995E-2</v>
      </c>
      <c r="AD103" s="4">
        <f t="shared" si="20"/>
        <v>1.0326959784111103</v>
      </c>
      <c r="AF103" s="5">
        <f t="shared" si="21"/>
        <v>0.49072601157936385</v>
      </c>
      <c r="AG103" s="5">
        <f t="shared" si="22"/>
        <v>0.50677077865973297</v>
      </c>
      <c r="AI103">
        <v>6.0461000000000001E-2</v>
      </c>
      <c r="AJ103">
        <v>6.1043E-2</v>
      </c>
      <c r="AK103" s="4">
        <f t="shared" si="15"/>
        <v>0.99488251168301189</v>
      </c>
      <c r="AL103" s="4">
        <f t="shared" si="16"/>
        <v>0.97265730811517082</v>
      </c>
      <c r="AN103">
        <v>6.2272000000000001E-2</v>
      </c>
      <c r="AP103" s="4"/>
      <c r="AR103" s="4"/>
    </row>
    <row r="104" spans="2:44" x14ac:dyDescent="0.25">
      <c r="B104">
        <v>32</v>
      </c>
      <c r="C104">
        <v>576</v>
      </c>
      <c r="D104">
        <v>64</v>
      </c>
      <c r="E104">
        <v>16</v>
      </c>
      <c r="F104">
        <v>1</v>
      </c>
      <c r="H104">
        <v>9.5404000000000003E-2</v>
      </c>
      <c r="I104">
        <v>0.106015</v>
      </c>
      <c r="J104" s="4">
        <f t="shared" si="17"/>
        <v>1.1112217517085237</v>
      </c>
      <c r="L104" s="4"/>
      <c r="M104" s="4"/>
      <c r="N104">
        <v>8.2424999999999998E-2</v>
      </c>
      <c r="O104">
        <v>9.5282000000000006E-2</v>
      </c>
      <c r="P104" s="4">
        <f t="shared" si="18"/>
        <v>0.86395748605928468</v>
      </c>
      <c r="Q104" s="4">
        <f t="shared" si="25"/>
        <v>0.89875960948922329</v>
      </c>
      <c r="R104">
        <v>9.2985999999999999E-2</v>
      </c>
      <c r="T104" s="4"/>
      <c r="V104">
        <v>32</v>
      </c>
      <c r="W104">
        <v>128</v>
      </c>
      <c r="X104">
        <v>64</v>
      </c>
      <c r="Y104">
        <v>16</v>
      </c>
      <c r="Z104">
        <v>1</v>
      </c>
      <c r="AA104">
        <v>0.19975799999999999</v>
      </c>
      <c r="AB104">
        <v>6.5657999999999994E-2</v>
      </c>
      <c r="AC104">
        <v>7.0711999999999997E-2</v>
      </c>
      <c r="AD104" s="4">
        <f t="shared" si="20"/>
        <v>1.0769746260927839</v>
      </c>
      <c r="AF104" s="5">
        <f t="shared" si="21"/>
        <v>0.3286877121316793</v>
      </c>
      <c r="AG104" s="5">
        <f t="shared" si="22"/>
        <v>0.3539883258743079</v>
      </c>
      <c r="AI104">
        <v>6.5228999999999995E-2</v>
      </c>
      <c r="AJ104">
        <v>6.8447999999999995E-2</v>
      </c>
      <c r="AK104" s="4">
        <f t="shared" si="15"/>
        <v>0.99346614273965095</v>
      </c>
      <c r="AL104" s="4">
        <f t="shared" si="16"/>
        <v>0.96798280348455701</v>
      </c>
      <c r="AN104">
        <v>6.9906999999999997E-2</v>
      </c>
      <c r="AP104" s="4"/>
      <c r="AR104" s="4"/>
    </row>
    <row r="105" spans="2:44" x14ac:dyDescent="0.25">
      <c r="B105">
        <v>64</v>
      </c>
      <c r="C105">
        <v>576</v>
      </c>
      <c r="D105">
        <v>64</v>
      </c>
      <c r="E105">
        <v>16</v>
      </c>
      <c r="F105">
        <v>1</v>
      </c>
      <c r="H105">
        <v>0.13220499999999999</v>
      </c>
      <c r="I105">
        <v>0.15765599999999999</v>
      </c>
      <c r="J105" s="4">
        <f t="shared" si="17"/>
        <v>1.192511629666049</v>
      </c>
      <c r="L105" s="4"/>
      <c r="M105" s="4"/>
      <c r="N105">
        <v>0.115479</v>
      </c>
      <c r="O105">
        <v>0.13606099999999999</v>
      </c>
      <c r="P105" s="4">
        <f t="shared" si="18"/>
        <v>0.87348436140841879</v>
      </c>
      <c r="Q105" s="4">
        <f t="shared" si="25"/>
        <v>0.86302455980108583</v>
      </c>
      <c r="R105">
        <v>0.130387</v>
      </c>
      <c r="T105" s="4"/>
      <c r="V105">
        <v>64</v>
      </c>
      <c r="W105">
        <v>128</v>
      </c>
      <c r="X105">
        <v>64</v>
      </c>
      <c r="Y105">
        <v>16</v>
      </c>
      <c r="Z105">
        <v>1</v>
      </c>
      <c r="AA105">
        <v>0.335455</v>
      </c>
      <c r="AB105">
        <v>7.6124999999999998E-2</v>
      </c>
      <c r="AC105">
        <v>8.7309999999999999E-2</v>
      </c>
      <c r="AD105" s="4">
        <f t="shared" si="20"/>
        <v>1.1469293924466339</v>
      </c>
      <c r="AF105" s="5">
        <f t="shared" si="21"/>
        <v>0.22693058681492301</v>
      </c>
      <c r="AG105" s="5">
        <f t="shared" si="22"/>
        <v>0.26027336006319773</v>
      </c>
      <c r="AI105">
        <v>7.3847999999999997E-2</v>
      </c>
      <c r="AJ105">
        <v>8.3116999999999996E-2</v>
      </c>
      <c r="AK105" s="4">
        <f t="shared" ref="AK105:AK136" si="26">AI105/AB105</f>
        <v>0.97008866995073895</v>
      </c>
      <c r="AL105" s="4">
        <f t="shared" ref="AL105:AL136" si="27">AJ105/AC105</f>
        <v>0.95197571870347042</v>
      </c>
      <c r="AN105">
        <v>8.5402000000000006E-2</v>
      </c>
      <c r="AP105" s="4"/>
      <c r="AR105" s="4"/>
    </row>
    <row r="106" spans="2:44" x14ac:dyDescent="0.25">
      <c r="B106">
        <v>128</v>
      </c>
      <c r="C106">
        <v>576</v>
      </c>
      <c r="D106">
        <v>64</v>
      </c>
      <c r="E106">
        <v>16</v>
      </c>
      <c r="F106">
        <v>1</v>
      </c>
      <c r="H106">
        <v>0.20663100000000001</v>
      </c>
      <c r="I106">
        <v>0.24799599999999999</v>
      </c>
      <c r="J106" s="4">
        <f t="shared" si="17"/>
        <v>1.2001877743417009</v>
      </c>
      <c r="L106" s="4"/>
      <c r="M106" s="4"/>
      <c r="N106">
        <v>0.19279299999999999</v>
      </c>
      <c r="O106">
        <v>0.233677</v>
      </c>
      <c r="P106" s="4">
        <f t="shared" ref="P106:P137" si="28">N106/H106</f>
        <v>0.93303037782326947</v>
      </c>
      <c r="Q106" s="4">
        <f t="shared" si="25"/>
        <v>0.94226116550266936</v>
      </c>
      <c r="R106">
        <v>0.21093100000000001</v>
      </c>
      <c r="T106" s="4"/>
      <c r="V106">
        <v>128</v>
      </c>
      <c r="W106">
        <v>128</v>
      </c>
      <c r="X106">
        <v>64</v>
      </c>
      <c r="Y106">
        <v>16</v>
      </c>
      <c r="Z106">
        <v>1</v>
      </c>
      <c r="AA106">
        <v>0.60672300000000001</v>
      </c>
      <c r="AB106">
        <v>9.5024999999999998E-2</v>
      </c>
      <c r="AC106">
        <v>0.119504</v>
      </c>
      <c r="AD106" s="4">
        <f t="shared" si="20"/>
        <v>1.2576058931860037</v>
      </c>
      <c r="AF106" s="5">
        <f t="shared" si="21"/>
        <v>0.15662007209220682</v>
      </c>
      <c r="AG106" s="5">
        <f t="shared" si="22"/>
        <v>0.19696632565437605</v>
      </c>
      <c r="AI106">
        <v>9.2719999999999997E-2</v>
      </c>
      <c r="AJ106">
        <v>0.11351</v>
      </c>
      <c r="AK106" s="4">
        <f t="shared" si="26"/>
        <v>0.97574322546698233</v>
      </c>
      <c r="AL106" s="4">
        <f t="shared" si="27"/>
        <v>0.94984268309010578</v>
      </c>
      <c r="AN106">
        <v>0.11865000000000001</v>
      </c>
      <c r="AP106" s="4"/>
      <c r="AR106" s="4"/>
    </row>
    <row r="107" spans="2:44" x14ac:dyDescent="0.25">
      <c r="B107">
        <v>256</v>
      </c>
      <c r="C107">
        <v>576</v>
      </c>
      <c r="D107">
        <v>64</v>
      </c>
      <c r="E107">
        <v>16</v>
      </c>
      <c r="F107">
        <v>1</v>
      </c>
      <c r="H107">
        <v>0.46341500000000002</v>
      </c>
      <c r="I107">
        <v>0.54459400000000002</v>
      </c>
      <c r="J107" s="4">
        <f t="shared" si="17"/>
        <v>1.1751755985455801</v>
      </c>
      <c r="L107" s="4"/>
      <c r="M107" s="4"/>
      <c r="N107">
        <v>0.41058299999999998</v>
      </c>
      <c r="O107">
        <v>0.49391299999999999</v>
      </c>
      <c r="P107" s="4">
        <f t="shared" si="28"/>
        <v>0.88599419526774048</v>
      </c>
      <c r="Q107" s="4">
        <f t="shared" si="25"/>
        <v>0.90693801253778039</v>
      </c>
      <c r="R107">
        <v>0.41184599999999999</v>
      </c>
      <c r="T107" s="4"/>
      <c r="V107">
        <v>256</v>
      </c>
      <c r="W107">
        <v>128</v>
      </c>
      <c r="X107">
        <v>64</v>
      </c>
      <c r="Y107">
        <v>16</v>
      </c>
      <c r="Z107">
        <v>1</v>
      </c>
      <c r="AA107">
        <v>1.1815899999999999</v>
      </c>
      <c r="AB107">
        <v>0.137041</v>
      </c>
      <c r="AC107">
        <v>0.18440899999999999</v>
      </c>
      <c r="AD107" s="4">
        <f t="shared" si="20"/>
        <v>1.3456483826008274</v>
      </c>
      <c r="AF107" s="5">
        <f t="shared" si="21"/>
        <v>0.11598016232364865</v>
      </c>
      <c r="AG107" s="5">
        <f t="shared" si="22"/>
        <v>0.15606851784459924</v>
      </c>
      <c r="AI107">
        <v>0.13513900000000001</v>
      </c>
      <c r="AJ107">
        <v>0.176064</v>
      </c>
      <c r="AK107" s="4">
        <f t="shared" si="26"/>
        <v>0.98612094190789623</v>
      </c>
      <c r="AL107" s="4">
        <f t="shared" si="27"/>
        <v>0.95474732795037121</v>
      </c>
      <c r="AN107">
        <v>0.182758</v>
      </c>
      <c r="AP107" s="4"/>
      <c r="AR107" s="4"/>
    </row>
    <row r="108" spans="2:44" x14ac:dyDescent="0.25">
      <c r="B108">
        <v>512</v>
      </c>
      <c r="C108">
        <v>576</v>
      </c>
      <c r="D108">
        <v>64</v>
      </c>
      <c r="E108">
        <v>16</v>
      </c>
      <c r="F108">
        <v>1</v>
      </c>
      <c r="H108">
        <v>1.0392129999999999</v>
      </c>
      <c r="I108">
        <v>1.1463760000000001</v>
      </c>
      <c r="J108" s="4">
        <f t="shared" si="17"/>
        <v>1.1031193797614158</v>
      </c>
      <c r="L108" s="4"/>
      <c r="M108" s="4"/>
      <c r="N108">
        <v>0.91918900000000003</v>
      </c>
      <c r="O108">
        <v>1.053469</v>
      </c>
      <c r="P108" s="4">
        <f t="shared" si="28"/>
        <v>0.8845049090032554</v>
      </c>
      <c r="Q108" s="4">
        <f t="shared" si="25"/>
        <v>0.91895590975386776</v>
      </c>
      <c r="R108">
        <v>0.86051900000000003</v>
      </c>
      <c r="T108" s="4"/>
      <c r="V108">
        <v>512</v>
      </c>
      <c r="W108">
        <v>128</v>
      </c>
      <c r="X108">
        <v>64</v>
      </c>
      <c r="Y108">
        <v>16</v>
      </c>
      <c r="Z108">
        <v>1</v>
      </c>
      <c r="AA108">
        <v>2.3342999999999998</v>
      </c>
      <c r="AB108">
        <v>0.218253</v>
      </c>
      <c r="AC108">
        <v>0.316581</v>
      </c>
      <c r="AD108" s="4">
        <f t="shared" si="20"/>
        <v>1.4505230168657475</v>
      </c>
      <c r="AF108" s="5">
        <f t="shared" si="21"/>
        <v>9.3498265004498149E-2</v>
      </c>
      <c r="AG108" s="5">
        <f t="shared" si="22"/>
        <v>0.1356213854260378</v>
      </c>
      <c r="AI108">
        <v>0.217586</v>
      </c>
      <c r="AJ108">
        <v>0.30652200000000002</v>
      </c>
      <c r="AK108" s="4">
        <f t="shared" si="26"/>
        <v>0.99694391371481716</v>
      </c>
      <c r="AL108" s="4">
        <f t="shared" si="27"/>
        <v>0.96822614117713957</v>
      </c>
      <c r="AN108">
        <v>0.31827800000000001</v>
      </c>
      <c r="AP108" s="4"/>
      <c r="AR108" s="4"/>
    </row>
    <row r="109" spans="2:44" x14ac:dyDescent="0.25">
      <c r="B109">
        <v>1</v>
      </c>
      <c r="C109">
        <v>576</v>
      </c>
      <c r="D109">
        <v>128</v>
      </c>
      <c r="E109">
        <v>16</v>
      </c>
      <c r="F109">
        <v>1</v>
      </c>
      <c r="H109">
        <v>7.4475E-2</v>
      </c>
      <c r="I109">
        <v>7.7629000000000004E-2</v>
      </c>
      <c r="J109" s="4">
        <f t="shared" si="17"/>
        <v>1.0423497818059753</v>
      </c>
      <c r="L109" s="4"/>
      <c r="M109" s="4"/>
      <c r="N109">
        <v>7.3724999999999999E-2</v>
      </c>
      <c r="O109">
        <v>7.5961000000000001E-2</v>
      </c>
      <c r="P109" s="4">
        <f t="shared" si="28"/>
        <v>0.98992950654582068</v>
      </c>
      <c r="Q109" s="4">
        <f t="shared" si="25"/>
        <v>0.97851318450579028</v>
      </c>
      <c r="R109">
        <v>7.7772999999999995E-2</v>
      </c>
      <c r="T109" s="4"/>
      <c r="V109" s="8">
        <v>1</v>
      </c>
      <c r="W109" s="8">
        <v>128</v>
      </c>
      <c r="X109" s="8">
        <v>128</v>
      </c>
      <c r="Y109" s="8">
        <v>16</v>
      </c>
      <c r="Z109" s="8">
        <v>1</v>
      </c>
      <c r="AA109" s="8">
        <v>6.1893999999999998E-2</v>
      </c>
      <c r="AB109" s="8">
        <v>6.2288999999999997E-2</v>
      </c>
      <c r="AC109">
        <v>6.2266000000000002E-2</v>
      </c>
      <c r="AD109" s="4">
        <f t="shared" si="20"/>
        <v>0.99963075342355801</v>
      </c>
      <c r="AF109" s="5">
        <f t="shared" si="21"/>
        <v>1.0063818786958347</v>
      </c>
      <c r="AG109" s="5">
        <f t="shared" si="22"/>
        <v>1.0060102756325331</v>
      </c>
      <c r="AI109">
        <v>6.1732000000000002E-2</v>
      </c>
      <c r="AJ109">
        <v>6.0831999999999997E-2</v>
      </c>
      <c r="AK109" s="4">
        <f t="shared" si="26"/>
        <v>0.99105781117051173</v>
      </c>
      <c r="AL109" s="4">
        <f t="shared" si="27"/>
        <v>0.97696977483698966</v>
      </c>
      <c r="AN109">
        <v>6.1900999999999998E-2</v>
      </c>
      <c r="AP109" s="4"/>
      <c r="AR109" s="4"/>
    </row>
    <row r="110" spans="2:44" x14ac:dyDescent="0.25">
      <c r="B110">
        <v>2</v>
      </c>
      <c r="C110">
        <v>576</v>
      </c>
      <c r="D110">
        <v>128</v>
      </c>
      <c r="E110">
        <v>16</v>
      </c>
      <c r="F110">
        <v>1</v>
      </c>
      <c r="H110">
        <v>7.7173000000000005E-2</v>
      </c>
      <c r="I110">
        <v>8.0310000000000006E-2</v>
      </c>
      <c r="J110" s="4">
        <f t="shared" si="17"/>
        <v>1.0406489316211629</v>
      </c>
      <c r="L110" s="4"/>
      <c r="M110" s="4"/>
      <c r="N110">
        <v>7.4955999999999995E-2</v>
      </c>
      <c r="O110">
        <v>7.7104000000000006E-2</v>
      </c>
      <c r="P110" s="4">
        <f t="shared" si="28"/>
        <v>0.97127233617975184</v>
      </c>
      <c r="Q110" s="4">
        <f t="shared" si="25"/>
        <v>0.96007969119661307</v>
      </c>
      <c r="R110">
        <v>7.8240000000000004E-2</v>
      </c>
      <c r="T110" s="4"/>
      <c r="V110">
        <v>2</v>
      </c>
      <c r="W110">
        <v>128</v>
      </c>
      <c r="X110">
        <v>128</v>
      </c>
      <c r="Y110">
        <v>16</v>
      </c>
      <c r="Z110">
        <v>1</v>
      </c>
      <c r="AA110">
        <v>6.6321000000000005E-2</v>
      </c>
      <c r="AB110">
        <v>6.2427999999999997E-2</v>
      </c>
      <c r="AC110">
        <v>6.3101000000000004E-2</v>
      </c>
      <c r="AD110" s="4">
        <f t="shared" si="20"/>
        <v>1.0107804190427374</v>
      </c>
      <c r="AF110" s="5">
        <f t="shared" si="21"/>
        <v>0.94130064383830148</v>
      </c>
      <c r="AG110" s="5">
        <f t="shared" si="22"/>
        <v>0.95144825922407683</v>
      </c>
      <c r="AI110">
        <v>6.1852999999999998E-2</v>
      </c>
      <c r="AJ110">
        <v>6.1126E-2</v>
      </c>
      <c r="AK110" s="4">
        <f t="shared" si="26"/>
        <v>0.9907893893765618</v>
      </c>
      <c r="AL110" s="4">
        <f t="shared" si="27"/>
        <v>0.96870097145845546</v>
      </c>
      <c r="AN110">
        <v>6.1990000000000003E-2</v>
      </c>
      <c r="AP110" s="4"/>
      <c r="AR110" s="4"/>
    </row>
    <row r="111" spans="2:44" x14ac:dyDescent="0.25">
      <c r="B111">
        <v>4</v>
      </c>
      <c r="C111">
        <v>576</v>
      </c>
      <c r="D111">
        <v>128</v>
      </c>
      <c r="E111">
        <v>16</v>
      </c>
      <c r="F111">
        <v>1</v>
      </c>
      <c r="H111">
        <v>7.5251999999999999E-2</v>
      </c>
      <c r="I111">
        <v>7.8827999999999995E-2</v>
      </c>
      <c r="J111" s="4">
        <f t="shared" si="17"/>
        <v>1.0475203316855366</v>
      </c>
      <c r="L111" s="4"/>
      <c r="M111" s="4"/>
      <c r="N111">
        <v>7.485E-2</v>
      </c>
      <c r="O111">
        <v>7.7721999999999999E-2</v>
      </c>
      <c r="P111" s="4">
        <f t="shared" si="28"/>
        <v>0.99465794929038431</v>
      </c>
      <c r="Q111" s="4">
        <f t="shared" si="25"/>
        <v>0.98596945247881473</v>
      </c>
      <c r="R111">
        <v>7.8362000000000001E-2</v>
      </c>
      <c r="T111" s="4"/>
      <c r="V111">
        <v>4</v>
      </c>
      <c r="W111">
        <v>128</v>
      </c>
      <c r="X111">
        <v>128</v>
      </c>
      <c r="Y111">
        <v>16</v>
      </c>
      <c r="Z111">
        <v>1</v>
      </c>
      <c r="AA111">
        <v>7.4674000000000004E-2</v>
      </c>
      <c r="AB111">
        <v>6.1643000000000003E-2</v>
      </c>
      <c r="AC111">
        <v>6.2378999999999997E-2</v>
      </c>
      <c r="AD111" s="4">
        <f t="shared" si="20"/>
        <v>1.0119397174050579</v>
      </c>
      <c r="AF111" s="5">
        <f t="shared" si="21"/>
        <v>0.8254948174732839</v>
      </c>
      <c r="AG111" s="5">
        <f t="shared" si="22"/>
        <v>0.83535099231325483</v>
      </c>
      <c r="AI111">
        <v>6.1697000000000002E-2</v>
      </c>
      <c r="AJ111">
        <v>6.1484999999999998E-2</v>
      </c>
      <c r="AK111" s="4">
        <f t="shared" si="26"/>
        <v>1.0008760118748277</v>
      </c>
      <c r="AL111" s="4">
        <f t="shared" si="27"/>
        <v>0.98566825373923916</v>
      </c>
      <c r="AN111">
        <v>6.2060999999999998E-2</v>
      </c>
      <c r="AP111" s="4"/>
      <c r="AR111" s="4"/>
    </row>
    <row r="112" spans="2:44" x14ac:dyDescent="0.25">
      <c r="B112">
        <v>8</v>
      </c>
      <c r="C112">
        <v>576</v>
      </c>
      <c r="D112">
        <v>128</v>
      </c>
      <c r="E112">
        <v>16</v>
      </c>
      <c r="F112">
        <v>1</v>
      </c>
      <c r="H112">
        <v>7.9297999999999993E-2</v>
      </c>
      <c r="I112">
        <v>8.2332000000000002E-2</v>
      </c>
      <c r="J112" s="4">
        <f t="shared" si="17"/>
        <v>1.0382607379757371</v>
      </c>
      <c r="L112" s="4"/>
      <c r="M112" s="4"/>
      <c r="N112">
        <v>7.5678999999999996E-2</v>
      </c>
      <c r="O112">
        <v>7.7703999999999995E-2</v>
      </c>
      <c r="P112" s="4">
        <f t="shared" si="28"/>
        <v>0.95436202678503879</v>
      </c>
      <c r="Q112" s="4">
        <f t="shared" si="25"/>
        <v>0.94378856337754446</v>
      </c>
      <c r="R112">
        <v>7.8233999999999998E-2</v>
      </c>
      <c r="T112" s="4"/>
      <c r="V112">
        <v>8</v>
      </c>
      <c r="W112">
        <v>128</v>
      </c>
      <c r="X112">
        <v>128</v>
      </c>
      <c r="Y112">
        <v>16</v>
      </c>
      <c r="Z112">
        <v>1</v>
      </c>
      <c r="AA112">
        <v>9.3211000000000002E-2</v>
      </c>
      <c r="AB112">
        <v>6.2958E-2</v>
      </c>
      <c r="AC112">
        <v>6.3308000000000003E-2</v>
      </c>
      <c r="AD112" s="4">
        <f t="shared" si="20"/>
        <v>1.0055592617300424</v>
      </c>
      <c r="AF112" s="5">
        <f t="shared" si="21"/>
        <v>0.67543530270032504</v>
      </c>
      <c r="AG112" s="5">
        <f t="shared" si="22"/>
        <v>0.67919022432974652</v>
      </c>
      <c r="AI112">
        <v>6.2325999999999999E-2</v>
      </c>
      <c r="AJ112">
        <v>6.1810999999999998E-2</v>
      </c>
      <c r="AK112" s="4">
        <f t="shared" si="26"/>
        <v>0.98996156167603799</v>
      </c>
      <c r="AL112" s="4">
        <f t="shared" si="27"/>
        <v>0.97635369937448657</v>
      </c>
      <c r="AN112">
        <v>6.2489999999999997E-2</v>
      </c>
      <c r="AP112" s="4"/>
      <c r="AR112" s="4"/>
    </row>
    <row r="113" spans="2:44" x14ac:dyDescent="0.25">
      <c r="B113">
        <v>16</v>
      </c>
      <c r="C113">
        <v>576</v>
      </c>
      <c r="D113">
        <v>128</v>
      </c>
      <c r="E113">
        <v>16</v>
      </c>
      <c r="F113">
        <v>1</v>
      </c>
      <c r="H113">
        <v>8.6308999999999997E-2</v>
      </c>
      <c r="I113">
        <v>8.5772000000000001E-2</v>
      </c>
      <c r="J113" s="4">
        <f t="shared" si="17"/>
        <v>0.99377816913647476</v>
      </c>
      <c r="L113" s="4"/>
      <c r="M113" s="4"/>
      <c r="N113">
        <v>7.6565999999999995E-2</v>
      </c>
      <c r="O113">
        <v>7.8363000000000002E-2</v>
      </c>
      <c r="P113" s="4">
        <f t="shared" si="28"/>
        <v>0.88711490111112401</v>
      </c>
      <c r="Q113" s="4">
        <f t="shared" si="25"/>
        <v>0.91361982931492791</v>
      </c>
      <c r="R113">
        <v>7.9090999999999995E-2</v>
      </c>
      <c r="T113" s="4"/>
      <c r="V113">
        <v>16</v>
      </c>
      <c r="W113">
        <v>128</v>
      </c>
      <c r="X113">
        <v>128</v>
      </c>
      <c r="Y113">
        <v>16</v>
      </c>
      <c r="Z113">
        <v>1</v>
      </c>
      <c r="AA113">
        <v>0.123802</v>
      </c>
      <c r="AB113">
        <v>6.3128000000000004E-2</v>
      </c>
      <c r="AC113">
        <v>6.4014000000000001E-2</v>
      </c>
      <c r="AD113" s="4">
        <f t="shared" si="20"/>
        <v>1.0140349765555696</v>
      </c>
      <c r="AF113" s="5">
        <f t="shared" si="21"/>
        <v>0.50991098689843462</v>
      </c>
      <c r="AG113" s="5">
        <f t="shared" si="22"/>
        <v>0.51706757564498151</v>
      </c>
      <c r="AI113">
        <v>6.2820000000000001E-2</v>
      </c>
      <c r="AJ113">
        <v>6.1957999999999999E-2</v>
      </c>
      <c r="AK113" s="4">
        <f t="shared" si="26"/>
        <v>0.99512102395133695</v>
      </c>
      <c r="AL113" s="4">
        <f t="shared" si="27"/>
        <v>0.96788202580685467</v>
      </c>
      <c r="AN113">
        <v>6.3039999999999999E-2</v>
      </c>
      <c r="AP113" s="4"/>
      <c r="AR113" s="4"/>
    </row>
    <row r="114" spans="2:44" x14ac:dyDescent="0.25">
      <c r="B114">
        <v>32</v>
      </c>
      <c r="C114">
        <v>576</v>
      </c>
      <c r="D114">
        <v>128</v>
      </c>
      <c r="E114">
        <v>16</v>
      </c>
      <c r="F114">
        <v>1</v>
      </c>
      <c r="H114">
        <v>9.4959000000000002E-2</v>
      </c>
      <c r="I114">
        <v>0.11070000000000001</v>
      </c>
      <c r="J114" s="4">
        <f t="shared" si="17"/>
        <v>1.1657662780779074</v>
      </c>
      <c r="L114" s="4"/>
      <c r="M114" s="4"/>
      <c r="N114">
        <v>8.5986000000000007E-2</v>
      </c>
      <c r="O114">
        <v>9.6098000000000003E-2</v>
      </c>
      <c r="P114" s="4">
        <f t="shared" si="28"/>
        <v>0.90550658705335996</v>
      </c>
      <c r="Q114" s="4">
        <f t="shared" si="25"/>
        <v>0.86809394760614267</v>
      </c>
      <c r="R114">
        <v>9.5314999999999997E-2</v>
      </c>
      <c r="T114" s="4"/>
      <c r="V114">
        <v>32</v>
      </c>
      <c r="W114">
        <v>128</v>
      </c>
      <c r="X114">
        <v>128</v>
      </c>
      <c r="Y114">
        <v>16</v>
      </c>
      <c r="Z114">
        <v>1</v>
      </c>
      <c r="AA114">
        <v>0.19972000000000001</v>
      </c>
      <c r="AB114">
        <v>6.9846000000000005E-2</v>
      </c>
      <c r="AC114">
        <v>7.3284000000000002E-2</v>
      </c>
      <c r="AD114" s="4">
        <f t="shared" si="20"/>
        <v>1.0492225753801219</v>
      </c>
      <c r="AF114" s="5">
        <f t="shared" si="21"/>
        <v>0.34971960745043063</v>
      </c>
      <c r="AG114" s="5">
        <f t="shared" si="22"/>
        <v>0.36693370719006607</v>
      </c>
      <c r="AI114">
        <v>6.8683999999999995E-2</v>
      </c>
      <c r="AJ114">
        <v>7.0713999999999999E-2</v>
      </c>
      <c r="AK114" s="4">
        <f t="shared" si="26"/>
        <v>0.98336339947885332</v>
      </c>
      <c r="AL114" s="4">
        <f t="shared" si="27"/>
        <v>0.96493095355057035</v>
      </c>
      <c r="AN114">
        <v>7.1570999999999996E-2</v>
      </c>
      <c r="AP114" s="4"/>
      <c r="AR114" s="4"/>
    </row>
    <row r="115" spans="2:44" x14ac:dyDescent="0.25">
      <c r="B115">
        <v>64</v>
      </c>
      <c r="C115">
        <v>576</v>
      </c>
      <c r="D115">
        <v>128</v>
      </c>
      <c r="E115">
        <v>16</v>
      </c>
      <c r="F115">
        <v>1</v>
      </c>
      <c r="H115">
        <v>0.13327700000000001</v>
      </c>
      <c r="I115">
        <v>0.160718</v>
      </c>
      <c r="J115" s="4">
        <f t="shared" si="17"/>
        <v>1.2058944904222033</v>
      </c>
      <c r="L115" s="4"/>
      <c r="M115" s="4"/>
      <c r="N115">
        <v>0.11863799999999999</v>
      </c>
      <c r="O115">
        <v>0.13461200000000001</v>
      </c>
      <c r="P115" s="4">
        <f t="shared" si="28"/>
        <v>0.89016109306181856</v>
      </c>
      <c r="Q115" s="4">
        <f t="shared" si="25"/>
        <v>0.83756642068716636</v>
      </c>
      <c r="R115">
        <v>0.13420799999999999</v>
      </c>
      <c r="T115" s="4"/>
      <c r="V115">
        <v>64</v>
      </c>
      <c r="W115">
        <v>128</v>
      </c>
      <c r="X115">
        <v>128</v>
      </c>
      <c r="Y115">
        <v>16</v>
      </c>
      <c r="Z115">
        <v>1</v>
      </c>
      <c r="AA115">
        <v>0.33540599999999998</v>
      </c>
      <c r="AB115">
        <v>8.1213999999999995E-2</v>
      </c>
      <c r="AC115">
        <v>9.1857999999999995E-2</v>
      </c>
      <c r="AD115" s="4">
        <f t="shared" si="20"/>
        <v>1.1310611470928658</v>
      </c>
      <c r="AF115" s="5">
        <f t="shared" si="21"/>
        <v>0.24213639589035377</v>
      </c>
      <c r="AG115" s="5">
        <f t="shared" si="22"/>
        <v>0.27387106968867581</v>
      </c>
      <c r="AI115">
        <v>7.9873E-2</v>
      </c>
      <c r="AJ115">
        <v>8.6988999999999997E-2</v>
      </c>
      <c r="AK115" s="4">
        <f t="shared" si="26"/>
        <v>0.98348806855960802</v>
      </c>
      <c r="AL115" s="4">
        <f t="shared" si="27"/>
        <v>0.9469942737703847</v>
      </c>
      <c r="AN115">
        <v>8.8709999999999997E-2</v>
      </c>
      <c r="AP115" s="4"/>
      <c r="AR115" s="4"/>
    </row>
    <row r="116" spans="2:44" x14ac:dyDescent="0.25">
      <c r="B116">
        <v>128</v>
      </c>
      <c r="C116">
        <v>576</v>
      </c>
      <c r="D116">
        <v>128</v>
      </c>
      <c r="E116">
        <v>16</v>
      </c>
      <c r="F116">
        <v>1</v>
      </c>
      <c r="H116">
        <v>0.21557100000000001</v>
      </c>
      <c r="I116">
        <v>0.25577299999999997</v>
      </c>
      <c r="J116" s="4">
        <f t="shared" si="17"/>
        <v>1.1864907617443903</v>
      </c>
      <c r="L116" s="4"/>
      <c r="M116" s="4"/>
      <c r="N116">
        <v>0.19358</v>
      </c>
      <c r="O116">
        <v>0.23256199999999999</v>
      </c>
      <c r="P116" s="4">
        <f t="shared" si="28"/>
        <v>0.89798720607131755</v>
      </c>
      <c r="Q116" s="4">
        <f t="shared" si="25"/>
        <v>0.90925156290929854</v>
      </c>
      <c r="R116">
        <v>0.21628800000000001</v>
      </c>
      <c r="T116" s="4"/>
      <c r="V116">
        <v>128</v>
      </c>
      <c r="W116">
        <v>128</v>
      </c>
      <c r="X116">
        <v>128</v>
      </c>
      <c r="Y116">
        <v>16</v>
      </c>
      <c r="Z116">
        <v>1</v>
      </c>
      <c r="AA116">
        <v>0.60648899999999994</v>
      </c>
      <c r="AB116">
        <v>0.105281</v>
      </c>
      <c r="AC116">
        <v>0.128501</v>
      </c>
      <c r="AD116" s="4">
        <f t="shared" si="20"/>
        <v>1.2205526163315319</v>
      </c>
      <c r="AF116" s="5">
        <f t="shared" si="21"/>
        <v>0.17359094723894417</v>
      </c>
      <c r="AG116" s="5">
        <f t="shared" si="22"/>
        <v>0.21187688482396222</v>
      </c>
      <c r="AI116">
        <v>0.10365099999999999</v>
      </c>
      <c r="AJ116">
        <v>0.121146</v>
      </c>
      <c r="AK116" s="4">
        <f t="shared" si="26"/>
        <v>0.98451762426268741</v>
      </c>
      <c r="AL116" s="4">
        <f t="shared" si="27"/>
        <v>0.94276309133781055</v>
      </c>
      <c r="AN116">
        <v>0.124794</v>
      </c>
      <c r="AP116" s="4"/>
      <c r="AR116" s="4"/>
    </row>
    <row r="117" spans="2:44" x14ac:dyDescent="0.25">
      <c r="B117">
        <v>256</v>
      </c>
      <c r="C117">
        <v>576</v>
      </c>
      <c r="D117">
        <v>128</v>
      </c>
      <c r="E117">
        <v>16</v>
      </c>
      <c r="F117">
        <v>1</v>
      </c>
      <c r="H117">
        <v>0.45868999999999999</v>
      </c>
      <c r="I117">
        <v>0.524559</v>
      </c>
      <c r="J117" s="4">
        <f t="shared" si="17"/>
        <v>1.1436024330157624</v>
      </c>
      <c r="L117" s="4"/>
      <c r="M117" s="4"/>
      <c r="N117">
        <v>0.41675400000000001</v>
      </c>
      <c r="O117">
        <v>0.48904700000000001</v>
      </c>
      <c r="P117" s="4">
        <f t="shared" si="28"/>
        <v>0.90857441845254971</v>
      </c>
      <c r="Q117" s="4">
        <f t="shared" si="25"/>
        <v>0.93230122826984196</v>
      </c>
      <c r="R117">
        <v>0.42453099999999999</v>
      </c>
      <c r="T117" s="4"/>
      <c r="V117">
        <v>256</v>
      </c>
      <c r="W117">
        <v>128</v>
      </c>
      <c r="X117">
        <v>128</v>
      </c>
      <c r="Y117">
        <v>16</v>
      </c>
      <c r="Z117">
        <v>1</v>
      </c>
      <c r="AA117">
        <v>1.180976</v>
      </c>
      <c r="AB117">
        <v>0.15449199999999999</v>
      </c>
      <c r="AC117">
        <v>0.20127400000000001</v>
      </c>
      <c r="AD117" s="4">
        <f t="shared" si="20"/>
        <v>1.302811796080056</v>
      </c>
      <c r="AF117" s="5">
        <f t="shared" si="21"/>
        <v>0.13081722236523011</v>
      </c>
      <c r="AG117" s="5">
        <f t="shared" si="22"/>
        <v>0.1704302204278495</v>
      </c>
      <c r="AI117">
        <v>0.15168699999999999</v>
      </c>
      <c r="AJ117">
        <v>0.188531</v>
      </c>
      <c r="AK117" s="4">
        <f t="shared" si="26"/>
        <v>0.98184372006317477</v>
      </c>
      <c r="AL117" s="4">
        <f t="shared" si="27"/>
        <v>0.93668829555729993</v>
      </c>
      <c r="AN117">
        <v>0.194963</v>
      </c>
      <c r="AP117" s="4"/>
      <c r="AR117" s="4"/>
    </row>
    <row r="118" spans="2:44" x14ac:dyDescent="0.25">
      <c r="B118">
        <v>512</v>
      </c>
      <c r="C118">
        <v>576</v>
      </c>
      <c r="D118">
        <v>128</v>
      </c>
      <c r="E118">
        <v>16</v>
      </c>
      <c r="F118">
        <v>1</v>
      </c>
      <c r="H118">
        <v>1.027652</v>
      </c>
      <c r="I118">
        <v>1.1089249999999999</v>
      </c>
      <c r="J118" s="4">
        <f t="shared" si="17"/>
        <v>1.0790861108624319</v>
      </c>
      <c r="L118" s="4"/>
      <c r="M118" s="4"/>
      <c r="N118">
        <v>0.98319400000000001</v>
      </c>
      <c r="O118">
        <v>1.0978079999999999</v>
      </c>
      <c r="P118" s="4">
        <f t="shared" si="28"/>
        <v>0.95673827326760419</v>
      </c>
      <c r="Q118" s="4">
        <f t="shared" si="25"/>
        <v>0.98997497576481719</v>
      </c>
      <c r="R118">
        <v>0.88370599999999999</v>
      </c>
      <c r="T118" s="4"/>
      <c r="V118">
        <v>512</v>
      </c>
      <c r="W118">
        <v>128</v>
      </c>
      <c r="X118">
        <v>128</v>
      </c>
      <c r="Y118">
        <v>16</v>
      </c>
      <c r="Z118">
        <v>1</v>
      </c>
      <c r="AA118">
        <v>2.3333029999999999</v>
      </c>
      <c r="AB118">
        <v>0.25364999999999999</v>
      </c>
      <c r="AC118">
        <v>0.35230299999999998</v>
      </c>
      <c r="AD118" s="4">
        <f t="shared" si="20"/>
        <v>1.3889335698797556</v>
      </c>
      <c r="AF118" s="5">
        <f t="shared" si="21"/>
        <v>0.10870855606837175</v>
      </c>
      <c r="AG118" s="5">
        <f t="shared" si="22"/>
        <v>0.15098896285651714</v>
      </c>
      <c r="AI118">
        <v>0.248144</v>
      </c>
      <c r="AJ118">
        <v>0.32944600000000002</v>
      </c>
      <c r="AK118" s="4">
        <f t="shared" si="26"/>
        <v>0.97829292331953488</v>
      </c>
      <c r="AL118" s="4">
        <f t="shared" si="27"/>
        <v>0.93512118829530277</v>
      </c>
      <c r="AN118">
        <v>0.34202900000000003</v>
      </c>
      <c r="AP118" s="4"/>
      <c r="AR118" s="4"/>
    </row>
    <row r="119" spans="2:44" x14ac:dyDescent="0.25">
      <c r="B119">
        <v>1</v>
      </c>
      <c r="C119">
        <v>576</v>
      </c>
      <c r="D119">
        <v>256</v>
      </c>
      <c r="E119">
        <v>16</v>
      </c>
      <c r="F119">
        <v>1</v>
      </c>
      <c r="H119">
        <v>8.0528000000000002E-2</v>
      </c>
      <c r="I119">
        <v>8.1987000000000004E-2</v>
      </c>
      <c r="J119" s="4">
        <f t="shared" si="17"/>
        <v>1.01811792171667</v>
      </c>
      <c r="L119" s="4"/>
      <c r="M119" s="4"/>
      <c r="N119">
        <v>7.8945000000000001E-2</v>
      </c>
      <c r="O119">
        <v>7.868E-2</v>
      </c>
      <c r="P119" s="4">
        <f t="shared" si="28"/>
        <v>0.98034224120802704</v>
      </c>
      <c r="Q119" s="4">
        <f t="shared" si="25"/>
        <v>0.95966433702904119</v>
      </c>
      <c r="R119">
        <v>8.3199999999999996E-2</v>
      </c>
      <c r="T119" s="4"/>
      <c r="V119" s="8">
        <v>1</v>
      </c>
      <c r="W119" s="8">
        <v>128</v>
      </c>
      <c r="X119" s="8">
        <v>256</v>
      </c>
      <c r="Y119" s="8">
        <v>16</v>
      </c>
      <c r="Z119" s="8">
        <v>1</v>
      </c>
      <c r="AA119" s="8">
        <v>6.4139000000000002E-2</v>
      </c>
      <c r="AB119" s="8">
        <v>6.6475000000000006E-2</v>
      </c>
      <c r="AC119">
        <v>6.4504000000000006E-2</v>
      </c>
      <c r="AD119" s="4">
        <f t="shared" si="20"/>
        <v>0.97034975554719816</v>
      </c>
      <c r="AF119" s="5">
        <f t="shared" si="21"/>
        <v>1.0364208983613714</v>
      </c>
      <c r="AG119" s="5">
        <f t="shared" si="22"/>
        <v>1.0056907653689644</v>
      </c>
      <c r="AI119">
        <v>6.6236000000000003E-2</v>
      </c>
      <c r="AJ119">
        <v>6.2937999999999994E-2</v>
      </c>
      <c r="AK119" s="4">
        <f t="shared" si="26"/>
        <v>0.99640466340729594</v>
      </c>
      <c r="AL119" s="4">
        <f t="shared" si="27"/>
        <v>0.97572243581793361</v>
      </c>
      <c r="AN119">
        <v>6.4370999999999998E-2</v>
      </c>
      <c r="AP119" s="4"/>
      <c r="AR119" s="4"/>
    </row>
    <row r="120" spans="2:44" x14ac:dyDescent="0.25">
      <c r="B120">
        <v>2</v>
      </c>
      <c r="C120">
        <v>576</v>
      </c>
      <c r="D120">
        <v>256</v>
      </c>
      <c r="E120">
        <v>16</v>
      </c>
      <c r="F120">
        <v>1</v>
      </c>
      <c r="H120">
        <v>8.5677000000000003E-2</v>
      </c>
      <c r="I120">
        <v>8.6649000000000004E-2</v>
      </c>
      <c r="J120" s="4">
        <f t="shared" si="17"/>
        <v>1.0113449350467454</v>
      </c>
      <c r="L120" s="4"/>
      <c r="M120" s="4"/>
      <c r="N120">
        <v>8.0744999999999997E-2</v>
      </c>
      <c r="O120">
        <v>8.0532000000000006E-2</v>
      </c>
      <c r="P120" s="4">
        <f t="shared" si="28"/>
        <v>0.94243495920725506</v>
      </c>
      <c r="Q120" s="4">
        <f t="shared" si="25"/>
        <v>0.92940484021742897</v>
      </c>
      <c r="R120">
        <v>8.4371000000000002E-2</v>
      </c>
      <c r="T120" s="4"/>
      <c r="V120">
        <v>2</v>
      </c>
      <c r="W120">
        <v>128</v>
      </c>
      <c r="X120">
        <v>256</v>
      </c>
      <c r="Y120">
        <v>16</v>
      </c>
      <c r="Z120">
        <v>1</v>
      </c>
      <c r="AA120">
        <v>7.0331000000000005E-2</v>
      </c>
      <c r="AB120">
        <v>6.7179000000000003E-2</v>
      </c>
      <c r="AC120">
        <v>6.5915000000000001E-2</v>
      </c>
      <c r="AD120" s="4">
        <f t="shared" si="20"/>
        <v>0.98118459637684396</v>
      </c>
      <c r="AF120" s="5">
        <f t="shared" si="21"/>
        <v>0.95518334731483978</v>
      </c>
      <c r="AG120" s="5">
        <f t="shared" si="22"/>
        <v>0.93721118710099383</v>
      </c>
      <c r="AI120">
        <v>6.6281000000000007E-2</v>
      </c>
      <c r="AJ120">
        <v>6.3251000000000002E-2</v>
      </c>
      <c r="AK120" s="4">
        <f t="shared" si="26"/>
        <v>0.98663272748924524</v>
      </c>
      <c r="AL120" s="4">
        <f t="shared" si="27"/>
        <v>0.95958431313054693</v>
      </c>
      <c r="AN120">
        <v>6.4940999999999999E-2</v>
      </c>
      <c r="AP120" s="4"/>
      <c r="AR120" s="4"/>
    </row>
    <row r="121" spans="2:44" x14ac:dyDescent="0.25">
      <c r="B121">
        <v>4</v>
      </c>
      <c r="C121">
        <v>576</v>
      </c>
      <c r="D121">
        <v>256</v>
      </c>
      <c r="E121">
        <v>16</v>
      </c>
      <c r="F121">
        <v>1</v>
      </c>
      <c r="H121">
        <v>8.4192000000000003E-2</v>
      </c>
      <c r="I121">
        <v>8.5530999999999996E-2</v>
      </c>
      <c r="J121" s="4">
        <f t="shared" si="17"/>
        <v>1.0159041239072595</v>
      </c>
      <c r="L121" s="4"/>
      <c r="M121" s="4"/>
      <c r="N121">
        <v>8.2709000000000005E-2</v>
      </c>
      <c r="O121">
        <v>8.3307999999999993E-2</v>
      </c>
      <c r="P121" s="4">
        <f t="shared" si="28"/>
        <v>0.98238549980995826</v>
      </c>
      <c r="Q121" s="4">
        <f t="shared" si="25"/>
        <v>0.97400942348388297</v>
      </c>
      <c r="R121">
        <v>8.5690000000000002E-2</v>
      </c>
      <c r="T121" s="4"/>
      <c r="V121">
        <v>4</v>
      </c>
      <c r="W121">
        <v>128</v>
      </c>
      <c r="X121">
        <v>256</v>
      </c>
      <c r="Y121">
        <v>16</v>
      </c>
      <c r="Z121">
        <v>1</v>
      </c>
      <c r="AA121">
        <v>8.2838999999999996E-2</v>
      </c>
      <c r="AB121">
        <v>6.6911999999999999E-2</v>
      </c>
      <c r="AC121">
        <v>6.5279000000000004E-2</v>
      </c>
      <c r="AD121" s="4">
        <f t="shared" si="20"/>
        <v>0.97559481109516988</v>
      </c>
      <c r="AF121" s="5">
        <f t="shared" si="21"/>
        <v>0.80773548690834029</v>
      </c>
      <c r="AG121" s="5">
        <f t="shared" si="22"/>
        <v>0.78802254976520725</v>
      </c>
      <c r="AI121">
        <v>6.7045999999999994E-2</v>
      </c>
      <c r="AJ121">
        <v>6.4115000000000005E-2</v>
      </c>
      <c r="AK121" s="4">
        <f t="shared" si="26"/>
        <v>1.0020026303204208</v>
      </c>
      <c r="AL121" s="4">
        <f t="shared" si="27"/>
        <v>0.98216884449823072</v>
      </c>
      <c r="AN121">
        <v>6.5132999999999996E-2</v>
      </c>
      <c r="AP121" s="4"/>
      <c r="AR121" s="4"/>
    </row>
    <row r="122" spans="2:44" x14ac:dyDescent="0.25">
      <c r="B122">
        <v>8</v>
      </c>
      <c r="C122">
        <v>576</v>
      </c>
      <c r="D122">
        <v>256</v>
      </c>
      <c r="E122">
        <v>16</v>
      </c>
      <c r="F122">
        <v>1</v>
      </c>
      <c r="H122">
        <v>9.1058E-2</v>
      </c>
      <c r="I122">
        <v>9.2055999999999999E-2</v>
      </c>
      <c r="J122" s="4">
        <f t="shared" si="17"/>
        <v>1.0109600474422895</v>
      </c>
      <c r="L122" s="4"/>
      <c r="M122" s="4"/>
      <c r="N122">
        <v>8.3208000000000004E-2</v>
      </c>
      <c r="O122">
        <v>8.3173999999999998E-2</v>
      </c>
      <c r="P122" s="4">
        <f t="shared" si="28"/>
        <v>0.91379120999802332</v>
      </c>
      <c r="Q122" s="4">
        <f t="shared" si="25"/>
        <v>0.90351525158599111</v>
      </c>
      <c r="R122">
        <v>8.5690000000000002E-2</v>
      </c>
      <c r="T122" s="4"/>
      <c r="V122">
        <v>8</v>
      </c>
      <c r="W122">
        <v>128</v>
      </c>
      <c r="X122">
        <v>256</v>
      </c>
      <c r="Y122">
        <v>16</v>
      </c>
      <c r="Z122">
        <v>1</v>
      </c>
      <c r="AA122">
        <v>0.111535</v>
      </c>
      <c r="AB122">
        <v>6.8249000000000004E-2</v>
      </c>
      <c r="AC122">
        <v>6.6623000000000002E-2</v>
      </c>
      <c r="AD122" s="4">
        <f t="shared" si="20"/>
        <v>0.97617547509853619</v>
      </c>
      <c r="AF122" s="5">
        <f t="shared" si="21"/>
        <v>0.61190657641099211</v>
      </c>
      <c r="AG122" s="5">
        <f t="shared" si="22"/>
        <v>0.59732819294391903</v>
      </c>
      <c r="AI122">
        <v>6.7257999999999998E-2</v>
      </c>
      <c r="AJ122">
        <v>6.4300999999999997E-2</v>
      </c>
      <c r="AK122" s="4">
        <f t="shared" si="26"/>
        <v>0.98547964072733663</v>
      </c>
      <c r="AL122" s="4">
        <f t="shared" si="27"/>
        <v>0.96514717139726514</v>
      </c>
      <c r="AN122">
        <v>6.5522999999999998E-2</v>
      </c>
      <c r="AP122" s="4"/>
      <c r="AR122" s="4"/>
    </row>
    <row r="123" spans="2:44" x14ac:dyDescent="0.25">
      <c r="B123">
        <v>16</v>
      </c>
      <c r="C123">
        <v>576</v>
      </c>
      <c r="D123">
        <v>256</v>
      </c>
      <c r="E123">
        <v>16</v>
      </c>
      <c r="F123">
        <v>1</v>
      </c>
      <c r="H123">
        <v>9.7464999999999996E-2</v>
      </c>
      <c r="I123">
        <v>9.7513000000000002E-2</v>
      </c>
      <c r="J123" s="4">
        <f t="shared" si="17"/>
        <v>1.0004924844816088</v>
      </c>
      <c r="L123" s="4"/>
      <c r="M123" s="4"/>
      <c r="N123">
        <v>8.4293000000000007E-2</v>
      </c>
      <c r="O123">
        <v>8.3616999999999997E-2</v>
      </c>
      <c r="P123" s="4">
        <f t="shared" si="28"/>
        <v>0.86485405017185668</v>
      </c>
      <c r="Q123" s="4">
        <f t="shared" si="25"/>
        <v>0.85749592362044025</v>
      </c>
      <c r="R123">
        <v>8.6457999999999993E-2</v>
      </c>
      <c r="T123" s="4"/>
      <c r="V123">
        <v>16</v>
      </c>
      <c r="W123">
        <v>128</v>
      </c>
      <c r="X123">
        <v>256</v>
      </c>
      <c r="Y123">
        <v>16</v>
      </c>
      <c r="Z123">
        <v>1</v>
      </c>
      <c r="AA123">
        <v>0.15944900000000001</v>
      </c>
      <c r="AB123">
        <v>6.8831000000000003E-2</v>
      </c>
      <c r="AC123">
        <v>6.7434999999999995E-2</v>
      </c>
      <c r="AD123" s="4">
        <f t="shared" si="20"/>
        <v>0.97971844081881698</v>
      </c>
      <c r="AF123" s="5">
        <f t="shared" si="21"/>
        <v>0.43168034920256632</v>
      </c>
      <c r="AG123" s="5">
        <f t="shared" si="22"/>
        <v>0.42292519865286071</v>
      </c>
      <c r="AI123">
        <v>6.7711999999999994E-2</v>
      </c>
      <c r="AJ123">
        <v>6.4512E-2</v>
      </c>
      <c r="AK123" s="4">
        <f t="shared" si="26"/>
        <v>0.98374279031250444</v>
      </c>
      <c r="AL123" s="4">
        <f t="shared" si="27"/>
        <v>0.9566545562393417</v>
      </c>
      <c r="AN123">
        <v>6.6175999999999999E-2</v>
      </c>
      <c r="AP123" s="4"/>
      <c r="AR123" s="4"/>
    </row>
    <row r="124" spans="2:44" x14ac:dyDescent="0.25">
      <c r="B124">
        <v>32</v>
      </c>
      <c r="C124">
        <v>576</v>
      </c>
      <c r="D124">
        <v>256</v>
      </c>
      <c r="E124">
        <v>16</v>
      </c>
      <c r="F124">
        <v>1</v>
      </c>
      <c r="H124">
        <v>0.115666</v>
      </c>
      <c r="I124">
        <v>0.13164600000000001</v>
      </c>
      <c r="J124" s="4">
        <f t="shared" si="17"/>
        <v>1.1381564158871234</v>
      </c>
      <c r="L124" s="4"/>
      <c r="M124" s="4"/>
      <c r="N124">
        <v>9.9221000000000004E-2</v>
      </c>
      <c r="O124">
        <v>0.10788499999999999</v>
      </c>
      <c r="P124" s="4">
        <f t="shared" si="28"/>
        <v>0.85782338803105496</v>
      </c>
      <c r="Q124" s="4">
        <f t="shared" si="25"/>
        <v>0.81950837853030079</v>
      </c>
      <c r="R124">
        <v>0.109766</v>
      </c>
      <c r="T124" s="4"/>
      <c r="V124">
        <v>32</v>
      </c>
      <c r="W124">
        <v>128</v>
      </c>
      <c r="X124">
        <v>256</v>
      </c>
      <c r="Y124">
        <v>16</v>
      </c>
      <c r="Z124">
        <v>1</v>
      </c>
      <c r="AA124">
        <v>0.27280599999999999</v>
      </c>
      <c r="AB124">
        <v>7.8051999999999996E-2</v>
      </c>
      <c r="AC124">
        <v>8.0593999999999999E-2</v>
      </c>
      <c r="AD124" s="4">
        <f t="shared" si="20"/>
        <v>1.0325680315686978</v>
      </c>
      <c r="AF124" s="5">
        <f t="shared" si="21"/>
        <v>0.28610807680182987</v>
      </c>
      <c r="AG124" s="5">
        <f t="shared" si="22"/>
        <v>0.2954260536791713</v>
      </c>
      <c r="AI124">
        <v>7.6891000000000001E-2</v>
      </c>
      <c r="AJ124">
        <v>7.6563000000000006E-2</v>
      </c>
      <c r="AK124" s="4">
        <f t="shared" si="26"/>
        <v>0.98512530108133045</v>
      </c>
      <c r="AL124" s="4">
        <f t="shared" si="27"/>
        <v>0.94998386976698024</v>
      </c>
      <c r="AN124">
        <v>7.6966000000000007E-2</v>
      </c>
      <c r="AP124" s="4"/>
      <c r="AR124" s="4"/>
    </row>
    <row r="125" spans="2:44" x14ac:dyDescent="0.25">
      <c r="B125">
        <v>64</v>
      </c>
      <c r="C125">
        <v>576</v>
      </c>
      <c r="D125">
        <v>256</v>
      </c>
      <c r="E125">
        <v>16</v>
      </c>
      <c r="F125">
        <v>1</v>
      </c>
      <c r="H125">
        <v>0.17912400000000001</v>
      </c>
      <c r="I125">
        <v>0.198598</v>
      </c>
      <c r="J125" s="4">
        <f t="shared" si="17"/>
        <v>1.1087179830731784</v>
      </c>
      <c r="L125" s="4"/>
      <c r="M125" s="4"/>
      <c r="N125">
        <v>0.156996</v>
      </c>
      <c r="O125">
        <v>0.16997799999999999</v>
      </c>
      <c r="P125" s="4">
        <f t="shared" si="28"/>
        <v>0.87646546526428615</v>
      </c>
      <c r="Q125" s="4">
        <f t="shared" si="25"/>
        <v>0.85588978740974231</v>
      </c>
      <c r="R125">
        <v>0.17535400000000001</v>
      </c>
      <c r="T125" s="4"/>
      <c r="V125">
        <v>64</v>
      </c>
      <c r="W125">
        <v>128</v>
      </c>
      <c r="X125">
        <v>256</v>
      </c>
      <c r="Y125">
        <v>16</v>
      </c>
      <c r="Z125">
        <v>1</v>
      </c>
      <c r="AA125">
        <v>0.465526</v>
      </c>
      <c r="AB125">
        <v>0.100039</v>
      </c>
      <c r="AC125">
        <v>0.105729</v>
      </c>
      <c r="AD125" s="4">
        <f t="shared" si="20"/>
        <v>1.056877817651116</v>
      </c>
      <c r="AF125" s="5">
        <f t="shared" si="21"/>
        <v>0.21489454939144109</v>
      </c>
      <c r="AG125" s="5">
        <f t="shared" si="22"/>
        <v>0.22711728238594622</v>
      </c>
      <c r="AI125">
        <v>9.6679000000000001E-2</v>
      </c>
      <c r="AJ125">
        <v>9.8713999999999996E-2</v>
      </c>
      <c r="AK125" s="4">
        <f t="shared" si="26"/>
        <v>0.96641309889143234</v>
      </c>
      <c r="AL125" s="4">
        <f t="shared" si="27"/>
        <v>0.933651126937737</v>
      </c>
      <c r="AN125">
        <v>0.100013</v>
      </c>
      <c r="AP125" s="4"/>
      <c r="AR125" s="4"/>
    </row>
    <row r="126" spans="2:44" x14ac:dyDescent="0.25">
      <c r="B126">
        <v>128</v>
      </c>
      <c r="C126">
        <v>576</v>
      </c>
      <c r="D126">
        <v>256</v>
      </c>
      <c r="E126">
        <v>16</v>
      </c>
      <c r="F126">
        <v>1</v>
      </c>
      <c r="H126">
        <v>0.29949700000000001</v>
      </c>
      <c r="I126">
        <v>0.335534</v>
      </c>
      <c r="J126" s="4">
        <f t="shared" si="17"/>
        <v>1.1203250783814194</v>
      </c>
      <c r="L126" s="4"/>
      <c r="M126" s="4"/>
      <c r="N126">
        <v>0.23802100000000001</v>
      </c>
      <c r="O126">
        <v>0.27024900000000002</v>
      </c>
      <c r="P126" s="4">
        <f t="shared" si="28"/>
        <v>0.7947358404257806</v>
      </c>
      <c r="Q126" s="4">
        <f t="shared" si="25"/>
        <v>0.8054295540839379</v>
      </c>
      <c r="R126">
        <v>0.27907799999999999</v>
      </c>
      <c r="T126" s="4"/>
      <c r="V126">
        <v>128</v>
      </c>
      <c r="W126">
        <v>128</v>
      </c>
      <c r="X126">
        <v>256</v>
      </c>
      <c r="Y126">
        <v>16</v>
      </c>
      <c r="Z126">
        <v>1</v>
      </c>
      <c r="AA126">
        <v>0.88933399999999996</v>
      </c>
      <c r="AB126">
        <v>0.13845199999999999</v>
      </c>
      <c r="AC126">
        <v>0.15473200000000001</v>
      </c>
      <c r="AD126" s="4">
        <f t="shared" si="20"/>
        <v>1.1175858781382719</v>
      </c>
      <c r="AF126" s="5">
        <f t="shared" si="21"/>
        <v>0.15568054296810871</v>
      </c>
      <c r="AG126" s="5">
        <f t="shared" si="22"/>
        <v>0.17398637632205674</v>
      </c>
      <c r="AI126">
        <v>0.13802800000000001</v>
      </c>
      <c r="AJ126">
        <v>0.14201</v>
      </c>
      <c r="AK126" s="4">
        <f t="shared" si="26"/>
        <v>0.99693756681015822</v>
      </c>
      <c r="AL126" s="4">
        <f t="shared" si="27"/>
        <v>0.91778042033968399</v>
      </c>
      <c r="AN126">
        <v>0.14214399999999999</v>
      </c>
      <c r="AP126" s="4"/>
      <c r="AR126" s="4"/>
    </row>
    <row r="127" spans="2:44" x14ac:dyDescent="0.25">
      <c r="B127">
        <v>256</v>
      </c>
      <c r="C127">
        <v>576</v>
      </c>
      <c r="D127">
        <v>256</v>
      </c>
      <c r="E127">
        <v>16</v>
      </c>
      <c r="F127">
        <v>1</v>
      </c>
      <c r="H127">
        <v>0.61707699999999999</v>
      </c>
      <c r="I127">
        <v>0.65136000000000005</v>
      </c>
      <c r="J127" s="4">
        <f t="shared" si="17"/>
        <v>1.0555570860686756</v>
      </c>
      <c r="L127" s="4"/>
      <c r="M127" s="4"/>
      <c r="N127">
        <v>0.54010000000000002</v>
      </c>
      <c r="O127">
        <v>0.61549600000000004</v>
      </c>
      <c r="P127" s="4">
        <f t="shared" si="28"/>
        <v>0.87525543813819029</v>
      </c>
      <c r="Q127" s="4">
        <f t="shared" si="25"/>
        <v>0.94493981822647999</v>
      </c>
      <c r="R127">
        <v>0.54286699999999999</v>
      </c>
      <c r="T127" s="4"/>
      <c r="V127">
        <v>256</v>
      </c>
      <c r="W127">
        <v>128</v>
      </c>
      <c r="X127">
        <v>256</v>
      </c>
      <c r="Y127">
        <v>16</v>
      </c>
      <c r="Z127">
        <v>1</v>
      </c>
      <c r="AA127">
        <v>1.8016289999999999</v>
      </c>
      <c r="AB127">
        <v>0.218892</v>
      </c>
      <c r="AC127">
        <v>0.25459799999999999</v>
      </c>
      <c r="AD127" s="4">
        <f t="shared" si="20"/>
        <v>1.1631215393892878</v>
      </c>
      <c r="AF127" s="5">
        <f t="shared" si="21"/>
        <v>0.121496712142178</v>
      </c>
      <c r="AG127" s="5">
        <f t="shared" si="22"/>
        <v>0.14131544285754724</v>
      </c>
      <c r="AI127">
        <v>0.21514900000000001</v>
      </c>
      <c r="AJ127">
        <v>0.23120599999999999</v>
      </c>
      <c r="AK127" s="4">
        <f t="shared" si="26"/>
        <v>0.98290024304223089</v>
      </c>
      <c r="AL127" s="4">
        <f t="shared" si="27"/>
        <v>0.90812182342359327</v>
      </c>
      <c r="AN127">
        <v>0.228934</v>
      </c>
      <c r="AP127" s="4"/>
      <c r="AR127" s="4"/>
    </row>
    <row r="128" spans="2:44" x14ac:dyDescent="0.25">
      <c r="B128">
        <v>512</v>
      </c>
      <c r="C128">
        <v>576</v>
      </c>
      <c r="D128">
        <v>256</v>
      </c>
      <c r="E128">
        <v>16</v>
      </c>
      <c r="F128">
        <v>1</v>
      </c>
      <c r="H128">
        <v>1.3068489999999999</v>
      </c>
      <c r="I128">
        <v>1.3318460000000001</v>
      </c>
      <c r="J128" s="4">
        <f t="shared" si="17"/>
        <v>1.0191276880496525</v>
      </c>
      <c r="L128" s="4"/>
      <c r="M128" s="4"/>
      <c r="N128">
        <v>1.16561</v>
      </c>
      <c r="O128">
        <v>1.3089310000000001</v>
      </c>
      <c r="P128" s="4">
        <f t="shared" si="28"/>
        <v>0.89192400958335671</v>
      </c>
      <c r="Q128" s="4">
        <f t="shared" si="25"/>
        <v>0.98279455732870014</v>
      </c>
      <c r="R128">
        <v>1.125248</v>
      </c>
      <c r="T128" s="4"/>
      <c r="V128">
        <v>512</v>
      </c>
      <c r="W128">
        <v>128</v>
      </c>
      <c r="X128">
        <v>256</v>
      </c>
      <c r="Y128">
        <v>16</v>
      </c>
      <c r="Z128">
        <v>1</v>
      </c>
      <c r="AA128">
        <v>3.502367</v>
      </c>
      <c r="AB128">
        <v>0.379357</v>
      </c>
      <c r="AC128">
        <v>0.46202599999999999</v>
      </c>
      <c r="AD128" s="4">
        <f t="shared" si="20"/>
        <v>1.2179187414493471</v>
      </c>
      <c r="AF128" s="5">
        <f t="shared" si="21"/>
        <v>0.10831446276189788</v>
      </c>
      <c r="AG128" s="5">
        <f t="shared" si="22"/>
        <v>0.13191821416773286</v>
      </c>
      <c r="AI128">
        <v>0.369473</v>
      </c>
      <c r="AJ128">
        <v>0.40534399999999998</v>
      </c>
      <c r="AK128" s="4">
        <f t="shared" si="26"/>
        <v>0.97394538653563789</v>
      </c>
      <c r="AL128" s="4">
        <f t="shared" si="27"/>
        <v>0.87731859246016453</v>
      </c>
      <c r="AN128">
        <v>0.40188800000000002</v>
      </c>
      <c r="AP128" s="4"/>
      <c r="AR128" s="4"/>
    </row>
    <row r="129" spans="2:44" x14ac:dyDescent="0.25">
      <c r="B129">
        <v>1</v>
      </c>
      <c r="C129">
        <v>576</v>
      </c>
      <c r="D129">
        <v>512</v>
      </c>
      <c r="E129">
        <v>16</v>
      </c>
      <c r="F129">
        <v>1</v>
      </c>
      <c r="H129">
        <v>9.4147999999999996E-2</v>
      </c>
      <c r="I129">
        <v>9.0414999999999995E-2</v>
      </c>
      <c r="J129" s="4">
        <f t="shared" si="17"/>
        <v>0.96034966223392959</v>
      </c>
      <c r="L129" s="4"/>
      <c r="M129" s="4"/>
      <c r="N129">
        <v>9.1727000000000003E-2</v>
      </c>
      <c r="O129">
        <v>8.6886000000000005E-2</v>
      </c>
      <c r="P129" s="4">
        <f t="shared" si="28"/>
        <v>0.97428516803330933</v>
      </c>
      <c r="Q129" s="4">
        <f t="shared" si="25"/>
        <v>0.96096886578554452</v>
      </c>
      <c r="R129">
        <v>9.7568000000000002E-2</v>
      </c>
      <c r="T129" s="4"/>
      <c r="V129" s="8">
        <v>1</v>
      </c>
      <c r="W129" s="8">
        <v>128</v>
      </c>
      <c r="X129" s="8">
        <v>512</v>
      </c>
      <c r="Y129" s="8">
        <v>16</v>
      </c>
      <c r="Z129" s="8">
        <v>1</v>
      </c>
      <c r="AA129" s="8">
        <v>6.7864999999999995E-2</v>
      </c>
      <c r="AB129" s="8">
        <v>7.4615000000000001E-2</v>
      </c>
      <c r="AC129">
        <v>6.9176000000000001E-2</v>
      </c>
      <c r="AD129" s="4">
        <f t="shared" si="20"/>
        <v>0.92710580982376201</v>
      </c>
      <c r="AF129" s="5">
        <f t="shared" si="21"/>
        <v>1.0994621675384957</v>
      </c>
      <c r="AG129" s="5">
        <f t="shared" si="22"/>
        <v>1.0193177632063657</v>
      </c>
      <c r="AI129">
        <v>7.4201000000000003E-2</v>
      </c>
      <c r="AJ129">
        <v>6.7693000000000003E-2</v>
      </c>
      <c r="AK129" s="4">
        <f t="shared" si="26"/>
        <v>0.9944515177913289</v>
      </c>
      <c r="AL129" s="4">
        <f t="shared" si="27"/>
        <v>0.97856192899271421</v>
      </c>
      <c r="AN129">
        <v>7.0047999999999999E-2</v>
      </c>
      <c r="AP129" s="4"/>
      <c r="AR129" s="4"/>
    </row>
    <row r="130" spans="2:44" x14ac:dyDescent="0.25">
      <c r="B130">
        <v>2</v>
      </c>
      <c r="C130">
        <v>576</v>
      </c>
      <c r="D130">
        <v>512</v>
      </c>
      <c r="E130">
        <v>16</v>
      </c>
      <c r="F130">
        <v>1</v>
      </c>
      <c r="H130">
        <v>0.103126</v>
      </c>
      <c r="I130">
        <v>0.100632</v>
      </c>
      <c r="J130" s="4">
        <f t="shared" si="17"/>
        <v>0.97581599208734948</v>
      </c>
      <c r="L130" s="4"/>
      <c r="M130" s="4"/>
      <c r="N130">
        <v>9.4812999999999995E-2</v>
      </c>
      <c r="O130">
        <v>8.9806999999999998E-2</v>
      </c>
      <c r="P130" s="4">
        <f t="shared" si="28"/>
        <v>0.91938987258305371</v>
      </c>
      <c r="Q130" s="4">
        <f t="shared" si="25"/>
        <v>0.8924298433897766</v>
      </c>
      <c r="R130">
        <v>9.9302000000000001E-2</v>
      </c>
      <c r="T130" s="4"/>
      <c r="V130">
        <v>2</v>
      </c>
      <c r="W130">
        <v>128</v>
      </c>
      <c r="X130">
        <v>512</v>
      </c>
      <c r="Y130">
        <v>16</v>
      </c>
      <c r="Z130">
        <v>1</v>
      </c>
      <c r="AA130">
        <v>7.8594999999999998E-2</v>
      </c>
      <c r="AB130">
        <v>7.6929999999999998E-2</v>
      </c>
      <c r="AC130">
        <v>7.1660000000000001E-2</v>
      </c>
      <c r="AD130" s="4">
        <f t="shared" si="20"/>
        <v>0.93149616534511903</v>
      </c>
      <c r="AF130" s="5">
        <f t="shared" si="21"/>
        <v>0.97881544627520833</v>
      </c>
      <c r="AG130" s="5">
        <f t="shared" si="22"/>
        <v>0.9117628347859279</v>
      </c>
      <c r="AI130">
        <v>7.4548000000000003E-2</v>
      </c>
      <c r="AJ130">
        <v>6.7891000000000007E-2</v>
      </c>
      <c r="AK130" s="4">
        <f t="shared" si="26"/>
        <v>0.96903678668919802</v>
      </c>
      <c r="AL130" s="4">
        <f t="shared" si="27"/>
        <v>0.94740440971253148</v>
      </c>
      <c r="AN130">
        <v>7.0803000000000005E-2</v>
      </c>
      <c r="AP130" s="4"/>
      <c r="AR130" s="4"/>
    </row>
    <row r="131" spans="2:44" x14ac:dyDescent="0.25">
      <c r="B131">
        <v>4</v>
      </c>
      <c r="C131">
        <v>576</v>
      </c>
      <c r="D131">
        <v>512</v>
      </c>
      <c r="E131">
        <v>16</v>
      </c>
      <c r="F131">
        <v>1</v>
      </c>
      <c r="H131">
        <v>0.102858</v>
      </c>
      <c r="I131">
        <v>0.100424</v>
      </c>
      <c r="J131" s="4">
        <f t="shared" si="17"/>
        <v>0.97633630830854179</v>
      </c>
      <c r="L131" s="4"/>
      <c r="M131" s="4"/>
      <c r="N131">
        <v>0.10412</v>
      </c>
      <c r="O131">
        <v>9.9457000000000004E-2</v>
      </c>
      <c r="P131" s="4">
        <f t="shared" si="28"/>
        <v>1.012269342199926</v>
      </c>
      <c r="Q131" s="4">
        <f t="shared" si="25"/>
        <v>0.99037082769059193</v>
      </c>
      <c r="R131">
        <v>0.10197100000000001</v>
      </c>
      <c r="T131" s="4"/>
      <c r="V131">
        <v>4</v>
      </c>
      <c r="W131">
        <v>128</v>
      </c>
      <c r="X131">
        <v>512</v>
      </c>
      <c r="Y131">
        <v>16</v>
      </c>
      <c r="Z131">
        <v>1</v>
      </c>
      <c r="AA131">
        <v>0.104144</v>
      </c>
      <c r="AB131">
        <v>7.6732999999999996E-2</v>
      </c>
      <c r="AC131">
        <v>7.1165999999999993E-2</v>
      </c>
      <c r="AD131" s="4">
        <f t="shared" si="20"/>
        <v>0.9274497282785763</v>
      </c>
      <c r="AF131" s="5">
        <f t="shared" si="21"/>
        <v>0.73679712705484712</v>
      </c>
      <c r="AG131" s="5">
        <f t="shared" si="22"/>
        <v>0.68334229528345358</v>
      </c>
      <c r="AI131">
        <v>7.6655000000000001E-2</v>
      </c>
      <c r="AJ131">
        <v>7.0118E-2</v>
      </c>
      <c r="AK131" s="4">
        <f t="shared" si="26"/>
        <v>0.99898348819934069</v>
      </c>
      <c r="AL131" s="4">
        <f t="shared" si="27"/>
        <v>0.98527386673411466</v>
      </c>
      <c r="AN131">
        <v>7.1373000000000006E-2</v>
      </c>
      <c r="AP131" s="4"/>
      <c r="AR131" s="4"/>
    </row>
    <row r="132" spans="2:44" x14ac:dyDescent="0.25">
      <c r="B132">
        <v>8</v>
      </c>
      <c r="C132">
        <v>576</v>
      </c>
      <c r="D132">
        <v>512</v>
      </c>
      <c r="E132">
        <v>16</v>
      </c>
      <c r="F132">
        <v>1</v>
      </c>
      <c r="H132">
        <v>0.117405</v>
      </c>
      <c r="I132">
        <v>0.113733</v>
      </c>
      <c r="J132" s="4">
        <f t="shared" si="17"/>
        <v>0.96872364890762752</v>
      </c>
      <c r="L132" s="4"/>
      <c r="M132" s="4"/>
      <c r="N132">
        <v>0.103587</v>
      </c>
      <c r="O132">
        <v>9.8877000000000007E-2</v>
      </c>
      <c r="P132" s="4">
        <f t="shared" si="28"/>
        <v>0.88230484221285299</v>
      </c>
      <c r="Q132" s="4">
        <f t="shared" si="25"/>
        <v>0.86937828071008416</v>
      </c>
      <c r="R132">
        <v>0.103232</v>
      </c>
      <c r="T132" s="4"/>
      <c r="V132">
        <v>8</v>
      </c>
      <c r="W132">
        <v>128</v>
      </c>
      <c r="X132">
        <v>512</v>
      </c>
      <c r="Y132">
        <v>16</v>
      </c>
      <c r="Z132">
        <v>1</v>
      </c>
      <c r="AA132">
        <v>0.144459</v>
      </c>
      <c r="AB132">
        <v>7.9861000000000001E-2</v>
      </c>
      <c r="AC132">
        <v>7.4122999999999994E-2</v>
      </c>
      <c r="AD132" s="4">
        <f t="shared" si="20"/>
        <v>0.92815016090457159</v>
      </c>
      <c r="AF132" s="5">
        <f t="shared" si="21"/>
        <v>0.55282813808762343</v>
      </c>
      <c r="AG132" s="5">
        <f t="shared" si="22"/>
        <v>0.51310752531860249</v>
      </c>
      <c r="AI132">
        <v>7.7090000000000006E-2</v>
      </c>
      <c r="AJ132">
        <v>7.0330000000000004E-2</v>
      </c>
      <c r="AK132" s="4">
        <f t="shared" si="26"/>
        <v>0.96530221259438276</v>
      </c>
      <c r="AL132" s="4">
        <f t="shared" si="27"/>
        <v>0.94882829890857101</v>
      </c>
      <c r="AN132">
        <v>7.1686E-2</v>
      </c>
      <c r="AP132" s="4"/>
      <c r="AR132" s="4"/>
    </row>
    <row r="133" spans="2:44" x14ac:dyDescent="0.25">
      <c r="B133">
        <v>16</v>
      </c>
      <c r="C133">
        <v>576</v>
      </c>
      <c r="D133">
        <v>512</v>
      </c>
      <c r="E133">
        <v>16</v>
      </c>
      <c r="F133">
        <v>1</v>
      </c>
      <c r="H133">
        <v>0.12714800000000001</v>
      </c>
      <c r="I133">
        <v>0.12238599999999999</v>
      </c>
      <c r="J133" s="4">
        <f t="shared" si="17"/>
        <v>0.96254758234498372</v>
      </c>
      <c r="L133" s="4"/>
      <c r="M133" s="4"/>
      <c r="N133">
        <v>0.10534499999999999</v>
      </c>
      <c r="O133">
        <v>9.8196000000000006E-2</v>
      </c>
      <c r="P133" s="4">
        <f t="shared" si="28"/>
        <v>0.82852266649888306</v>
      </c>
      <c r="Q133" s="4">
        <f t="shared" si="25"/>
        <v>0.80234667363914181</v>
      </c>
      <c r="R133">
        <v>0.103309</v>
      </c>
      <c r="T133" s="4"/>
      <c r="V133">
        <v>16</v>
      </c>
      <c r="W133">
        <v>128</v>
      </c>
      <c r="X133">
        <v>512</v>
      </c>
      <c r="Y133">
        <v>16</v>
      </c>
      <c r="Z133">
        <v>1</v>
      </c>
      <c r="AA133">
        <v>0.22495999999999999</v>
      </c>
      <c r="AB133">
        <v>8.0618999999999996E-2</v>
      </c>
      <c r="AC133">
        <v>7.5600000000000001E-2</v>
      </c>
      <c r="AD133" s="4">
        <f t="shared" si="20"/>
        <v>0.93774420421984894</v>
      </c>
      <c r="AF133" s="5">
        <f t="shared" si="21"/>
        <v>0.35837037695590329</v>
      </c>
      <c r="AG133" s="5">
        <f t="shared" si="22"/>
        <v>0.33605974395448079</v>
      </c>
      <c r="AI133">
        <v>7.7358999999999997E-2</v>
      </c>
      <c r="AJ133">
        <v>7.0476999999999998E-2</v>
      </c>
      <c r="AK133" s="4">
        <f t="shared" si="26"/>
        <v>0.95956288219898533</v>
      </c>
      <c r="AL133" s="4">
        <f t="shared" si="27"/>
        <v>0.93223544973544969</v>
      </c>
      <c r="AN133">
        <v>7.2377999999999998E-2</v>
      </c>
      <c r="AP133" s="4"/>
      <c r="AR133" s="4"/>
    </row>
    <row r="134" spans="2:44" x14ac:dyDescent="0.25">
      <c r="B134">
        <v>32</v>
      </c>
      <c r="C134">
        <v>576</v>
      </c>
      <c r="D134">
        <v>512</v>
      </c>
      <c r="E134">
        <v>16</v>
      </c>
      <c r="F134">
        <v>1</v>
      </c>
      <c r="H134">
        <v>0.162688</v>
      </c>
      <c r="I134">
        <v>0.17983399999999999</v>
      </c>
      <c r="J134" s="4">
        <f t="shared" si="17"/>
        <v>1.1053919158143195</v>
      </c>
      <c r="L134" s="4"/>
      <c r="M134" s="4"/>
      <c r="N134">
        <v>0.14455000000000001</v>
      </c>
      <c r="O134">
        <v>0.14629200000000001</v>
      </c>
      <c r="P134" s="4">
        <f t="shared" si="28"/>
        <v>0.88851052321007085</v>
      </c>
      <c r="Q134" s="4">
        <f t="shared" si="25"/>
        <v>0.81348354593680849</v>
      </c>
      <c r="R134">
        <v>0.14943400000000001</v>
      </c>
      <c r="T134" s="4"/>
      <c r="V134">
        <v>32</v>
      </c>
      <c r="W134">
        <v>128</v>
      </c>
      <c r="X134">
        <v>512</v>
      </c>
      <c r="Y134">
        <v>16</v>
      </c>
      <c r="Z134">
        <v>1</v>
      </c>
      <c r="AA134">
        <v>0.42883900000000003</v>
      </c>
      <c r="AB134">
        <v>9.7147999999999998E-2</v>
      </c>
      <c r="AC134">
        <v>9.8239999999999994E-2</v>
      </c>
      <c r="AD134" s="4">
        <f t="shared" si="20"/>
        <v>1.0112405813809857</v>
      </c>
      <c r="AF134" s="5">
        <f t="shared" si="21"/>
        <v>0.22653723192153696</v>
      </c>
      <c r="AG134" s="5">
        <f t="shared" si="22"/>
        <v>0.22908364211277424</v>
      </c>
      <c r="AI134">
        <v>9.6140000000000003E-2</v>
      </c>
      <c r="AJ134">
        <v>8.9325000000000002E-2</v>
      </c>
      <c r="AK134" s="4">
        <f t="shared" si="26"/>
        <v>0.98962407872524405</v>
      </c>
      <c r="AL134" s="4">
        <f t="shared" si="27"/>
        <v>0.9092528501628665</v>
      </c>
      <c r="AN134">
        <v>8.9536000000000004E-2</v>
      </c>
      <c r="AP134" s="4"/>
      <c r="AR134" s="4"/>
    </row>
    <row r="135" spans="2:44" x14ac:dyDescent="0.25">
      <c r="B135">
        <v>64</v>
      </c>
      <c r="C135">
        <v>576</v>
      </c>
      <c r="D135">
        <v>512</v>
      </c>
      <c r="E135">
        <v>16</v>
      </c>
      <c r="F135">
        <v>1</v>
      </c>
      <c r="H135">
        <v>0.26658100000000001</v>
      </c>
      <c r="I135">
        <v>0.28995700000000002</v>
      </c>
      <c r="J135" s="4">
        <f t="shared" si="17"/>
        <v>1.0876881698245562</v>
      </c>
      <c r="L135" s="4"/>
      <c r="M135" s="4"/>
      <c r="N135">
        <v>0.220691</v>
      </c>
      <c r="O135">
        <v>0.23119400000000001</v>
      </c>
      <c r="P135" s="4">
        <f t="shared" si="28"/>
        <v>0.82785719912521893</v>
      </c>
      <c r="Q135" s="4">
        <f t="shared" si="25"/>
        <v>0.79733891577026939</v>
      </c>
      <c r="R135">
        <v>0.243834</v>
      </c>
      <c r="T135" s="4"/>
      <c r="V135">
        <v>64</v>
      </c>
      <c r="W135">
        <v>128</v>
      </c>
      <c r="X135">
        <v>512</v>
      </c>
      <c r="Y135">
        <v>16</v>
      </c>
      <c r="Z135">
        <v>1</v>
      </c>
      <c r="AA135">
        <v>0.75379399999999996</v>
      </c>
      <c r="AB135">
        <v>0.13778899999999999</v>
      </c>
      <c r="AC135">
        <v>0.136353</v>
      </c>
      <c r="AD135" s="4">
        <f t="shared" si="20"/>
        <v>0.98957826822170136</v>
      </c>
      <c r="AF135" s="5">
        <f t="shared" si="21"/>
        <v>0.18279397288914478</v>
      </c>
      <c r="AG135" s="5">
        <f t="shared" si="22"/>
        <v>0.18088894313300452</v>
      </c>
      <c r="AI135">
        <v>0.130908</v>
      </c>
      <c r="AJ135">
        <v>0.125248</v>
      </c>
      <c r="AK135" s="4">
        <f t="shared" si="26"/>
        <v>0.95006132565008816</v>
      </c>
      <c r="AL135" s="4">
        <f t="shared" si="27"/>
        <v>0.91855698077783399</v>
      </c>
      <c r="AN135">
        <v>0.12257899999999999</v>
      </c>
      <c r="AP135" s="4"/>
      <c r="AR135" s="4"/>
    </row>
    <row r="136" spans="2:44" x14ac:dyDescent="0.25">
      <c r="B136">
        <v>128</v>
      </c>
      <c r="C136">
        <v>576</v>
      </c>
      <c r="D136">
        <v>512</v>
      </c>
      <c r="E136">
        <v>16</v>
      </c>
      <c r="F136">
        <v>1</v>
      </c>
      <c r="H136">
        <v>0.48429299999999997</v>
      </c>
      <c r="I136">
        <v>0.51056999999999997</v>
      </c>
      <c r="J136" s="4">
        <f t="shared" si="17"/>
        <v>1.0542584757574442</v>
      </c>
      <c r="L136" s="4"/>
      <c r="M136" s="4"/>
      <c r="N136">
        <v>0.36221700000000001</v>
      </c>
      <c r="O136">
        <v>0.39066899999999999</v>
      </c>
      <c r="P136" s="4">
        <f t="shared" si="28"/>
        <v>0.74792945592853921</v>
      </c>
      <c r="Q136" s="4">
        <f t="shared" si="25"/>
        <v>0.76516246547975797</v>
      </c>
      <c r="R136">
        <v>0.416211</v>
      </c>
      <c r="T136" s="4"/>
      <c r="V136">
        <v>128</v>
      </c>
      <c r="W136">
        <v>128</v>
      </c>
      <c r="X136">
        <v>512</v>
      </c>
      <c r="Y136">
        <v>16</v>
      </c>
      <c r="Z136">
        <v>1</v>
      </c>
      <c r="AA136">
        <v>1.5188140000000001</v>
      </c>
      <c r="AB136">
        <v>0.21137700000000001</v>
      </c>
      <c r="AC136">
        <v>0.218995</v>
      </c>
      <c r="AD136" s="4">
        <f t="shared" si="20"/>
        <v>1.0360398718876698</v>
      </c>
      <c r="AF136" s="5">
        <f t="shared" si="21"/>
        <v>0.13917240689116639</v>
      </c>
      <c r="AG136" s="5">
        <f t="shared" si="22"/>
        <v>0.14418816260582268</v>
      </c>
      <c r="AI136">
        <v>0.20268600000000001</v>
      </c>
      <c r="AJ136">
        <v>0.19372800000000001</v>
      </c>
      <c r="AK136" s="4">
        <f t="shared" si="26"/>
        <v>0.95888388992179852</v>
      </c>
      <c r="AL136" s="4">
        <f t="shared" si="27"/>
        <v>0.88462293659672597</v>
      </c>
      <c r="AN136">
        <v>0.187642</v>
      </c>
      <c r="AP136" s="4"/>
      <c r="AR136" s="4"/>
    </row>
    <row r="137" spans="2:44" x14ac:dyDescent="0.25">
      <c r="B137">
        <v>256</v>
      </c>
      <c r="C137">
        <v>576</v>
      </c>
      <c r="D137">
        <v>512</v>
      </c>
      <c r="E137">
        <v>16</v>
      </c>
      <c r="F137">
        <v>1</v>
      </c>
      <c r="H137">
        <v>0.97301400000000005</v>
      </c>
      <c r="I137">
        <v>0.98619999999999997</v>
      </c>
      <c r="J137" s="4">
        <f t="shared" si="17"/>
        <v>1.0135517063474935</v>
      </c>
      <c r="L137" s="4"/>
      <c r="M137" s="4"/>
      <c r="N137">
        <v>0.82172400000000001</v>
      </c>
      <c r="O137">
        <v>0.86305399999999999</v>
      </c>
      <c r="P137" s="4">
        <f t="shared" si="28"/>
        <v>0.84451405632395826</v>
      </c>
      <c r="Q137" s="4">
        <f t="shared" si="25"/>
        <v>0.87513080511052521</v>
      </c>
      <c r="R137">
        <v>0.80746899999999999</v>
      </c>
      <c r="T137" s="4"/>
      <c r="V137">
        <v>256</v>
      </c>
      <c r="W137">
        <v>128</v>
      </c>
      <c r="X137">
        <v>512</v>
      </c>
      <c r="Y137">
        <v>16</v>
      </c>
      <c r="Z137">
        <v>1</v>
      </c>
      <c r="AA137">
        <v>3.1016409999999999</v>
      </c>
      <c r="AB137">
        <v>0.35969200000000001</v>
      </c>
      <c r="AC137">
        <v>0.3765</v>
      </c>
      <c r="AD137" s="4">
        <f t="shared" si="20"/>
        <v>1.0467288680315381</v>
      </c>
      <c r="AF137" s="5">
        <f t="shared" si="21"/>
        <v>0.11596828904441231</v>
      </c>
      <c r="AG137" s="5">
        <f t="shared" si="22"/>
        <v>0.12138735591901191</v>
      </c>
      <c r="AI137">
        <v>0.34362700000000002</v>
      </c>
      <c r="AJ137">
        <v>0.326214</v>
      </c>
      <c r="AK137" s="4">
        <f t="shared" ref="AK137:AK168" si="29">AI137/AB137</f>
        <v>0.95533678814096501</v>
      </c>
      <c r="AL137" s="4">
        <f t="shared" ref="AL137:AL168" si="30">AJ137/AC137</f>
        <v>0.86643824701195216</v>
      </c>
      <c r="AN137">
        <v>0.314944</v>
      </c>
      <c r="AP137" s="4"/>
      <c r="AR137" s="4"/>
    </row>
    <row r="138" spans="2:44" x14ac:dyDescent="0.25">
      <c r="B138">
        <v>512</v>
      </c>
      <c r="C138">
        <v>576</v>
      </c>
      <c r="D138">
        <v>512</v>
      </c>
      <c r="E138">
        <v>16</v>
      </c>
      <c r="F138">
        <v>1</v>
      </c>
      <c r="H138">
        <v>1.9967649999999999</v>
      </c>
      <c r="I138">
        <v>1.9476739999999999</v>
      </c>
      <c r="J138" s="4">
        <f t="shared" ref="J138:J188" si="31">I138/H138</f>
        <v>0.97541473333116313</v>
      </c>
      <c r="L138" s="4"/>
      <c r="M138" s="4"/>
      <c r="N138">
        <v>1.6768259999999999</v>
      </c>
      <c r="O138">
        <v>1.7137009999999999</v>
      </c>
      <c r="P138" s="4">
        <f t="shared" ref="P138:P169" si="32">N138/H138</f>
        <v>0.83977133012647953</v>
      </c>
      <c r="Q138" s="4">
        <f t="shared" si="25"/>
        <v>0.87987055328561148</v>
      </c>
      <c r="R138">
        <v>1.6147579999999999</v>
      </c>
      <c r="T138" s="4"/>
      <c r="V138">
        <v>512</v>
      </c>
      <c r="W138">
        <v>128</v>
      </c>
      <c r="X138">
        <v>512</v>
      </c>
      <c r="Y138">
        <v>16</v>
      </c>
      <c r="Z138">
        <v>1</v>
      </c>
      <c r="AA138">
        <v>5.9666350000000001</v>
      </c>
      <c r="AB138">
        <v>0.64265300000000003</v>
      </c>
      <c r="AC138">
        <v>0.690913</v>
      </c>
      <c r="AD138" s="4">
        <f t="shared" ref="AD138:AD188" si="33">AC138/AB138</f>
        <v>1.0750949579321967</v>
      </c>
      <c r="AF138" s="5">
        <f t="shared" ref="AF138:AF188" si="34">AB138/AA138</f>
        <v>0.10770777833737107</v>
      </c>
      <c r="AG138" s="5">
        <f t="shared" ref="AG138:AG188" si="35">AC138/AA138</f>
        <v>0.11579608942058631</v>
      </c>
      <c r="AI138">
        <v>0.61963900000000005</v>
      </c>
      <c r="AJ138">
        <v>0.58526699999999998</v>
      </c>
      <c r="AK138" s="4">
        <f t="shared" si="29"/>
        <v>0.96418907248546259</v>
      </c>
      <c r="AL138" s="4">
        <f t="shared" si="30"/>
        <v>0.84709218092581839</v>
      </c>
      <c r="AN138">
        <v>0.56998400000000005</v>
      </c>
      <c r="AP138" s="4"/>
      <c r="AR138" s="4"/>
    </row>
    <row r="139" spans="2:44" x14ac:dyDescent="0.25">
      <c r="B139">
        <v>1</v>
      </c>
      <c r="C139">
        <v>576</v>
      </c>
      <c r="D139">
        <v>1024</v>
      </c>
      <c r="E139">
        <v>16</v>
      </c>
      <c r="F139">
        <v>1</v>
      </c>
      <c r="H139">
        <v>0.12225</v>
      </c>
      <c r="I139">
        <v>0.10975799999999999</v>
      </c>
      <c r="J139" s="4">
        <f t="shared" si="31"/>
        <v>0.89781595092024535</v>
      </c>
      <c r="L139" s="4"/>
      <c r="M139" s="4"/>
      <c r="N139">
        <v>0.122408</v>
      </c>
      <c r="O139">
        <v>0.10867</v>
      </c>
      <c r="P139" s="4">
        <f t="shared" si="32"/>
        <v>1.0012924335378324</v>
      </c>
      <c r="Q139" s="4">
        <f t="shared" si="25"/>
        <v>0.99008728293154036</v>
      </c>
      <c r="R139">
        <v>0.126496</v>
      </c>
      <c r="T139" s="4"/>
      <c r="V139" s="8">
        <v>1</v>
      </c>
      <c r="W139" s="8">
        <v>128</v>
      </c>
      <c r="X139" s="8">
        <f>1024</f>
        <v>1024</v>
      </c>
      <c r="Y139" s="8">
        <v>16</v>
      </c>
      <c r="Z139" s="8">
        <v>1</v>
      </c>
      <c r="AA139" s="8">
        <v>7.7563999999999994E-2</v>
      </c>
      <c r="AB139" s="8">
        <v>9.2565999999999996E-2</v>
      </c>
      <c r="AC139">
        <v>7.8109999999999999E-2</v>
      </c>
      <c r="AD139" s="4">
        <f t="shared" si="33"/>
        <v>0.84383034807596746</v>
      </c>
      <c r="AF139" s="5">
        <f t="shared" si="34"/>
        <v>1.193414470630705</v>
      </c>
      <c r="AG139" s="5">
        <f t="shared" si="35"/>
        <v>1.0070393481512043</v>
      </c>
      <c r="AI139">
        <v>9.1969999999999996E-2</v>
      </c>
      <c r="AJ139">
        <v>7.6633999999999994E-2</v>
      </c>
      <c r="AK139" s="4">
        <f t="shared" si="29"/>
        <v>0.99356135081995545</v>
      </c>
      <c r="AL139" s="4">
        <f t="shared" si="30"/>
        <v>0.98110357188580199</v>
      </c>
      <c r="AN139">
        <v>8.1925999999999999E-2</v>
      </c>
      <c r="AP139" s="4"/>
      <c r="AR139" s="4"/>
    </row>
    <row r="140" spans="2:44" x14ac:dyDescent="0.25">
      <c r="B140">
        <v>2</v>
      </c>
      <c r="C140">
        <v>576</v>
      </c>
      <c r="D140">
        <v>1024</v>
      </c>
      <c r="E140">
        <v>16</v>
      </c>
      <c r="F140">
        <v>1</v>
      </c>
      <c r="H140">
        <v>0.13983200000000001</v>
      </c>
      <c r="I140">
        <v>0.12918099999999999</v>
      </c>
      <c r="J140" s="4">
        <f t="shared" si="31"/>
        <v>0.92383002460094954</v>
      </c>
      <c r="L140" s="4"/>
      <c r="M140" s="4"/>
      <c r="N140">
        <v>0.129247</v>
      </c>
      <c r="O140">
        <v>0.115286</v>
      </c>
      <c r="P140" s="4">
        <f t="shared" si="32"/>
        <v>0.92430201956633662</v>
      </c>
      <c r="Q140" s="4">
        <f t="shared" si="25"/>
        <v>0.89243774239245721</v>
      </c>
      <c r="R140">
        <v>0.12806400000000001</v>
      </c>
      <c r="T140" s="4"/>
      <c r="V140" s="8">
        <v>2</v>
      </c>
      <c r="W140" s="8">
        <v>128</v>
      </c>
      <c r="X140" s="8">
        <f>1024</f>
        <v>1024</v>
      </c>
      <c r="Y140" s="8">
        <v>16</v>
      </c>
      <c r="Z140" s="8">
        <v>1</v>
      </c>
      <c r="AA140" s="8">
        <v>9.6643999999999994E-2</v>
      </c>
      <c r="AB140" s="8">
        <v>9.6920000000000006E-2</v>
      </c>
      <c r="AC140">
        <v>8.2837999999999995E-2</v>
      </c>
      <c r="AD140" s="4">
        <f t="shared" si="33"/>
        <v>0.85470491126702419</v>
      </c>
      <c r="AF140" s="5">
        <f t="shared" si="34"/>
        <v>1.0028558420595175</v>
      </c>
      <c r="AG140" s="5">
        <f t="shared" si="35"/>
        <v>0.85714581350109686</v>
      </c>
      <c r="AI140">
        <v>9.2719999999999997E-2</v>
      </c>
      <c r="AJ140">
        <v>7.7626000000000001E-2</v>
      </c>
      <c r="AK140" s="4">
        <f t="shared" si="29"/>
        <v>0.95666529096161779</v>
      </c>
      <c r="AL140" s="4">
        <f t="shared" si="30"/>
        <v>0.93708201550013281</v>
      </c>
      <c r="AN140">
        <v>8.2848000000000005E-2</v>
      </c>
      <c r="AP140" s="4"/>
      <c r="AR140" s="4"/>
    </row>
    <row r="141" spans="2:44" x14ac:dyDescent="0.25">
      <c r="B141">
        <v>4</v>
      </c>
      <c r="C141">
        <v>576</v>
      </c>
      <c r="D141">
        <v>1024</v>
      </c>
      <c r="E141">
        <v>16</v>
      </c>
      <c r="F141">
        <v>1</v>
      </c>
      <c r="H141">
        <v>0.142738</v>
      </c>
      <c r="I141">
        <v>0.13191800000000001</v>
      </c>
      <c r="J141" s="4">
        <f t="shared" si="31"/>
        <v>0.92419678011461559</v>
      </c>
      <c r="L141" s="4"/>
      <c r="M141" s="4"/>
      <c r="N141">
        <v>0.15109900000000001</v>
      </c>
      <c r="O141">
        <v>0.13713500000000001</v>
      </c>
      <c r="P141" s="4">
        <f t="shared" si="32"/>
        <v>1.0585758522607855</v>
      </c>
      <c r="Q141" s="4">
        <f t="shared" si="25"/>
        <v>1.0395472945314514</v>
      </c>
      <c r="R141">
        <v>0.142758</v>
      </c>
      <c r="T141" s="4"/>
      <c r="V141">
        <v>4</v>
      </c>
      <c r="W141">
        <v>128</v>
      </c>
      <c r="X141">
        <f>1024</f>
        <v>1024</v>
      </c>
      <c r="Y141">
        <v>16</v>
      </c>
      <c r="Z141">
        <v>1</v>
      </c>
      <c r="AA141">
        <v>0.143038</v>
      </c>
      <c r="AB141">
        <v>9.6575999999999995E-2</v>
      </c>
      <c r="AC141">
        <v>8.2775000000000001E-2</v>
      </c>
      <c r="AD141" s="4">
        <f t="shared" si="33"/>
        <v>0.85709700132538114</v>
      </c>
      <c r="AF141" s="5">
        <f t="shared" si="34"/>
        <v>0.67517722563234939</v>
      </c>
      <c r="AG141" s="5">
        <f t="shared" si="35"/>
        <v>0.57869237545267693</v>
      </c>
      <c r="AI141">
        <v>9.7576999999999997E-2</v>
      </c>
      <c r="AJ141">
        <v>8.3353999999999998E-2</v>
      </c>
      <c r="AK141" s="4">
        <f t="shared" si="29"/>
        <v>1.0103648939695162</v>
      </c>
      <c r="AL141" s="4">
        <f t="shared" si="30"/>
        <v>1.0069948655995167</v>
      </c>
      <c r="AN141">
        <v>8.4806000000000006E-2</v>
      </c>
      <c r="AP141" s="4"/>
      <c r="AR141" s="4"/>
    </row>
    <row r="142" spans="2:44" x14ac:dyDescent="0.25">
      <c r="B142">
        <v>8</v>
      </c>
      <c r="C142">
        <v>576</v>
      </c>
      <c r="D142">
        <v>1024</v>
      </c>
      <c r="E142">
        <v>16</v>
      </c>
      <c r="F142">
        <v>1</v>
      </c>
      <c r="H142">
        <v>0.171126</v>
      </c>
      <c r="I142">
        <v>0.15860299999999999</v>
      </c>
      <c r="J142" s="4">
        <f t="shared" si="31"/>
        <v>0.92682000397368014</v>
      </c>
      <c r="L142" s="4"/>
      <c r="M142" s="4"/>
      <c r="N142">
        <v>0.15737100000000001</v>
      </c>
      <c r="O142">
        <v>0.143234</v>
      </c>
      <c r="P142" s="4">
        <f t="shared" si="32"/>
        <v>0.91962063041267839</v>
      </c>
      <c r="Q142" s="4">
        <f t="shared" si="25"/>
        <v>0.90309767154467446</v>
      </c>
      <c r="R142">
        <v>0.14313000000000001</v>
      </c>
      <c r="T142" s="4"/>
      <c r="V142">
        <v>8</v>
      </c>
      <c r="W142">
        <v>128</v>
      </c>
      <c r="X142">
        <f>1024</f>
        <v>1024</v>
      </c>
      <c r="Y142">
        <v>16</v>
      </c>
      <c r="Z142">
        <v>1</v>
      </c>
      <c r="AA142">
        <v>0.22309799999999999</v>
      </c>
      <c r="AB142">
        <v>0.1022</v>
      </c>
      <c r="AC142">
        <v>8.8501999999999997E-2</v>
      </c>
      <c r="AD142" s="4">
        <f t="shared" si="33"/>
        <v>0.86596868884540112</v>
      </c>
      <c r="AF142" s="5">
        <f t="shared" si="34"/>
        <v>0.45809464898833696</v>
      </c>
      <c r="AG142" s="5">
        <f t="shared" si="35"/>
        <v>0.39669562255152446</v>
      </c>
      <c r="AI142">
        <v>9.9160999999999999E-2</v>
      </c>
      <c r="AJ142">
        <v>8.3885000000000001E-2</v>
      </c>
      <c r="AK142" s="4">
        <f t="shared" si="29"/>
        <v>0.97026418786692759</v>
      </c>
      <c r="AL142" s="4">
        <f t="shared" si="30"/>
        <v>0.94783168741949342</v>
      </c>
      <c r="AN142">
        <v>8.5074999999999998E-2</v>
      </c>
      <c r="AP142" s="4"/>
      <c r="AR142" s="4"/>
    </row>
    <row r="143" spans="2:44" x14ac:dyDescent="0.25">
      <c r="B143">
        <v>16</v>
      </c>
      <c r="C143">
        <v>576</v>
      </c>
      <c r="D143">
        <v>1024</v>
      </c>
      <c r="E143">
        <v>16</v>
      </c>
      <c r="F143">
        <v>1</v>
      </c>
      <c r="H143">
        <v>0.187634</v>
      </c>
      <c r="I143">
        <v>0.17461699999999999</v>
      </c>
      <c r="J143" s="4">
        <f t="shared" si="31"/>
        <v>0.9306255795857894</v>
      </c>
      <c r="L143" s="4"/>
      <c r="M143" s="4"/>
      <c r="N143">
        <v>0.16190499999999999</v>
      </c>
      <c r="O143">
        <v>0.144402</v>
      </c>
      <c r="P143" s="4">
        <f t="shared" si="32"/>
        <v>0.86287666414402509</v>
      </c>
      <c r="Q143" s="4">
        <f t="shared" si="25"/>
        <v>0.82696415583820593</v>
      </c>
      <c r="R143">
        <v>0.14405799999999999</v>
      </c>
      <c r="T143" s="4"/>
      <c r="V143">
        <v>16</v>
      </c>
      <c r="W143">
        <v>128</v>
      </c>
      <c r="X143">
        <f>1024</f>
        <v>1024</v>
      </c>
      <c r="Y143">
        <v>16</v>
      </c>
      <c r="Z143">
        <v>1</v>
      </c>
      <c r="AA143">
        <v>0.38619700000000001</v>
      </c>
      <c r="AB143">
        <v>0.10578799999999999</v>
      </c>
      <c r="AC143">
        <v>9.2507000000000006E-2</v>
      </c>
      <c r="AD143" s="4">
        <f t="shared" si="33"/>
        <v>0.87445646008999145</v>
      </c>
      <c r="AF143" s="5">
        <f t="shared" si="34"/>
        <v>0.27392237640375244</v>
      </c>
      <c r="AG143" s="5">
        <f t="shared" si="35"/>
        <v>0.23953319160946357</v>
      </c>
      <c r="AI143">
        <v>9.9185999999999996E-2</v>
      </c>
      <c r="AJ143">
        <v>8.4556999999999993E-2</v>
      </c>
      <c r="AK143" s="4">
        <f t="shared" si="29"/>
        <v>0.9375921654630015</v>
      </c>
      <c r="AL143" s="4">
        <f t="shared" si="30"/>
        <v>0.91406055757942628</v>
      </c>
      <c r="AN143">
        <v>8.5612999999999995E-2</v>
      </c>
      <c r="AP143" s="4"/>
      <c r="AR143" s="4"/>
    </row>
    <row r="144" spans="2:44" x14ac:dyDescent="0.25">
      <c r="B144">
        <v>32</v>
      </c>
      <c r="C144">
        <v>576</v>
      </c>
      <c r="D144">
        <v>1024</v>
      </c>
      <c r="E144">
        <v>16</v>
      </c>
      <c r="F144">
        <v>1</v>
      </c>
      <c r="H144">
        <v>0.26368999999999998</v>
      </c>
      <c r="I144">
        <v>0.28853299999999998</v>
      </c>
      <c r="J144" s="4">
        <f t="shared" si="31"/>
        <v>1.0942129015131405</v>
      </c>
      <c r="L144" s="4"/>
      <c r="M144" s="4"/>
      <c r="N144">
        <v>0.21484200000000001</v>
      </c>
      <c r="O144">
        <v>0.20594499999999999</v>
      </c>
      <c r="P144" s="4">
        <f t="shared" si="32"/>
        <v>0.81475217111001563</v>
      </c>
      <c r="Q144" s="4">
        <f t="shared" si="25"/>
        <v>0.71376584307514224</v>
      </c>
      <c r="R144">
        <v>0.21842600000000001</v>
      </c>
      <c r="T144" s="4"/>
      <c r="V144">
        <v>32</v>
      </c>
      <c r="W144">
        <v>128</v>
      </c>
      <c r="X144">
        <f>1024</f>
        <v>1024</v>
      </c>
      <c r="Y144">
        <v>16</v>
      </c>
      <c r="Z144">
        <v>1</v>
      </c>
      <c r="AA144">
        <v>0.76147600000000004</v>
      </c>
      <c r="AB144">
        <v>0.13789499999999999</v>
      </c>
      <c r="AC144">
        <v>0.128557</v>
      </c>
      <c r="AD144" s="4">
        <f t="shared" si="33"/>
        <v>0.93228180862250276</v>
      </c>
      <c r="AF144" s="5">
        <f t="shared" si="34"/>
        <v>0.18108909538842982</v>
      </c>
      <c r="AG144" s="5">
        <f t="shared" si="35"/>
        <v>0.16882606937053826</v>
      </c>
      <c r="AI144">
        <v>0.13150999999999999</v>
      </c>
      <c r="AJ144">
        <v>0.112621</v>
      </c>
      <c r="AK144" s="4">
        <f t="shared" si="29"/>
        <v>0.95369665325066177</v>
      </c>
      <c r="AL144" s="4">
        <f t="shared" si="30"/>
        <v>0.87603942220182485</v>
      </c>
      <c r="AN144">
        <v>0.115635</v>
      </c>
      <c r="AP144" s="4"/>
      <c r="AR144" s="4"/>
    </row>
    <row r="145" spans="2:44" x14ac:dyDescent="0.25">
      <c r="B145">
        <v>64</v>
      </c>
      <c r="C145">
        <v>576</v>
      </c>
      <c r="D145">
        <v>1024</v>
      </c>
      <c r="E145">
        <v>16</v>
      </c>
      <c r="F145">
        <v>1</v>
      </c>
      <c r="H145">
        <v>0.46196500000000001</v>
      </c>
      <c r="I145">
        <v>0.48626000000000003</v>
      </c>
      <c r="J145" s="4">
        <f t="shared" si="31"/>
        <v>1.0525905642202331</v>
      </c>
      <c r="L145" s="4"/>
      <c r="M145" s="4"/>
      <c r="N145">
        <v>0.35437999999999997</v>
      </c>
      <c r="O145">
        <v>0.362481</v>
      </c>
      <c r="P145" s="4">
        <f t="shared" si="32"/>
        <v>0.76711439178292717</v>
      </c>
      <c r="Q145" s="4">
        <f t="shared" si="25"/>
        <v>0.74544688026981443</v>
      </c>
      <c r="R145">
        <v>0.38194600000000001</v>
      </c>
      <c r="T145" s="4"/>
      <c r="V145">
        <v>64</v>
      </c>
      <c r="W145">
        <v>128</v>
      </c>
      <c r="X145">
        <f>1024</f>
        <v>1024</v>
      </c>
      <c r="Y145">
        <v>16</v>
      </c>
      <c r="Z145">
        <v>1</v>
      </c>
      <c r="AA145">
        <v>1.403564</v>
      </c>
      <c r="AB145">
        <v>0.20415800000000001</v>
      </c>
      <c r="AC145">
        <v>0.19780700000000001</v>
      </c>
      <c r="AD145" s="4">
        <f t="shared" si="33"/>
        <v>0.96889174071062611</v>
      </c>
      <c r="AF145" s="5">
        <f t="shared" si="34"/>
        <v>0.14545685127290242</v>
      </c>
      <c r="AG145" s="5">
        <f t="shared" si="35"/>
        <v>0.14093194182808907</v>
      </c>
      <c r="AI145">
        <v>0.19549800000000001</v>
      </c>
      <c r="AJ145">
        <v>0.16903000000000001</v>
      </c>
      <c r="AK145" s="4">
        <f t="shared" si="29"/>
        <v>0.95758187286317464</v>
      </c>
      <c r="AL145" s="4">
        <f t="shared" si="30"/>
        <v>0.8545198097135086</v>
      </c>
      <c r="AN145">
        <v>0.17330599999999999</v>
      </c>
      <c r="AP145" s="4"/>
      <c r="AR145" s="4"/>
    </row>
    <row r="146" spans="2:44" x14ac:dyDescent="0.25">
      <c r="B146">
        <v>128</v>
      </c>
      <c r="C146">
        <v>576</v>
      </c>
      <c r="D146">
        <v>1024</v>
      </c>
      <c r="E146">
        <v>16</v>
      </c>
      <c r="F146">
        <v>1</v>
      </c>
      <c r="H146">
        <v>0.88243400000000005</v>
      </c>
      <c r="I146">
        <v>0.89043700000000003</v>
      </c>
      <c r="J146" s="4">
        <f t="shared" si="31"/>
        <v>1.0090692335064151</v>
      </c>
      <c r="L146" s="4"/>
      <c r="M146" s="4"/>
      <c r="N146">
        <v>0.70141799999999999</v>
      </c>
      <c r="O146">
        <v>0.71455400000000002</v>
      </c>
      <c r="P146" s="4">
        <f t="shared" si="32"/>
        <v>0.79486737818352415</v>
      </c>
      <c r="Q146" s="4">
        <f t="shared" si="25"/>
        <v>0.80247563836633018</v>
      </c>
      <c r="R146">
        <v>0.69458500000000001</v>
      </c>
      <c r="T146" s="4"/>
      <c r="V146">
        <v>128</v>
      </c>
      <c r="W146">
        <v>128</v>
      </c>
      <c r="X146">
        <f>1024</f>
        <v>1024</v>
      </c>
      <c r="Y146">
        <v>16</v>
      </c>
      <c r="Z146">
        <v>1</v>
      </c>
      <c r="AA146">
        <v>2.7782710000000002</v>
      </c>
      <c r="AB146">
        <v>0.34223300000000001</v>
      </c>
      <c r="AC146">
        <v>0.32604</v>
      </c>
      <c r="AD146" s="4">
        <f t="shared" si="33"/>
        <v>0.95268428234565339</v>
      </c>
      <c r="AF146" s="5">
        <f t="shared" si="34"/>
        <v>0.12318200780269455</v>
      </c>
      <c r="AG146" s="5">
        <f t="shared" si="35"/>
        <v>0.11735356270140673</v>
      </c>
      <c r="AI146">
        <v>0.32463399999999998</v>
      </c>
      <c r="AJ146">
        <v>0.26801900000000001</v>
      </c>
      <c r="AK146" s="4">
        <f t="shared" si="29"/>
        <v>0.94857597017236783</v>
      </c>
      <c r="AL146" s="4">
        <f t="shared" si="30"/>
        <v>0.8220433075696234</v>
      </c>
      <c r="AN146">
        <v>0.28841</v>
      </c>
      <c r="AP146" s="4"/>
      <c r="AR146" s="4"/>
    </row>
    <row r="147" spans="2:44" x14ac:dyDescent="0.25">
      <c r="B147">
        <v>256</v>
      </c>
      <c r="C147">
        <v>576</v>
      </c>
      <c r="D147">
        <v>1024</v>
      </c>
      <c r="E147">
        <v>16</v>
      </c>
      <c r="F147">
        <v>1</v>
      </c>
      <c r="H147">
        <v>1.761334</v>
      </c>
      <c r="I147">
        <v>1.731927</v>
      </c>
      <c r="J147" s="4">
        <f t="shared" si="31"/>
        <v>0.98330413198178201</v>
      </c>
      <c r="L147" s="4"/>
      <c r="M147" s="4"/>
      <c r="N147">
        <v>1.365159</v>
      </c>
      <c r="O147">
        <v>1.40741</v>
      </c>
      <c r="P147" s="4">
        <f t="shared" si="32"/>
        <v>0.77507105409876831</v>
      </c>
      <c r="Q147" s="4">
        <f t="shared" ref="Q147:Q172" si="36">O147/I147</f>
        <v>0.8126266291824078</v>
      </c>
      <c r="R147">
        <v>1.3155969999999999</v>
      </c>
      <c r="T147" s="4"/>
      <c r="V147">
        <v>256</v>
      </c>
      <c r="W147">
        <v>128</v>
      </c>
      <c r="X147">
        <f>1024</f>
        <v>1024</v>
      </c>
      <c r="Y147">
        <v>16</v>
      </c>
      <c r="Z147">
        <v>1</v>
      </c>
      <c r="AA147">
        <v>5.7348299999999997</v>
      </c>
      <c r="AB147">
        <v>0.61105399999999999</v>
      </c>
      <c r="AC147">
        <v>0.57605499999999998</v>
      </c>
      <c r="AD147" s="4">
        <f t="shared" si="33"/>
        <v>0.94272355634690219</v>
      </c>
      <c r="AF147" s="5">
        <f t="shared" si="34"/>
        <v>0.10655137118275521</v>
      </c>
      <c r="AG147" s="5">
        <f t="shared" si="35"/>
        <v>0.10044848757504582</v>
      </c>
      <c r="AI147">
        <v>0.58205899999999999</v>
      </c>
      <c r="AJ147">
        <v>0.45726099999999997</v>
      </c>
      <c r="AK147" s="4">
        <f t="shared" si="29"/>
        <v>0.95254920187086578</v>
      </c>
      <c r="AL147" s="4">
        <f t="shared" si="30"/>
        <v>0.79378010780220631</v>
      </c>
      <c r="AN147">
        <v>0.51598699999999997</v>
      </c>
      <c r="AP147" s="4"/>
      <c r="AR147" s="4"/>
    </row>
    <row r="148" spans="2:44" x14ac:dyDescent="0.25">
      <c r="B148">
        <v>512</v>
      </c>
      <c r="C148">
        <v>576</v>
      </c>
      <c r="D148">
        <v>1024</v>
      </c>
      <c r="E148">
        <v>16</v>
      </c>
      <c r="F148">
        <v>1</v>
      </c>
      <c r="H148">
        <v>3.5967180000000001</v>
      </c>
      <c r="I148">
        <v>3.4372889999999998</v>
      </c>
      <c r="J148" s="4">
        <f t="shared" si="31"/>
        <v>0.95567375590746895</v>
      </c>
      <c r="L148" s="4"/>
      <c r="M148" s="4"/>
      <c r="N148">
        <v>2.7461859999999998</v>
      </c>
      <c r="O148">
        <v>2.7906170000000001</v>
      </c>
      <c r="P148" s="4">
        <f t="shared" si="32"/>
        <v>0.763525525214932</v>
      </c>
      <c r="Q148" s="4">
        <f t="shared" si="36"/>
        <v>0.81186568833752426</v>
      </c>
      <c r="R148">
        <v>2.6456439999999999</v>
      </c>
      <c r="T148" s="4"/>
      <c r="V148">
        <v>512</v>
      </c>
      <c r="W148">
        <v>128</v>
      </c>
      <c r="X148">
        <f>1024</f>
        <v>1024</v>
      </c>
      <c r="Y148">
        <v>16</v>
      </c>
      <c r="Z148">
        <v>1</v>
      </c>
      <c r="AA148">
        <v>11.164040999999999</v>
      </c>
      <c r="AB148">
        <v>1.130811</v>
      </c>
      <c r="AC148">
        <v>1.0644359999999999</v>
      </c>
      <c r="AD148" s="4">
        <f t="shared" si="33"/>
        <v>0.94130318859650275</v>
      </c>
      <c r="AF148" s="5">
        <f t="shared" si="34"/>
        <v>0.10129047358389315</v>
      </c>
      <c r="AG148" s="5">
        <f t="shared" si="35"/>
        <v>9.5345045758968461E-2</v>
      </c>
      <c r="AI148">
        <v>1.0990599999999999</v>
      </c>
      <c r="AJ148">
        <v>0.82972100000000004</v>
      </c>
      <c r="AK148" s="4">
        <f t="shared" si="29"/>
        <v>0.97192192152357904</v>
      </c>
      <c r="AL148" s="4">
        <f t="shared" si="30"/>
        <v>0.77949355339353432</v>
      </c>
      <c r="AN148">
        <v>0.96688700000000005</v>
      </c>
      <c r="AP148" s="4"/>
      <c r="AR148" s="4"/>
    </row>
    <row r="149" spans="2:44" x14ac:dyDescent="0.25">
      <c r="B149">
        <v>1</v>
      </c>
      <c r="C149">
        <v>576</v>
      </c>
      <c r="D149">
        <v>2048</v>
      </c>
      <c r="E149">
        <v>16</v>
      </c>
      <c r="F149">
        <v>1</v>
      </c>
      <c r="H149">
        <v>0.17532300000000001</v>
      </c>
      <c r="I149">
        <v>0.147732</v>
      </c>
      <c r="J149" s="4">
        <f t="shared" si="31"/>
        <v>0.84262760733047004</v>
      </c>
      <c r="L149" s="4"/>
      <c r="M149" s="4"/>
      <c r="N149">
        <v>0.17496200000000001</v>
      </c>
      <c r="O149">
        <v>0.14482600000000001</v>
      </c>
      <c r="P149" s="4">
        <f t="shared" si="32"/>
        <v>0.99794094328753213</v>
      </c>
      <c r="Q149" s="4">
        <f t="shared" si="36"/>
        <v>0.98032924484878026</v>
      </c>
      <c r="R149">
        <v>0.159885</v>
      </c>
      <c r="T149" s="4"/>
      <c r="V149" s="8">
        <v>1</v>
      </c>
      <c r="W149" s="8">
        <v>128</v>
      </c>
      <c r="X149" s="8">
        <f>2048</f>
        <v>2048</v>
      </c>
      <c r="Y149" s="8">
        <v>16</v>
      </c>
      <c r="Z149" s="8">
        <v>1</v>
      </c>
      <c r="AA149" s="9">
        <v>9.7474000000000005E-2</v>
      </c>
      <c r="AB149" s="9">
        <v>0.127081</v>
      </c>
      <c r="AC149" s="9">
        <v>9.7673999999999997E-2</v>
      </c>
      <c r="AD149" s="4">
        <f t="shared" si="33"/>
        <v>0.76859640701599763</v>
      </c>
      <c r="AF149" s="5">
        <f t="shared" si="34"/>
        <v>1.303742536471264</v>
      </c>
      <c r="AG149" s="5">
        <f t="shared" si="35"/>
        <v>1.0020518292057368</v>
      </c>
      <c r="AI149">
        <v>0.12709000000000001</v>
      </c>
      <c r="AJ149">
        <v>9.5808000000000004E-2</v>
      </c>
      <c r="AK149" s="4">
        <f t="shared" si="29"/>
        <v>1.0000708209724507</v>
      </c>
      <c r="AL149" s="4">
        <f t="shared" si="30"/>
        <v>0.98089563240985322</v>
      </c>
      <c r="AN149">
        <v>0.102099</v>
      </c>
      <c r="AP149" s="4"/>
      <c r="AR149" s="4"/>
    </row>
    <row r="150" spans="2:44" x14ac:dyDescent="0.25">
      <c r="B150">
        <v>2</v>
      </c>
      <c r="C150">
        <v>576</v>
      </c>
      <c r="D150">
        <v>2048</v>
      </c>
      <c r="E150">
        <v>16</v>
      </c>
      <c r="F150">
        <v>1</v>
      </c>
      <c r="H150">
        <v>0.21369299999999999</v>
      </c>
      <c r="I150">
        <v>0.18675900000000001</v>
      </c>
      <c r="J150" s="4">
        <f t="shared" si="31"/>
        <v>0.87395937162190629</v>
      </c>
      <c r="L150" s="4"/>
      <c r="M150" s="4"/>
      <c r="N150">
        <v>0.18844900000000001</v>
      </c>
      <c r="O150">
        <v>0.15807499999999999</v>
      </c>
      <c r="P150" s="4">
        <f t="shared" si="32"/>
        <v>0.88186791331489567</v>
      </c>
      <c r="Q150" s="4">
        <f t="shared" si="36"/>
        <v>0.8464116856483489</v>
      </c>
      <c r="R150">
        <v>0.16110099999999999</v>
      </c>
      <c r="T150" s="4"/>
      <c r="V150" s="8">
        <v>2</v>
      </c>
      <c r="W150" s="8">
        <v>128</v>
      </c>
      <c r="X150" s="8">
        <f>2048</f>
        <v>2048</v>
      </c>
      <c r="Y150" s="8">
        <v>16</v>
      </c>
      <c r="Z150" s="8">
        <v>1</v>
      </c>
      <c r="AA150">
        <v>0.1346</v>
      </c>
      <c r="AB150">
        <v>0.13558700000000001</v>
      </c>
      <c r="AC150">
        <v>0.10582999999999999</v>
      </c>
      <c r="AD150" s="4">
        <f t="shared" si="33"/>
        <v>0.78053205690811056</v>
      </c>
      <c r="AF150" s="5">
        <f t="shared" si="34"/>
        <v>1.007332838038633</v>
      </c>
      <c r="AG150" s="5">
        <f t="shared" si="35"/>
        <v>0.78625557206537888</v>
      </c>
      <c r="AI150">
        <v>0.12892500000000001</v>
      </c>
      <c r="AJ150">
        <v>9.7919999999999993E-2</v>
      </c>
      <c r="AK150" s="4">
        <f t="shared" si="29"/>
        <v>0.95086549595462688</v>
      </c>
      <c r="AL150" s="4">
        <f t="shared" si="30"/>
        <v>0.92525748842483224</v>
      </c>
      <c r="AN150">
        <v>0.10269399999999999</v>
      </c>
      <c r="AP150" s="4"/>
      <c r="AR150" s="4"/>
    </row>
    <row r="151" spans="2:44" x14ac:dyDescent="0.25">
      <c r="B151">
        <v>4</v>
      </c>
      <c r="C151">
        <v>576</v>
      </c>
      <c r="D151">
        <v>2048</v>
      </c>
      <c r="E151">
        <v>16</v>
      </c>
      <c r="F151">
        <v>1</v>
      </c>
      <c r="H151">
        <v>0.22147600000000001</v>
      </c>
      <c r="I151">
        <v>0.19451099999999999</v>
      </c>
      <c r="J151" s="4">
        <f t="shared" si="31"/>
        <v>0.87824865899691151</v>
      </c>
      <c r="L151" s="4"/>
      <c r="M151" s="4"/>
      <c r="N151">
        <v>0.23710000000000001</v>
      </c>
      <c r="O151">
        <v>0.21323400000000001</v>
      </c>
      <c r="P151" s="4">
        <f t="shared" si="32"/>
        <v>1.070544889739746</v>
      </c>
      <c r="Q151" s="4">
        <f t="shared" si="36"/>
        <v>1.0962567669694774</v>
      </c>
      <c r="R151">
        <v>0.18440999999999999</v>
      </c>
      <c r="T151" s="4"/>
      <c r="V151">
        <v>4</v>
      </c>
      <c r="W151">
        <v>128</v>
      </c>
      <c r="X151">
        <f>2048</f>
        <v>2048</v>
      </c>
      <c r="Y151">
        <v>16</v>
      </c>
      <c r="Z151">
        <v>1</v>
      </c>
      <c r="AA151">
        <v>0.220856</v>
      </c>
      <c r="AB151">
        <v>0.13680999999999999</v>
      </c>
      <c r="AC151">
        <v>0.106909</v>
      </c>
      <c r="AD151" s="4">
        <f t="shared" si="33"/>
        <v>0.78144141510123544</v>
      </c>
      <c r="AF151" s="5">
        <f t="shared" si="34"/>
        <v>0.61945339950012668</v>
      </c>
      <c r="AG151" s="5">
        <f t="shared" si="35"/>
        <v>0.48406654109464992</v>
      </c>
      <c r="AI151">
        <v>0.14263100000000001</v>
      </c>
      <c r="AJ151">
        <v>0.112237</v>
      </c>
      <c r="AK151" s="4">
        <f t="shared" si="29"/>
        <v>1.0425480593523866</v>
      </c>
      <c r="AL151" s="4">
        <f t="shared" si="30"/>
        <v>1.0498367770720893</v>
      </c>
      <c r="AN151">
        <v>0.104589</v>
      </c>
      <c r="AP151" s="4"/>
      <c r="AR151" s="4"/>
    </row>
    <row r="152" spans="2:44" x14ac:dyDescent="0.25">
      <c r="B152">
        <v>8</v>
      </c>
      <c r="C152">
        <v>576</v>
      </c>
      <c r="D152">
        <v>2048</v>
      </c>
      <c r="E152">
        <v>16</v>
      </c>
      <c r="F152">
        <v>1</v>
      </c>
      <c r="H152">
        <v>0.27812799999999999</v>
      </c>
      <c r="I152">
        <v>0.24963099999999999</v>
      </c>
      <c r="J152" s="4">
        <f t="shared" si="31"/>
        <v>0.89753998159120985</v>
      </c>
      <c r="L152" s="4"/>
      <c r="M152" s="4"/>
      <c r="N152">
        <v>0.24653800000000001</v>
      </c>
      <c r="O152">
        <v>0.21349399999999999</v>
      </c>
      <c r="P152" s="4">
        <f t="shared" si="32"/>
        <v>0.88641920266927465</v>
      </c>
      <c r="Q152" s="4">
        <f t="shared" si="36"/>
        <v>0.85523833177770392</v>
      </c>
      <c r="R152">
        <v>0.18809000000000001</v>
      </c>
      <c r="T152" s="4"/>
      <c r="V152">
        <v>8</v>
      </c>
      <c r="W152">
        <v>128</v>
      </c>
      <c r="X152">
        <f>2048</f>
        <v>2048</v>
      </c>
      <c r="Y152">
        <v>16</v>
      </c>
      <c r="Z152">
        <v>1</v>
      </c>
      <c r="AA152">
        <v>0.378884</v>
      </c>
      <c r="AB152">
        <v>0.14824799999999999</v>
      </c>
      <c r="AC152">
        <v>0.11856899999999999</v>
      </c>
      <c r="AD152" s="4">
        <f t="shared" si="33"/>
        <v>0.79980168366520965</v>
      </c>
      <c r="AF152" s="5">
        <f t="shared" si="34"/>
        <v>0.39127542994689668</v>
      </c>
      <c r="AG152" s="5">
        <f t="shared" si="35"/>
        <v>0.31294274764835672</v>
      </c>
      <c r="AI152">
        <v>0.14549300000000001</v>
      </c>
      <c r="AJ152">
        <v>0.113414</v>
      </c>
      <c r="AK152" s="4">
        <f t="shared" si="29"/>
        <v>0.98141627543036003</v>
      </c>
      <c r="AL152" s="4">
        <f t="shared" si="30"/>
        <v>0.95652320589698836</v>
      </c>
      <c r="AN152">
        <v>0.104922</v>
      </c>
      <c r="AP152" s="4"/>
      <c r="AR152" s="4"/>
    </row>
    <row r="153" spans="2:44" x14ac:dyDescent="0.25">
      <c r="B153">
        <v>16</v>
      </c>
      <c r="C153">
        <v>576</v>
      </c>
      <c r="D153">
        <v>2048</v>
      </c>
      <c r="E153">
        <v>16</v>
      </c>
      <c r="F153">
        <v>1</v>
      </c>
      <c r="H153">
        <v>0.31218899999999999</v>
      </c>
      <c r="I153">
        <v>0.28425</v>
      </c>
      <c r="J153" s="4">
        <f t="shared" si="31"/>
        <v>0.91050613570625494</v>
      </c>
      <c r="L153" s="4"/>
      <c r="M153" s="4"/>
      <c r="N153">
        <v>0.25245200000000001</v>
      </c>
      <c r="O153">
        <v>0.214918</v>
      </c>
      <c r="P153" s="4">
        <f t="shared" si="32"/>
        <v>0.80865116964402983</v>
      </c>
      <c r="Q153" s="4">
        <f t="shared" si="36"/>
        <v>0.75608795074758139</v>
      </c>
      <c r="R153">
        <v>0.18828800000000001</v>
      </c>
      <c r="T153" s="4"/>
      <c r="V153">
        <v>16</v>
      </c>
      <c r="W153">
        <v>128</v>
      </c>
      <c r="X153">
        <f>2048</f>
        <v>2048</v>
      </c>
      <c r="Y153">
        <v>16</v>
      </c>
      <c r="Z153">
        <v>1</v>
      </c>
      <c r="AA153">
        <v>0.71115300000000004</v>
      </c>
      <c r="AB153">
        <v>0.16030900000000001</v>
      </c>
      <c r="AC153">
        <v>0.13033600000000001</v>
      </c>
      <c r="AD153" s="4">
        <f t="shared" si="33"/>
        <v>0.81302983612897595</v>
      </c>
      <c r="AF153" s="5">
        <f t="shared" si="34"/>
        <v>0.2254212525293432</v>
      </c>
      <c r="AG153" s="5">
        <f t="shared" si="35"/>
        <v>0.18327420400392039</v>
      </c>
      <c r="AI153">
        <v>0.14494699999999999</v>
      </c>
      <c r="AJ153">
        <v>0.11456</v>
      </c>
      <c r="AK153" s="4">
        <f t="shared" si="29"/>
        <v>0.90417256673050161</v>
      </c>
      <c r="AL153" s="4">
        <f t="shared" si="30"/>
        <v>0.87895899828136503</v>
      </c>
      <c r="AN153">
        <v>0.10499799999999999</v>
      </c>
      <c r="AP153" s="4"/>
      <c r="AR153" s="4"/>
    </row>
    <row r="154" spans="2:44" x14ac:dyDescent="0.25">
      <c r="B154">
        <v>32</v>
      </c>
      <c r="C154">
        <v>576</v>
      </c>
      <c r="D154">
        <v>2048</v>
      </c>
      <c r="E154">
        <v>16</v>
      </c>
      <c r="F154">
        <v>1</v>
      </c>
      <c r="H154">
        <v>0.46424500000000002</v>
      </c>
      <c r="I154">
        <v>0.49872300000000003</v>
      </c>
      <c r="J154" s="4">
        <f t="shared" si="31"/>
        <v>1.0742668203211667</v>
      </c>
      <c r="L154" s="4"/>
      <c r="M154" s="4"/>
      <c r="N154">
        <v>0.362678</v>
      </c>
      <c r="O154">
        <v>0.339397</v>
      </c>
      <c r="P154" s="4">
        <f t="shared" si="32"/>
        <v>0.78122112246766251</v>
      </c>
      <c r="Q154" s="4">
        <f t="shared" si="36"/>
        <v>0.68053207892958612</v>
      </c>
      <c r="R154">
        <v>0.30908799999999997</v>
      </c>
      <c r="T154" s="4"/>
      <c r="V154">
        <v>32</v>
      </c>
      <c r="W154">
        <v>128</v>
      </c>
      <c r="X154">
        <f>2048</f>
        <v>2048</v>
      </c>
      <c r="Y154">
        <v>16</v>
      </c>
      <c r="Z154">
        <v>1</v>
      </c>
      <c r="AA154">
        <v>1.3422559999999999</v>
      </c>
      <c r="AB154">
        <v>0.223276</v>
      </c>
      <c r="AC154">
        <v>0.20066200000000001</v>
      </c>
      <c r="AD154" s="4">
        <f t="shared" si="33"/>
        <v>0.89871728264569417</v>
      </c>
      <c r="AF154" s="5">
        <f t="shared" si="34"/>
        <v>0.16634382710898668</v>
      </c>
      <c r="AG154" s="5">
        <f t="shared" si="35"/>
        <v>0.14949607228427367</v>
      </c>
      <c r="AI154">
        <v>0.20785300000000001</v>
      </c>
      <c r="AJ154">
        <v>0.16891500000000001</v>
      </c>
      <c r="AK154" s="4">
        <f t="shared" si="29"/>
        <v>0.93092405811641199</v>
      </c>
      <c r="AL154" s="4">
        <f t="shared" si="30"/>
        <v>0.84178867947095115</v>
      </c>
      <c r="AN154">
        <v>0.15457899999999999</v>
      </c>
      <c r="AP154" s="4"/>
      <c r="AR154" s="4"/>
    </row>
    <row r="155" spans="2:44" x14ac:dyDescent="0.25">
      <c r="B155">
        <v>64</v>
      </c>
      <c r="C155">
        <v>576</v>
      </c>
      <c r="D155">
        <v>2048</v>
      </c>
      <c r="E155">
        <v>16</v>
      </c>
      <c r="F155">
        <v>1</v>
      </c>
      <c r="H155">
        <v>0.91181199999999996</v>
      </c>
      <c r="I155">
        <v>0.90407899999999997</v>
      </c>
      <c r="J155" s="4">
        <f t="shared" si="31"/>
        <v>0.99151908507455488</v>
      </c>
      <c r="L155" s="4"/>
      <c r="M155" s="4"/>
      <c r="N155">
        <v>0.71606700000000001</v>
      </c>
      <c r="O155">
        <v>0.729966</v>
      </c>
      <c r="P155" s="4">
        <f t="shared" si="32"/>
        <v>0.78532307098393095</v>
      </c>
      <c r="Q155" s="4">
        <f t="shared" si="36"/>
        <v>0.80741395386907566</v>
      </c>
      <c r="R155">
        <v>0.55265299999999995</v>
      </c>
      <c r="T155" s="4"/>
      <c r="V155">
        <v>64</v>
      </c>
      <c r="W155">
        <v>128</v>
      </c>
      <c r="X155">
        <f>2048</f>
        <v>2048</v>
      </c>
      <c r="Y155">
        <v>16</v>
      </c>
      <c r="Z155">
        <v>1</v>
      </c>
      <c r="AA155">
        <v>2.6547329999999998</v>
      </c>
      <c r="AB155">
        <v>0.345113</v>
      </c>
      <c r="AC155">
        <v>0.33144899999999999</v>
      </c>
      <c r="AD155" s="4">
        <f t="shared" si="33"/>
        <v>0.96040717098457606</v>
      </c>
      <c r="AF155" s="5">
        <f t="shared" si="34"/>
        <v>0.12999913738971114</v>
      </c>
      <c r="AG155" s="5">
        <f t="shared" si="35"/>
        <v>0.12485210377088771</v>
      </c>
      <c r="AI155">
        <v>0.32969900000000002</v>
      </c>
      <c r="AJ155">
        <v>0.272698</v>
      </c>
      <c r="AK155" s="4">
        <f t="shared" si="29"/>
        <v>0.95533636808813349</v>
      </c>
      <c r="AL155" s="4">
        <f t="shared" si="30"/>
        <v>0.82274497735699914</v>
      </c>
      <c r="AN155">
        <v>0.25276799999999999</v>
      </c>
      <c r="AP155" s="4"/>
      <c r="AR155" s="4"/>
    </row>
    <row r="156" spans="2:44" x14ac:dyDescent="0.25">
      <c r="B156">
        <v>128</v>
      </c>
      <c r="C156">
        <v>576</v>
      </c>
      <c r="D156">
        <v>2048</v>
      </c>
      <c r="E156">
        <v>16</v>
      </c>
      <c r="F156">
        <v>1</v>
      </c>
      <c r="H156">
        <v>1.818738</v>
      </c>
      <c r="I156">
        <v>1.685279</v>
      </c>
      <c r="J156" s="4">
        <f t="shared" si="31"/>
        <v>0.92661999694293518</v>
      </c>
      <c r="L156" s="4"/>
      <c r="M156" s="4"/>
      <c r="N156">
        <v>1.248942</v>
      </c>
      <c r="O156">
        <v>1.31996</v>
      </c>
      <c r="P156" s="4">
        <f t="shared" si="32"/>
        <v>0.68670803601178398</v>
      </c>
      <c r="Q156" s="4">
        <f t="shared" si="36"/>
        <v>0.78322936439604363</v>
      </c>
      <c r="R156">
        <v>0.97143699999999999</v>
      </c>
      <c r="T156" s="4"/>
      <c r="V156">
        <v>128</v>
      </c>
      <c r="W156">
        <v>128</v>
      </c>
      <c r="X156">
        <f>2048</f>
        <v>2048</v>
      </c>
      <c r="Y156">
        <v>16</v>
      </c>
      <c r="Z156">
        <v>1</v>
      </c>
      <c r="AA156">
        <v>5.2713739999999998</v>
      </c>
      <c r="AB156">
        <v>0.60217799999999999</v>
      </c>
      <c r="AC156">
        <v>0.58024500000000001</v>
      </c>
      <c r="AD156" s="4">
        <f t="shared" si="33"/>
        <v>0.96357721471060054</v>
      </c>
      <c r="AF156" s="5">
        <f t="shared" si="34"/>
        <v>0.114235491543571</v>
      </c>
      <c r="AG156" s="5">
        <f t="shared" si="35"/>
        <v>0.1100747167626505</v>
      </c>
      <c r="AI156">
        <v>0.57857700000000001</v>
      </c>
      <c r="AJ156">
        <v>0.47476499999999999</v>
      </c>
      <c r="AK156" s="4">
        <f t="shared" si="29"/>
        <v>0.96080726961131102</v>
      </c>
      <c r="AL156" s="4">
        <f t="shared" si="30"/>
        <v>0.81821471964428816</v>
      </c>
      <c r="AN156">
        <v>0.44851200000000002</v>
      </c>
      <c r="AP156" s="4"/>
      <c r="AR156" s="4"/>
    </row>
    <row r="157" spans="2:44" x14ac:dyDescent="0.25">
      <c r="B157">
        <v>256</v>
      </c>
      <c r="C157">
        <v>576</v>
      </c>
      <c r="D157">
        <v>2048</v>
      </c>
      <c r="E157">
        <v>16</v>
      </c>
      <c r="F157">
        <v>1</v>
      </c>
      <c r="H157">
        <v>3.708418</v>
      </c>
      <c r="I157">
        <v>3.268106</v>
      </c>
      <c r="J157" s="4">
        <f t="shared" si="31"/>
        <v>0.88126689062559826</v>
      </c>
      <c r="L157" s="4"/>
      <c r="M157" s="4"/>
      <c r="N157">
        <v>2.4228749999999999</v>
      </c>
      <c r="O157">
        <v>2.5828329999999999</v>
      </c>
      <c r="P157" s="4">
        <f t="shared" si="32"/>
        <v>0.65334463374948559</v>
      </c>
      <c r="Q157" s="4">
        <f t="shared" si="36"/>
        <v>0.79031494082505283</v>
      </c>
      <c r="R157">
        <v>1.9090819999999999</v>
      </c>
      <c r="T157" s="4"/>
      <c r="V157">
        <v>256</v>
      </c>
      <c r="W157">
        <v>128</v>
      </c>
      <c r="X157">
        <f>2048</f>
        <v>2048</v>
      </c>
      <c r="Y157">
        <v>16</v>
      </c>
      <c r="Z157">
        <v>1</v>
      </c>
      <c r="AA157">
        <v>10.709396999999999</v>
      </c>
      <c r="AB157">
        <v>1.1091599999999999</v>
      </c>
      <c r="AC157">
        <v>1.0526960000000001</v>
      </c>
      <c r="AD157" s="4">
        <f t="shared" si="33"/>
        <v>0.94909300732085555</v>
      </c>
      <c r="AF157" s="5">
        <f t="shared" si="34"/>
        <v>0.10356885639779718</v>
      </c>
      <c r="AG157" s="5">
        <f t="shared" si="35"/>
        <v>9.8296477383367165E-2</v>
      </c>
      <c r="AI157">
        <v>1.072713</v>
      </c>
      <c r="AJ157">
        <v>0.82573399999999997</v>
      </c>
      <c r="AK157" s="4">
        <f t="shared" si="29"/>
        <v>0.96713999783620042</v>
      </c>
      <c r="AL157" s="4">
        <f t="shared" si="30"/>
        <v>0.78439929476316039</v>
      </c>
      <c r="AN157">
        <v>0.83807399999999999</v>
      </c>
      <c r="AP157" s="4"/>
      <c r="AR157" s="4"/>
    </row>
    <row r="158" spans="2:44" x14ac:dyDescent="0.25">
      <c r="B158">
        <v>512</v>
      </c>
      <c r="C158">
        <v>576</v>
      </c>
      <c r="D158">
        <v>2048</v>
      </c>
      <c r="E158">
        <v>16</v>
      </c>
      <c r="F158">
        <v>1</v>
      </c>
      <c r="H158">
        <v>7.4540569999999997</v>
      </c>
      <c r="I158">
        <v>6.5004580000000001</v>
      </c>
      <c r="J158" s="4">
        <f t="shared" si="31"/>
        <v>0.87206980037850534</v>
      </c>
      <c r="L158" s="4"/>
      <c r="M158" s="4"/>
      <c r="N158">
        <v>4.8208880000000001</v>
      </c>
      <c r="O158">
        <v>5.1023209999999999</v>
      </c>
      <c r="P158" s="4">
        <f t="shared" si="32"/>
        <v>0.64674686549888205</v>
      </c>
      <c r="Q158" s="4">
        <f t="shared" si="36"/>
        <v>0.78491715506815052</v>
      </c>
      <c r="R158">
        <v>3.8423620000000001</v>
      </c>
      <c r="T158" s="4"/>
      <c r="V158">
        <v>512</v>
      </c>
      <c r="W158">
        <v>128</v>
      </c>
      <c r="X158">
        <f>2048</f>
        <v>2048</v>
      </c>
      <c r="Y158">
        <v>16</v>
      </c>
      <c r="Z158">
        <v>1</v>
      </c>
      <c r="AA158">
        <v>21.205793</v>
      </c>
      <c r="AB158">
        <v>2.1119659999999998</v>
      </c>
      <c r="AC158">
        <v>1.983514</v>
      </c>
      <c r="AD158" s="4">
        <f t="shared" si="33"/>
        <v>0.93917894511559386</v>
      </c>
      <c r="AF158" s="5">
        <f t="shared" si="34"/>
        <v>9.9593823253862748E-2</v>
      </c>
      <c r="AG158" s="5">
        <f t="shared" si="35"/>
        <v>9.3536421863591707E-2</v>
      </c>
      <c r="AI158">
        <v>2.0650539999999999</v>
      </c>
      <c r="AJ158">
        <v>1.4852099999999999</v>
      </c>
      <c r="AK158" s="4">
        <f t="shared" si="29"/>
        <v>0.97778752120062551</v>
      </c>
      <c r="AL158" s="4">
        <f t="shared" si="30"/>
        <v>0.74877717021407453</v>
      </c>
      <c r="AN158">
        <v>1.6129340000000001</v>
      </c>
      <c r="AP158" s="4"/>
      <c r="AR158" s="4"/>
    </row>
    <row r="159" spans="2:44" x14ac:dyDescent="0.25">
      <c r="B159">
        <v>1</v>
      </c>
      <c r="C159">
        <v>576</v>
      </c>
      <c r="D159">
        <v>4096</v>
      </c>
      <c r="E159">
        <v>16</v>
      </c>
      <c r="F159">
        <v>1</v>
      </c>
      <c r="H159">
        <v>0.28047499999999997</v>
      </c>
      <c r="I159">
        <v>0.22328899999999999</v>
      </c>
      <c r="J159" s="4">
        <f t="shared" si="31"/>
        <v>0.79611017024690256</v>
      </c>
      <c r="L159" s="4"/>
      <c r="M159" s="4"/>
      <c r="N159">
        <v>0.28138800000000003</v>
      </c>
      <c r="O159">
        <v>0.219052</v>
      </c>
      <c r="P159" s="4">
        <f t="shared" si="32"/>
        <v>1.0032551920848563</v>
      </c>
      <c r="Q159" s="4">
        <f t="shared" si="36"/>
        <v>0.98102459144875032</v>
      </c>
      <c r="R159">
        <v>0.22675799999999999</v>
      </c>
      <c r="T159" s="4"/>
      <c r="V159" s="8">
        <v>1</v>
      </c>
      <c r="W159" s="8">
        <v>128</v>
      </c>
      <c r="X159" s="8">
        <f>4096</f>
        <v>4096</v>
      </c>
      <c r="Y159" s="8">
        <v>16</v>
      </c>
      <c r="Z159" s="8">
        <v>1</v>
      </c>
      <c r="AA159" s="8">
        <v>0.13872399999999999</v>
      </c>
      <c r="AB159" s="8">
        <v>0.19713600000000001</v>
      </c>
      <c r="AC159">
        <v>0.13686200000000001</v>
      </c>
      <c r="AD159" s="4">
        <f t="shared" si="33"/>
        <v>0.69425168411654903</v>
      </c>
      <c r="AF159" s="5">
        <f t="shared" si="34"/>
        <v>1.4210662898993687</v>
      </c>
      <c r="AG159" s="5">
        <f t="shared" si="35"/>
        <v>0.98657766500389277</v>
      </c>
      <c r="AI159">
        <v>0.19626299999999999</v>
      </c>
      <c r="AJ159">
        <v>0.132186</v>
      </c>
      <c r="AK159" s="4">
        <f t="shared" si="29"/>
        <v>0.9955715850986121</v>
      </c>
      <c r="AL159" s="4">
        <f t="shared" si="30"/>
        <v>0.96583419795122083</v>
      </c>
      <c r="AN159">
        <v>0.14116500000000001</v>
      </c>
      <c r="AP159" s="4"/>
      <c r="AR159" s="4"/>
    </row>
    <row r="160" spans="2:44" x14ac:dyDescent="0.25">
      <c r="B160">
        <v>2</v>
      </c>
      <c r="C160">
        <v>576</v>
      </c>
      <c r="D160">
        <v>4096</v>
      </c>
      <c r="E160">
        <v>16</v>
      </c>
      <c r="F160">
        <v>1</v>
      </c>
      <c r="H160">
        <v>0.36057299999999998</v>
      </c>
      <c r="I160">
        <v>0.30187999999999998</v>
      </c>
      <c r="J160" s="4">
        <f t="shared" si="31"/>
        <v>0.83722297565264181</v>
      </c>
      <c r="L160" s="4"/>
      <c r="M160" s="4"/>
      <c r="N160">
        <v>0.30805199999999999</v>
      </c>
      <c r="O160">
        <v>0.245362</v>
      </c>
      <c r="P160" s="4">
        <f t="shared" si="32"/>
        <v>0.85434017522110639</v>
      </c>
      <c r="Q160" s="4">
        <f t="shared" si="36"/>
        <v>0.81277991254803239</v>
      </c>
      <c r="R160">
        <v>0.227379</v>
      </c>
      <c r="T160" s="4"/>
      <c r="V160" s="8">
        <v>2</v>
      </c>
      <c r="W160" s="8">
        <v>128</v>
      </c>
      <c r="X160" s="8">
        <f>4096</f>
        <v>4096</v>
      </c>
      <c r="Y160" s="8">
        <v>16</v>
      </c>
      <c r="Z160" s="8">
        <v>1</v>
      </c>
      <c r="AA160" s="8">
        <v>0.21127799999999999</v>
      </c>
      <c r="AB160" s="8">
        <v>0.21485899999999999</v>
      </c>
      <c r="AC160">
        <v>0.15335599999999999</v>
      </c>
      <c r="AD160" s="4">
        <f t="shared" si="33"/>
        <v>0.71375180932611615</v>
      </c>
      <c r="AF160" s="5">
        <f t="shared" si="34"/>
        <v>1.0169492327644147</v>
      </c>
      <c r="AG160" s="5">
        <f t="shared" si="35"/>
        <v>0.72584935487840663</v>
      </c>
      <c r="AI160">
        <v>0.20153199999999999</v>
      </c>
      <c r="AJ160">
        <v>0.13828499999999999</v>
      </c>
      <c r="AK160" s="4">
        <f t="shared" si="29"/>
        <v>0.93797327549695375</v>
      </c>
      <c r="AL160" s="4">
        <f t="shared" si="30"/>
        <v>0.90172539711520905</v>
      </c>
      <c r="AN160">
        <v>0.14185600000000001</v>
      </c>
      <c r="AP160" s="4"/>
      <c r="AR160" s="4"/>
    </row>
    <row r="161" spans="2:44" x14ac:dyDescent="0.25">
      <c r="B161">
        <v>4</v>
      </c>
      <c r="C161">
        <v>576</v>
      </c>
      <c r="D161">
        <v>4096</v>
      </c>
      <c r="E161">
        <v>16</v>
      </c>
      <c r="F161">
        <v>1</v>
      </c>
      <c r="H161">
        <v>0.37984800000000002</v>
      </c>
      <c r="I161">
        <v>0.32084499999999999</v>
      </c>
      <c r="J161" s="4">
        <f t="shared" si="31"/>
        <v>0.84466681409405864</v>
      </c>
      <c r="L161" s="4"/>
      <c r="M161" s="4"/>
      <c r="N161">
        <v>0.42100300000000002</v>
      </c>
      <c r="O161">
        <v>0.34997</v>
      </c>
      <c r="P161" s="4">
        <f t="shared" si="32"/>
        <v>1.108345969966934</v>
      </c>
      <c r="Q161" s="4">
        <f t="shared" si="36"/>
        <v>1.0907759198366813</v>
      </c>
      <c r="R161">
        <v>0.27466200000000002</v>
      </c>
      <c r="T161" s="4"/>
      <c r="V161">
        <v>4</v>
      </c>
      <c r="W161">
        <v>128</v>
      </c>
      <c r="X161">
        <f>4096</f>
        <v>4096</v>
      </c>
      <c r="Y161">
        <v>16</v>
      </c>
      <c r="Z161">
        <v>1</v>
      </c>
      <c r="AA161">
        <v>0.37070500000000001</v>
      </c>
      <c r="AB161">
        <v>0.21811700000000001</v>
      </c>
      <c r="AC161">
        <v>0.156806</v>
      </c>
      <c r="AD161" s="4">
        <f t="shared" si="33"/>
        <v>0.71890774217507114</v>
      </c>
      <c r="AF161" s="5">
        <f t="shared" si="34"/>
        <v>0.58838429478965759</v>
      </c>
      <c r="AG161" s="5">
        <f t="shared" si="35"/>
        <v>0.42299402489850418</v>
      </c>
      <c r="AI161">
        <v>0.233427</v>
      </c>
      <c r="AJ161">
        <v>0.16606099999999999</v>
      </c>
      <c r="AK161" s="4">
        <f t="shared" si="29"/>
        <v>1.0701916861134162</v>
      </c>
      <c r="AL161" s="4">
        <f t="shared" si="30"/>
        <v>1.0590219761998902</v>
      </c>
      <c r="AN161">
        <v>0.14362900000000001</v>
      </c>
      <c r="AP161" s="4"/>
      <c r="AR161" s="4"/>
    </row>
    <row r="162" spans="2:44" x14ac:dyDescent="0.25">
      <c r="B162">
        <v>8</v>
      </c>
      <c r="C162">
        <v>576</v>
      </c>
      <c r="D162">
        <v>4096</v>
      </c>
      <c r="E162">
        <v>16</v>
      </c>
      <c r="F162">
        <v>1</v>
      </c>
      <c r="H162">
        <v>0.49372700000000003</v>
      </c>
      <c r="I162">
        <v>0.42675200000000002</v>
      </c>
      <c r="J162" s="4">
        <f t="shared" si="31"/>
        <v>0.8643481114056959</v>
      </c>
      <c r="L162" s="4"/>
      <c r="M162" s="4"/>
      <c r="N162">
        <v>0.43148399999999998</v>
      </c>
      <c r="O162">
        <v>0.34672900000000001</v>
      </c>
      <c r="P162" s="4">
        <f t="shared" si="32"/>
        <v>0.87393235532996971</v>
      </c>
      <c r="Q162" s="4">
        <f t="shared" si="36"/>
        <v>0.81248359703059392</v>
      </c>
      <c r="R162">
        <v>0.27561000000000002</v>
      </c>
      <c r="T162" s="4"/>
      <c r="V162">
        <v>8</v>
      </c>
      <c r="W162">
        <v>128</v>
      </c>
      <c r="X162">
        <f>4096</f>
        <v>4096</v>
      </c>
      <c r="Y162">
        <v>16</v>
      </c>
      <c r="Z162">
        <v>1</v>
      </c>
      <c r="AA162">
        <v>0.69421100000000002</v>
      </c>
      <c r="AB162">
        <v>0.24143700000000001</v>
      </c>
      <c r="AC162">
        <v>0.17826</v>
      </c>
      <c r="AD162" s="4">
        <f t="shared" si="33"/>
        <v>0.73832925359410528</v>
      </c>
      <c r="AF162" s="5">
        <f t="shared" si="34"/>
        <v>0.3477861918062376</v>
      </c>
      <c r="AG162" s="5">
        <f t="shared" si="35"/>
        <v>0.25678071940663572</v>
      </c>
      <c r="AI162">
        <v>0.23574899999999999</v>
      </c>
      <c r="AJ162">
        <v>0.168211</v>
      </c>
      <c r="AK162" s="4">
        <f t="shared" si="29"/>
        <v>0.9764410591582896</v>
      </c>
      <c r="AL162" s="4">
        <f t="shared" si="30"/>
        <v>0.94362728598676093</v>
      </c>
      <c r="AN162">
        <v>0.14433299999999999</v>
      </c>
      <c r="AP162" s="4"/>
      <c r="AR162" s="4"/>
    </row>
    <row r="163" spans="2:44" x14ac:dyDescent="0.25">
      <c r="B163">
        <v>16</v>
      </c>
      <c r="C163">
        <v>576</v>
      </c>
      <c r="D163">
        <v>4096</v>
      </c>
      <c r="E163">
        <v>16</v>
      </c>
      <c r="F163">
        <v>1</v>
      </c>
      <c r="H163">
        <v>0.56413999999999997</v>
      </c>
      <c r="I163">
        <v>0.48446</v>
      </c>
      <c r="J163" s="4">
        <f t="shared" si="31"/>
        <v>0.85875846421101154</v>
      </c>
      <c r="L163" s="4"/>
      <c r="M163" s="4"/>
      <c r="N163">
        <v>0.42971900000000002</v>
      </c>
      <c r="O163">
        <v>0.33578999999999998</v>
      </c>
      <c r="P163" s="4">
        <f t="shared" si="32"/>
        <v>0.76172404013188222</v>
      </c>
      <c r="Q163" s="4">
        <f t="shared" si="36"/>
        <v>0.69312223919415428</v>
      </c>
      <c r="R163">
        <v>0.27644200000000002</v>
      </c>
      <c r="T163" s="4"/>
      <c r="V163">
        <v>16</v>
      </c>
      <c r="W163">
        <v>128</v>
      </c>
      <c r="X163">
        <f>4096</f>
        <v>4096</v>
      </c>
      <c r="Y163">
        <v>16</v>
      </c>
      <c r="Z163">
        <v>1</v>
      </c>
      <c r="AA163">
        <v>1.378757</v>
      </c>
      <c r="AB163">
        <v>0.26584200000000002</v>
      </c>
      <c r="AC163">
        <v>0.20036300000000001</v>
      </c>
      <c r="AD163" s="4">
        <f t="shared" si="33"/>
        <v>0.75369204264186995</v>
      </c>
      <c r="AF163" s="5">
        <f t="shared" si="34"/>
        <v>0.19281280167571227</v>
      </c>
      <c r="AG163" s="5">
        <f t="shared" si="35"/>
        <v>0.14532147434246934</v>
      </c>
      <c r="AI163">
        <v>0.23402700000000001</v>
      </c>
      <c r="AJ163">
        <v>0.169651</v>
      </c>
      <c r="AK163" s="4">
        <f t="shared" si="29"/>
        <v>0.88032365089037845</v>
      </c>
      <c r="AL163" s="4">
        <f t="shared" si="30"/>
        <v>0.84671820645528362</v>
      </c>
      <c r="AN163">
        <v>0.144403</v>
      </c>
      <c r="AP163" s="4"/>
      <c r="AR163" s="4"/>
    </row>
    <row r="164" spans="2:44" x14ac:dyDescent="0.25">
      <c r="B164">
        <v>32</v>
      </c>
      <c r="C164">
        <v>576</v>
      </c>
      <c r="D164">
        <v>4096</v>
      </c>
      <c r="E164">
        <v>16</v>
      </c>
      <c r="F164">
        <v>1</v>
      </c>
      <c r="H164">
        <v>1.0061249999999999</v>
      </c>
      <c r="I164">
        <v>0.89010999999999996</v>
      </c>
      <c r="J164" s="4">
        <f t="shared" si="31"/>
        <v>0.88469126599577586</v>
      </c>
      <c r="L164" s="4"/>
      <c r="M164" s="4"/>
      <c r="N164">
        <v>0.70280100000000001</v>
      </c>
      <c r="O164">
        <v>0.699013</v>
      </c>
      <c r="P164" s="4">
        <f t="shared" si="32"/>
        <v>0.69852254938501679</v>
      </c>
      <c r="Q164" s="4">
        <f t="shared" si="36"/>
        <v>0.78531080428261679</v>
      </c>
      <c r="R164">
        <v>0.47106599999999998</v>
      </c>
      <c r="T164" s="4"/>
      <c r="V164">
        <v>32</v>
      </c>
      <c r="W164">
        <v>128</v>
      </c>
      <c r="X164">
        <f>4096</f>
        <v>4096</v>
      </c>
      <c r="Y164">
        <v>16</v>
      </c>
      <c r="Z164">
        <v>1</v>
      </c>
      <c r="AA164">
        <v>2.6558760000000001</v>
      </c>
      <c r="AB164">
        <v>0.39705400000000002</v>
      </c>
      <c r="AC164">
        <v>0.32887499999999997</v>
      </c>
      <c r="AD164" s="4">
        <f t="shared" si="33"/>
        <v>0.82828783994116661</v>
      </c>
      <c r="AF164" s="5">
        <f t="shared" si="34"/>
        <v>0.14950020256969829</v>
      </c>
      <c r="AG164" s="5">
        <f t="shared" si="35"/>
        <v>0.12382919985722224</v>
      </c>
      <c r="AI164">
        <v>0.35685</v>
      </c>
      <c r="AJ164">
        <v>0.273229</v>
      </c>
      <c r="AK164" s="4">
        <f t="shared" si="29"/>
        <v>0.89874425141164671</v>
      </c>
      <c r="AL164" s="4">
        <f t="shared" si="30"/>
        <v>0.83079893576586861</v>
      </c>
      <c r="AN164">
        <v>0.231936</v>
      </c>
      <c r="AP164" s="4"/>
      <c r="AR164" s="4"/>
    </row>
    <row r="165" spans="2:44" x14ac:dyDescent="0.25">
      <c r="B165">
        <v>64</v>
      </c>
      <c r="C165">
        <v>576</v>
      </c>
      <c r="D165">
        <v>4096</v>
      </c>
      <c r="E165">
        <v>16</v>
      </c>
      <c r="F165">
        <v>1</v>
      </c>
      <c r="H165">
        <v>1.898255</v>
      </c>
      <c r="I165">
        <v>1.638166</v>
      </c>
      <c r="J165" s="4">
        <f t="shared" si="31"/>
        <v>0.86298521536885187</v>
      </c>
      <c r="L165" s="4"/>
      <c r="M165" s="4"/>
      <c r="N165">
        <v>1.275504</v>
      </c>
      <c r="O165">
        <v>1.2790539999999999</v>
      </c>
      <c r="P165" s="4">
        <f t="shared" si="32"/>
        <v>0.67193501399969968</v>
      </c>
      <c r="Q165" s="4">
        <f t="shared" si="36"/>
        <v>0.78078412077896864</v>
      </c>
      <c r="R165">
        <v>0.85754900000000001</v>
      </c>
      <c r="T165" s="4"/>
      <c r="V165">
        <v>64</v>
      </c>
      <c r="W165">
        <v>128</v>
      </c>
      <c r="X165">
        <f>4096</f>
        <v>4096</v>
      </c>
      <c r="Y165">
        <v>16</v>
      </c>
      <c r="Z165">
        <v>1</v>
      </c>
      <c r="AA165">
        <v>5.2061489999999999</v>
      </c>
      <c r="AB165">
        <v>0.63829100000000005</v>
      </c>
      <c r="AC165">
        <v>0.57359800000000005</v>
      </c>
      <c r="AD165" s="4">
        <f t="shared" si="33"/>
        <v>0.89864654209443651</v>
      </c>
      <c r="AF165" s="5">
        <f t="shared" si="34"/>
        <v>0.1226032908393517</v>
      </c>
      <c r="AG165" s="5">
        <f t="shared" si="35"/>
        <v>0.11017702336218192</v>
      </c>
      <c r="AI165">
        <v>0.602329</v>
      </c>
      <c r="AJ165">
        <v>0.47691499999999998</v>
      </c>
      <c r="AK165" s="4">
        <f t="shared" si="29"/>
        <v>0.94365892672777774</v>
      </c>
      <c r="AL165" s="4">
        <f t="shared" si="30"/>
        <v>0.83144467030917113</v>
      </c>
      <c r="AN165">
        <v>0.408966</v>
      </c>
      <c r="AP165" s="4"/>
      <c r="AR165" s="4"/>
    </row>
    <row r="166" spans="2:44" x14ac:dyDescent="0.25">
      <c r="B166">
        <v>128</v>
      </c>
      <c r="C166">
        <v>576</v>
      </c>
      <c r="D166">
        <v>4096</v>
      </c>
      <c r="E166">
        <v>16</v>
      </c>
      <c r="F166">
        <v>1</v>
      </c>
      <c r="H166">
        <v>3.730998</v>
      </c>
      <c r="I166">
        <v>3.1653859999999998</v>
      </c>
      <c r="J166" s="4">
        <f t="shared" si="31"/>
        <v>0.84840195572337473</v>
      </c>
      <c r="L166" s="4"/>
      <c r="M166" s="4"/>
      <c r="N166">
        <v>2.329742</v>
      </c>
      <c r="O166">
        <v>2.4121100000000002</v>
      </c>
      <c r="P166" s="4">
        <f t="shared" si="32"/>
        <v>0.62442863812845784</v>
      </c>
      <c r="Q166" s="4">
        <f t="shared" si="36"/>
        <v>0.7620271271813297</v>
      </c>
      <c r="R166">
        <v>1.5807040000000001</v>
      </c>
      <c r="T166" s="4"/>
      <c r="V166">
        <v>128</v>
      </c>
      <c r="W166">
        <v>128</v>
      </c>
      <c r="X166">
        <f>4096</f>
        <v>4096</v>
      </c>
      <c r="Y166">
        <v>16</v>
      </c>
      <c r="Z166">
        <v>1</v>
      </c>
      <c r="AA166">
        <v>10.345483</v>
      </c>
      <c r="AB166">
        <v>1.133548</v>
      </c>
      <c r="AC166">
        <v>1.030902</v>
      </c>
      <c r="AD166" s="4">
        <f t="shared" si="33"/>
        <v>0.90944715177478141</v>
      </c>
      <c r="AF166" s="5">
        <f t="shared" si="34"/>
        <v>0.10956936471694942</v>
      </c>
      <c r="AG166" s="5">
        <f t="shared" si="35"/>
        <v>9.9647546663601885E-2</v>
      </c>
      <c r="AI166">
        <v>1.086622</v>
      </c>
      <c r="AJ166">
        <v>0.82667500000000005</v>
      </c>
      <c r="AK166" s="4">
        <f t="shared" si="29"/>
        <v>0.95860254704697112</v>
      </c>
      <c r="AL166" s="4">
        <f t="shared" si="30"/>
        <v>0.80189484548482792</v>
      </c>
      <c r="AN166">
        <v>0.76280300000000001</v>
      </c>
      <c r="AP166" s="4"/>
      <c r="AR166" s="4"/>
    </row>
    <row r="167" spans="2:44" x14ac:dyDescent="0.25">
      <c r="B167">
        <v>256</v>
      </c>
      <c r="C167">
        <v>576</v>
      </c>
      <c r="D167">
        <v>4096</v>
      </c>
      <c r="E167">
        <v>16</v>
      </c>
      <c r="F167">
        <v>1</v>
      </c>
      <c r="H167">
        <v>7.4281740000000003</v>
      </c>
      <c r="I167">
        <v>6.2359210000000003</v>
      </c>
      <c r="J167" s="4">
        <f t="shared" si="31"/>
        <v>0.83949581687235653</v>
      </c>
      <c r="L167" s="4"/>
      <c r="M167" s="4"/>
      <c r="N167">
        <v>4.496181</v>
      </c>
      <c r="O167">
        <v>4.7173340000000001</v>
      </c>
      <c r="P167" s="4">
        <f t="shared" si="32"/>
        <v>0.6052875174975707</v>
      </c>
      <c r="Q167" s="4">
        <f t="shared" si="36"/>
        <v>0.75647751150150877</v>
      </c>
      <c r="R167">
        <v>3.1221139999999998</v>
      </c>
      <c r="T167" s="4"/>
      <c r="V167">
        <v>256</v>
      </c>
      <c r="W167">
        <v>128</v>
      </c>
      <c r="X167">
        <f>4096</f>
        <v>4096</v>
      </c>
      <c r="Y167">
        <v>16</v>
      </c>
      <c r="Z167">
        <v>1</v>
      </c>
      <c r="AA167">
        <v>20.873943000000001</v>
      </c>
      <c r="AB167">
        <v>2.1151870000000002</v>
      </c>
      <c r="AC167">
        <v>1.9249510000000001</v>
      </c>
      <c r="AD167" s="4">
        <f t="shared" si="33"/>
        <v>0.91006185268725648</v>
      </c>
      <c r="AF167" s="5">
        <f t="shared" si="34"/>
        <v>0.10133145424417418</v>
      </c>
      <c r="AG167" s="5">
        <f t="shared" si="35"/>
        <v>9.2217890984947121E-2</v>
      </c>
      <c r="AI167">
        <v>2.0567160000000002</v>
      </c>
      <c r="AJ167">
        <v>1.503552</v>
      </c>
      <c r="AK167" s="4">
        <f t="shared" si="29"/>
        <v>0.97235658123844371</v>
      </c>
      <c r="AL167" s="4">
        <f t="shared" si="30"/>
        <v>0.78108585621140481</v>
      </c>
      <c r="AN167">
        <v>1.461222</v>
      </c>
      <c r="AP167" s="4"/>
      <c r="AR167" s="4"/>
    </row>
    <row r="168" spans="2:44" x14ac:dyDescent="0.25">
      <c r="B168">
        <v>512</v>
      </c>
      <c r="C168">
        <v>576</v>
      </c>
      <c r="D168">
        <v>4096</v>
      </c>
      <c r="E168">
        <v>16</v>
      </c>
      <c r="F168">
        <v>1</v>
      </c>
      <c r="H168">
        <v>14.925025</v>
      </c>
      <c r="I168">
        <v>12.440372999999999</v>
      </c>
      <c r="J168" s="4">
        <f t="shared" si="31"/>
        <v>0.83352443295739864</v>
      </c>
      <c r="L168" s="4"/>
      <c r="M168" s="4"/>
      <c r="N168">
        <v>8.8536940000000008</v>
      </c>
      <c r="O168">
        <v>9.2802889999999998</v>
      </c>
      <c r="P168" s="4">
        <f t="shared" si="32"/>
        <v>0.59321133465438092</v>
      </c>
      <c r="Q168" s="4">
        <f t="shared" si="36"/>
        <v>0.74598157145288169</v>
      </c>
      <c r="R168">
        <v>6.2603780000000002</v>
      </c>
      <c r="T168" s="4"/>
      <c r="V168">
        <v>512</v>
      </c>
      <c r="W168">
        <v>128</v>
      </c>
      <c r="X168">
        <f>4096</f>
        <v>4096</v>
      </c>
      <c r="Y168">
        <v>16</v>
      </c>
      <c r="Z168">
        <v>1</v>
      </c>
      <c r="AA168">
        <v>41.864407</v>
      </c>
      <c r="AB168">
        <v>4.0663809999999998</v>
      </c>
      <c r="AC168">
        <v>3.6757610000000001</v>
      </c>
      <c r="AD168" s="4">
        <f t="shared" si="33"/>
        <v>0.9039391537585878</v>
      </c>
      <c r="AF168" s="5">
        <f t="shared" si="34"/>
        <v>9.7132177221571539E-2</v>
      </c>
      <c r="AG168" s="5">
        <f t="shared" si="35"/>
        <v>8.7801578080396556E-2</v>
      </c>
      <c r="AI168">
        <v>4.0021829999999996</v>
      </c>
      <c r="AJ168">
        <v>2.7611509999999999</v>
      </c>
      <c r="AK168" s="4">
        <f t="shared" si="29"/>
        <v>0.98421249755003282</v>
      </c>
      <c r="AL168" s="4">
        <f t="shared" si="30"/>
        <v>0.75117805537411164</v>
      </c>
      <c r="AN168">
        <v>2.8605640000000001</v>
      </c>
      <c r="AP168" s="4"/>
      <c r="AR168" s="4"/>
    </row>
    <row r="169" spans="2:44" x14ac:dyDescent="0.25">
      <c r="B169">
        <v>1</v>
      </c>
      <c r="C169">
        <v>576</v>
      </c>
      <c r="D169">
        <v>8192</v>
      </c>
      <c r="E169">
        <v>16</v>
      </c>
      <c r="F169">
        <v>1</v>
      </c>
      <c r="H169">
        <v>0.494834</v>
      </c>
      <c r="I169">
        <v>0.37697700000000001</v>
      </c>
      <c r="J169" s="4">
        <f t="shared" si="31"/>
        <v>0.76182517773637226</v>
      </c>
      <c r="L169" s="4"/>
      <c r="M169" s="4"/>
      <c r="N169">
        <v>0.49476900000000001</v>
      </c>
      <c r="O169">
        <v>0.36813400000000002</v>
      </c>
      <c r="P169" s="4">
        <f t="shared" si="32"/>
        <v>0.99986864281759136</v>
      </c>
      <c r="Q169" s="4">
        <f t="shared" si="36"/>
        <v>0.97654233547404756</v>
      </c>
      <c r="R169">
        <v>0.360877</v>
      </c>
      <c r="T169" s="4"/>
      <c r="V169" s="8">
        <v>1</v>
      </c>
      <c r="W169" s="8">
        <v>128</v>
      </c>
      <c r="X169" s="8">
        <f>8192</f>
        <v>8192</v>
      </c>
      <c r="Y169" s="8">
        <v>16</v>
      </c>
      <c r="Z169" s="8">
        <v>1</v>
      </c>
      <c r="AA169" s="8">
        <v>0.22181000000000001</v>
      </c>
      <c r="AB169" s="8">
        <v>0.33755600000000002</v>
      </c>
      <c r="AC169">
        <v>0.21532799999999999</v>
      </c>
      <c r="AD169" s="4">
        <f t="shared" si="33"/>
        <v>0.63790304423562305</v>
      </c>
      <c r="AF169" s="5">
        <f t="shared" si="34"/>
        <v>1.5218249853478203</v>
      </c>
      <c r="AG169" s="5">
        <f t="shared" si="35"/>
        <v>0.97077679094720704</v>
      </c>
      <c r="AI169">
        <v>0.333893</v>
      </c>
      <c r="AJ169">
        <v>0.20465900000000001</v>
      </c>
      <c r="AK169" s="4">
        <f t="shared" ref="AK169:AK188" si="37">AI169/AB169</f>
        <v>0.98914846721729133</v>
      </c>
      <c r="AL169" s="4">
        <f t="shared" ref="AL169:AL188" si="38">AJ169/AC169</f>
        <v>0.95045233318472289</v>
      </c>
      <c r="AN169">
        <v>0.22225300000000001</v>
      </c>
      <c r="AP169" s="4"/>
      <c r="AR169" s="4"/>
    </row>
    <row r="170" spans="2:44" x14ac:dyDescent="0.25">
      <c r="B170">
        <v>2</v>
      </c>
      <c r="C170">
        <v>576</v>
      </c>
      <c r="D170">
        <v>8192</v>
      </c>
      <c r="E170">
        <v>16</v>
      </c>
      <c r="F170">
        <v>1</v>
      </c>
      <c r="H170">
        <v>0.65462500000000001</v>
      </c>
      <c r="I170">
        <v>0.53095199999999998</v>
      </c>
      <c r="J170" s="4">
        <f t="shared" si="31"/>
        <v>0.81107809814779452</v>
      </c>
      <c r="L170" s="4"/>
      <c r="M170" s="4"/>
      <c r="N170">
        <v>0.57749799999999996</v>
      </c>
      <c r="O170">
        <v>0.45682</v>
      </c>
      <c r="P170" s="4">
        <f t="shared" ref="P170:P188" si="39">N170/H170</f>
        <v>0.88218140156578184</v>
      </c>
      <c r="Q170" s="4">
        <f t="shared" si="36"/>
        <v>0.8603790926486764</v>
      </c>
      <c r="R170">
        <v>0.36022999999999999</v>
      </c>
      <c r="T170" s="4"/>
      <c r="V170" s="8">
        <v>2</v>
      </c>
      <c r="W170" s="8">
        <v>128</v>
      </c>
      <c r="X170" s="8">
        <f>8192</f>
        <v>8192</v>
      </c>
      <c r="Y170" s="8">
        <v>16</v>
      </c>
      <c r="Z170" s="8">
        <v>1</v>
      </c>
      <c r="AA170" s="8">
        <v>0.36717499999999997</v>
      </c>
      <c r="AB170" s="8">
        <v>0.372778</v>
      </c>
      <c r="AC170">
        <v>0.246532</v>
      </c>
      <c r="AD170" s="4">
        <f t="shared" si="33"/>
        <v>0.66133731067820523</v>
      </c>
      <c r="AF170" s="5">
        <f t="shared" si="34"/>
        <v>1.0152597535235244</v>
      </c>
      <c r="AG170" s="5">
        <f t="shared" si="35"/>
        <v>0.67142915503506506</v>
      </c>
      <c r="AI170">
        <v>0.34530699999999998</v>
      </c>
      <c r="AJ170">
        <v>0.21859799999999999</v>
      </c>
      <c r="AK170" s="4">
        <f t="shared" si="37"/>
        <v>0.92630734646357882</v>
      </c>
      <c r="AL170" s="4">
        <f t="shared" si="38"/>
        <v>0.88669219411678801</v>
      </c>
      <c r="AN170">
        <v>0.22108800000000001</v>
      </c>
      <c r="AP170" s="4"/>
      <c r="AR170" s="4"/>
    </row>
    <row r="171" spans="2:44" x14ac:dyDescent="0.25">
      <c r="B171">
        <v>4</v>
      </c>
      <c r="C171">
        <v>576</v>
      </c>
      <c r="D171">
        <v>8192</v>
      </c>
      <c r="E171">
        <v>16</v>
      </c>
      <c r="F171">
        <v>1</v>
      </c>
      <c r="H171">
        <v>0.69570399999999999</v>
      </c>
      <c r="I171">
        <v>0.56937300000000002</v>
      </c>
      <c r="J171" s="4">
        <f t="shared" si="31"/>
        <v>0.81841271575267649</v>
      </c>
      <c r="L171" s="4"/>
      <c r="M171" s="4"/>
      <c r="N171">
        <v>0.92517700000000003</v>
      </c>
      <c r="O171">
        <v>0.69266499999999998</v>
      </c>
      <c r="P171" s="4">
        <f t="shared" si="39"/>
        <v>1.3298428642066167</v>
      </c>
      <c r="Q171" s="4">
        <f t="shared" si="36"/>
        <v>1.2165399483291268</v>
      </c>
      <c r="R171">
        <v>0.43958999999999998</v>
      </c>
      <c r="T171" s="4"/>
      <c r="V171">
        <v>4</v>
      </c>
      <c r="W171">
        <v>128</v>
      </c>
      <c r="X171">
        <f>8192</f>
        <v>8192</v>
      </c>
      <c r="Y171">
        <v>16</v>
      </c>
      <c r="Z171">
        <v>1</v>
      </c>
      <c r="AA171">
        <v>0.67916699999999997</v>
      </c>
      <c r="AB171">
        <v>0.37964799999999999</v>
      </c>
      <c r="AC171">
        <v>0.25464799999999999</v>
      </c>
      <c r="AD171" s="4">
        <f t="shared" si="33"/>
        <v>0.67074763991908293</v>
      </c>
      <c r="AF171" s="5">
        <f t="shared" si="34"/>
        <v>0.55899064589416159</v>
      </c>
      <c r="AG171" s="5">
        <f t="shared" si="35"/>
        <v>0.37494165647035266</v>
      </c>
      <c r="AI171">
        <v>0.40031499999999998</v>
      </c>
      <c r="AJ171">
        <v>0.299622</v>
      </c>
      <c r="AK171" s="4">
        <f t="shared" si="37"/>
        <v>1.0544372682063385</v>
      </c>
      <c r="AL171" s="4">
        <f t="shared" si="38"/>
        <v>1.1766124218529108</v>
      </c>
      <c r="AN171">
        <v>0.22085099999999999</v>
      </c>
      <c r="AP171" s="4"/>
      <c r="AR171" s="4"/>
    </row>
    <row r="172" spans="2:44" x14ac:dyDescent="0.25">
      <c r="B172">
        <v>8</v>
      </c>
      <c r="C172">
        <v>576</v>
      </c>
      <c r="D172">
        <v>8192</v>
      </c>
      <c r="E172">
        <v>16</v>
      </c>
      <c r="F172">
        <v>1</v>
      </c>
      <c r="H172">
        <v>0.92732400000000004</v>
      </c>
      <c r="I172">
        <v>0.77815599999999996</v>
      </c>
      <c r="J172" s="4">
        <f t="shared" si="31"/>
        <v>0.83914144355155251</v>
      </c>
      <c r="L172" s="4"/>
      <c r="M172" s="4"/>
      <c r="N172">
        <v>0.94754000000000005</v>
      </c>
      <c r="O172">
        <v>0.68713000000000002</v>
      </c>
      <c r="P172" s="4">
        <f t="shared" si="39"/>
        <v>1.0218003631956036</v>
      </c>
      <c r="Q172" s="4">
        <f t="shared" si="36"/>
        <v>0.88302345545109218</v>
      </c>
      <c r="R172">
        <v>0.43960300000000002</v>
      </c>
      <c r="T172" s="4"/>
      <c r="V172">
        <v>8</v>
      </c>
      <c r="W172">
        <v>128</v>
      </c>
      <c r="X172">
        <f>8192</f>
        <v>8192</v>
      </c>
      <c r="Y172">
        <v>16</v>
      </c>
      <c r="Z172">
        <v>1</v>
      </c>
      <c r="AA172">
        <v>1.3536539999999999</v>
      </c>
      <c r="AB172">
        <v>0.42774600000000002</v>
      </c>
      <c r="AC172">
        <v>0.29363499999999998</v>
      </c>
      <c r="AD172" s="4">
        <f t="shared" si="33"/>
        <v>0.68647047546908668</v>
      </c>
      <c r="AF172" s="5">
        <f t="shared" si="34"/>
        <v>0.31599359954611744</v>
      </c>
      <c r="AG172" s="5">
        <f t="shared" si="35"/>
        <v>0.21692027652561141</v>
      </c>
      <c r="AI172">
        <v>0.414271</v>
      </c>
      <c r="AJ172">
        <v>0.27139799999999997</v>
      </c>
      <c r="AK172" s="4">
        <f t="shared" si="37"/>
        <v>0.96849765982615843</v>
      </c>
      <c r="AL172" s="4">
        <f t="shared" si="38"/>
        <v>0.92426992695012511</v>
      </c>
      <c r="AN172">
        <v>0.221472</v>
      </c>
      <c r="AP172" s="4"/>
      <c r="AR172" s="4"/>
    </row>
    <row r="173" spans="2:44" x14ac:dyDescent="0.25">
      <c r="B173">
        <v>16</v>
      </c>
      <c r="C173">
        <v>576</v>
      </c>
      <c r="D173">
        <v>8192</v>
      </c>
      <c r="E173">
        <v>16</v>
      </c>
      <c r="F173">
        <v>1</v>
      </c>
      <c r="H173">
        <v>1.11528</v>
      </c>
      <c r="I173">
        <v>0.88453400000000004</v>
      </c>
      <c r="J173" s="4">
        <f t="shared" si="31"/>
        <v>0.79310487052578726</v>
      </c>
      <c r="L173" s="4"/>
      <c r="M173" s="4"/>
      <c r="N173">
        <v>0.93420599999999998</v>
      </c>
      <c r="O173">
        <v>0.67602600000000002</v>
      </c>
      <c r="P173" s="4">
        <f t="shared" si="39"/>
        <v>0.83764256509576063</v>
      </c>
      <c r="Q173" s="4">
        <f t="shared" ref="Q173:Q188" si="40">O173/I173</f>
        <v>0.76427361752063794</v>
      </c>
      <c r="R173">
        <v>0.43918099999999999</v>
      </c>
      <c r="T173" s="4"/>
      <c r="V173">
        <v>16</v>
      </c>
      <c r="W173">
        <v>128</v>
      </c>
      <c r="X173">
        <f>8192</f>
        <v>8192</v>
      </c>
      <c r="Y173">
        <v>16</v>
      </c>
      <c r="Z173">
        <v>1</v>
      </c>
      <c r="AA173">
        <v>2.640326</v>
      </c>
      <c r="AB173">
        <v>0.47697000000000001</v>
      </c>
      <c r="AC173">
        <v>0.32696900000000001</v>
      </c>
      <c r="AD173" s="4">
        <f t="shared" si="33"/>
        <v>0.68551271568442462</v>
      </c>
      <c r="AF173" s="5">
        <f t="shared" si="34"/>
        <v>0.18064814723636399</v>
      </c>
      <c r="AG173" s="5">
        <f t="shared" si="35"/>
        <v>0.12383660199535967</v>
      </c>
      <c r="AI173">
        <v>0.40839500000000001</v>
      </c>
      <c r="AJ173">
        <v>0.26956200000000002</v>
      </c>
      <c r="AK173" s="4">
        <f t="shared" si="37"/>
        <v>0.85622785500136278</v>
      </c>
      <c r="AL173" s="4">
        <f t="shared" si="38"/>
        <v>0.82442678052047758</v>
      </c>
      <c r="AN173">
        <v>0.221581</v>
      </c>
      <c r="AP173" s="4"/>
      <c r="AR173" s="4"/>
    </row>
    <row r="174" spans="2:44" x14ac:dyDescent="0.25">
      <c r="B174">
        <v>32</v>
      </c>
      <c r="C174">
        <v>576</v>
      </c>
      <c r="D174">
        <v>8192</v>
      </c>
      <c r="E174">
        <v>16</v>
      </c>
      <c r="F174">
        <v>1</v>
      </c>
      <c r="H174">
        <v>1.9653929999999999</v>
      </c>
      <c r="I174">
        <v>1.632541</v>
      </c>
      <c r="J174" s="4">
        <f t="shared" si="31"/>
        <v>0.8306435405030953</v>
      </c>
      <c r="L174" s="4"/>
      <c r="M174" s="4"/>
      <c r="N174">
        <v>1.388463</v>
      </c>
      <c r="O174">
        <v>1.2681560000000001</v>
      </c>
      <c r="P174" s="4">
        <f t="shared" si="39"/>
        <v>0.70645565543379873</v>
      </c>
      <c r="Q174" s="4">
        <f t="shared" si="40"/>
        <v>0.77679886753227023</v>
      </c>
      <c r="R174">
        <v>0.78486999999999996</v>
      </c>
      <c r="T174" s="4"/>
      <c r="V174">
        <v>32</v>
      </c>
      <c r="W174">
        <v>128</v>
      </c>
      <c r="X174">
        <f>8192</f>
        <v>8192</v>
      </c>
      <c r="Y174">
        <v>16</v>
      </c>
      <c r="Z174">
        <v>1</v>
      </c>
      <c r="AA174">
        <v>5.2105629999999996</v>
      </c>
      <c r="AB174">
        <v>0.75192400000000004</v>
      </c>
      <c r="AC174">
        <v>0.56736299999999995</v>
      </c>
      <c r="AD174" s="4">
        <f t="shared" si="33"/>
        <v>0.75454833201227778</v>
      </c>
      <c r="AF174" s="5">
        <f t="shared" si="34"/>
        <v>0.14430763048062178</v>
      </c>
      <c r="AG174" s="5">
        <f t="shared" si="35"/>
        <v>0.10888708187579729</v>
      </c>
      <c r="AI174">
        <v>0.65761099999999995</v>
      </c>
      <c r="AJ174">
        <v>0.472941</v>
      </c>
      <c r="AK174" s="4">
        <f t="shared" si="37"/>
        <v>0.8745711002707719</v>
      </c>
      <c r="AL174" s="4">
        <f t="shared" si="38"/>
        <v>0.83357744512772258</v>
      </c>
      <c r="AN174">
        <v>0.39145600000000003</v>
      </c>
      <c r="AP174" s="4"/>
      <c r="AR174" s="4"/>
    </row>
    <row r="175" spans="2:44" s="9" customFormat="1" x14ac:dyDescent="0.25">
      <c r="B175" s="9">
        <v>64</v>
      </c>
      <c r="C175" s="9">
        <v>576</v>
      </c>
      <c r="D175" s="9">
        <v>8192</v>
      </c>
      <c r="E175" s="9">
        <v>16</v>
      </c>
      <c r="F175" s="9">
        <v>1</v>
      </c>
      <c r="H175" s="9">
        <v>3.8263780000000001</v>
      </c>
      <c r="I175" s="9">
        <v>3.1185710000000002</v>
      </c>
      <c r="J175" s="47">
        <f t="shared" si="31"/>
        <v>0.81501905980015565</v>
      </c>
      <c r="L175" s="47"/>
      <c r="M175" s="47"/>
      <c r="N175" s="9">
        <v>2.4769019999999999</v>
      </c>
      <c r="O175" s="9">
        <v>2.364296</v>
      </c>
      <c r="P175" s="47">
        <f t="shared" si="39"/>
        <v>0.64732287296236801</v>
      </c>
      <c r="Q175" s="47">
        <f t="shared" si="40"/>
        <v>0.75813441476881549</v>
      </c>
      <c r="R175">
        <v>1.4560379999999999</v>
      </c>
      <c r="S175"/>
      <c r="T175" s="4"/>
      <c r="V175" s="9">
        <v>64</v>
      </c>
      <c r="W175" s="9">
        <v>128</v>
      </c>
      <c r="X175" s="9">
        <f>8192</f>
        <v>8192</v>
      </c>
      <c r="Y175" s="9">
        <v>16</v>
      </c>
      <c r="Z175" s="9">
        <v>1</v>
      </c>
      <c r="AA175" s="9">
        <v>10.354463000000001</v>
      </c>
      <c r="AB175" s="9">
        <v>1.2333890000000001</v>
      </c>
      <c r="AC175" s="9">
        <v>1.019587</v>
      </c>
      <c r="AD175" s="47">
        <f t="shared" si="33"/>
        <v>0.82665485098375291</v>
      </c>
      <c r="AF175" s="47">
        <f t="shared" si="34"/>
        <v>0.11911665530119717</v>
      </c>
      <c r="AG175" s="47">
        <f t="shared" si="35"/>
        <v>9.8468360937694205E-2</v>
      </c>
      <c r="AI175" s="9">
        <v>1.136647</v>
      </c>
      <c r="AJ175" s="9">
        <v>0.83914200000000005</v>
      </c>
      <c r="AK175" s="47">
        <f t="shared" si="37"/>
        <v>0.92156408075635499</v>
      </c>
      <c r="AL175" s="47">
        <f t="shared" si="38"/>
        <v>0.82302147830445072</v>
      </c>
      <c r="AN175">
        <v>0.71888600000000002</v>
      </c>
      <c r="AO175"/>
      <c r="AP175" s="4"/>
      <c r="AQ175"/>
      <c r="AR175" s="4"/>
    </row>
    <row r="176" spans="2:44" x14ac:dyDescent="0.25">
      <c r="B176">
        <v>128</v>
      </c>
      <c r="C176">
        <v>576</v>
      </c>
      <c r="D176">
        <v>8192</v>
      </c>
      <c r="E176">
        <v>16</v>
      </c>
      <c r="F176">
        <v>1</v>
      </c>
      <c r="H176">
        <v>7.54528</v>
      </c>
      <c r="I176">
        <v>6.1056340000000002</v>
      </c>
      <c r="J176" s="4">
        <f t="shared" si="31"/>
        <v>0.80919912846176689</v>
      </c>
      <c r="L176" s="4"/>
      <c r="M176" s="4"/>
      <c r="N176">
        <v>4.4627650000000001</v>
      </c>
      <c r="O176">
        <v>4.5589259999999996</v>
      </c>
      <c r="P176" s="4">
        <f t="shared" si="39"/>
        <v>0.59146446520208662</v>
      </c>
      <c r="Q176" s="4">
        <f t="shared" si="40"/>
        <v>0.74667528384439674</v>
      </c>
      <c r="R176">
        <v>2.7402169999999999</v>
      </c>
      <c r="T176" s="4"/>
      <c r="V176">
        <v>128</v>
      </c>
      <c r="W176">
        <v>128</v>
      </c>
      <c r="X176">
        <f>8192</f>
        <v>8192</v>
      </c>
      <c r="Y176">
        <v>16</v>
      </c>
      <c r="Z176">
        <v>1</v>
      </c>
      <c r="AA176">
        <v>20.824300999999998</v>
      </c>
      <c r="AB176">
        <v>2.2064629999999998</v>
      </c>
      <c r="AC176">
        <v>1.900582</v>
      </c>
      <c r="AD176" s="4">
        <f t="shared" si="33"/>
        <v>0.8613704376642618</v>
      </c>
      <c r="AF176" s="5">
        <f t="shared" si="34"/>
        <v>0.10595616150573313</v>
      </c>
      <c r="AG176" s="5">
        <f t="shared" si="35"/>
        <v>9.1267505209418565E-2</v>
      </c>
      <c r="AI176">
        <v>2.102338</v>
      </c>
      <c r="AJ176">
        <v>1.4719739999999999</v>
      </c>
      <c r="AK176" s="4">
        <f t="shared" si="37"/>
        <v>0.95280908857297864</v>
      </c>
      <c r="AL176" s="4">
        <f t="shared" si="38"/>
        <v>0.77448592062852317</v>
      </c>
      <c r="AN176">
        <v>1.3775360000000001</v>
      </c>
      <c r="AP176" s="4"/>
      <c r="AR176" s="4"/>
    </row>
    <row r="177" spans="2:44" x14ac:dyDescent="0.25">
      <c r="B177">
        <v>256</v>
      </c>
      <c r="C177">
        <v>576</v>
      </c>
      <c r="D177">
        <v>8192</v>
      </c>
      <c r="E177">
        <v>16</v>
      </c>
      <c r="F177">
        <v>1</v>
      </c>
      <c r="H177">
        <v>14.894682</v>
      </c>
      <c r="I177">
        <v>12.132483000000001</v>
      </c>
      <c r="J177" s="4">
        <f t="shared" si="31"/>
        <v>0.8145513277826274</v>
      </c>
      <c r="L177" s="4"/>
      <c r="M177" s="4"/>
      <c r="N177">
        <v>8.5676659999999991</v>
      </c>
      <c r="O177">
        <v>8.9816680000000009</v>
      </c>
      <c r="P177" s="4">
        <f t="shared" si="39"/>
        <v>0.57521644302308694</v>
      </c>
      <c r="Q177" s="4">
        <f t="shared" si="40"/>
        <v>0.74029924459815855</v>
      </c>
      <c r="R177">
        <v>5.4693250000000004</v>
      </c>
      <c r="T177" s="4"/>
      <c r="V177">
        <v>256</v>
      </c>
      <c r="W177">
        <v>128</v>
      </c>
      <c r="X177">
        <f>8192</f>
        <v>8192</v>
      </c>
      <c r="Y177">
        <v>16</v>
      </c>
      <c r="Z177">
        <v>1</v>
      </c>
      <c r="AA177">
        <v>41.953594000000002</v>
      </c>
      <c r="AB177">
        <v>4.1428050000000001</v>
      </c>
      <c r="AC177">
        <v>3.6111629999999999</v>
      </c>
      <c r="AD177" s="4">
        <f t="shared" si="33"/>
        <v>0.8716710055143797</v>
      </c>
      <c r="AF177" s="5">
        <f t="shared" si="34"/>
        <v>9.8747320670548505E-2</v>
      </c>
      <c r="AG177" s="5">
        <f t="shared" si="35"/>
        <v>8.6075176300747916E-2</v>
      </c>
      <c r="AI177">
        <v>4.0258719999999997</v>
      </c>
      <c r="AJ177">
        <v>2.7597119999999999</v>
      </c>
      <c r="AK177" s="4">
        <f t="shared" si="37"/>
        <v>0.97177443785068318</v>
      </c>
      <c r="AL177" s="4">
        <f t="shared" si="38"/>
        <v>0.76421695725172201</v>
      </c>
      <c r="AN177">
        <v>2.6950590000000001</v>
      </c>
      <c r="AP177" s="4"/>
      <c r="AR177" s="4"/>
    </row>
    <row r="178" spans="2:44" x14ac:dyDescent="0.25">
      <c r="B178">
        <v>512</v>
      </c>
      <c r="C178">
        <v>576</v>
      </c>
      <c r="D178">
        <v>8192</v>
      </c>
      <c r="E178">
        <v>16</v>
      </c>
      <c r="F178">
        <v>1</v>
      </c>
      <c r="H178">
        <v>29.801991000000001</v>
      </c>
      <c r="I178">
        <v>24.175184000000002</v>
      </c>
      <c r="J178" s="4">
        <f t="shared" si="31"/>
        <v>0.81119358770358663</v>
      </c>
      <c r="L178" s="4"/>
      <c r="M178" s="4"/>
      <c r="N178">
        <v>16.960467999999999</v>
      </c>
      <c r="O178">
        <v>17.830546999999999</v>
      </c>
      <c r="P178" s="4">
        <f t="shared" si="39"/>
        <v>0.56910519837416229</v>
      </c>
      <c r="Q178" s="4">
        <f t="shared" si="40"/>
        <v>0.73755579275011918</v>
      </c>
      <c r="R178">
        <v>10.996105999999999</v>
      </c>
      <c r="T178" s="4"/>
      <c r="V178">
        <v>512</v>
      </c>
      <c r="W178">
        <v>128</v>
      </c>
      <c r="X178">
        <f>8192</f>
        <v>8192</v>
      </c>
      <c r="Y178">
        <v>16</v>
      </c>
      <c r="Z178">
        <v>1</v>
      </c>
      <c r="AA178">
        <v>84.445060999999995</v>
      </c>
      <c r="AB178">
        <v>7.9971370000000004</v>
      </c>
      <c r="AC178">
        <v>7.0099590000000003</v>
      </c>
      <c r="AD178" s="4">
        <f t="shared" si="33"/>
        <v>0.87655857339945531</v>
      </c>
      <c r="AF178" s="5">
        <f t="shared" si="34"/>
        <v>9.4702246706885568E-2</v>
      </c>
      <c r="AG178" s="5">
        <f t="shared" si="35"/>
        <v>8.3012066271110879E-2</v>
      </c>
      <c r="AI178">
        <v>7.8762119999999998</v>
      </c>
      <c r="AJ178">
        <v>5.2903500000000001</v>
      </c>
      <c r="AK178" s="4">
        <f t="shared" si="37"/>
        <v>0.98487896355908366</v>
      </c>
      <c r="AL178" s="4">
        <f t="shared" si="38"/>
        <v>0.75469057664959238</v>
      </c>
      <c r="AN178">
        <v>5.3312090000000003</v>
      </c>
      <c r="AP178" s="4"/>
      <c r="AR178" s="4"/>
    </row>
    <row r="179" spans="2:44" x14ac:dyDescent="0.25">
      <c r="B179">
        <v>1</v>
      </c>
      <c r="C179">
        <v>576</v>
      </c>
      <c r="D179">
        <v>16384</v>
      </c>
      <c r="E179">
        <v>16</v>
      </c>
      <c r="F179">
        <v>1</v>
      </c>
      <c r="H179">
        <v>0.92367100000000002</v>
      </c>
      <c r="I179">
        <v>0.68441399999999997</v>
      </c>
      <c r="J179" s="4">
        <f t="shared" si="31"/>
        <v>0.74097162301295583</v>
      </c>
      <c r="L179" s="4"/>
      <c r="M179" s="4"/>
      <c r="N179">
        <v>0.93348200000000003</v>
      </c>
      <c r="O179">
        <v>0.677319</v>
      </c>
      <c r="P179" s="4">
        <f t="shared" si="39"/>
        <v>1.0106217473537655</v>
      </c>
      <c r="Q179" s="4">
        <f t="shared" si="40"/>
        <v>0.98963346746267611</v>
      </c>
      <c r="R179">
        <v>0.62084499999999998</v>
      </c>
      <c r="T179" s="4"/>
      <c r="V179" s="8">
        <v>1</v>
      </c>
      <c r="W179" s="8">
        <v>128</v>
      </c>
      <c r="X179" s="8">
        <f>16384</f>
        <v>16384</v>
      </c>
      <c r="Y179" s="8">
        <v>16</v>
      </c>
      <c r="Z179" s="8">
        <v>1</v>
      </c>
      <c r="AA179" s="8">
        <v>0.39113799999999999</v>
      </c>
      <c r="AB179" s="8">
        <v>0.61861500000000003</v>
      </c>
      <c r="AC179">
        <v>0.37170599999999998</v>
      </c>
      <c r="AD179" s="4">
        <f t="shared" si="33"/>
        <v>0.6008680681845735</v>
      </c>
      <c r="AF179" s="5">
        <f t="shared" si="34"/>
        <v>1.5815773461029101</v>
      </c>
      <c r="AG179" s="5">
        <f t="shared" si="35"/>
        <v>0.95031932463734026</v>
      </c>
      <c r="AI179">
        <v>0.61044900000000002</v>
      </c>
      <c r="AJ179">
        <v>0.349408</v>
      </c>
      <c r="AK179" s="4">
        <f t="shared" si="37"/>
        <v>0.98679954414296456</v>
      </c>
      <c r="AL179" s="4">
        <f t="shared" si="38"/>
        <v>0.94001172970035463</v>
      </c>
      <c r="AN179">
        <v>0.376915</v>
      </c>
      <c r="AP179" s="4"/>
      <c r="AR179" s="4"/>
    </row>
    <row r="180" spans="2:44" x14ac:dyDescent="0.25">
      <c r="B180">
        <v>2</v>
      </c>
      <c r="C180">
        <v>576</v>
      </c>
      <c r="D180">
        <v>16384</v>
      </c>
      <c r="E180">
        <v>16</v>
      </c>
      <c r="F180">
        <v>1</v>
      </c>
      <c r="H180">
        <v>1.243007</v>
      </c>
      <c r="I180">
        <v>0.98672899999999997</v>
      </c>
      <c r="J180" s="4">
        <f t="shared" si="31"/>
        <v>0.79382416993629157</v>
      </c>
      <c r="L180" s="4"/>
      <c r="M180" s="4"/>
      <c r="N180">
        <v>1.098481</v>
      </c>
      <c r="O180">
        <v>0.84333199999999997</v>
      </c>
      <c r="P180" s="4">
        <f t="shared" si="39"/>
        <v>0.88372873201840385</v>
      </c>
      <c r="Q180" s="4">
        <f t="shared" si="40"/>
        <v>0.85467438374670246</v>
      </c>
      <c r="R180">
        <v>0.61505900000000002</v>
      </c>
      <c r="T180" s="4"/>
      <c r="V180" s="8">
        <v>2</v>
      </c>
      <c r="W180" s="8">
        <v>128</v>
      </c>
      <c r="X180" s="8">
        <f>16384</f>
        <v>16384</v>
      </c>
      <c r="Y180" s="8">
        <v>16</v>
      </c>
      <c r="Z180" s="8">
        <v>1</v>
      </c>
      <c r="AA180" s="8">
        <v>0.67436700000000005</v>
      </c>
      <c r="AB180" s="8">
        <v>0.68911999999999995</v>
      </c>
      <c r="AC180">
        <v>0.424929</v>
      </c>
      <c r="AD180" s="4">
        <f t="shared" si="33"/>
        <v>0.61662555142790809</v>
      </c>
      <c r="AF180" s="5">
        <f t="shared" si="34"/>
        <v>1.02187681188433</v>
      </c>
      <c r="AG180" s="5">
        <f t="shared" si="35"/>
        <v>0.63011535261956764</v>
      </c>
      <c r="AI180">
        <v>0.63445499999999999</v>
      </c>
      <c r="AJ180">
        <v>0.37860500000000002</v>
      </c>
      <c r="AK180" s="4">
        <f t="shared" si="37"/>
        <v>0.92067419317390298</v>
      </c>
      <c r="AL180" s="4">
        <f t="shared" si="38"/>
        <v>0.89098414088000588</v>
      </c>
      <c r="AN180">
        <v>0.37642199999999998</v>
      </c>
      <c r="AP180" s="4"/>
      <c r="AR180" s="4"/>
    </row>
    <row r="181" spans="2:44" x14ac:dyDescent="0.25">
      <c r="B181">
        <v>4</v>
      </c>
      <c r="C181">
        <v>576</v>
      </c>
      <c r="D181">
        <v>16384</v>
      </c>
      <c r="E181">
        <v>16</v>
      </c>
      <c r="F181">
        <v>1</v>
      </c>
      <c r="H181">
        <v>1.328945</v>
      </c>
      <c r="I181">
        <v>1.0569770000000001</v>
      </c>
      <c r="J181" s="4">
        <f t="shared" si="31"/>
        <v>0.79535044715921277</v>
      </c>
      <c r="L181" s="4"/>
      <c r="M181" s="4"/>
      <c r="N181">
        <v>1.795382</v>
      </c>
      <c r="O181">
        <v>1.2617240000000001</v>
      </c>
      <c r="P181" s="4">
        <f t="shared" si="39"/>
        <v>1.3509829225438224</v>
      </c>
      <c r="Q181" s="4">
        <f t="shared" si="40"/>
        <v>1.1937099861207954</v>
      </c>
      <c r="R181">
        <v>0.74863400000000002</v>
      </c>
      <c r="T181" s="4"/>
      <c r="V181">
        <v>4</v>
      </c>
      <c r="W181">
        <v>128</v>
      </c>
      <c r="X181">
        <f>16384</f>
        <v>16384</v>
      </c>
      <c r="Y181">
        <v>16</v>
      </c>
      <c r="Z181">
        <v>1</v>
      </c>
      <c r="AA181">
        <v>1.306937</v>
      </c>
      <c r="AB181">
        <v>0.70306599999999997</v>
      </c>
      <c r="AC181">
        <v>0.442131</v>
      </c>
      <c r="AD181" s="4">
        <f t="shared" si="33"/>
        <v>0.62886130178390087</v>
      </c>
      <c r="AF181" s="5">
        <f t="shared" si="34"/>
        <v>0.53794941913803029</v>
      </c>
      <c r="AG181" s="5">
        <f t="shared" si="35"/>
        <v>0.33829557201303506</v>
      </c>
      <c r="AI181">
        <v>0.75027600000000005</v>
      </c>
      <c r="AJ181">
        <v>0.46564499999999998</v>
      </c>
      <c r="AK181" s="4">
        <f t="shared" si="37"/>
        <v>1.0671487456369673</v>
      </c>
      <c r="AL181" s="4">
        <f t="shared" si="38"/>
        <v>1.0531833325417128</v>
      </c>
      <c r="AN181">
        <v>0.37673000000000001</v>
      </c>
      <c r="AP181" s="4"/>
      <c r="AR181" s="4"/>
    </row>
    <row r="182" spans="2:44" x14ac:dyDescent="0.25">
      <c r="B182">
        <v>8</v>
      </c>
      <c r="C182">
        <v>576</v>
      </c>
      <c r="D182">
        <v>16384</v>
      </c>
      <c r="E182">
        <v>16</v>
      </c>
      <c r="F182">
        <v>1</v>
      </c>
      <c r="H182">
        <v>1.7718039999999999</v>
      </c>
      <c r="I182">
        <v>1.477171</v>
      </c>
      <c r="J182" s="4">
        <f t="shared" si="31"/>
        <v>0.8337101620721028</v>
      </c>
      <c r="L182" s="4"/>
      <c r="M182" s="4"/>
      <c r="N182">
        <v>1.8647560000000001</v>
      </c>
      <c r="O182">
        <v>1.2595270000000001</v>
      </c>
      <c r="P182" s="4">
        <f t="shared" si="39"/>
        <v>1.0524617847120787</v>
      </c>
      <c r="Q182" s="4">
        <f t="shared" si="40"/>
        <v>0.85266160789779932</v>
      </c>
      <c r="R182">
        <v>0.75242200000000004</v>
      </c>
      <c r="T182" s="4"/>
      <c r="V182">
        <v>8</v>
      </c>
      <c r="W182">
        <v>128</v>
      </c>
      <c r="X182">
        <f>16384</f>
        <v>16384</v>
      </c>
      <c r="Y182">
        <v>16</v>
      </c>
      <c r="Z182">
        <v>1</v>
      </c>
      <c r="AA182">
        <v>2.5934469999999998</v>
      </c>
      <c r="AB182">
        <v>0.80169400000000002</v>
      </c>
      <c r="AC182">
        <v>0.50981600000000005</v>
      </c>
      <c r="AD182" s="4">
        <f t="shared" si="33"/>
        <v>0.63592343213245961</v>
      </c>
      <c r="AF182" s="5">
        <f t="shared" si="34"/>
        <v>0.30912295489362229</v>
      </c>
      <c r="AG182" s="5">
        <f t="shared" si="35"/>
        <v>0.19657853042687978</v>
      </c>
      <c r="AI182">
        <v>0.77161400000000002</v>
      </c>
      <c r="AJ182">
        <v>0.46935700000000002</v>
      </c>
      <c r="AK182" s="4">
        <f t="shared" si="37"/>
        <v>0.96247944976512234</v>
      </c>
      <c r="AL182" s="4">
        <f t="shared" si="38"/>
        <v>0.92063999560625787</v>
      </c>
      <c r="AN182">
        <v>0.37891799999999998</v>
      </c>
      <c r="AP182" s="4"/>
      <c r="AR182" s="4"/>
    </row>
    <row r="183" spans="2:44" x14ac:dyDescent="0.25">
      <c r="B183">
        <v>16</v>
      </c>
      <c r="C183">
        <v>576</v>
      </c>
      <c r="D183">
        <v>16384</v>
      </c>
      <c r="E183">
        <v>16</v>
      </c>
      <c r="F183">
        <v>1</v>
      </c>
      <c r="H183">
        <v>2.1905990000000002</v>
      </c>
      <c r="I183">
        <v>1.627383</v>
      </c>
      <c r="J183" s="4">
        <f t="shared" si="31"/>
        <v>0.74289406687394632</v>
      </c>
      <c r="L183" s="4"/>
      <c r="M183" s="4"/>
      <c r="N183">
        <v>1.8516710000000001</v>
      </c>
      <c r="O183">
        <v>1.2567200000000001</v>
      </c>
      <c r="P183" s="4">
        <f t="shared" si="39"/>
        <v>0.84528067437262588</v>
      </c>
      <c r="Q183" s="4">
        <f t="shared" si="40"/>
        <v>0.77223370282226134</v>
      </c>
      <c r="R183">
        <v>0.75974399999999997</v>
      </c>
      <c r="T183" s="4"/>
      <c r="V183">
        <v>16</v>
      </c>
      <c r="W183">
        <v>128</v>
      </c>
      <c r="X183">
        <f>16384</f>
        <v>16384</v>
      </c>
      <c r="Y183">
        <v>16</v>
      </c>
      <c r="Z183">
        <v>1</v>
      </c>
      <c r="AA183">
        <v>5.2137450000000003</v>
      </c>
      <c r="AB183">
        <v>0.902223</v>
      </c>
      <c r="AC183">
        <v>0.56533199999999995</v>
      </c>
      <c r="AD183" s="4">
        <f t="shared" si="33"/>
        <v>0.62659896721763908</v>
      </c>
      <c r="AF183" s="5">
        <f t="shared" si="34"/>
        <v>0.17304701323137206</v>
      </c>
      <c r="AG183" s="5">
        <f t="shared" si="35"/>
        <v>0.10843107977087485</v>
      </c>
      <c r="AI183">
        <v>0.76613200000000004</v>
      </c>
      <c r="AJ183">
        <v>0.47299200000000002</v>
      </c>
      <c r="AK183" s="4">
        <f t="shared" si="37"/>
        <v>0.84916035170905646</v>
      </c>
      <c r="AL183" s="4">
        <f t="shared" si="38"/>
        <v>0.8366623506187516</v>
      </c>
      <c r="AN183">
        <v>0.37899500000000003</v>
      </c>
      <c r="AP183" s="4"/>
      <c r="AR183" s="4"/>
    </row>
    <row r="184" spans="2:44" x14ac:dyDescent="0.25">
      <c r="B184">
        <v>32</v>
      </c>
      <c r="C184">
        <v>576</v>
      </c>
      <c r="D184">
        <v>16384</v>
      </c>
      <c r="E184">
        <v>16</v>
      </c>
      <c r="F184">
        <v>1</v>
      </c>
      <c r="H184">
        <v>3.8674849999999998</v>
      </c>
      <c r="I184">
        <v>3.113823</v>
      </c>
      <c r="J184" s="4">
        <f t="shared" si="31"/>
        <v>0.80512865596117378</v>
      </c>
      <c r="N184">
        <v>2.7295199999999999</v>
      </c>
      <c r="O184">
        <v>2.3814869999999999</v>
      </c>
      <c r="P184" s="4">
        <f t="shared" si="39"/>
        <v>0.70576097903417856</v>
      </c>
      <c r="Q184" s="4">
        <f t="shared" si="40"/>
        <v>0.7648112946689648</v>
      </c>
      <c r="R184">
        <v>1.4038470000000001</v>
      </c>
      <c r="T184" s="4"/>
      <c r="V184">
        <v>32</v>
      </c>
      <c r="W184">
        <v>128</v>
      </c>
      <c r="X184">
        <f>16384</f>
        <v>16384</v>
      </c>
      <c r="Y184">
        <v>16</v>
      </c>
      <c r="Z184">
        <v>1</v>
      </c>
      <c r="AA184">
        <v>10.440274</v>
      </c>
      <c r="AB184">
        <v>1.455519</v>
      </c>
      <c r="AC184">
        <v>1.0184200000000001</v>
      </c>
      <c r="AD184" s="4">
        <f t="shared" si="33"/>
        <v>0.69969543509909526</v>
      </c>
      <c r="AF184" s="5">
        <f t="shared" si="34"/>
        <v>0.13941386978924117</v>
      </c>
      <c r="AG184" s="5">
        <f t="shared" si="35"/>
        <v>9.7547248281031715E-2</v>
      </c>
      <c r="AI184">
        <v>1.260313</v>
      </c>
      <c r="AJ184">
        <v>0.84203499999999998</v>
      </c>
      <c r="AK184" s="4">
        <f t="shared" si="37"/>
        <v>0.86588563941796703</v>
      </c>
      <c r="AL184" s="4">
        <f t="shared" si="38"/>
        <v>0.8268052473439248</v>
      </c>
      <c r="AN184">
        <v>0.70670699999999997</v>
      </c>
      <c r="AP184" s="4"/>
      <c r="AR184" s="4"/>
    </row>
    <row r="185" spans="2:44" x14ac:dyDescent="0.25">
      <c r="B185">
        <v>64</v>
      </c>
      <c r="C185">
        <v>576</v>
      </c>
      <c r="D185">
        <v>16384</v>
      </c>
      <c r="E185">
        <v>16</v>
      </c>
      <c r="F185">
        <v>1</v>
      </c>
      <c r="H185">
        <v>7.6328769999999997</v>
      </c>
      <c r="I185">
        <v>6.0532360000000001</v>
      </c>
      <c r="J185" s="4">
        <f t="shared" si="31"/>
        <v>0.79304775905598901</v>
      </c>
      <c r="N185">
        <v>4.8563299999999998</v>
      </c>
      <c r="O185">
        <v>4.6263610000000002</v>
      </c>
      <c r="P185" s="4">
        <f t="shared" si="39"/>
        <v>0.63623847207285011</v>
      </c>
      <c r="Q185" s="4">
        <f t="shared" si="40"/>
        <v>0.76427897408923096</v>
      </c>
      <c r="R185">
        <v>2.6657350000000002</v>
      </c>
      <c r="T185" s="4"/>
      <c r="V185">
        <v>64</v>
      </c>
      <c r="W185">
        <v>128</v>
      </c>
      <c r="X185">
        <f>16384</f>
        <v>16384</v>
      </c>
      <c r="Y185">
        <v>16</v>
      </c>
      <c r="Z185">
        <v>1</v>
      </c>
      <c r="AA185">
        <v>20.889731999999999</v>
      </c>
      <c r="AB185">
        <v>2.411397</v>
      </c>
      <c r="AC185">
        <v>1.8884669999999999</v>
      </c>
      <c r="AD185" s="4">
        <f t="shared" si="33"/>
        <v>0.78314230298868248</v>
      </c>
      <c r="AF185" s="5">
        <f t="shared" si="34"/>
        <v>0.11543455894982282</v>
      </c>
      <c r="AG185" s="5">
        <f t="shared" si="35"/>
        <v>9.0401686340447068E-2</v>
      </c>
      <c r="AI185">
        <v>2.2175940000000001</v>
      </c>
      <c r="AJ185">
        <v>1.499296</v>
      </c>
      <c r="AK185" s="4">
        <f t="shared" si="37"/>
        <v>0.9196304051137163</v>
      </c>
      <c r="AL185" s="4">
        <f t="shared" si="38"/>
        <v>0.79392226604965832</v>
      </c>
      <c r="AN185">
        <v>1.3458749999999999</v>
      </c>
      <c r="AP185" s="4"/>
      <c r="AR185" s="4"/>
    </row>
    <row r="186" spans="2:44" x14ac:dyDescent="0.25">
      <c r="B186">
        <v>128</v>
      </c>
      <c r="C186">
        <v>576</v>
      </c>
      <c r="D186">
        <v>16384</v>
      </c>
      <c r="E186">
        <v>16</v>
      </c>
      <c r="F186">
        <v>1</v>
      </c>
      <c r="H186">
        <v>15.121753</v>
      </c>
      <c r="I186">
        <v>11.989922999999999</v>
      </c>
      <c r="J186" s="4">
        <f t="shared" si="31"/>
        <v>0.79289239812341861</v>
      </c>
      <c r="N186">
        <v>8.7646499999999996</v>
      </c>
      <c r="O186">
        <v>8.8957029999999992</v>
      </c>
      <c r="P186" s="4">
        <f t="shared" si="39"/>
        <v>0.57960542008588556</v>
      </c>
      <c r="Q186" s="4">
        <f t="shared" si="40"/>
        <v>0.7419316204115739</v>
      </c>
      <c r="R186">
        <v>5.1330939999999998</v>
      </c>
      <c r="T186" s="4"/>
      <c r="V186">
        <v>128</v>
      </c>
      <c r="W186">
        <v>128</v>
      </c>
      <c r="X186">
        <f>16384</f>
        <v>16384</v>
      </c>
      <c r="Y186">
        <v>16</v>
      </c>
      <c r="Z186">
        <v>1</v>
      </c>
      <c r="AA186">
        <v>42.323906000000001</v>
      </c>
      <c r="AB186">
        <v>4.3425989999999999</v>
      </c>
      <c r="AC186">
        <v>3.5855410000000001</v>
      </c>
      <c r="AD186" s="4">
        <f t="shared" si="33"/>
        <v>0.8256670717236384</v>
      </c>
      <c r="AF186" s="5">
        <f t="shared" si="34"/>
        <v>0.10260392790778809</v>
      </c>
      <c r="AG186" s="5">
        <f t="shared" si="35"/>
        <v>8.4716684702966685E-2</v>
      </c>
      <c r="AI186">
        <v>4.1347420000000001</v>
      </c>
      <c r="AJ186">
        <v>2.7733639999999999</v>
      </c>
      <c r="AK186" s="4">
        <f t="shared" si="37"/>
        <v>0.95213534567663283</v>
      </c>
      <c r="AL186" s="4">
        <f t="shared" si="38"/>
        <v>0.77348550748687572</v>
      </c>
      <c r="AN186">
        <v>2.6247929999999999</v>
      </c>
      <c r="AP186" s="4"/>
      <c r="AR186" s="4"/>
    </row>
    <row r="187" spans="2:44" x14ac:dyDescent="0.25">
      <c r="B187">
        <v>256</v>
      </c>
      <c r="C187">
        <v>576</v>
      </c>
      <c r="D187">
        <v>16384</v>
      </c>
      <c r="E187">
        <v>16</v>
      </c>
      <c r="F187">
        <v>1</v>
      </c>
      <c r="H187">
        <v>30.014572000000001</v>
      </c>
      <c r="I187">
        <v>23.873218999999999</v>
      </c>
      <c r="J187" s="4">
        <f t="shared" si="31"/>
        <v>0.79538762038652422</v>
      </c>
      <c r="N187">
        <v>16.853973</v>
      </c>
      <c r="O187">
        <v>17.550813999999999</v>
      </c>
      <c r="P187" s="4">
        <f t="shared" si="39"/>
        <v>0.5615263479352629</v>
      </c>
      <c r="Q187" s="4">
        <f t="shared" si="40"/>
        <v>0.73516746945604616</v>
      </c>
      <c r="R187">
        <v>10.293340000000001</v>
      </c>
      <c r="T187" s="4"/>
      <c r="V187">
        <v>256</v>
      </c>
      <c r="W187">
        <v>128</v>
      </c>
      <c r="X187">
        <f>16384</f>
        <v>16384</v>
      </c>
      <c r="Y187">
        <v>16</v>
      </c>
      <c r="Z187">
        <v>1</v>
      </c>
      <c r="AA187">
        <v>85.608215000000001</v>
      </c>
      <c r="AB187">
        <v>8.1776940000000007</v>
      </c>
      <c r="AC187">
        <v>6.9129670000000001</v>
      </c>
      <c r="AD187" s="4">
        <f t="shared" si="33"/>
        <v>0.84534429877175643</v>
      </c>
      <c r="AF187" s="5">
        <f t="shared" si="34"/>
        <v>9.5524640947133407E-2</v>
      </c>
      <c r="AG187" s="5">
        <f t="shared" si="35"/>
        <v>8.0751210616878302E-2</v>
      </c>
      <c r="AI187">
        <v>7.9634539999999996</v>
      </c>
      <c r="AJ187">
        <v>5.3458699999999997</v>
      </c>
      <c r="AK187" s="4">
        <f t="shared" si="37"/>
        <v>0.97380190552495594</v>
      </c>
      <c r="AL187" s="4">
        <f t="shared" si="38"/>
        <v>0.7733105047369675</v>
      </c>
      <c r="AN187">
        <v>5.1840619999999999</v>
      </c>
      <c r="AP187" s="4"/>
      <c r="AR187" s="4"/>
    </row>
    <row r="188" spans="2:44" x14ac:dyDescent="0.25">
      <c r="B188">
        <v>512</v>
      </c>
      <c r="C188">
        <v>576</v>
      </c>
      <c r="D188">
        <v>16384</v>
      </c>
      <c r="E188">
        <v>16</v>
      </c>
      <c r="F188">
        <v>1</v>
      </c>
      <c r="H188">
        <v>55.773335000000003</v>
      </c>
      <c r="I188">
        <v>47.962569999999999</v>
      </c>
      <c r="J188" s="4">
        <f t="shared" si="31"/>
        <v>0.85995520977900997</v>
      </c>
      <c r="N188">
        <v>33.102074000000002</v>
      </c>
      <c r="O188">
        <v>34.854370000000003</v>
      </c>
      <c r="P188" s="4">
        <f t="shared" si="39"/>
        <v>0.5935107520466546</v>
      </c>
      <c r="Q188" s="4">
        <f t="shared" si="40"/>
        <v>0.72669938245594434</v>
      </c>
      <c r="R188">
        <v>20.899792000000001</v>
      </c>
      <c r="T188" s="4"/>
      <c r="V188">
        <v>512</v>
      </c>
      <c r="W188">
        <v>128</v>
      </c>
      <c r="X188">
        <f>16384</f>
        <v>16384</v>
      </c>
      <c r="Y188">
        <v>16</v>
      </c>
      <c r="Z188">
        <v>1</v>
      </c>
      <c r="AA188">
        <v>171.925095</v>
      </c>
      <c r="AB188">
        <v>15.844125</v>
      </c>
      <c r="AC188">
        <v>13.520142999999999</v>
      </c>
      <c r="AD188" s="4">
        <f t="shared" si="33"/>
        <v>0.85332216200011035</v>
      </c>
      <c r="AF188" s="5">
        <f t="shared" si="34"/>
        <v>9.215713971250096E-2</v>
      </c>
      <c r="AG188" s="5">
        <f t="shared" si="35"/>
        <v>7.8639729703217545E-2</v>
      </c>
      <c r="AI188">
        <v>15.628216999999999</v>
      </c>
      <c r="AJ188">
        <v>10.39246</v>
      </c>
      <c r="AK188" s="4">
        <f t="shared" si="37"/>
        <v>0.9863729931441465</v>
      </c>
      <c r="AL188" s="4">
        <f t="shared" si="38"/>
        <v>0.76866494681306263</v>
      </c>
      <c r="AN188">
        <v>10.305728999999999</v>
      </c>
      <c r="AP188" s="4"/>
      <c r="AR188" s="4"/>
    </row>
  </sheetData>
  <mergeCells count="8">
    <mergeCell ref="G7:I7"/>
    <mergeCell ref="B5:Q5"/>
    <mergeCell ref="V5:AL5"/>
    <mergeCell ref="R7:S7"/>
    <mergeCell ref="AN7:AO7"/>
    <mergeCell ref="AI7:AJ7"/>
    <mergeCell ref="AA7:AC7"/>
    <mergeCell ref="N7:O7"/>
  </mergeCells>
  <phoneticPr fontId="1" type="noConversion"/>
  <conditionalFormatting sqref="AD9:AD188">
    <cfRule type="expression" dxfId="24" priority="67">
      <formula>$J$9&lt;1</formula>
    </cfRule>
  </conditionalFormatting>
  <conditionalFormatting sqref="AD10">
    <cfRule type="cellIs" dxfId="23" priority="66" operator="lessThan">
      <formula>1</formula>
    </cfRule>
  </conditionalFormatting>
  <conditionalFormatting sqref="AD9:AD188">
    <cfRule type="cellIs" dxfId="22" priority="65" operator="lessThan">
      <formula>$J$7</formula>
    </cfRule>
  </conditionalFormatting>
  <conditionalFormatting sqref="AD9:AD188">
    <cfRule type="cellIs" dxfId="21" priority="64" operator="lessThan">
      <formula>$J$7</formula>
    </cfRule>
  </conditionalFormatting>
  <conditionalFormatting sqref="AF9:AF188">
    <cfRule type="cellIs" dxfId="20" priority="63" operator="greaterThan">
      <formula>$AF$7</formula>
    </cfRule>
  </conditionalFormatting>
  <conditionalFormatting sqref="AG9:AG188">
    <cfRule type="cellIs" dxfId="19" priority="62" operator="greaterThan">
      <formula>$AF$7</formula>
    </cfRule>
  </conditionalFormatting>
  <conditionalFormatting sqref="J9:J188">
    <cfRule type="expression" dxfId="18" priority="61">
      <formula>$J$9&lt;1</formula>
    </cfRule>
  </conditionalFormatting>
  <conditionalFormatting sqref="J9:J188">
    <cfRule type="cellIs" dxfId="17" priority="60" operator="lessThan">
      <formula>$J$7</formula>
    </cfRule>
  </conditionalFormatting>
  <conditionalFormatting sqref="J9:J188">
    <cfRule type="cellIs" dxfId="16" priority="59" operator="lessThan">
      <formula>$J$7</formula>
    </cfRule>
  </conditionalFormatting>
  <conditionalFormatting sqref="AL9:AL188">
    <cfRule type="cellIs" dxfId="15" priority="6" operator="greaterThan">
      <formula>$AL$7</formula>
    </cfRule>
  </conditionalFormatting>
  <conditionalFormatting sqref="AK9:AK188">
    <cfRule type="cellIs" dxfId="14" priority="5" operator="greaterThan">
      <formula>$AK$7</formula>
    </cfRule>
  </conditionalFormatting>
  <conditionalFormatting sqref="P9:P188">
    <cfRule type="cellIs" dxfId="13" priority="4" operator="greaterThan">
      <formula>$P$7</formula>
    </cfRule>
  </conditionalFormatting>
  <conditionalFormatting sqref="Q9:Q188 R99:S137 T9:T188">
    <cfRule type="cellIs" dxfId="12" priority="3" operator="greaterThan">
      <formula>$Q$7</formula>
    </cfRule>
  </conditionalFormatting>
  <conditionalFormatting sqref="AP9:AP188">
    <cfRule type="cellIs" dxfId="11" priority="2" operator="greaterThan">
      <formula>$AL$7</formula>
    </cfRule>
  </conditionalFormatting>
  <conditionalFormatting sqref="AR9:AR188">
    <cfRule type="cellIs" dxfId="10" priority="1" operator="greaterThan">
      <formula>$AL$7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X176"/>
  <sheetViews>
    <sheetView topLeftCell="A10" workbookViewId="0">
      <selection activeCell="H101" sqref="H101"/>
    </sheetView>
  </sheetViews>
  <sheetFormatPr defaultRowHeight="13.8" x14ac:dyDescent="0.25"/>
  <cols>
    <col min="2" max="2" width="4.33203125" customWidth="1"/>
    <col min="4" max="7" width="13.5546875" customWidth="1"/>
    <col min="8" max="8" width="32.21875" bestFit="1" customWidth="1"/>
    <col min="9" max="9" width="20.44140625" customWidth="1"/>
    <col min="10" max="10" width="10.21875" bestFit="1" customWidth="1"/>
    <col min="11" max="11" width="25.88671875" bestFit="1" customWidth="1"/>
    <col min="19" max="20" width="10.21875" bestFit="1" customWidth="1"/>
  </cols>
  <sheetData>
    <row r="3" spans="3:22" x14ac:dyDescent="0.25">
      <c r="C3" t="s">
        <v>20</v>
      </c>
      <c r="E3" s="3"/>
    </row>
    <row r="5" spans="3:22" x14ac:dyDescent="0.25">
      <c r="C5" s="6" t="s">
        <v>13</v>
      </c>
      <c r="D5" s="1"/>
      <c r="E5" s="3"/>
      <c r="U5">
        <v>7.0548E-2</v>
      </c>
      <c r="V5">
        <v>7.0548E-2</v>
      </c>
    </row>
    <row r="6" spans="3:22" x14ac:dyDescent="0.25">
      <c r="D6" t="s">
        <v>9</v>
      </c>
      <c r="E6" t="s">
        <v>7</v>
      </c>
      <c r="F6" t="s">
        <v>8</v>
      </c>
      <c r="G6" t="s">
        <v>10</v>
      </c>
      <c r="H6" t="s">
        <v>11</v>
      </c>
      <c r="I6" t="s">
        <v>12</v>
      </c>
      <c r="R6" s="3"/>
      <c r="U6">
        <v>7.4644000000000002E-2</v>
      </c>
      <c r="V6">
        <v>7.4644000000000002E-2</v>
      </c>
    </row>
    <row r="7" spans="3:22" x14ac:dyDescent="0.25">
      <c r="D7">
        <v>1</v>
      </c>
      <c r="E7">
        <v>8</v>
      </c>
      <c r="F7">
        <v>1</v>
      </c>
      <c r="G7">
        <v>5.2999999999999999E-2</v>
      </c>
      <c r="H7">
        <v>6.0434000000000002E-2</v>
      </c>
      <c r="I7" s="4">
        <f>H7/G7</f>
        <v>1.1402641509433964</v>
      </c>
      <c r="R7" s="1"/>
      <c r="U7">
        <v>6.8915000000000004E-2</v>
      </c>
      <c r="V7">
        <v>6.8915000000000004E-2</v>
      </c>
    </row>
    <row r="8" spans="3:22" x14ac:dyDescent="0.25">
      <c r="D8">
        <v>1</v>
      </c>
      <c r="E8">
        <v>16</v>
      </c>
      <c r="F8">
        <v>1</v>
      </c>
      <c r="G8">
        <v>7.1999999999999995E-2</v>
      </c>
      <c r="H8">
        <v>6.0533999999999998E-2</v>
      </c>
      <c r="I8" s="4">
        <f t="shared" ref="I8:I26" si="0">H8/G8</f>
        <v>0.84075</v>
      </c>
      <c r="R8" s="1"/>
      <c r="U8">
        <v>7.6747999999999997E-2</v>
      </c>
      <c r="V8">
        <v>7.6747999999999997E-2</v>
      </c>
    </row>
    <row r="9" spans="3:22" x14ac:dyDescent="0.25">
      <c r="D9">
        <v>2</v>
      </c>
      <c r="E9">
        <v>8</v>
      </c>
      <c r="F9">
        <v>1</v>
      </c>
      <c r="G9">
        <v>5.6000000000000001E-2</v>
      </c>
      <c r="H9">
        <v>6.5077999999999997E-2</v>
      </c>
      <c r="I9" s="4">
        <f t="shared" si="0"/>
        <v>1.1621071428571428</v>
      </c>
      <c r="R9" s="1"/>
      <c r="U9">
        <v>6.8151000000000003E-2</v>
      </c>
      <c r="V9">
        <v>6.8151000000000003E-2</v>
      </c>
    </row>
    <row r="10" spans="3:22" x14ac:dyDescent="0.25">
      <c r="D10">
        <v>2</v>
      </c>
      <c r="E10">
        <v>16</v>
      </c>
      <c r="F10">
        <v>1</v>
      </c>
      <c r="G10">
        <v>5.6000000000000001E-2</v>
      </c>
      <c r="H10">
        <v>5.9159000000000003E-2</v>
      </c>
      <c r="I10" s="4">
        <f t="shared" si="0"/>
        <v>1.0564107142857144</v>
      </c>
      <c r="R10" s="1"/>
      <c r="U10">
        <v>7.5291999999999998E-2</v>
      </c>
      <c r="V10">
        <v>7.5291999999999998E-2</v>
      </c>
    </row>
    <row r="11" spans="3:22" x14ac:dyDescent="0.25">
      <c r="D11">
        <v>4</v>
      </c>
      <c r="E11">
        <v>8</v>
      </c>
      <c r="F11">
        <v>1</v>
      </c>
      <c r="G11">
        <v>5.6000000000000001E-2</v>
      </c>
      <c r="H11">
        <v>5.9808E-2</v>
      </c>
      <c r="I11" s="4">
        <f t="shared" si="0"/>
        <v>1.0680000000000001</v>
      </c>
      <c r="R11" s="1"/>
      <c r="U11">
        <v>7.3956999999999995E-2</v>
      </c>
      <c r="V11">
        <v>7.3956999999999995E-2</v>
      </c>
    </row>
    <row r="12" spans="3:22" x14ac:dyDescent="0.25">
      <c r="D12">
        <v>4</v>
      </c>
      <c r="E12">
        <v>16</v>
      </c>
      <c r="F12">
        <v>1</v>
      </c>
      <c r="G12">
        <v>5.5E-2</v>
      </c>
      <c r="H12">
        <v>5.9330000000000001E-2</v>
      </c>
      <c r="I12" s="4">
        <f t="shared" si="0"/>
        <v>1.0787272727272728</v>
      </c>
      <c r="R12" s="1"/>
      <c r="U12">
        <v>7.4459999999999998E-2</v>
      </c>
      <c r="V12">
        <v>7.4459999999999998E-2</v>
      </c>
    </row>
    <row r="13" spans="3:22" x14ac:dyDescent="0.25">
      <c r="D13">
        <v>8</v>
      </c>
      <c r="E13">
        <v>8</v>
      </c>
      <c r="F13">
        <v>1</v>
      </c>
      <c r="G13">
        <v>5.7000000000000002E-2</v>
      </c>
      <c r="H13">
        <v>8.2059000000000007E-2</v>
      </c>
      <c r="I13" s="4">
        <f t="shared" si="0"/>
        <v>1.4396315789473686</v>
      </c>
      <c r="R13" s="1"/>
      <c r="U13">
        <v>7.1791999999999995E-2</v>
      </c>
      <c r="V13">
        <v>7.1791999999999995E-2</v>
      </c>
    </row>
    <row r="14" spans="3:22" x14ac:dyDescent="0.25">
      <c r="D14">
        <v>8</v>
      </c>
      <c r="E14">
        <v>16</v>
      </c>
      <c r="F14">
        <v>1</v>
      </c>
      <c r="G14">
        <v>5.7000000000000002E-2</v>
      </c>
      <c r="H14">
        <v>0.128111</v>
      </c>
      <c r="I14" s="4">
        <f t="shared" si="0"/>
        <v>2.2475614035087719</v>
      </c>
      <c r="R14" s="1"/>
      <c r="U14">
        <v>7.8088000000000005E-2</v>
      </c>
      <c r="V14">
        <v>7.8088000000000005E-2</v>
      </c>
    </row>
    <row r="15" spans="3:22" x14ac:dyDescent="0.25">
      <c r="D15">
        <v>16</v>
      </c>
      <c r="E15">
        <v>8</v>
      </c>
      <c r="F15">
        <v>1</v>
      </c>
      <c r="G15">
        <v>6.4000000000000001E-2</v>
      </c>
      <c r="H15">
        <v>8.9982000000000006E-2</v>
      </c>
      <c r="I15" s="4">
        <f t="shared" si="0"/>
        <v>1.40596875</v>
      </c>
      <c r="R15" s="1"/>
      <c r="U15">
        <v>9.2662999999999995E-2</v>
      </c>
      <c r="V15">
        <v>9.2662999999999995E-2</v>
      </c>
    </row>
    <row r="16" spans="3:22" x14ac:dyDescent="0.25">
      <c r="D16">
        <v>16</v>
      </c>
      <c r="E16">
        <v>16</v>
      </c>
      <c r="F16">
        <v>1</v>
      </c>
      <c r="G16">
        <v>6.2E-2</v>
      </c>
      <c r="H16">
        <v>6.3282000000000005E-2</v>
      </c>
      <c r="I16" s="4">
        <f t="shared" si="0"/>
        <v>1.0206774193548387</v>
      </c>
      <c r="R16" s="1"/>
      <c r="U16">
        <v>0.10231899999999999</v>
      </c>
      <c r="V16">
        <v>0.10231899999999999</v>
      </c>
    </row>
    <row r="17" spans="3:22" x14ac:dyDescent="0.25">
      <c r="D17">
        <v>32</v>
      </c>
      <c r="E17">
        <v>8</v>
      </c>
      <c r="F17">
        <v>1</v>
      </c>
      <c r="G17">
        <v>0.06</v>
      </c>
      <c r="H17">
        <v>7.2786000000000003E-2</v>
      </c>
      <c r="I17" s="4">
        <f t="shared" si="0"/>
        <v>1.2131000000000001</v>
      </c>
      <c r="R17" s="1"/>
      <c r="U17">
        <v>0.134489</v>
      </c>
      <c r="V17">
        <v>0.134489</v>
      </c>
    </row>
    <row r="18" spans="3:22" x14ac:dyDescent="0.25">
      <c r="D18">
        <v>32</v>
      </c>
      <c r="E18">
        <v>16</v>
      </c>
      <c r="F18">
        <v>1</v>
      </c>
      <c r="G18">
        <v>6.0999999999999999E-2</v>
      </c>
      <c r="H18">
        <v>6.1845999999999998E-2</v>
      </c>
      <c r="I18" s="4">
        <f t="shared" si="0"/>
        <v>1.0138688524590165</v>
      </c>
      <c r="R18" s="1"/>
      <c r="U18">
        <v>0.15645100000000001</v>
      </c>
      <c r="V18">
        <v>0.15645100000000001</v>
      </c>
    </row>
    <row r="19" spans="3:22" x14ac:dyDescent="0.25">
      <c r="D19">
        <v>64</v>
      </c>
      <c r="E19">
        <v>8</v>
      </c>
      <c r="F19">
        <v>1</v>
      </c>
      <c r="G19">
        <v>6.5000000000000002E-2</v>
      </c>
      <c r="H19">
        <v>9.7002000000000005E-2</v>
      </c>
      <c r="I19" s="4">
        <f t="shared" si="0"/>
        <v>1.4923384615384616</v>
      </c>
      <c r="R19" s="1"/>
      <c r="U19">
        <v>0.22971900000000001</v>
      </c>
      <c r="V19">
        <v>0.22971900000000001</v>
      </c>
    </row>
    <row r="20" spans="3:22" x14ac:dyDescent="0.25">
      <c r="D20">
        <v>64</v>
      </c>
      <c r="E20">
        <v>16</v>
      </c>
      <c r="F20">
        <v>1</v>
      </c>
      <c r="G20">
        <v>6.5000000000000002E-2</v>
      </c>
      <c r="H20">
        <v>8.6098999999999995E-2</v>
      </c>
      <c r="I20" s="4">
        <f t="shared" si="0"/>
        <v>1.3245999999999998</v>
      </c>
      <c r="R20" s="1"/>
      <c r="U20">
        <v>0.27191599999999999</v>
      </c>
      <c r="V20">
        <v>0.27191599999999999</v>
      </c>
    </row>
    <row r="21" spans="3:22" x14ac:dyDescent="0.25">
      <c r="D21">
        <v>128</v>
      </c>
      <c r="E21">
        <v>8</v>
      </c>
      <c r="F21">
        <v>1</v>
      </c>
      <c r="G21">
        <v>7.4999999999999997E-2</v>
      </c>
      <c r="H21">
        <v>8.5969000000000004E-2</v>
      </c>
      <c r="I21" s="4">
        <f t="shared" si="0"/>
        <v>1.1462533333333333</v>
      </c>
      <c r="R21" s="1"/>
      <c r="U21">
        <v>0.40230500000000002</v>
      </c>
      <c r="V21">
        <v>0.40230500000000002</v>
      </c>
    </row>
    <row r="22" spans="3:22" x14ac:dyDescent="0.25">
      <c r="D22">
        <v>128</v>
      </c>
      <c r="E22">
        <v>16</v>
      </c>
      <c r="F22">
        <v>1</v>
      </c>
      <c r="G22">
        <v>8.3000000000000004E-2</v>
      </c>
      <c r="H22">
        <v>6.9716E-2</v>
      </c>
      <c r="I22" s="4">
        <f t="shared" si="0"/>
        <v>0.8399518072289156</v>
      </c>
      <c r="R22" s="1"/>
      <c r="U22">
        <v>0.48702499999999999</v>
      </c>
      <c r="V22">
        <v>0.48702499999999999</v>
      </c>
    </row>
    <row r="23" spans="3:22" x14ac:dyDescent="0.25">
      <c r="D23">
        <v>256</v>
      </c>
      <c r="E23">
        <v>8</v>
      </c>
      <c r="F23">
        <v>1</v>
      </c>
      <c r="G23">
        <v>0.107</v>
      </c>
      <c r="H23">
        <v>6.4827999999999997E-2</v>
      </c>
      <c r="I23" s="4">
        <f t="shared" si="0"/>
        <v>0.60586915887850468</v>
      </c>
      <c r="R23" s="1"/>
      <c r="U23">
        <v>1.650935</v>
      </c>
      <c r="V23">
        <v>1.650935</v>
      </c>
    </row>
    <row r="24" spans="3:22" x14ac:dyDescent="0.25">
      <c r="D24">
        <v>256</v>
      </c>
      <c r="E24">
        <v>16</v>
      </c>
      <c r="F24">
        <v>1</v>
      </c>
      <c r="G24">
        <v>0.125</v>
      </c>
      <c r="H24">
        <v>6.4890000000000003E-2</v>
      </c>
      <c r="I24" s="4">
        <f t="shared" si="0"/>
        <v>0.51912000000000003</v>
      </c>
      <c r="R24" s="1"/>
      <c r="U24">
        <v>1.1686540000000001</v>
      </c>
      <c r="V24">
        <v>1.1686540000000001</v>
      </c>
    </row>
    <row r="25" spans="3:22" x14ac:dyDescent="0.25">
      <c r="D25">
        <v>512</v>
      </c>
      <c r="E25">
        <v>8</v>
      </c>
      <c r="F25">
        <v>1</v>
      </c>
      <c r="G25">
        <v>0.17799999999999999</v>
      </c>
      <c r="H25">
        <v>9.5454999999999998E-2</v>
      </c>
      <c r="I25" s="4">
        <f t="shared" si="0"/>
        <v>0.53626404494382029</v>
      </c>
      <c r="R25" s="1"/>
    </row>
    <row r="26" spans="3:22" x14ac:dyDescent="0.25">
      <c r="D26">
        <v>512</v>
      </c>
      <c r="E26">
        <v>16</v>
      </c>
      <c r="F26">
        <v>1</v>
      </c>
      <c r="G26">
        <v>0.16400000000000001</v>
      </c>
      <c r="H26">
        <v>8.4869E-2</v>
      </c>
      <c r="I26" s="4">
        <f t="shared" si="0"/>
        <v>0.51749390243902438</v>
      </c>
    </row>
    <row r="27" spans="3:22" x14ac:dyDescent="0.25">
      <c r="D27" s="1"/>
      <c r="E27" s="1"/>
    </row>
    <row r="28" spans="3:22" x14ac:dyDescent="0.25">
      <c r="C28" t="s">
        <v>21</v>
      </c>
      <c r="D28" s="1"/>
      <c r="E28" s="1"/>
    </row>
    <row r="29" spans="3:22" x14ac:dyDescent="0.25">
      <c r="C29" t="s">
        <v>22</v>
      </c>
      <c r="D29" s="1"/>
      <c r="E29" s="1"/>
    </row>
    <row r="30" spans="3:22" x14ac:dyDescent="0.25">
      <c r="C30" t="s">
        <v>23</v>
      </c>
      <c r="D30" s="1"/>
      <c r="E30" s="1"/>
    </row>
    <row r="31" spans="3:22" x14ac:dyDescent="0.25">
      <c r="D31" s="1"/>
      <c r="E31" s="1"/>
    </row>
    <row r="32" spans="3:22" x14ac:dyDescent="0.25">
      <c r="C32" s="7" t="s">
        <v>14</v>
      </c>
      <c r="D32" s="1"/>
      <c r="E32" s="1"/>
    </row>
    <row r="33" spans="4:12" x14ac:dyDescent="0.25">
      <c r="D33" t="s">
        <v>9</v>
      </c>
      <c r="E33" t="s">
        <v>7</v>
      </c>
      <c r="F33" t="s">
        <v>8</v>
      </c>
      <c r="G33" t="s">
        <v>10</v>
      </c>
      <c r="H33" t="s">
        <v>24</v>
      </c>
      <c r="I33" t="s">
        <v>12</v>
      </c>
    </row>
    <row r="34" spans="4:12" x14ac:dyDescent="0.25">
      <c r="D34">
        <v>1</v>
      </c>
      <c r="E34">
        <v>8</v>
      </c>
      <c r="F34">
        <v>1</v>
      </c>
      <c r="G34">
        <v>5.2999999999999999E-2</v>
      </c>
      <c r="H34">
        <v>6.1920999999999997E-2</v>
      </c>
      <c r="I34" s="4">
        <f>H34/G34</f>
        <v>1.1683207547169812</v>
      </c>
      <c r="L34" s="4"/>
    </row>
    <row r="35" spans="4:12" x14ac:dyDescent="0.25">
      <c r="D35">
        <v>1</v>
      </c>
      <c r="E35">
        <v>16</v>
      </c>
      <c r="F35">
        <v>1</v>
      </c>
      <c r="G35">
        <v>5.6000000000000001E-2</v>
      </c>
      <c r="H35">
        <v>6.2198000000000003E-2</v>
      </c>
      <c r="I35" s="4">
        <f t="shared" ref="I35:I53" si="1">H35/G35</f>
        <v>1.1106785714285714</v>
      </c>
      <c r="L35" s="4"/>
    </row>
    <row r="36" spans="4:12" x14ac:dyDescent="0.25">
      <c r="D36">
        <v>2</v>
      </c>
      <c r="E36">
        <v>8</v>
      </c>
      <c r="F36">
        <v>1</v>
      </c>
      <c r="G36">
        <v>5.2999999999999999E-2</v>
      </c>
      <c r="H36">
        <v>6.1718000000000002E-2</v>
      </c>
      <c r="I36" s="4">
        <f t="shared" si="1"/>
        <v>1.1644905660377358</v>
      </c>
      <c r="L36" s="4"/>
    </row>
    <row r="37" spans="4:12" x14ac:dyDescent="0.25">
      <c r="D37">
        <v>2</v>
      </c>
      <c r="E37">
        <v>16</v>
      </c>
      <c r="F37">
        <v>1</v>
      </c>
      <c r="G37">
        <v>5.6000000000000001E-2</v>
      </c>
      <c r="H37">
        <v>6.1726000000000003E-2</v>
      </c>
      <c r="I37" s="4">
        <f t="shared" si="1"/>
        <v>1.10225</v>
      </c>
      <c r="L37" s="4"/>
    </row>
    <row r="38" spans="4:12" x14ac:dyDescent="0.25">
      <c r="D38">
        <v>4</v>
      </c>
      <c r="E38">
        <v>8</v>
      </c>
      <c r="F38">
        <v>1</v>
      </c>
      <c r="G38">
        <v>5.6000000000000001E-2</v>
      </c>
      <c r="H38">
        <v>6.2037000000000002E-2</v>
      </c>
      <c r="I38" s="4">
        <f t="shared" si="1"/>
        <v>1.1078035714285714</v>
      </c>
      <c r="L38" s="4"/>
    </row>
    <row r="39" spans="4:12" x14ac:dyDescent="0.25">
      <c r="D39">
        <v>4</v>
      </c>
      <c r="E39">
        <v>16</v>
      </c>
      <c r="F39">
        <v>1</v>
      </c>
      <c r="G39">
        <v>5.1999999999999998E-2</v>
      </c>
      <c r="H39">
        <v>6.2226999999999998E-2</v>
      </c>
      <c r="I39" s="4">
        <f t="shared" si="1"/>
        <v>1.1966730769230769</v>
      </c>
      <c r="L39" s="4"/>
    </row>
    <row r="40" spans="4:12" x14ac:dyDescent="0.25">
      <c r="D40">
        <v>8</v>
      </c>
      <c r="E40">
        <v>8</v>
      </c>
      <c r="F40">
        <v>1</v>
      </c>
      <c r="G40">
        <v>5.3999999999999999E-2</v>
      </c>
      <c r="H40">
        <v>6.2497999999999998E-2</v>
      </c>
      <c r="I40" s="4">
        <f t="shared" si="1"/>
        <v>1.1573703703703704</v>
      </c>
      <c r="L40" s="4"/>
    </row>
    <row r="41" spans="4:12" x14ac:dyDescent="0.25">
      <c r="D41">
        <v>8</v>
      </c>
      <c r="E41">
        <v>16</v>
      </c>
      <c r="F41">
        <v>1</v>
      </c>
      <c r="G41">
        <v>5.5E-2</v>
      </c>
      <c r="H41">
        <v>6.2614000000000003E-2</v>
      </c>
      <c r="I41" s="4">
        <f t="shared" si="1"/>
        <v>1.1384363636363637</v>
      </c>
      <c r="L41" s="4"/>
    </row>
    <row r="42" spans="4:12" x14ac:dyDescent="0.25">
      <c r="D42">
        <v>16</v>
      </c>
      <c r="E42">
        <v>8</v>
      </c>
      <c r="F42">
        <v>1</v>
      </c>
      <c r="G42">
        <v>5.8000000000000003E-2</v>
      </c>
      <c r="H42">
        <v>6.4667000000000002E-2</v>
      </c>
      <c r="I42" s="4">
        <f t="shared" si="1"/>
        <v>1.114948275862069</v>
      </c>
      <c r="L42" s="4"/>
    </row>
    <row r="43" spans="4:12" x14ac:dyDescent="0.25">
      <c r="D43">
        <v>16</v>
      </c>
      <c r="E43">
        <v>16</v>
      </c>
      <c r="F43">
        <v>1</v>
      </c>
      <c r="G43">
        <v>7.0000000000000007E-2</v>
      </c>
      <c r="H43">
        <v>6.5044000000000005E-2</v>
      </c>
      <c r="I43" s="4">
        <f t="shared" si="1"/>
        <v>0.92920000000000003</v>
      </c>
      <c r="L43" s="4"/>
    </row>
    <row r="44" spans="4:12" x14ac:dyDescent="0.25">
      <c r="D44">
        <v>32</v>
      </c>
      <c r="E44">
        <v>8</v>
      </c>
      <c r="F44">
        <v>1</v>
      </c>
      <c r="G44">
        <v>7.9000000000000001E-2</v>
      </c>
      <c r="H44">
        <v>8.2454E-2</v>
      </c>
      <c r="I44" s="4">
        <f t="shared" si="1"/>
        <v>1.0437215189873417</v>
      </c>
      <c r="L44" s="4"/>
    </row>
    <row r="45" spans="4:12" x14ac:dyDescent="0.25">
      <c r="D45">
        <v>32</v>
      </c>
      <c r="E45">
        <v>16</v>
      </c>
      <c r="F45">
        <v>1</v>
      </c>
      <c r="G45">
        <v>0.111</v>
      </c>
      <c r="H45">
        <v>8.3215999999999998E-2</v>
      </c>
      <c r="I45" s="4">
        <f t="shared" si="1"/>
        <v>0.74969369369369365</v>
      </c>
      <c r="L45" s="4"/>
    </row>
    <row r="46" spans="4:12" x14ac:dyDescent="0.25">
      <c r="D46">
        <v>64</v>
      </c>
      <c r="E46">
        <v>8</v>
      </c>
      <c r="F46">
        <v>1</v>
      </c>
      <c r="G46">
        <v>0.11</v>
      </c>
      <c r="H46">
        <v>0.10487299999999999</v>
      </c>
      <c r="I46" s="4">
        <f t="shared" si="1"/>
        <v>0.95339090909090907</v>
      </c>
      <c r="L46" s="4"/>
    </row>
    <row r="47" spans="4:12" x14ac:dyDescent="0.25">
      <c r="D47">
        <v>64</v>
      </c>
      <c r="E47">
        <v>16</v>
      </c>
      <c r="F47">
        <v>1</v>
      </c>
      <c r="G47">
        <v>0.184</v>
      </c>
      <c r="H47">
        <v>0.16100700000000001</v>
      </c>
      <c r="I47" s="4">
        <f t="shared" si="1"/>
        <v>0.87503804347826097</v>
      </c>
      <c r="L47" s="4"/>
    </row>
    <row r="48" spans="4:12" x14ac:dyDescent="0.25">
      <c r="D48">
        <v>128</v>
      </c>
      <c r="E48">
        <v>8</v>
      </c>
      <c r="F48">
        <v>1</v>
      </c>
      <c r="G48">
        <v>0.186</v>
      </c>
      <c r="H48">
        <v>0.107044</v>
      </c>
      <c r="I48" s="4">
        <f t="shared" si="1"/>
        <v>0.57550537634408605</v>
      </c>
      <c r="L48" s="4"/>
    </row>
    <row r="49" spans="4:12" x14ac:dyDescent="0.25">
      <c r="D49">
        <v>128</v>
      </c>
      <c r="E49">
        <v>16</v>
      </c>
      <c r="F49">
        <v>1</v>
      </c>
      <c r="G49">
        <v>0.187</v>
      </c>
      <c r="H49">
        <v>0.16312699999999999</v>
      </c>
      <c r="I49" s="4">
        <f t="shared" si="1"/>
        <v>0.87233689839572193</v>
      </c>
      <c r="L49" s="4"/>
    </row>
    <row r="50" spans="4:12" x14ac:dyDescent="0.25">
      <c r="D50">
        <v>256</v>
      </c>
      <c r="E50">
        <v>8</v>
      </c>
      <c r="F50">
        <v>1</v>
      </c>
      <c r="G50">
        <v>0.19500000000000001</v>
      </c>
      <c r="H50">
        <v>0.10950799999999999</v>
      </c>
      <c r="I50" s="4">
        <f t="shared" si="1"/>
        <v>0.56157948717948714</v>
      </c>
      <c r="L50" s="4"/>
    </row>
    <row r="51" spans="4:12" x14ac:dyDescent="0.25">
      <c r="D51">
        <v>256</v>
      </c>
      <c r="E51">
        <v>16</v>
      </c>
      <c r="F51">
        <v>1</v>
      </c>
      <c r="G51">
        <v>0.27700000000000002</v>
      </c>
      <c r="H51">
        <v>0.16714999999999999</v>
      </c>
      <c r="I51" s="4">
        <f t="shared" si="1"/>
        <v>0.60342960288808656</v>
      </c>
      <c r="L51" s="4"/>
    </row>
    <row r="52" spans="4:12" x14ac:dyDescent="0.25">
      <c r="D52">
        <v>512</v>
      </c>
      <c r="E52">
        <v>8</v>
      </c>
      <c r="F52">
        <v>1</v>
      </c>
      <c r="G52">
        <v>0.27800000000000002</v>
      </c>
      <c r="H52">
        <v>0.173767</v>
      </c>
      <c r="I52" s="4">
        <f t="shared" si="1"/>
        <v>0.62506115107913662</v>
      </c>
      <c r="L52" s="4"/>
    </row>
    <row r="53" spans="4:12" x14ac:dyDescent="0.25">
      <c r="D53">
        <v>512</v>
      </c>
      <c r="E53">
        <v>16</v>
      </c>
      <c r="F53">
        <v>1</v>
      </c>
      <c r="G53">
        <v>0.45800000000000002</v>
      </c>
      <c r="H53">
        <v>0.29346899999999998</v>
      </c>
      <c r="I53" s="4">
        <f t="shared" si="1"/>
        <v>0.64076200873362443</v>
      </c>
      <c r="L53" s="4"/>
    </row>
    <row r="54" spans="4:12" x14ac:dyDescent="0.25">
      <c r="D54" s="1"/>
      <c r="E54" s="1"/>
      <c r="I54" s="4"/>
    </row>
    <row r="55" spans="4:12" x14ac:dyDescent="0.25">
      <c r="D55" s="1"/>
      <c r="E55" s="1"/>
      <c r="I55" s="4"/>
    </row>
    <row r="56" spans="4:12" x14ac:dyDescent="0.25">
      <c r="D56" s="1"/>
      <c r="E56" s="1"/>
      <c r="I56" s="4"/>
    </row>
    <row r="57" spans="4:12" x14ac:dyDescent="0.25">
      <c r="D57" s="1"/>
      <c r="E57" s="1"/>
      <c r="I57" s="4"/>
    </row>
    <row r="58" spans="4:12" x14ac:dyDescent="0.25">
      <c r="D58" s="1"/>
      <c r="E58" s="1"/>
      <c r="I58" s="4"/>
    </row>
    <row r="59" spans="4:12" x14ac:dyDescent="0.25">
      <c r="D59" s="1"/>
      <c r="E59" s="1"/>
      <c r="I59" s="4"/>
    </row>
    <row r="60" spans="4:12" x14ac:dyDescent="0.25">
      <c r="D60" s="1"/>
      <c r="E60" s="1"/>
      <c r="I60" s="4"/>
    </row>
    <row r="61" spans="4:12" x14ac:dyDescent="0.25">
      <c r="D61" s="1"/>
      <c r="E61" s="1"/>
      <c r="I61" s="4"/>
    </row>
    <row r="62" spans="4:12" x14ac:dyDescent="0.25">
      <c r="D62" s="1"/>
      <c r="E62" s="1"/>
      <c r="I62" s="4"/>
    </row>
    <row r="63" spans="4:12" x14ac:dyDescent="0.25">
      <c r="D63" s="1"/>
      <c r="E63" s="1"/>
      <c r="I63" s="4"/>
    </row>
    <row r="64" spans="4:12" x14ac:dyDescent="0.25">
      <c r="D64" s="1"/>
      <c r="E64" s="1"/>
      <c r="I64" s="4"/>
    </row>
    <row r="65" spans="4:24" x14ac:dyDescent="0.25">
      <c r="D65" s="1"/>
      <c r="E65" s="1"/>
      <c r="I65" s="4"/>
    </row>
    <row r="66" spans="4:24" x14ac:dyDescent="0.25">
      <c r="D66" s="1"/>
      <c r="E66" s="1"/>
      <c r="I66" s="4"/>
    </row>
    <row r="67" spans="4:24" x14ac:dyDescent="0.25">
      <c r="D67" s="1"/>
      <c r="E67" s="1"/>
      <c r="I67" s="4"/>
    </row>
    <row r="68" spans="4:24" x14ac:dyDescent="0.25">
      <c r="D68" s="1"/>
      <c r="E68" s="1"/>
      <c r="I68" s="4"/>
      <c r="X68">
        <v>5.4592000000000002E-2</v>
      </c>
    </row>
    <row r="69" spans="4:24" x14ac:dyDescent="0.25">
      <c r="D69" s="1"/>
      <c r="E69" s="1"/>
      <c r="I69" s="4"/>
      <c r="X69">
        <v>5.4783999999999999E-2</v>
      </c>
    </row>
    <row r="70" spans="4:24" x14ac:dyDescent="0.25">
      <c r="D70" s="1"/>
      <c r="E70" s="1"/>
      <c r="I70" s="4"/>
      <c r="X70">
        <v>5.6703999999999997E-2</v>
      </c>
    </row>
    <row r="71" spans="4:24" x14ac:dyDescent="0.25">
      <c r="D71" s="1"/>
      <c r="E71" s="1"/>
      <c r="I71" s="4"/>
      <c r="X71">
        <v>5.6703999999999997E-2</v>
      </c>
    </row>
    <row r="72" spans="4:24" x14ac:dyDescent="0.25">
      <c r="D72" s="1"/>
      <c r="E72" s="1"/>
      <c r="I72" s="4"/>
      <c r="X72">
        <v>5.6447999999999998E-2</v>
      </c>
    </row>
    <row r="73" spans="4:24" x14ac:dyDescent="0.25">
      <c r="D73" s="1"/>
      <c r="E73" s="1"/>
      <c r="I73" s="4"/>
      <c r="X73">
        <v>5.6703999999999997E-2</v>
      </c>
    </row>
    <row r="74" spans="4:24" x14ac:dyDescent="0.25">
      <c r="D74" s="1"/>
      <c r="E74" s="1"/>
      <c r="I74" s="4"/>
      <c r="X74">
        <v>5.5936E-2</v>
      </c>
    </row>
    <row r="75" spans="4:24" x14ac:dyDescent="0.25">
      <c r="D75" s="1"/>
      <c r="E75" s="1"/>
      <c r="I75" s="4"/>
      <c r="X75">
        <v>5.5488000000000003E-2</v>
      </c>
    </row>
    <row r="76" spans="4:24" x14ac:dyDescent="0.25">
      <c r="D76" s="1"/>
      <c r="E76" s="1"/>
      <c r="I76" s="4"/>
      <c r="X76">
        <v>5.6832000000000001E-2</v>
      </c>
    </row>
    <row r="77" spans="4:24" x14ac:dyDescent="0.25">
      <c r="D77" s="1"/>
      <c r="E77" s="1"/>
      <c r="I77" s="4"/>
      <c r="X77">
        <v>5.7088E-2</v>
      </c>
    </row>
    <row r="78" spans="4:24" x14ac:dyDescent="0.25">
      <c r="D78" s="1"/>
      <c r="E78" s="1"/>
      <c r="I78" s="4"/>
      <c r="X78">
        <v>5.6640000000000003E-2</v>
      </c>
    </row>
    <row r="79" spans="4:24" x14ac:dyDescent="0.25">
      <c r="D79" s="1"/>
      <c r="E79" s="1"/>
      <c r="I79" s="4"/>
      <c r="X79">
        <v>5.6576000000000001E-2</v>
      </c>
    </row>
    <row r="80" spans="4:24" x14ac:dyDescent="0.25">
      <c r="D80" s="1"/>
      <c r="E80" s="1"/>
      <c r="I80" s="4"/>
      <c r="X80">
        <v>5.8048000000000002E-2</v>
      </c>
    </row>
    <row r="81" spans="4:24" x14ac:dyDescent="0.25">
      <c r="D81" s="1"/>
      <c r="E81" s="1"/>
      <c r="X81">
        <v>5.7855999999999998E-2</v>
      </c>
    </row>
    <row r="82" spans="4:24" x14ac:dyDescent="0.25">
      <c r="D82" s="1"/>
      <c r="E82" s="1"/>
      <c r="X82">
        <v>5.8944000000000003E-2</v>
      </c>
    </row>
    <row r="83" spans="4:24" x14ac:dyDescent="0.25">
      <c r="D83" s="1"/>
      <c r="E83" s="1"/>
      <c r="X83">
        <v>5.8624000000000002E-2</v>
      </c>
    </row>
    <row r="84" spans="4:24" x14ac:dyDescent="0.25">
      <c r="D84" s="1"/>
      <c r="E84" s="1"/>
      <c r="X84">
        <v>6.2272000000000001E-2</v>
      </c>
    </row>
    <row r="85" spans="4:24" x14ac:dyDescent="0.25">
      <c r="D85" s="1"/>
      <c r="E85" s="1"/>
      <c r="X85">
        <v>6.2143999999999998E-2</v>
      </c>
    </row>
    <row r="86" spans="4:24" x14ac:dyDescent="0.25">
      <c r="D86" s="1"/>
      <c r="E86" s="1"/>
      <c r="X86">
        <v>7.8144000000000005E-2</v>
      </c>
    </row>
    <row r="87" spans="4:24" x14ac:dyDescent="0.25">
      <c r="D87" s="1"/>
      <c r="E87" s="1"/>
      <c r="X87">
        <v>7.7632000000000007E-2</v>
      </c>
    </row>
    <row r="88" spans="4:24" x14ac:dyDescent="0.25">
      <c r="D88" s="1"/>
      <c r="E88" s="1"/>
    </row>
    <row r="89" spans="4:24" x14ac:dyDescent="0.25">
      <c r="D89" s="1"/>
      <c r="E89" s="1"/>
    </row>
    <row r="90" spans="4:24" x14ac:dyDescent="0.25">
      <c r="D90" s="1"/>
      <c r="E90" s="1"/>
    </row>
    <row r="91" spans="4:24" x14ac:dyDescent="0.25">
      <c r="D91" s="1"/>
      <c r="E91" s="1"/>
    </row>
    <row r="92" spans="4:24" x14ac:dyDescent="0.25">
      <c r="D92" s="1"/>
      <c r="E92" s="1"/>
    </row>
    <row r="93" spans="4:24" x14ac:dyDescent="0.25">
      <c r="D93" s="1"/>
      <c r="E93" s="1"/>
    </row>
    <row r="94" spans="4:24" x14ac:dyDescent="0.25">
      <c r="D94" s="1"/>
      <c r="E94" s="1"/>
    </row>
    <row r="95" spans="4:24" x14ac:dyDescent="0.25">
      <c r="D95" s="1"/>
      <c r="E95" s="1"/>
    </row>
    <row r="96" spans="4:24" x14ac:dyDescent="0.25">
      <c r="D96" s="1"/>
      <c r="E96" s="1"/>
    </row>
    <row r="97" spans="4:5" x14ac:dyDescent="0.25">
      <c r="D97" s="1"/>
      <c r="E97" s="1"/>
    </row>
    <row r="98" spans="4:5" x14ac:dyDescent="0.25">
      <c r="D98" s="1"/>
      <c r="E98" s="1"/>
    </row>
    <row r="99" spans="4:5" x14ac:dyDescent="0.25">
      <c r="D99" s="1"/>
      <c r="E99" s="1"/>
    </row>
    <row r="100" spans="4:5" x14ac:dyDescent="0.25">
      <c r="D100" s="1"/>
      <c r="E100" s="1"/>
    </row>
    <row r="101" spans="4:5" x14ac:dyDescent="0.25">
      <c r="D101" s="1"/>
      <c r="E101" s="1"/>
    </row>
    <row r="102" spans="4:5" x14ac:dyDescent="0.25">
      <c r="D102" s="1"/>
      <c r="E102" s="1"/>
    </row>
    <row r="103" spans="4:5" x14ac:dyDescent="0.25">
      <c r="D103" s="1"/>
      <c r="E103" s="1"/>
    </row>
    <row r="104" spans="4:5" x14ac:dyDescent="0.25">
      <c r="D104" s="1"/>
      <c r="E104" s="1"/>
    </row>
    <row r="105" spans="4:5" x14ac:dyDescent="0.25">
      <c r="D105" s="1"/>
      <c r="E105" s="1"/>
    </row>
    <row r="106" spans="4:5" x14ac:dyDescent="0.25">
      <c r="D106" s="1"/>
      <c r="E106" s="1"/>
    </row>
    <row r="107" spans="4:5" x14ac:dyDescent="0.25">
      <c r="D107" s="1"/>
      <c r="E107" s="1"/>
    </row>
    <row r="108" spans="4:5" x14ac:dyDescent="0.25">
      <c r="D108" s="1"/>
      <c r="E108" s="1"/>
    </row>
    <row r="109" spans="4:5" x14ac:dyDescent="0.25">
      <c r="D109" s="1"/>
      <c r="E109" s="1"/>
    </row>
    <row r="110" spans="4:5" x14ac:dyDescent="0.25">
      <c r="D110" s="1"/>
      <c r="E110" s="1"/>
    </row>
    <row r="111" spans="4:5" x14ac:dyDescent="0.25">
      <c r="D111" s="1"/>
      <c r="E111" s="1"/>
    </row>
    <row r="112" spans="4:5" x14ac:dyDescent="0.25">
      <c r="D112" s="1"/>
      <c r="E112" s="1"/>
    </row>
    <row r="113" spans="4:5" x14ac:dyDescent="0.25">
      <c r="D113" s="1"/>
      <c r="E113" s="1"/>
    </row>
    <row r="114" spans="4:5" x14ac:dyDescent="0.25">
      <c r="D114" s="1"/>
      <c r="E114" s="1"/>
    </row>
    <row r="115" spans="4:5" x14ac:dyDescent="0.25">
      <c r="D115" s="1"/>
      <c r="E115" s="1"/>
    </row>
    <row r="116" spans="4:5" x14ac:dyDescent="0.25">
      <c r="D116" s="1"/>
      <c r="E116" s="1"/>
    </row>
    <row r="117" spans="4:5" x14ac:dyDescent="0.25">
      <c r="D117" s="1"/>
      <c r="E117" s="1"/>
    </row>
    <row r="118" spans="4:5" x14ac:dyDescent="0.25">
      <c r="D118" s="1"/>
      <c r="E118" s="1"/>
    </row>
    <row r="119" spans="4:5" x14ac:dyDescent="0.25">
      <c r="D119" s="1"/>
      <c r="E119" s="1"/>
    </row>
    <row r="120" spans="4:5" x14ac:dyDescent="0.25">
      <c r="D120" s="1"/>
      <c r="E120" s="1"/>
    </row>
    <row r="121" spans="4:5" x14ac:dyDescent="0.25">
      <c r="D121" s="1"/>
      <c r="E121" s="1"/>
    </row>
    <row r="122" spans="4:5" x14ac:dyDescent="0.25">
      <c r="D122" s="1"/>
      <c r="E122" s="1"/>
    </row>
    <row r="123" spans="4:5" x14ac:dyDescent="0.25">
      <c r="D123" s="1"/>
      <c r="E123" s="1"/>
    </row>
    <row r="124" spans="4:5" x14ac:dyDescent="0.25">
      <c r="D124" s="1"/>
      <c r="E124" s="1"/>
    </row>
    <row r="125" spans="4:5" x14ac:dyDescent="0.25">
      <c r="D125" s="1"/>
      <c r="E125" s="1"/>
    </row>
    <row r="126" spans="4:5" x14ac:dyDescent="0.25">
      <c r="D126" s="1"/>
      <c r="E126" s="1"/>
    </row>
    <row r="127" spans="4:5" x14ac:dyDescent="0.25">
      <c r="D127" s="1"/>
      <c r="E127" s="1"/>
    </row>
    <row r="128" spans="4:5" x14ac:dyDescent="0.25">
      <c r="D128" s="1"/>
      <c r="E128" s="1"/>
    </row>
    <row r="129" spans="4:5" x14ac:dyDescent="0.25">
      <c r="D129" s="1"/>
      <c r="E129" s="1"/>
    </row>
    <row r="130" spans="4:5" x14ac:dyDescent="0.25">
      <c r="D130" s="1"/>
      <c r="E130" s="1"/>
    </row>
    <row r="131" spans="4:5" x14ac:dyDescent="0.25">
      <c r="D131" s="1"/>
      <c r="E131" s="1"/>
    </row>
    <row r="132" spans="4:5" x14ac:dyDescent="0.25">
      <c r="D132" s="1"/>
      <c r="E132" s="1"/>
    </row>
    <row r="133" spans="4:5" x14ac:dyDescent="0.25">
      <c r="D133" s="1"/>
      <c r="E133" s="1"/>
    </row>
    <row r="134" spans="4:5" x14ac:dyDescent="0.25">
      <c r="D134" s="1"/>
      <c r="E134" s="1"/>
    </row>
    <row r="135" spans="4:5" x14ac:dyDescent="0.25">
      <c r="D135" s="1"/>
      <c r="E135" s="1"/>
    </row>
    <row r="136" spans="4:5" x14ac:dyDescent="0.25">
      <c r="D136" s="1"/>
      <c r="E136" s="1"/>
    </row>
    <row r="137" spans="4:5" x14ac:dyDescent="0.25">
      <c r="D137" s="1"/>
      <c r="E137" s="1"/>
    </row>
    <row r="138" spans="4:5" x14ac:dyDescent="0.25">
      <c r="D138" s="1"/>
      <c r="E138" s="1"/>
    </row>
    <row r="139" spans="4:5" x14ac:dyDescent="0.25">
      <c r="D139" s="1"/>
      <c r="E139" s="1"/>
    </row>
    <row r="140" spans="4:5" x14ac:dyDescent="0.25">
      <c r="D140" s="1"/>
      <c r="E140" s="1"/>
    </row>
    <row r="141" spans="4:5" x14ac:dyDescent="0.25">
      <c r="D141" s="1"/>
      <c r="E141" s="1"/>
    </row>
    <row r="142" spans="4:5" x14ac:dyDescent="0.25">
      <c r="D142" s="1"/>
      <c r="E142" s="1"/>
    </row>
    <row r="143" spans="4:5" x14ac:dyDescent="0.25">
      <c r="D143" s="1"/>
      <c r="E143" s="1"/>
    </row>
    <row r="144" spans="4:5" x14ac:dyDescent="0.25">
      <c r="D144" s="1"/>
      <c r="E144" s="1"/>
    </row>
    <row r="145" spans="4:5" x14ac:dyDescent="0.25">
      <c r="D145" s="1"/>
      <c r="E145" s="1"/>
    </row>
    <row r="146" spans="4:5" x14ac:dyDescent="0.25">
      <c r="D146" s="1"/>
      <c r="E146" s="1"/>
    </row>
    <row r="147" spans="4:5" x14ac:dyDescent="0.25">
      <c r="D147" s="1"/>
      <c r="E147" s="1"/>
    </row>
    <row r="148" spans="4:5" x14ac:dyDescent="0.25">
      <c r="D148" s="1"/>
      <c r="E148" s="1"/>
    </row>
    <row r="149" spans="4:5" x14ac:dyDescent="0.25">
      <c r="D149" s="1"/>
      <c r="E149" s="1"/>
    </row>
    <row r="150" spans="4:5" x14ac:dyDescent="0.25">
      <c r="D150" s="1"/>
      <c r="E150" s="1"/>
    </row>
    <row r="151" spans="4:5" x14ac:dyDescent="0.25">
      <c r="D151" s="1"/>
      <c r="E151" s="1"/>
    </row>
    <row r="152" spans="4:5" x14ac:dyDescent="0.25">
      <c r="D152" s="1"/>
      <c r="E152" s="1"/>
    </row>
    <row r="153" spans="4:5" x14ac:dyDescent="0.25">
      <c r="D153" s="1"/>
      <c r="E153" s="1"/>
    </row>
    <row r="154" spans="4:5" x14ac:dyDescent="0.25">
      <c r="D154" s="1"/>
      <c r="E154" s="1"/>
    </row>
    <row r="155" spans="4:5" x14ac:dyDescent="0.25">
      <c r="D155" s="1"/>
      <c r="E155" s="1"/>
    </row>
    <row r="156" spans="4:5" x14ac:dyDescent="0.25">
      <c r="D156" s="1"/>
      <c r="E156" s="1"/>
    </row>
    <row r="157" spans="4:5" x14ac:dyDescent="0.25">
      <c r="D157" s="1"/>
      <c r="E157" s="1"/>
    </row>
    <row r="158" spans="4:5" x14ac:dyDescent="0.25">
      <c r="D158" s="1"/>
      <c r="E158" s="1"/>
    </row>
    <row r="159" spans="4:5" x14ac:dyDescent="0.25">
      <c r="D159" s="1"/>
      <c r="E159" s="1"/>
    </row>
    <row r="160" spans="4:5" x14ac:dyDescent="0.25">
      <c r="D160" s="1"/>
      <c r="E160" s="1"/>
    </row>
    <row r="161" spans="4:5" x14ac:dyDescent="0.25">
      <c r="D161" s="1"/>
      <c r="E161" s="1"/>
    </row>
    <row r="162" spans="4:5" x14ac:dyDescent="0.25">
      <c r="D162" s="1"/>
      <c r="E162" s="1"/>
    </row>
    <row r="163" spans="4:5" x14ac:dyDescent="0.25">
      <c r="D163" s="1"/>
      <c r="E163" s="1"/>
    </row>
    <row r="164" spans="4:5" x14ac:dyDescent="0.25">
      <c r="D164" s="1"/>
      <c r="E164" s="1"/>
    </row>
    <row r="165" spans="4:5" x14ac:dyDescent="0.25">
      <c r="D165" s="1"/>
      <c r="E165" s="1"/>
    </row>
    <row r="166" spans="4:5" x14ac:dyDescent="0.25">
      <c r="D166" s="1"/>
      <c r="E166" s="1"/>
    </row>
    <row r="167" spans="4:5" x14ac:dyDescent="0.25">
      <c r="D167" s="1"/>
      <c r="E167" s="1"/>
    </row>
    <row r="168" spans="4:5" x14ac:dyDescent="0.25">
      <c r="D168" s="1"/>
      <c r="E168" s="1"/>
    </row>
    <row r="169" spans="4:5" x14ac:dyDescent="0.25">
      <c r="D169" s="1"/>
      <c r="E169" s="1"/>
    </row>
    <row r="170" spans="4:5" x14ac:dyDescent="0.25">
      <c r="D170" s="1"/>
      <c r="E170" s="1"/>
    </row>
    <row r="171" spans="4:5" x14ac:dyDescent="0.25">
      <c r="D171" s="1"/>
      <c r="E171" s="1"/>
    </row>
    <row r="172" spans="4:5" x14ac:dyDescent="0.25">
      <c r="D172" s="1"/>
      <c r="E172" s="1"/>
    </row>
    <row r="173" spans="4:5" x14ac:dyDescent="0.25">
      <c r="E173" s="1"/>
    </row>
    <row r="174" spans="4:5" x14ac:dyDescent="0.25">
      <c r="E174" s="1"/>
    </row>
    <row r="175" spans="4:5" x14ac:dyDescent="0.25">
      <c r="E175" s="1"/>
    </row>
    <row r="176" spans="4:5" x14ac:dyDescent="0.25">
      <c r="E17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1"/>
  <sheetViews>
    <sheetView topLeftCell="B1" workbookViewId="0">
      <pane ySplit="1" topLeftCell="A50" activePane="bottomLeft" state="frozen"/>
      <selection activeCell="B1" sqref="B1"/>
      <selection pane="bottomLeft" activeCell="K14" sqref="K14"/>
    </sheetView>
  </sheetViews>
  <sheetFormatPr defaultRowHeight="13.8" x14ac:dyDescent="0.25"/>
  <cols>
    <col min="1" max="1" width="14" customWidth="1"/>
    <col min="17" max="17" width="9.109375" bestFit="1" customWidth="1"/>
    <col min="21" max="21" width="9.109375" bestFit="1" customWidth="1"/>
    <col min="23" max="23" width="9.109375" bestFit="1" customWidth="1"/>
    <col min="25" max="25" width="10.109375" bestFit="1" customWidth="1"/>
  </cols>
  <sheetData>
    <row r="1" spans="2:31" s="19" customFormat="1" x14ac:dyDescent="0.25">
      <c r="B1" s="19" t="s">
        <v>39</v>
      </c>
      <c r="C1" s="20" t="s">
        <v>40</v>
      </c>
      <c r="D1" s="20" t="s">
        <v>41</v>
      </c>
      <c r="E1" s="20" t="s">
        <v>42</v>
      </c>
      <c r="F1" s="20" t="s">
        <v>43</v>
      </c>
      <c r="G1" s="20" t="s">
        <v>44</v>
      </c>
      <c r="H1" s="20" t="s">
        <v>45</v>
      </c>
      <c r="I1" s="20" t="s">
        <v>46</v>
      </c>
      <c r="J1" s="20" t="s">
        <v>47</v>
      </c>
      <c r="K1" s="20" t="s">
        <v>48</v>
      </c>
      <c r="L1" s="20" t="s">
        <v>49</v>
      </c>
      <c r="M1" s="20" t="s">
        <v>50</v>
      </c>
      <c r="N1" s="20" t="s">
        <v>51</v>
      </c>
      <c r="O1" s="20" t="s">
        <v>52</v>
      </c>
      <c r="P1" s="20" t="s">
        <v>53</v>
      </c>
      <c r="Q1" s="21" t="s">
        <v>54</v>
      </c>
      <c r="R1" s="22" t="s">
        <v>55</v>
      </c>
      <c r="S1" s="22" t="s">
        <v>56</v>
      </c>
      <c r="T1" s="20" t="s">
        <v>53</v>
      </c>
      <c r="U1" s="21" t="s">
        <v>57</v>
      </c>
      <c r="V1" s="22" t="s">
        <v>58</v>
      </c>
      <c r="W1" s="20" t="s">
        <v>59</v>
      </c>
      <c r="X1" s="20" t="s">
        <v>60</v>
      </c>
      <c r="Y1" s="20" t="s">
        <v>61</v>
      </c>
    </row>
    <row r="2" spans="2:31" s="11" customFormat="1" x14ac:dyDescent="0.25">
      <c r="C2">
        <v>1</v>
      </c>
      <c r="D2">
        <v>8</v>
      </c>
      <c r="E2">
        <v>1</v>
      </c>
      <c r="F2" s="12">
        <v>16</v>
      </c>
      <c r="G2" s="12">
        <v>2</v>
      </c>
      <c r="H2" s="12">
        <v>2</v>
      </c>
      <c r="I2" s="12">
        <v>256</v>
      </c>
      <c r="J2" s="12">
        <v>30</v>
      </c>
      <c r="K2" s="14">
        <f>_xlfn.CEILING.MATH(C2*E2/F2)</f>
        <v>1</v>
      </c>
      <c r="L2">
        <v>64</v>
      </c>
      <c r="M2" s="12">
        <v>128</v>
      </c>
      <c r="N2" s="15">
        <f>G2*K2*64*M2/38</f>
        <v>431.15789473684208</v>
      </c>
      <c r="O2" s="15">
        <f>H2*K2*_xlfn.CEILING.MATH(L2/64)*64*M2/J2</f>
        <v>546.13333333333333</v>
      </c>
      <c r="P2" s="15">
        <f>64*M2*_xlfn.CEILING.MATH(L2/128)*128*K2/8192</f>
        <v>128</v>
      </c>
      <c r="Q2" s="15">
        <f>N2+O2</f>
        <v>977.29122807017541</v>
      </c>
      <c r="R2" s="15">
        <f>G2*K2*64*_xlfn.CEILING.MATH(L2/128)*128/I2</f>
        <v>64</v>
      </c>
      <c r="S2" s="15">
        <f t="shared" ref="S2:S5" si="0">H2*K2*_xlfn.CEILING.MATH(L2/128)*128*M2/J2</f>
        <v>1092.2666666666667</v>
      </c>
      <c r="T2" s="15">
        <f t="shared" ref="T2:T5" si="1">64*M2*_xlfn.CEILING.MATH(L2/128)*128*K2/8192</f>
        <v>128</v>
      </c>
      <c r="U2" s="15">
        <f>S2+R2</f>
        <v>1156.2666666666667</v>
      </c>
      <c r="V2" s="15">
        <f t="shared" ref="V2:V5" si="2">K2*8*128/30*10</f>
        <v>341.33333333333331</v>
      </c>
      <c r="W2" s="12">
        <f>K2*(_xlfn.CEILING.MATH(L2/32)*97+195)</f>
        <v>389</v>
      </c>
      <c r="X2" s="12">
        <v>20000</v>
      </c>
      <c r="Y2" s="16">
        <f>Q2+U2+W2+V2</f>
        <v>2863.8912280701757</v>
      </c>
      <c r="Z2" s="11">
        <f t="shared" ref="Z2:Z5" si="3">Y2/1000000</f>
        <v>2.8638912280701755E-3</v>
      </c>
      <c r="AA2" s="17"/>
      <c r="AB2">
        <v>5.8790000000000002E-2</v>
      </c>
      <c r="AC2">
        <v>6.0149000000000001E-2</v>
      </c>
      <c r="AD2" s="18">
        <f>Z2/AB2</f>
        <v>4.8713917810344877E-2</v>
      </c>
      <c r="AE2" s="18">
        <f>Z2/AC2</f>
        <v>4.7613280820465433E-2</v>
      </c>
    </row>
    <row r="3" spans="2:31" s="11" customFormat="1" x14ac:dyDescent="0.25">
      <c r="C3">
        <v>2</v>
      </c>
      <c r="D3">
        <v>8</v>
      </c>
      <c r="E3">
        <v>1</v>
      </c>
      <c r="F3" s="12">
        <v>16</v>
      </c>
      <c r="G3" s="12">
        <v>2</v>
      </c>
      <c r="H3" s="12">
        <v>2</v>
      </c>
      <c r="I3" s="12">
        <v>256</v>
      </c>
      <c r="J3" s="12">
        <v>30</v>
      </c>
      <c r="K3" s="14">
        <f>_xlfn.CEILING.MATH(C3*E3/F3)</f>
        <v>1</v>
      </c>
      <c r="L3">
        <v>64</v>
      </c>
      <c r="M3" s="12">
        <v>128</v>
      </c>
      <c r="N3" s="15">
        <f t="shared" ref="N3:N6" si="4">G3*K3*64*M3/38</f>
        <v>431.15789473684208</v>
      </c>
      <c r="O3" s="15">
        <f t="shared" ref="O3:O6" si="5">H3*K3*_xlfn.CEILING.MATH(L3/64)*64*M3/J3</f>
        <v>546.13333333333333</v>
      </c>
      <c r="P3" s="15">
        <f t="shared" ref="P3:P6" si="6">64*M3*_xlfn.CEILING.MATH(L3/128)*128*K3/8192</f>
        <v>128</v>
      </c>
      <c r="Q3" s="15">
        <f t="shared" ref="Q3:Q6" si="7">N3+O3</f>
        <v>977.29122807017541</v>
      </c>
      <c r="R3" s="15">
        <f t="shared" ref="R3:R5" si="8">G3*K3*64*_xlfn.CEILING.MATH(L3/128)*128/I3</f>
        <v>64</v>
      </c>
      <c r="S3" s="15">
        <f t="shared" si="0"/>
        <v>1092.2666666666667</v>
      </c>
      <c r="T3" s="15">
        <f t="shared" si="1"/>
        <v>128</v>
      </c>
      <c r="U3" s="15">
        <f t="shared" ref="U3:U66" si="9">S3+R3</f>
        <v>1156.2666666666667</v>
      </c>
      <c r="V3" s="15">
        <f t="shared" si="2"/>
        <v>341.33333333333331</v>
      </c>
      <c r="W3" s="12">
        <f t="shared" ref="W3:W66" si="10">K3*(_xlfn.CEILING.MATH(L3/32)*97+195)</f>
        <v>389</v>
      </c>
      <c r="X3" s="12">
        <v>20000</v>
      </c>
      <c r="Y3" s="16">
        <f t="shared" ref="Y3:Y6" si="11">Q3+U3+W3+V3</f>
        <v>2863.8912280701757</v>
      </c>
      <c r="Z3" s="11">
        <f t="shared" si="3"/>
        <v>2.8638912280701755E-3</v>
      </c>
      <c r="AA3" s="17"/>
      <c r="AB3">
        <v>5.8796000000000001E-2</v>
      </c>
      <c r="AC3">
        <v>6.0560000000000003E-2</v>
      </c>
      <c r="AD3" s="18">
        <f t="shared" ref="AD3:AD66" si="12">Z3/AB3</f>
        <v>4.8708946664231846E-2</v>
      </c>
      <c r="AE3" s="18">
        <f t="shared" ref="AE3:AE66" si="13">Z3/AC3</f>
        <v>4.7290145773946093E-2</v>
      </c>
    </row>
    <row r="4" spans="2:31" s="11" customFormat="1" x14ac:dyDescent="0.25">
      <c r="C4">
        <v>4</v>
      </c>
      <c r="D4">
        <v>8</v>
      </c>
      <c r="E4">
        <v>1</v>
      </c>
      <c r="F4" s="12">
        <v>16</v>
      </c>
      <c r="G4" s="12">
        <v>2</v>
      </c>
      <c r="H4" s="12">
        <v>2</v>
      </c>
      <c r="I4" s="12">
        <v>256</v>
      </c>
      <c r="J4" s="12">
        <v>30</v>
      </c>
      <c r="K4" s="14">
        <f>_xlfn.CEILING.MATH(C4*E4/F4)</f>
        <v>1</v>
      </c>
      <c r="L4">
        <v>64</v>
      </c>
      <c r="M4" s="12">
        <v>128</v>
      </c>
      <c r="N4" s="15">
        <f>G4*K4*64*M4/38</f>
        <v>431.15789473684208</v>
      </c>
      <c r="O4" s="15">
        <f t="shared" si="5"/>
        <v>546.13333333333333</v>
      </c>
      <c r="P4" s="15">
        <f t="shared" si="6"/>
        <v>128</v>
      </c>
      <c r="Q4" s="15">
        <f t="shared" si="7"/>
        <v>977.29122807017541</v>
      </c>
      <c r="R4" s="15">
        <f t="shared" si="8"/>
        <v>64</v>
      </c>
      <c r="S4" s="15">
        <f t="shared" si="0"/>
        <v>1092.2666666666667</v>
      </c>
      <c r="T4" s="15">
        <f t="shared" si="1"/>
        <v>128</v>
      </c>
      <c r="U4" s="15">
        <f t="shared" si="9"/>
        <v>1156.2666666666667</v>
      </c>
      <c r="V4" s="15">
        <f t="shared" si="2"/>
        <v>341.33333333333331</v>
      </c>
      <c r="W4" s="12">
        <f t="shared" si="10"/>
        <v>389</v>
      </c>
      <c r="X4" s="12">
        <v>20000</v>
      </c>
      <c r="Y4" s="16">
        <f t="shared" si="11"/>
        <v>2863.8912280701757</v>
      </c>
      <c r="Z4" s="11">
        <f t="shared" si="3"/>
        <v>2.8638912280701755E-3</v>
      </c>
      <c r="AA4" s="17"/>
      <c r="AB4">
        <v>5.8592999999999999E-2</v>
      </c>
      <c r="AC4">
        <v>6.0295000000000001E-2</v>
      </c>
      <c r="AD4" s="18">
        <f t="shared" si="12"/>
        <v>4.8877702593657528E-2</v>
      </c>
      <c r="AE4" s="18">
        <f t="shared" si="13"/>
        <v>4.7497988690109884E-2</v>
      </c>
    </row>
    <row r="5" spans="2:31" s="11" customFormat="1" x14ac:dyDescent="0.25">
      <c r="C5">
        <v>8</v>
      </c>
      <c r="D5">
        <v>8</v>
      </c>
      <c r="E5">
        <v>1</v>
      </c>
      <c r="F5" s="12">
        <v>16</v>
      </c>
      <c r="G5" s="12">
        <v>2</v>
      </c>
      <c r="H5" s="12">
        <v>2</v>
      </c>
      <c r="I5" s="12">
        <v>256</v>
      </c>
      <c r="J5" s="12">
        <v>30</v>
      </c>
      <c r="K5" s="14">
        <f>_xlfn.CEILING.MATH(C5*E5/F5)</f>
        <v>1</v>
      </c>
      <c r="L5">
        <v>64</v>
      </c>
      <c r="M5" s="12">
        <v>128</v>
      </c>
      <c r="N5" s="15">
        <f t="shared" si="4"/>
        <v>431.15789473684208</v>
      </c>
      <c r="O5" s="15">
        <f t="shared" si="5"/>
        <v>546.13333333333333</v>
      </c>
      <c r="P5" s="15">
        <f t="shared" si="6"/>
        <v>128</v>
      </c>
      <c r="Q5" s="15">
        <f t="shared" si="7"/>
        <v>977.29122807017541</v>
      </c>
      <c r="R5" s="15">
        <f t="shared" si="8"/>
        <v>64</v>
      </c>
      <c r="S5" s="15">
        <f t="shared" si="0"/>
        <v>1092.2666666666667</v>
      </c>
      <c r="T5" s="15">
        <f t="shared" si="1"/>
        <v>128</v>
      </c>
      <c r="U5" s="15">
        <f t="shared" si="9"/>
        <v>1156.2666666666667</v>
      </c>
      <c r="V5" s="15">
        <f t="shared" si="2"/>
        <v>341.33333333333331</v>
      </c>
      <c r="W5" s="12">
        <f t="shared" si="10"/>
        <v>389</v>
      </c>
      <c r="X5" s="12">
        <v>20000</v>
      </c>
      <c r="Y5" s="16">
        <f t="shared" si="11"/>
        <v>2863.8912280701757</v>
      </c>
      <c r="Z5" s="11">
        <f t="shared" si="3"/>
        <v>2.8638912280701755E-3</v>
      </c>
      <c r="AA5" s="17"/>
      <c r="AB5">
        <v>5.9480999999999999E-2</v>
      </c>
      <c r="AC5">
        <v>6.0997000000000003E-2</v>
      </c>
      <c r="AD5" s="18">
        <f t="shared" si="12"/>
        <v>4.8148000673663448E-2</v>
      </c>
      <c r="AE5" s="18">
        <f t="shared" si="13"/>
        <v>4.6951345608311483E-2</v>
      </c>
    </row>
    <row r="6" spans="2:31" x14ac:dyDescent="0.25">
      <c r="C6">
        <v>16</v>
      </c>
      <c r="D6">
        <v>8</v>
      </c>
      <c r="E6">
        <v>1</v>
      </c>
      <c r="F6" s="12">
        <v>16</v>
      </c>
      <c r="G6" s="12">
        <v>2</v>
      </c>
      <c r="H6" s="12">
        <v>2</v>
      </c>
      <c r="I6" s="12">
        <v>256</v>
      </c>
      <c r="J6" s="12">
        <v>30</v>
      </c>
      <c r="K6" s="14">
        <f t="shared" ref="K6:K26" si="14">_xlfn.CEILING.MATH(C6*E6/F6)</f>
        <v>1</v>
      </c>
      <c r="L6">
        <v>64</v>
      </c>
      <c r="M6" s="12">
        <v>128</v>
      </c>
      <c r="N6" s="15">
        <f t="shared" si="4"/>
        <v>431.15789473684208</v>
      </c>
      <c r="O6" s="15">
        <f t="shared" si="5"/>
        <v>546.13333333333333</v>
      </c>
      <c r="P6" s="15">
        <f t="shared" si="6"/>
        <v>128</v>
      </c>
      <c r="Q6" s="15">
        <f t="shared" si="7"/>
        <v>977.29122807017541</v>
      </c>
      <c r="R6" s="15">
        <f t="shared" ref="R6:R69" si="15">G6*K6*64*_xlfn.CEILING.MATH(L6/128)*128/I6</f>
        <v>64</v>
      </c>
      <c r="S6" s="15">
        <f t="shared" ref="S6:S69" si="16">H6*K6*_xlfn.CEILING.MATH(L6/128)*128*M6/J6</f>
        <v>1092.2666666666667</v>
      </c>
      <c r="T6" s="15">
        <f t="shared" ref="T6:T69" si="17">64*M6*_xlfn.CEILING.MATH(L6/128)*128*K6/8192</f>
        <v>128</v>
      </c>
      <c r="U6" s="15">
        <f t="shared" si="9"/>
        <v>1156.2666666666667</v>
      </c>
      <c r="V6" s="15">
        <f t="shared" ref="V6:V69" si="18">K6*8*128/30*10</f>
        <v>341.33333333333331</v>
      </c>
      <c r="W6" s="12">
        <f t="shared" si="10"/>
        <v>389</v>
      </c>
      <c r="X6" s="12">
        <v>20000</v>
      </c>
      <c r="Y6" s="16">
        <f t="shared" si="11"/>
        <v>2863.8912280701757</v>
      </c>
      <c r="Z6" s="11">
        <f t="shared" ref="Z6:Z69" si="19">Y6/1000000</f>
        <v>2.8638912280701755E-3</v>
      </c>
      <c r="AB6">
        <v>5.9803000000000002E-2</v>
      </c>
      <c r="AC6">
        <v>6.1635000000000002E-2</v>
      </c>
      <c r="AD6" s="18">
        <f t="shared" si="12"/>
        <v>4.7888755214122627E-2</v>
      </c>
      <c r="AE6" s="18">
        <f t="shared" si="13"/>
        <v>4.6465339954087373E-2</v>
      </c>
    </row>
    <row r="7" spans="2:31" x14ac:dyDescent="0.25">
      <c r="C7">
        <v>32</v>
      </c>
      <c r="D7">
        <v>8</v>
      </c>
      <c r="E7">
        <v>1</v>
      </c>
      <c r="F7" s="12">
        <v>16</v>
      </c>
      <c r="G7" s="12">
        <v>2</v>
      </c>
      <c r="H7" s="12">
        <v>2</v>
      </c>
      <c r="I7" s="12">
        <v>256</v>
      </c>
      <c r="J7" s="12">
        <v>30</v>
      </c>
      <c r="K7" s="14">
        <f t="shared" si="14"/>
        <v>2</v>
      </c>
      <c r="L7">
        <v>64</v>
      </c>
      <c r="M7" s="12">
        <v>128</v>
      </c>
      <c r="N7" s="15">
        <f t="shared" ref="N7:N70" si="20">G7*K7*64*M7/38</f>
        <v>862.31578947368416</v>
      </c>
      <c r="O7" s="15">
        <f t="shared" ref="O7:O70" si="21">H7*K7*_xlfn.CEILING.MATH(L7/64)*64*M7/J7</f>
        <v>1092.2666666666667</v>
      </c>
      <c r="P7" s="15">
        <f t="shared" ref="P7:P70" si="22">64*M7*_xlfn.CEILING.MATH(L7/128)*128*K7/8192</f>
        <v>256</v>
      </c>
      <c r="Q7" s="15">
        <f t="shared" ref="Q7:Q70" si="23">N7+O7</f>
        <v>1954.5824561403508</v>
      </c>
      <c r="R7" s="15">
        <f t="shared" si="15"/>
        <v>128</v>
      </c>
      <c r="S7" s="15">
        <f t="shared" si="16"/>
        <v>2184.5333333333333</v>
      </c>
      <c r="T7" s="15">
        <f t="shared" si="17"/>
        <v>256</v>
      </c>
      <c r="U7" s="15">
        <f t="shared" si="9"/>
        <v>2312.5333333333333</v>
      </c>
      <c r="V7" s="15">
        <f t="shared" si="18"/>
        <v>682.66666666666663</v>
      </c>
      <c r="W7" s="12">
        <f t="shared" si="10"/>
        <v>778</v>
      </c>
      <c r="X7" s="12">
        <v>20000</v>
      </c>
      <c r="Y7" s="16">
        <f t="shared" ref="Y7:Y70" si="24">Q7+U7+W7+V7</f>
        <v>5727.7824561403513</v>
      </c>
      <c r="Z7" s="11">
        <f t="shared" si="19"/>
        <v>5.727782456140351E-3</v>
      </c>
      <c r="AB7">
        <v>6.4438999999999996E-2</v>
      </c>
      <c r="AC7">
        <v>7.0463999999999999E-2</v>
      </c>
      <c r="AD7" s="18">
        <f t="shared" si="12"/>
        <v>8.8886892349979846E-2</v>
      </c>
      <c r="AE7" s="18">
        <f t="shared" si="13"/>
        <v>8.1286649298086266E-2</v>
      </c>
    </row>
    <row r="8" spans="2:31" x14ac:dyDescent="0.25">
      <c r="C8">
        <v>64</v>
      </c>
      <c r="D8">
        <v>8</v>
      </c>
      <c r="E8">
        <v>1</v>
      </c>
      <c r="F8" s="12">
        <v>16</v>
      </c>
      <c r="G8" s="12">
        <v>2</v>
      </c>
      <c r="H8" s="12">
        <v>2</v>
      </c>
      <c r="I8" s="12">
        <v>256</v>
      </c>
      <c r="J8" s="12">
        <v>30</v>
      </c>
      <c r="K8" s="14">
        <f t="shared" si="14"/>
        <v>4</v>
      </c>
      <c r="L8">
        <v>64</v>
      </c>
      <c r="M8" s="12">
        <v>128</v>
      </c>
      <c r="N8" s="15">
        <f t="shared" si="20"/>
        <v>1724.6315789473683</v>
      </c>
      <c r="O8" s="15">
        <f t="shared" si="21"/>
        <v>2184.5333333333333</v>
      </c>
      <c r="P8" s="15">
        <f t="shared" si="22"/>
        <v>512</v>
      </c>
      <c r="Q8" s="15">
        <f t="shared" si="23"/>
        <v>3909.1649122807016</v>
      </c>
      <c r="R8" s="15">
        <f t="shared" si="15"/>
        <v>256</v>
      </c>
      <c r="S8" s="15">
        <f t="shared" si="16"/>
        <v>4369.0666666666666</v>
      </c>
      <c r="T8" s="15">
        <f t="shared" si="17"/>
        <v>512</v>
      </c>
      <c r="U8" s="15">
        <f t="shared" si="9"/>
        <v>4625.0666666666666</v>
      </c>
      <c r="V8" s="15">
        <f t="shared" si="18"/>
        <v>1365.3333333333333</v>
      </c>
      <c r="W8" s="12">
        <f t="shared" si="10"/>
        <v>1556</v>
      </c>
      <c r="X8" s="12">
        <v>20000</v>
      </c>
      <c r="Y8" s="16">
        <f t="shared" si="24"/>
        <v>11455.564912280703</v>
      </c>
      <c r="Z8" s="11">
        <f t="shared" si="19"/>
        <v>1.1455564912280702E-2</v>
      </c>
      <c r="AB8">
        <v>7.2598999999999997E-2</v>
      </c>
      <c r="AC8">
        <v>8.4833000000000006E-2</v>
      </c>
      <c r="AD8" s="18">
        <f t="shared" si="12"/>
        <v>0.15779232375488234</v>
      </c>
      <c r="AE8" s="18">
        <f t="shared" si="13"/>
        <v>0.13503665922790306</v>
      </c>
    </row>
    <row r="9" spans="2:31" x14ac:dyDescent="0.25">
      <c r="C9">
        <v>128</v>
      </c>
      <c r="D9">
        <v>8</v>
      </c>
      <c r="E9">
        <v>1</v>
      </c>
      <c r="F9" s="12">
        <v>16</v>
      </c>
      <c r="G9" s="12">
        <v>2</v>
      </c>
      <c r="H9" s="12">
        <v>2</v>
      </c>
      <c r="I9" s="12">
        <v>256</v>
      </c>
      <c r="J9" s="12">
        <v>30</v>
      </c>
      <c r="K9" s="14">
        <f t="shared" si="14"/>
        <v>8</v>
      </c>
      <c r="L9">
        <v>64</v>
      </c>
      <c r="M9" s="12">
        <v>128</v>
      </c>
      <c r="N9" s="15">
        <f t="shared" si="20"/>
        <v>3449.2631578947367</v>
      </c>
      <c r="O9" s="15">
        <f t="shared" si="21"/>
        <v>4369.0666666666666</v>
      </c>
      <c r="P9" s="15">
        <f t="shared" si="22"/>
        <v>1024</v>
      </c>
      <c r="Q9" s="15">
        <f t="shared" si="23"/>
        <v>7818.3298245614033</v>
      </c>
      <c r="R9" s="15">
        <f t="shared" si="15"/>
        <v>512</v>
      </c>
      <c r="S9" s="15">
        <f t="shared" si="16"/>
        <v>8738.1333333333332</v>
      </c>
      <c r="T9" s="15">
        <f t="shared" si="17"/>
        <v>1024</v>
      </c>
      <c r="U9" s="15">
        <f t="shared" si="9"/>
        <v>9250.1333333333332</v>
      </c>
      <c r="V9" s="15">
        <f t="shared" si="18"/>
        <v>2730.6666666666665</v>
      </c>
      <c r="W9" s="12">
        <f t="shared" si="10"/>
        <v>3112</v>
      </c>
      <c r="X9" s="12">
        <v>20000</v>
      </c>
      <c r="Y9" s="16">
        <f t="shared" si="24"/>
        <v>22911.129824561405</v>
      </c>
      <c r="Z9" s="11">
        <f t="shared" si="19"/>
        <v>2.2911129824561404E-2</v>
      </c>
      <c r="AB9">
        <v>9.0978000000000003E-2</v>
      </c>
      <c r="AC9">
        <v>0.116843</v>
      </c>
      <c r="AD9" s="18">
        <f t="shared" si="12"/>
        <v>0.25183153976303507</v>
      </c>
      <c r="AE9" s="18">
        <f t="shared" si="13"/>
        <v>0.19608474469639947</v>
      </c>
    </row>
    <row r="10" spans="2:31" x14ac:dyDescent="0.25">
      <c r="C10">
        <v>256</v>
      </c>
      <c r="D10">
        <v>8</v>
      </c>
      <c r="E10">
        <v>1</v>
      </c>
      <c r="F10" s="12">
        <v>16</v>
      </c>
      <c r="G10" s="12">
        <v>2</v>
      </c>
      <c r="H10" s="12">
        <v>2</v>
      </c>
      <c r="I10" s="12">
        <v>256</v>
      </c>
      <c r="J10" s="12">
        <v>30</v>
      </c>
      <c r="K10" s="14">
        <f t="shared" si="14"/>
        <v>16</v>
      </c>
      <c r="L10">
        <v>64</v>
      </c>
      <c r="M10" s="12">
        <v>128</v>
      </c>
      <c r="N10" s="15">
        <f t="shared" si="20"/>
        <v>6898.5263157894733</v>
      </c>
      <c r="O10" s="15">
        <f t="shared" si="21"/>
        <v>8738.1333333333332</v>
      </c>
      <c r="P10" s="15">
        <f t="shared" si="22"/>
        <v>2048</v>
      </c>
      <c r="Q10" s="15">
        <f t="shared" si="23"/>
        <v>15636.659649122807</v>
      </c>
      <c r="R10" s="15">
        <f t="shared" si="15"/>
        <v>1024</v>
      </c>
      <c r="S10" s="15">
        <f t="shared" si="16"/>
        <v>17476.266666666666</v>
      </c>
      <c r="T10" s="15">
        <f t="shared" si="17"/>
        <v>2048</v>
      </c>
      <c r="U10" s="15">
        <f t="shared" si="9"/>
        <v>18500.266666666666</v>
      </c>
      <c r="V10" s="15">
        <f t="shared" si="18"/>
        <v>5461.333333333333</v>
      </c>
      <c r="W10" s="12">
        <f t="shared" si="10"/>
        <v>6224</v>
      </c>
      <c r="X10" s="12">
        <v>20000</v>
      </c>
      <c r="Y10" s="16">
        <f t="shared" si="24"/>
        <v>45822.259649122811</v>
      </c>
      <c r="Z10" s="11">
        <f t="shared" si="19"/>
        <v>4.5822259649122808E-2</v>
      </c>
      <c r="AB10">
        <v>0.12657399999999999</v>
      </c>
      <c r="AC10">
        <v>0.17730099999999999</v>
      </c>
      <c r="AD10" s="18">
        <f t="shared" si="12"/>
        <v>0.36201952730515596</v>
      </c>
      <c r="AE10" s="18">
        <f t="shared" si="13"/>
        <v>0.25844332321375973</v>
      </c>
    </row>
    <row r="11" spans="2:31" x14ac:dyDescent="0.25">
      <c r="C11">
        <v>512</v>
      </c>
      <c r="D11">
        <v>8</v>
      </c>
      <c r="E11">
        <v>1</v>
      </c>
      <c r="F11" s="12">
        <v>16</v>
      </c>
      <c r="G11" s="12">
        <v>2</v>
      </c>
      <c r="H11" s="12">
        <v>2</v>
      </c>
      <c r="I11" s="12">
        <v>256</v>
      </c>
      <c r="J11" s="12">
        <v>30</v>
      </c>
      <c r="K11" s="14">
        <f t="shared" si="14"/>
        <v>32</v>
      </c>
      <c r="L11">
        <v>64</v>
      </c>
      <c r="M11" s="12">
        <v>128</v>
      </c>
      <c r="N11" s="15">
        <f t="shared" si="20"/>
        <v>13797.052631578947</v>
      </c>
      <c r="O11" s="15">
        <f t="shared" si="21"/>
        <v>17476.266666666666</v>
      </c>
      <c r="P11" s="15">
        <f t="shared" si="22"/>
        <v>4096</v>
      </c>
      <c r="Q11" s="15">
        <f t="shared" si="23"/>
        <v>31273.319298245613</v>
      </c>
      <c r="R11" s="15">
        <f t="shared" si="15"/>
        <v>2048</v>
      </c>
      <c r="S11" s="15">
        <f t="shared" si="16"/>
        <v>34952.533333333333</v>
      </c>
      <c r="T11" s="15">
        <f t="shared" si="17"/>
        <v>4096</v>
      </c>
      <c r="U11" s="15">
        <f t="shared" si="9"/>
        <v>37000.533333333333</v>
      </c>
      <c r="V11" s="15">
        <f t="shared" si="18"/>
        <v>10922.666666666666</v>
      </c>
      <c r="W11" s="12">
        <f t="shared" si="10"/>
        <v>12448</v>
      </c>
      <c r="X11" s="12">
        <v>20000</v>
      </c>
      <c r="Y11" s="16">
        <f t="shared" si="24"/>
        <v>91644.519298245621</v>
      </c>
      <c r="Z11" s="11">
        <f t="shared" si="19"/>
        <v>9.1644519298245616E-2</v>
      </c>
      <c r="AB11">
        <v>0.19614999999999999</v>
      </c>
      <c r="AC11">
        <v>0.30003999999999997</v>
      </c>
      <c r="AD11" s="18">
        <f t="shared" si="12"/>
        <v>0.46721651439329909</v>
      </c>
      <c r="AE11" s="18">
        <f t="shared" si="13"/>
        <v>0.30544100552674852</v>
      </c>
    </row>
    <row r="12" spans="2:31" x14ac:dyDescent="0.25">
      <c r="C12" s="8">
        <v>1</v>
      </c>
      <c r="D12" s="8">
        <v>8</v>
      </c>
      <c r="E12" s="8">
        <v>1</v>
      </c>
      <c r="F12" s="12">
        <v>16</v>
      </c>
      <c r="G12" s="12">
        <v>2</v>
      </c>
      <c r="H12" s="12">
        <v>2</v>
      </c>
      <c r="I12" s="12">
        <v>256</v>
      </c>
      <c r="J12" s="12">
        <v>30</v>
      </c>
      <c r="K12" s="14">
        <f t="shared" si="14"/>
        <v>1</v>
      </c>
      <c r="L12" s="8">
        <v>128</v>
      </c>
      <c r="M12" s="12">
        <v>128</v>
      </c>
      <c r="N12" s="15">
        <f t="shared" si="20"/>
        <v>431.15789473684208</v>
      </c>
      <c r="O12" s="15">
        <f t="shared" si="21"/>
        <v>1092.2666666666667</v>
      </c>
      <c r="P12" s="15">
        <f t="shared" si="22"/>
        <v>128</v>
      </c>
      <c r="Q12" s="15">
        <f t="shared" si="23"/>
        <v>1523.4245614035087</v>
      </c>
      <c r="R12" s="15">
        <f t="shared" si="15"/>
        <v>64</v>
      </c>
      <c r="S12" s="15">
        <f t="shared" si="16"/>
        <v>1092.2666666666667</v>
      </c>
      <c r="T12" s="15">
        <f t="shared" si="17"/>
        <v>128</v>
      </c>
      <c r="U12" s="15">
        <f t="shared" si="9"/>
        <v>1156.2666666666667</v>
      </c>
      <c r="V12" s="15">
        <f t="shared" si="18"/>
        <v>341.33333333333331</v>
      </c>
      <c r="W12" s="12">
        <f t="shared" si="10"/>
        <v>583</v>
      </c>
      <c r="X12" s="12">
        <v>20000</v>
      </c>
      <c r="Y12" s="16">
        <f t="shared" si="24"/>
        <v>3604.0245614035089</v>
      </c>
      <c r="Z12" s="11">
        <f t="shared" si="19"/>
        <v>3.6040245614035087E-3</v>
      </c>
      <c r="AB12" s="8">
        <v>6.1110999999999999E-2</v>
      </c>
      <c r="AC12">
        <v>6.1251E-2</v>
      </c>
      <c r="AD12" s="18">
        <f t="shared" si="12"/>
        <v>5.8975054595793046E-2</v>
      </c>
      <c r="AE12" s="18">
        <f t="shared" si="13"/>
        <v>5.8840256671785093E-2</v>
      </c>
    </row>
    <row r="13" spans="2:31" x14ac:dyDescent="0.25">
      <c r="C13">
        <v>2</v>
      </c>
      <c r="D13">
        <v>8</v>
      </c>
      <c r="E13">
        <v>1</v>
      </c>
      <c r="F13" s="12">
        <v>16</v>
      </c>
      <c r="G13" s="12">
        <v>2</v>
      </c>
      <c r="H13" s="12">
        <v>2</v>
      </c>
      <c r="I13" s="12">
        <v>256</v>
      </c>
      <c r="J13" s="12">
        <v>30</v>
      </c>
      <c r="K13" s="14">
        <f t="shared" si="14"/>
        <v>1</v>
      </c>
      <c r="L13">
        <v>128</v>
      </c>
      <c r="M13" s="12">
        <v>128</v>
      </c>
      <c r="N13" s="15">
        <f t="shared" si="20"/>
        <v>431.15789473684208</v>
      </c>
      <c r="O13" s="15">
        <f t="shared" si="21"/>
        <v>1092.2666666666667</v>
      </c>
      <c r="P13" s="15">
        <f t="shared" si="22"/>
        <v>128</v>
      </c>
      <c r="Q13" s="15">
        <f t="shared" si="23"/>
        <v>1523.4245614035087</v>
      </c>
      <c r="R13" s="15">
        <f t="shared" si="15"/>
        <v>64</v>
      </c>
      <c r="S13" s="15">
        <f t="shared" si="16"/>
        <v>1092.2666666666667</v>
      </c>
      <c r="T13" s="15">
        <f t="shared" si="17"/>
        <v>128</v>
      </c>
      <c r="U13" s="15">
        <f t="shared" si="9"/>
        <v>1156.2666666666667</v>
      </c>
      <c r="V13" s="15">
        <f t="shared" si="18"/>
        <v>341.33333333333331</v>
      </c>
      <c r="W13" s="12">
        <f t="shared" si="10"/>
        <v>583</v>
      </c>
      <c r="X13" s="12">
        <v>20000</v>
      </c>
      <c r="Y13" s="16">
        <f t="shared" si="24"/>
        <v>3604.0245614035089</v>
      </c>
      <c r="Z13" s="11">
        <f t="shared" si="19"/>
        <v>3.6040245614035087E-3</v>
      </c>
      <c r="AB13">
        <v>6.1074000000000003E-2</v>
      </c>
      <c r="AC13">
        <v>6.2001000000000001E-2</v>
      </c>
      <c r="AD13" s="18">
        <f t="shared" si="12"/>
        <v>5.9010783007556543E-2</v>
      </c>
      <c r="AE13" s="18">
        <f t="shared" si="13"/>
        <v>5.8128490853429922E-2</v>
      </c>
    </row>
    <row r="14" spans="2:31" x14ac:dyDescent="0.25">
      <c r="C14">
        <v>4</v>
      </c>
      <c r="D14">
        <v>8</v>
      </c>
      <c r="E14">
        <v>1</v>
      </c>
      <c r="F14" s="12">
        <v>16</v>
      </c>
      <c r="G14" s="12">
        <v>2</v>
      </c>
      <c r="H14" s="12">
        <v>2</v>
      </c>
      <c r="I14" s="12">
        <v>256</v>
      </c>
      <c r="J14" s="12">
        <v>30</v>
      </c>
      <c r="K14" s="14">
        <f t="shared" si="14"/>
        <v>1</v>
      </c>
      <c r="L14">
        <v>128</v>
      </c>
      <c r="M14" s="12">
        <v>128</v>
      </c>
      <c r="N14" s="15">
        <f t="shared" si="20"/>
        <v>431.15789473684208</v>
      </c>
      <c r="O14" s="15">
        <f t="shared" si="21"/>
        <v>1092.2666666666667</v>
      </c>
      <c r="P14" s="15">
        <f t="shared" si="22"/>
        <v>128</v>
      </c>
      <c r="Q14" s="15">
        <f t="shared" si="23"/>
        <v>1523.4245614035087</v>
      </c>
      <c r="R14" s="15">
        <f t="shared" si="15"/>
        <v>64</v>
      </c>
      <c r="S14" s="15">
        <f t="shared" si="16"/>
        <v>1092.2666666666667</v>
      </c>
      <c r="T14" s="15">
        <f t="shared" si="17"/>
        <v>128</v>
      </c>
      <c r="U14" s="15">
        <f t="shared" si="9"/>
        <v>1156.2666666666667</v>
      </c>
      <c r="V14" s="15">
        <f t="shared" si="18"/>
        <v>341.33333333333331</v>
      </c>
      <c r="W14" s="12">
        <f t="shared" si="10"/>
        <v>583</v>
      </c>
      <c r="X14" s="12">
        <v>20000</v>
      </c>
      <c r="Y14" s="16">
        <f t="shared" si="24"/>
        <v>3604.0245614035089</v>
      </c>
      <c r="Z14" s="11">
        <f t="shared" si="19"/>
        <v>3.6040245614035087E-3</v>
      </c>
      <c r="AB14">
        <v>6.0717E-2</v>
      </c>
      <c r="AC14">
        <v>6.1580999999999997E-2</v>
      </c>
      <c r="AD14" s="18">
        <f t="shared" si="12"/>
        <v>5.9357750900135196E-2</v>
      </c>
      <c r="AE14" s="18">
        <f t="shared" si="13"/>
        <v>5.8524943755436071E-2</v>
      </c>
    </row>
    <row r="15" spans="2:31" x14ac:dyDescent="0.25">
      <c r="C15">
        <v>8</v>
      </c>
      <c r="D15">
        <v>8</v>
      </c>
      <c r="E15">
        <v>1</v>
      </c>
      <c r="F15" s="12">
        <v>16</v>
      </c>
      <c r="G15" s="12">
        <v>2</v>
      </c>
      <c r="H15" s="12">
        <v>2</v>
      </c>
      <c r="I15" s="12">
        <v>256</v>
      </c>
      <c r="J15" s="12">
        <v>30</v>
      </c>
      <c r="K15" s="14">
        <f t="shared" si="14"/>
        <v>1</v>
      </c>
      <c r="L15">
        <v>128</v>
      </c>
      <c r="M15" s="12">
        <v>128</v>
      </c>
      <c r="N15" s="15">
        <f t="shared" si="20"/>
        <v>431.15789473684208</v>
      </c>
      <c r="O15" s="15">
        <f t="shared" si="21"/>
        <v>1092.2666666666667</v>
      </c>
      <c r="P15" s="15">
        <f t="shared" si="22"/>
        <v>128</v>
      </c>
      <c r="Q15" s="15">
        <f t="shared" si="23"/>
        <v>1523.4245614035087</v>
      </c>
      <c r="R15" s="15">
        <f t="shared" si="15"/>
        <v>64</v>
      </c>
      <c r="S15" s="15">
        <f t="shared" si="16"/>
        <v>1092.2666666666667</v>
      </c>
      <c r="T15" s="15">
        <f t="shared" si="17"/>
        <v>128</v>
      </c>
      <c r="U15" s="15">
        <f t="shared" si="9"/>
        <v>1156.2666666666667</v>
      </c>
      <c r="V15" s="15">
        <f t="shared" si="18"/>
        <v>341.33333333333331</v>
      </c>
      <c r="W15" s="12">
        <f t="shared" si="10"/>
        <v>583</v>
      </c>
      <c r="X15" s="12">
        <v>20000</v>
      </c>
      <c r="Y15" s="16">
        <f t="shared" si="24"/>
        <v>3604.0245614035089</v>
      </c>
      <c r="Z15" s="11">
        <f t="shared" si="19"/>
        <v>3.6040245614035087E-3</v>
      </c>
      <c r="AB15">
        <v>6.1892000000000003E-2</v>
      </c>
      <c r="AC15">
        <v>6.2633999999999995E-2</v>
      </c>
      <c r="AD15" s="18">
        <f t="shared" si="12"/>
        <v>5.8230862815929499E-2</v>
      </c>
      <c r="AE15" s="18">
        <f t="shared" si="13"/>
        <v>5.7541025024802968E-2</v>
      </c>
    </row>
    <row r="16" spans="2:31" x14ac:dyDescent="0.25">
      <c r="C16">
        <v>16</v>
      </c>
      <c r="D16">
        <v>8</v>
      </c>
      <c r="E16">
        <v>1</v>
      </c>
      <c r="F16" s="12">
        <v>16</v>
      </c>
      <c r="G16" s="12">
        <v>2</v>
      </c>
      <c r="H16" s="12">
        <v>2</v>
      </c>
      <c r="I16" s="12">
        <v>256</v>
      </c>
      <c r="J16" s="12">
        <v>30</v>
      </c>
      <c r="K16" s="14">
        <f t="shared" si="14"/>
        <v>1</v>
      </c>
      <c r="L16">
        <v>128</v>
      </c>
      <c r="M16" s="12">
        <v>128</v>
      </c>
      <c r="N16" s="15">
        <f t="shared" si="20"/>
        <v>431.15789473684208</v>
      </c>
      <c r="O16" s="15">
        <f t="shared" si="21"/>
        <v>1092.2666666666667</v>
      </c>
      <c r="P16" s="15">
        <f t="shared" si="22"/>
        <v>128</v>
      </c>
      <c r="Q16" s="15">
        <f t="shared" si="23"/>
        <v>1523.4245614035087</v>
      </c>
      <c r="R16" s="15">
        <f t="shared" si="15"/>
        <v>64</v>
      </c>
      <c r="S16" s="15">
        <f t="shared" si="16"/>
        <v>1092.2666666666667</v>
      </c>
      <c r="T16" s="15">
        <f t="shared" si="17"/>
        <v>128</v>
      </c>
      <c r="U16" s="15">
        <f t="shared" si="9"/>
        <v>1156.2666666666667</v>
      </c>
      <c r="V16" s="15">
        <f t="shared" si="18"/>
        <v>341.33333333333331</v>
      </c>
      <c r="W16" s="12">
        <f t="shared" si="10"/>
        <v>583</v>
      </c>
      <c r="X16" s="12">
        <v>20000</v>
      </c>
      <c r="Y16" s="16">
        <f t="shared" si="24"/>
        <v>3604.0245614035089</v>
      </c>
      <c r="Z16" s="11">
        <f t="shared" si="19"/>
        <v>3.6040245614035087E-3</v>
      </c>
      <c r="AB16">
        <v>6.2019999999999999E-2</v>
      </c>
      <c r="AC16">
        <v>6.2658000000000005E-2</v>
      </c>
      <c r="AD16" s="18">
        <f t="shared" si="12"/>
        <v>5.8110683028112044E-2</v>
      </c>
      <c r="AE16" s="18">
        <f t="shared" si="13"/>
        <v>5.7518984988405443E-2</v>
      </c>
    </row>
    <row r="17" spans="3:31" x14ac:dyDescent="0.25">
      <c r="C17">
        <v>32</v>
      </c>
      <c r="D17">
        <v>8</v>
      </c>
      <c r="E17">
        <v>1</v>
      </c>
      <c r="F17" s="12">
        <v>16</v>
      </c>
      <c r="G17" s="12">
        <v>2</v>
      </c>
      <c r="H17" s="12">
        <v>2</v>
      </c>
      <c r="I17" s="12">
        <v>256</v>
      </c>
      <c r="J17" s="12">
        <v>30</v>
      </c>
      <c r="K17" s="14">
        <f t="shared" si="14"/>
        <v>2</v>
      </c>
      <c r="L17">
        <v>128</v>
      </c>
      <c r="M17" s="12">
        <v>128</v>
      </c>
      <c r="N17" s="15">
        <f t="shared" si="20"/>
        <v>862.31578947368416</v>
      </c>
      <c r="O17" s="15">
        <f t="shared" si="21"/>
        <v>2184.5333333333333</v>
      </c>
      <c r="P17" s="15">
        <f t="shared" si="22"/>
        <v>256</v>
      </c>
      <c r="Q17" s="15">
        <f t="shared" si="23"/>
        <v>3046.8491228070175</v>
      </c>
      <c r="R17" s="15">
        <f t="shared" si="15"/>
        <v>128</v>
      </c>
      <c r="S17" s="15">
        <f t="shared" si="16"/>
        <v>2184.5333333333333</v>
      </c>
      <c r="T17" s="15">
        <f t="shared" si="17"/>
        <v>256</v>
      </c>
      <c r="U17" s="15">
        <f t="shared" si="9"/>
        <v>2312.5333333333333</v>
      </c>
      <c r="V17" s="15">
        <f t="shared" si="18"/>
        <v>682.66666666666663</v>
      </c>
      <c r="W17" s="12">
        <f t="shared" si="10"/>
        <v>1166</v>
      </c>
      <c r="X17" s="12">
        <v>20000</v>
      </c>
      <c r="Y17" s="16">
        <f t="shared" si="24"/>
        <v>7208.0491228070177</v>
      </c>
      <c r="Z17" s="11">
        <f t="shared" si="19"/>
        <v>7.2080491228070174E-3</v>
      </c>
      <c r="AB17">
        <v>6.8636000000000003E-2</v>
      </c>
      <c r="AC17">
        <v>7.2549000000000002E-2</v>
      </c>
      <c r="AD17" s="18">
        <f t="shared" si="12"/>
        <v>0.10501849062892676</v>
      </c>
      <c r="AE17" s="18">
        <f t="shared" si="13"/>
        <v>9.93542174641555E-2</v>
      </c>
    </row>
    <row r="18" spans="3:31" x14ac:dyDescent="0.25">
      <c r="C18">
        <v>64</v>
      </c>
      <c r="D18">
        <v>8</v>
      </c>
      <c r="E18">
        <v>1</v>
      </c>
      <c r="F18" s="12">
        <v>16</v>
      </c>
      <c r="G18" s="12">
        <v>2</v>
      </c>
      <c r="H18" s="12">
        <v>2</v>
      </c>
      <c r="I18" s="12">
        <v>256</v>
      </c>
      <c r="J18" s="12">
        <v>30</v>
      </c>
      <c r="K18" s="14">
        <f t="shared" si="14"/>
        <v>4</v>
      </c>
      <c r="L18">
        <v>128</v>
      </c>
      <c r="M18" s="12">
        <v>128</v>
      </c>
      <c r="N18" s="15">
        <f t="shared" si="20"/>
        <v>1724.6315789473683</v>
      </c>
      <c r="O18" s="15">
        <f t="shared" si="21"/>
        <v>4369.0666666666666</v>
      </c>
      <c r="P18" s="15">
        <f t="shared" si="22"/>
        <v>512</v>
      </c>
      <c r="Q18" s="15">
        <f t="shared" si="23"/>
        <v>6093.6982456140349</v>
      </c>
      <c r="R18" s="15">
        <f t="shared" si="15"/>
        <v>256</v>
      </c>
      <c r="S18" s="15">
        <f t="shared" si="16"/>
        <v>4369.0666666666666</v>
      </c>
      <c r="T18" s="15">
        <f t="shared" si="17"/>
        <v>512</v>
      </c>
      <c r="U18" s="15">
        <f t="shared" si="9"/>
        <v>4625.0666666666666</v>
      </c>
      <c r="V18" s="15">
        <f t="shared" si="18"/>
        <v>1365.3333333333333</v>
      </c>
      <c r="W18" s="12">
        <f t="shared" si="10"/>
        <v>2332</v>
      </c>
      <c r="X18" s="12">
        <v>20000</v>
      </c>
      <c r="Y18" s="16">
        <f t="shared" si="24"/>
        <v>14416.098245614035</v>
      </c>
      <c r="Z18" s="11">
        <f t="shared" si="19"/>
        <v>1.4416098245614035E-2</v>
      </c>
      <c r="AB18">
        <v>8.2680000000000003E-2</v>
      </c>
      <c r="AC18">
        <v>9.0193999999999996E-2</v>
      </c>
      <c r="AD18" s="18">
        <f t="shared" si="12"/>
        <v>0.17436016262232745</v>
      </c>
      <c r="AE18" s="18">
        <f t="shared" si="13"/>
        <v>0.15983433760132643</v>
      </c>
    </row>
    <row r="19" spans="3:31" x14ac:dyDescent="0.25">
      <c r="C19">
        <v>128</v>
      </c>
      <c r="D19">
        <v>8</v>
      </c>
      <c r="E19">
        <v>1</v>
      </c>
      <c r="F19" s="12">
        <v>16</v>
      </c>
      <c r="G19" s="12">
        <v>2</v>
      </c>
      <c r="H19" s="12">
        <v>2</v>
      </c>
      <c r="I19" s="12">
        <v>256</v>
      </c>
      <c r="J19" s="12">
        <v>30</v>
      </c>
      <c r="K19" s="14">
        <f t="shared" si="14"/>
        <v>8</v>
      </c>
      <c r="L19">
        <v>128</v>
      </c>
      <c r="M19" s="12">
        <v>128</v>
      </c>
      <c r="N19" s="15">
        <f t="shared" si="20"/>
        <v>3449.2631578947367</v>
      </c>
      <c r="O19" s="15">
        <f t="shared" si="21"/>
        <v>8738.1333333333332</v>
      </c>
      <c r="P19" s="15">
        <f t="shared" si="22"/>
        <v>1024</v>
      </c>
      <c r="Q19" s="15">
        <f t="shared" si="23"/>
        <v>12187.39649122807</v>
      </c>
      <c r="R19" s="15">
        <f t="shared" si="15"/>
        <v>512</v>
      </c>
      <c r="S19" s="15">
        <f t="shared" si="16"/>
        <v>8738.1333333333332</v>
      </c>
      <c r="T19" s="15">
        <f t="shared" si="17"/>
        <v>1024</v>
      </c>
      <c r="U19" s="15">
        <f t="shared" si="9"/>
        <v>9250.1333333333332</v>
      </c>
      <c r="V19" s="15">
        <f t="shared" si="18"/>
        <v>2730.6666666666665</v>
      </c>
      <c r="W19" s="12">
        <f t="shared" si="10"/>
        <v>4664</v>
      </c>
      <c r="X19" s="12">
        <v>20000</v>
      </c>
      <c r="Y19" s="16">
        <f t="shared" si="24"/>
        <v>28832.196491228071</v>
      </c>
      <c r="Z19" s="11">
        <f t="shared" si="19"/>
        <v>2.883219649122807E-2</v>
      </c>
      <c r="AB19">
        <v>0.10267900000000001</v>
      </c>
      <c r="AC19">
        <v>0.12578300000000001</v>
      </c>
      <c r="AD19" s="18">
        <f t="shared" si="12"/>
        <v>0.2807993503172807</v>
      </c>
      <c r="AE19" s="18">
        <f t="shared" si="13"/>
        <v>0.22922172703169799</v>
      </c>
    </row>
    <row r="20" spans="3:31" x14ac:dyDescent="0.25">
      <c r="C20">
        <v>256</v>
      </c>
      <c r="D20">
        <v>8</v>
      </c>
      <c r="E20">
        <v>1</v>
      </c>
      <c r="F20" s="12">
        <v>16</v>
      </c>
      <c r="G20" s="12">
        <v>2</v>
      </c>
      <c r="H20" s="12">
        <v>2</v>
      </c>
      <c r="I20" s="12">
        <v>256</v>
      </c>
      <c r="J20" s="12">
        <v>30</v>
      </c>
      <c r="K20" s="14">
        <f t="shared" si="14"/>
        <v>16</v>
      </c>
      <c r="L20">
        <v>128</v>
      </c>
      <c r="M20" s="12">
        <v>128</v>
      </c>
      <c r="N20" s="15">
        <f t="shared" si="20"/>
        <v>6898.5263157894733</v>
      </c>
      <c r="O20" s="15">
        <f t="shared" si="21"/>
        <v>17476.266666666666</v>
      </c>
      <c r="P20" s="15">
        <f t="shared" si="22"/>
        <v>2048</v>
      </c>
      <c r="Q20" s="15">
        <f t="shared" si="23"/>
        <v>24374.79298245614</v>
      </c>
      <c r="R20" s="15">
        <f t="shared" si="15"/>
        <v>1024</v>
      </c>
      <c r="S20" s="15">
        <f t="shared" si="16"/>
        <v>17476.266666666666</v>
      </c>
      <c r="T20" s="15">
        <f t="shared" si="17"/>
        <v>2048</v>
      </c>
      <c r="U20" s="15">
        <f t="shared" si="9"/>
        <v>18500.266666666666</v>
      </c>
      <c r="V20" s="15">
        <f t="shared" si="18"/>
        <v>5461.333333333333</v>
      </c>
      <c r="W20" s="12">
        <f t="shared" si="10"/>
        <v>9328</v>
      </c>
      <c r="X20" s="12">
        <v>20000</v>
      </c>
      <c r="Y20" s="16">
        <f t="shared" si="24"/>
        <v>57664.392982456142</v>
      </c>
      <c r="Z20" s="11">
        <f t="shared" si="19"/>
        <v>5.7664392982456139E-2</v>
      </c>
      <c r="AB20">
        <v>0.14857000000000001</v>
      </c>
      <c r="AC20">
        <v>0.193415</v>
      </c>
      <c r="AD20" s="18">
        <f t="shared" si="12"/>
        <v>0.38812945401128179</v>
      </c>
      <c r="AE20" s="18">
        <f t="shared" si="13"/>
        <v>0.29813816396068626</v>
      </c>
    </row>
    <row r="21" spans="3:31" x14ac:dyDescent="0.25">
      <c r="C21">
        <v>512</v>
      </c>
      <c r="D21">
        <v>8</v>
      </c>
      <c r="E21">
        <v>1</v>
      </c>
      <c r="F21" s="12">
        <v>16</v>
      </c>
      <c r="G21" s="12">
        <v>2</v>
      </c>
      <c r="H21" s="12">
        <v>2</v>
      </c>
      <c r="I21" s="12">
        <v>256</v>
      </c>
      <c r="J21" s="12">
        <v>30</v>
      </c>
      <c r="K21" s="14">
        <f t="shared" si="14"/>
        <v>32</v>
      </c>
      <c r="L21">
        <v>128</v>
      </c>
      <c r="M21" s="12">
        <v>128</v>
      </c>
      <c r="N21" s="15">
        <f t="shared" si="20"/>
        <v>13797.052631578947</v>
      </c>
      <c r="O21" s="15">
        <f t="shared" si="21"/>
        <v>34952.533333333333</v>
      </c>
      <c r="P21" s="15">
        <f t="shared" si="22"/>
        <v>4096</v>
      </c>
      <c r="Q21" s="15">
        <f t="shared" si="23"/>
        <v>48749.585964912279</v>
      </c>
      <c r="R21" s="15">
        <f t="shared" si="15"/>
        <v>2048</v>
      </c>
      <c r="S21" s="15">
        <f t="shared" si="16"/>
        <v>34952.533333333333</v>
      </c>
      <c r="T21" s="15">
        <f t="shared" si="17"/>
        <v>4096</v>
      </c>
      <c r="U21" s="15">
        <f t="shared" si="9"/>
        <v>37000.533333333333</v>
      </c>
      <c r="V21" s="15">
        <f t="shared" si="18"/>
        <v>10922.666666666666</v>
      </c>
      <c r="W21" s="12">
        <f t="shared" si="10"/>
        <v>18656</v>
      </c>
      <c r="X21" s="12">
        <v>20000</v>
      </c>
      <c r="Y21" s="16">
        <f t="shared" si="24"/>
        <v>115328.78596491228</v>
      </c>
      <c r="Z21" s="11">
        <f t="shared" si="19"/>
        <v>0.11532878596491228</v>
      </c>
      <c r="AB21">
        <v>0.243006</v>
      </c>
      <c r="AC21">
        <v>0.33340399999999998</v>
      </c>
      <c r="AD21" s="18">
        <f t="shared" si="12"/>
        <v>0.47459233913941334</v>
      </c>
      <c r="AE21" s="18">
        <f t="shared" si="13"/>
        <v>0.34591302433357812</v>
      </c>
    </row>
    <row r="22" spans="3:31" x14ac:dyDescent="0.25">
      <c r="C22" s="8">
        <v>1</v>
      </c>
      <c r="D22" s="8">
        <v>8</v>
      </c>
      <c r="E22" s="8">
        <v>1</v>
      </c>
      <c r="F22" s="12">
        <v>16</v>
      </c>
      <c r="G22" s="12">
        <v>2</v>
      </c>
      <c r="H22" s="12">
        <v>2</v>
      </c>
      <c r="I22" s="12">
        <v>256</v>
      </c>
      <c r="J22" s="12">
        <v>30</v>
      </c>
      <c r="K22" s="14">
        <f t="shared" si="14"/>
        <v>1</v>
      </c>
      <c r="L22" s="8">
        <v>256</v>
      </c>
      <c r="M22" s="12">
        <v>128</v>
      </c>
      <c r="N22" s="15">
        <f t="shared" si="20"/>
        <v>431.15789473684208</v>
      </c>
      <c r="O22" s="15">
        <f t="shared" si="21"/>
        <v>2184.5333333333333</v>
      </c>
      <c r="P22" s="15">
        <f t="shared" si="22"/>
        <v>256</v>
      </c>
      <c r="Q22" s="15">
        <f t="shared" si="23"/>
        <v>2615.6912280701754</v>
      </c>
      <c r="R22" s="15">
        <f t="shared" si="15"/>
        <v>128</v>
      </c>
      <c r="S22" s="15">
        <f t="shared" si="16"/>
        <v>2184.5333333333333</v>
      </c>
      <c r="T22" s="15">
        <f t="shared" si="17"/>
        <v>256</v>
      </c>
      <c r="U22" s="15">
        <f t="shared" si="9"/>
        <v>2312.5333333333333</v>
      </c>
      <c r="V22" s="15">
        <f t="shared" si="18"/>
        <v>341.33333333333331</v>
      </c>
      <c r="W22" s="12">
        <f t="shared" si="10"/>
        <v>971</v>
      </c>
      <c r="X22" s="12">
        <v>20000</v>
      </c>
      <c r="Y22" s="16">
        <f t="shared" si="24"/>
        <v>6240.5578947368422</v>
      </c>
      <c r="Z22" s="11">
        <f t="shared" si="19"/>
        <v>6.2405578947368418E-3</v>
      </c>
      <c r="AB22" s="8">
        <v>6.5279000000000004E-2</v>
      </c>
      <c r="AC22">
        <v>6.3228999999999994E-2</v>
      </c>
      <c r="AD22" s="18">
        <f t="shared" si="12"/>
        <v>9.5598245909662247E-2</v>
      </c>
      <c r="AE22" s="18">
        <f t="shared" si="13"/>
        <v>9.8697716154562659E-2</v>
      </c>
    </row>
    <row r="23" spans="3:31" x14ac:dyDescent="0.25">
      <c r="C23" s="8">
        <v>2</v>
      </c>
      <c r="D23" s="8">
        <v>8</v>
      </c>
      <c r="E23" s="8">
        <v>1</v>
      </c>
      <c r="F23" s="12">
        <v>16</v>
      </c>
      <c r="G23" s="12">
        <v>2</v>
      </c>
      <c r="H23" s="12">
        <v>2</v>
      </c>
      <c r="I23" s="12">
        <v>256</v>
      </c>
      <c r="J23" s="12">
        <v>30</v>
      </c>
      <c r="K23" s="14">
        <f t="shared" si="14"/>
        <v>1</v>
      </c>
      <c r="L23" s="8">
        <v>256</v>
      </c>
      <c r="M23" s="12">
        <v>128</v>
      </c>
      <c r="N23" s="15">
        <f t="shared" si="20"/>
        <v>431.15789473684208</v>
      </c>
      <c r="O23" s="15">
        <f t="shared" si="21"/>
        <v>2184.5333333333333</v>
      </c>
      <c r="P23" s="15">
        <f t="shared" si="22"/>
        <v>256</v>
      </c>
      <c r="Q23" s="15">
        <f t="shared" si="23"/>
        <v>2615.6912280701754</v>
      </c>
      <c r="R23" s="15">
        <f t="shared" si="15"/>
        <v>128</v>
      </c>
      <c r="S23" s="15">
        <f t="shared" si="16"/>
        <v>2184.5333333333333</v>
      </c>
      <c r="T23" s="15">
        <f t="shared" si="17"/>
        <v>256</v>
      </c>
      <c r="U23" s="15">
        <f t="shared" si="9"/>
        <v>2312.5333333333333</v>
      </c>
      <c r="V23" s="15">
        <f t="shared" si="18"/>
        <v>341.33333333333331</v>
      </c>
      <c r="W23" s="12">
        <f t="shared" si="10"/>
        <v>971</v>
      </c>
      <c r="X23" s="12">
        <v>20000</v>
      </c>
      <c r="Y23" s="16">
        <f t="shared" si="24"/>
        <v>6240.5578947368422</v>
      </c>
      <c r="Z23" s="11">
        <f t="shared" si="19"/>
        <v>6.2405578947368418E-3</v>
      </c>
      <c r="AB23" s="8">
        <v>6.5935999999999995E-2</v>
      </c>
      <c r="AC23">
        <v>6.4759999999999998E-2</v>
      </c>
      <c r="AD23" s="18">
        <f t="shared" si="12"/>
        <v>9.4645685130078289E-2</v>
      </c>
      <c r="AE23" s="18">
        <f t="shared" si="13"/>
        <v>9.6364389974318135E-2</v>
      </c>
    </row>
    <row r="24" spans="3:31" x14ac:dyDescent="0.25">
      <c r="C24">
        <v>4</v>
      </c>
      <c r="D24">
        <v>8</v>
      </c>
      <c r="E24">
        <v>1</v>
      </c>
      <c r="F24" s="12">
        <v>16</v>
      </c>
      <c r="G24" s="12">
        <v>2</v>
      </c>
      <c r="H24" s="12">
        <v>2</v>
      </c>
      <c r="I24" s="12">
        <v>256</v>
      </c>
      <c r="J24" s="12">
        <v>30</v>
      </c>
      <c r="K24" s="14">
        <f t="shared" si="14"/>
        <v>1</v>
      </c>
      <c r="L24">
        <v>256</v>
      </c>
      <c r="M24" s="12">
        <v>128</v>
      </c>
      <c r="N24" s="15">
        <f t="shared" si="20"/>
        <v>431.15789473684208</v>
      </c>
      <c r="O24" s="15">
        <f t="shared" si="21"/>
        <v>2184.5333333333333</v>
      </c>
      <c r="P24" s="15">
        <f t="shared" si="22"/>
        <v>256</v>
      </c>
      <c r="Q24" s="15">
        <f t="shared" si="23"/>
        <v>2615.6912280701754</v>
      </c>
      <c r="R24" s="15">
        <f t="shared" si="15"/>
        <v>128</v>
      </c>
      <c r="S24" s="15">
        <f t="shared" si="16"/>
        <v>2184.5333333333333</v>
      </c>
      <c r="T24" s="15">
        <f t="shared" si="17"/>
        <v>256</v>
      </c>
      <c r="U24" s="15">
        <f t="shared" si="9"/>
        <v>2312.5333333333333</v>
      </c>
      <c r="V24" s="15">
        <f t="shared" si="18"/>
        <v>341.33333333333331</v>
      </c>
      <c r="W24" s="12">
        <f t="shared" si="10"/>
        <v>971</v>
      </c>
      <c r="X24" s="12">
        <v>20000</v>
      </c>
      <c r="Y24" s="16">
        <f t="shared" si="24"/>
        <v>6240.5578947368422</v>
      </c>
      <c r="Z24" s="11">
        <f t="shared" si="19"/>
        <v>6.2405578947368418E-3</v>
      </c>
      <c r="AB24">
        <v>6.5768999999999994E-2</v>
      </c>
      <c r="AC24">
        <v>6.4320000000000002E-2</v>
      </c>
      <c r="AD24" s="18">
        <f t="shared" si="12"/>
        <v>9.4886008525853244E-2</v>
      </c>
      <c r="AE24" s="18">
        <f t="shared" si="13"/>
        <v>9.7023599109714573E-2</v>
      </c>
    </row>
    <row r="25" spans="3:31" x14ac:dyDescent="0.25">
      <c r="C25">
        <v>8</v>
      </c>
      <c r="D25">
        <v>8</v>
      </c>
      <c r="E25">
        <v>1</v>
      </c>
      <c r="F25" s="12">
        <v>16</v>
      </c>
      <c r="G25" s="12">
        <v>2</v>
      </c>
      <c r="H25" s="12">
        <v>2</v>
      </c>
      <c r="I25" s="12">
        <v>256</v>
      </c>
      <c r="J25" s="12">
        <v>30</v>
      </c>
      <c r="K25" s="14">
        <f t="shared" si="14"/>
        <v>1</v>
      </c>
      <c r="L25">
        <v>256</v>
      </c>
      <c r="M25" s="12">
        <v>128</v>
      </c>
      <c r="N25" s="15">
        <f t="shared" si="20"/>
        <v>431.15789473684208</v>
      </c>
      <c r="O25" s="15">
        <f t="shared" si="21"/>
        <v>2184.5333333333333</v>
      </c>
      <c r="P25" s="15">
        <f t="shared" si="22"/>
        <v>256</v>
      </c>
      <c r="Q25" s="15">
        <f t="shared" si="23"/>
        <v>2615.6912280701754</v>
      </c>
      <c r="R25" s="15">
        <f t="shared" si="15"/>
        <v>128</v>
      </c>
      <c r="S25" s="15">
        <f t="shared" si="16"/>
        <v>2184.5333333333333</v>
      </c>
      <c r="T25" s="15">
        <f t="shared" si="17"/>
        <v>256</v>
      </c>
      <c r="U25" s="15">
        <f t="shared" si="9"/>
        <v>2312.5333333333333</v>
      </c>
      <c r="V25" s="15">
        <f t="shared" si="18"/>
        <v>341.33333333333331</v>
      </c>
      <c r="W25" s="12">
        <f t="shared" si="10"/>
        <v>971</v>
      </c>
      <c r="X25" s="12">
        <v>20000</v>
      </c>
      <c r="Y25" s="16">
        <f t="shared" si="24"/>
        <v>6240.5578947368422</v>
      </c>
      <c r="Z25" s="11">
        <f t="shared" si="19"/>
        <v>6.2405578947368418E-3</v>
      </c>
      <c r="AB25">
        <v>6.7302000000000001E-2</v>
      </c>
      <c r="AC25">
        <v>6.5947000000000006E-2</v>
      </c>
      <c r="AD25" s="18">
        <f t="shared" si="12"/>
        <v>9.2724702010888851E-2</v>
      </c>
      <c r="AE25" s="18">
        <f t="shared" si="13"/>
        <v>9.4629898171817384E-2</v>
      </c>
    </row>
    <row r="26" spans="3:31" x14ac:dyDescent="0.25">
      <c r="C26">
        <v>16</v>
      </c>
      <c r="D26">
        <v>8</v>
      </c>
      <c r="E26">
        <v>1</v>
      </c>
      <c r="F26" s="12">
        <v>16</v>
      </c>
      <c r="G26" s="12">
        <v>2</v>
      </c>
      <c r="H26" s="12">
        <v>2</v>
      </c>
      <c r="I26" s="12">
        <v>256</v>
      </c>
      <c r="J26" s="12">
        <v>30</v>
      </c>
      <c r="K26" s="14">
        <f t="shared" si="14"/>
        <v>1</v>
      </c>
      <c r="L26">
        <v>256</v>
      </c>
      <c r="M26" s="12">
        <v>128</v>
      </c>
      <c r="N26" s="15">
        <f t="shared" si="20"/>
        <v>431.15789473684208</v>
      </c>
      <c r="O26" s="15">
        <f t="shared" si="21"/>
        <v>2184.5333333333333</v>
      </c>
      <c r="P26" s="15">
        <f t="shared" si="22"/>
        <v>256</v>
      </c>
      <c r="Q26" s="15">
        <f t="shared" si="23"/>
        <v>2615.6912280701754</v>
      </c>
      <c r="R26" s="15">
        <f t="shared" si="15"/>
        <v>128</v>
      </c>
      <c r="S26" s="15">
        <f t="shared" si="16"/>
        <v>2184.5333333333333</v>
      </c>
      <c r="T26" s="15">
        <f t="shared" si="17"/>
        <v>256</v>
      </c>
      <c r="U26" s="15">
        <f t="shared" si="9"/>
        <v>2312.5333333333333</v>
      </c>
      <c r="V26" s="15">
        <f t="shared" si="18"/>
        <v>341.33333333333331</v>
      </c>
      <c r="W26" s="12">
        <f t="shared" si="10"/>
        <v>971</v>
      </c>
      <c r="X26" s="12">
        <v>20000</v>
      </c>
      <c r="Y26" s="16">
        <f t="shared" si="24"/>
        <v>6240.5578947368422</v>
      </c>
      <c r="Z26" s="11">
        <f t="shared" si="19"/>
        <v>6.2405578947368418E-3</v>
      </c>
      <c r="AB26">
        <v>6.8060999999999997E-2</v>
      </c>
      <c r="AC26">
        <v>6.6416000000000003E-2</v>
      </c>
      <c r="AD26" s="18">
        <f t="shared" si="12"/>
        <v>9.1690658302652647E-2</v>
      </c>
      <c r="AE26" s="18">
        <f t="shared" si="13"/>
        <v>9.3961664278740684E-2</v>
      </c>
    </row>
    <row r="27" spans="3:31" x14ac:dyDescent="0.25">
      <c r="C27">
        <v>32</v>
      </c>
      <c r="D27">
        <v>8</v>
      </c>
      <c r="E27">
        <v>1</v>
      </c>
      <c r="F27" s="12">
        <v>16</v>
      </c>
      <c r="G27" s="12">
        <v>2</v>
      </c>
      <c r="H27" s="12">
        <v>2</v>
      </c>
      <c r="I27" s="12">
        <v>256</v>
      </c>
      <c r="J27" s="12">
        <v>30</v>
      </c>
      <c r="K27" s="14">
        <f t="shared" ref="K27:K90" si="25">_xlfn.CEILING.MATH(C27*E27/F27)</f>
        <v>2</v>
      </c>
      <c r="L27">
        <v>256</v>
      </c>
      <c r="M27" s="12">
        <v>128</v>
      </c>
      <c r="N27" s="15">
        <f t="shared" si="20"/>
        <v>862.31578947368416</v>
      </c>
      <c r="O27" s="15">
        <f t="shared" si="21"/>
        <v>4369.0666666666666</v>
      </c>
      <c r="P27" s="15">
        <f t="shared" si="22"/>
        <v>512</v>
      </c>
      <c r="Q27" s="15">
        <f t="shared" si="23"/>
        <v>5231.3824561403508</v>
      </c>
      <c r="R27" s="15">
        <f t="shared" si="15"/>
        <v>256</v>
      </c>
      <c r="S27" s="15">
        <f t="shared" si="16"/>
        <v>4369.0666666666666</v>
      </c>
      <c r="T27" s="15">
        <f t="shared" si="17"/>
        <v>512</v>
      </c>
      <c r="U27" s="15">
        <f t="shared" si="9"/>
        <v>4625.0666666666666</v>
      </c>
      <c r="V27" s="15">
        <f t="shared" si="18"/>
        <v>682.66666666666663</v>
      </c>
      <c r="W27" s="12">
        <f t="shared" si="10"/>
        <v>1942</v>
      </c>
      <c r="X27" s="12">
        <v>20000</v>
      </c>
      <c r="Y27" s="16">
        <f t="shared" si="24"/>
        <v>12481.115789473684</v>
      </c>
      <c r="Z27" s="11">
        <f t="shared" si="19"/>
        <v>1.2481115789473684E-2</v>
      </c>
      <c r="AB27">
        <v>7.6894000000000004E-2</v>
      </c>
      <c r="AC27">
        <v>7.9856999999999997E-2</v>
      </c>
      <c r="AD27" s="18">
        <f t="shared" si="12"/>
        <v>0.1623158606584868</v>
      </c>
      <c r="AE27" s="18">
        <f t="shared" si="13"/>
        <v>0.15629332168092572</v>
      </c>
    </row>
    <row r="28" spans="3:31" x14ac:dyDescent="0.25">
      <c r="C28">
        <v>64</v>
      </c>
      <c r="D28">
        <v>8</v>
      </c>
      <c r="E28">
        <v>1</v>
      </c>
      <c r="F28" s="12">
        <v>16</v>
      </c>
      <c r="G28" s="12">
        <v>2</v>
      </c>
      <c r="H28" s="12">
        <v>2</v>
      </c>
      <c r="I28" s="12">
        <v>256</v>
      </c>
      <c r="J28" s="12">
        <v>30</v>
      </c>
      <c r="K28" s="14">
        <f t="shared" si="25"/>
        <v>4</v>
      </c>
      <c r="L28">
        <v>256</v>
      </c>
      <c r="M28" s="12">
        <v>128</v>
      </c>
      <c r="N28" s="15">
        <f t="shared" si="20"/>
        <v>1724.6315789473683</v>
      </c>
      <c r="O28" s="15">
        <f t="shared" si="21"/>
        <v>8738.1333333333332</v>
      </c>
      <c r="P28" s="15">
        <f t="shared" si="22"/>
        <v>1024</v>
      </c>
      <c r="Q28" s="15">
        <f t="shared" si="23"/>
        <v>10462.764912280702</v>
      </c>
      <c r="R28" s="15">
        <f t="shared" si="15"/>
        <v>512</v>
      </c>
      <c r="S28" s="15">
        <f t="shared" si="16"/>
        <v>8738.1333333333332</v>
      </c>
      <c r="T28" s="15">
        <f t="shared" si="17"/>
        <v>1024</v>
      </c>
      <c r="U28" s="15">
        <f t="shared" si="9"/>
        <v>9250.1333333333332</v>
      </c>
      <c r="V28" s="15">
        <f t="shared" si="18"/>
        <v>1365.3333333333333</v>
      </c>
      <c r="W28" s="12">
        <f t="shared" si="10"/>
        <v>3884</v>
      </c>
      <c r="X28" s="12">
        <v>20000</v>
      </c>
      <c r="Y28" s="16">
        <f t="shared" si="24"/>
        <v>24962.231578947369</v>
      </c>
      <c r="Z28" s="11">
        <f t="shared" si="19"/>
        <v>2.4962231578947367E-2</v>
      </c>
      <c r="AB28">
        <v>9.7001000000000004E-2</v>
      </c>
      <c r="AC28">
        <v>0.104116</v>
      </c>
      <c r="AD28" s="18">
        <f t="shared" si="12"/>
        <v>0.25733994060831711</v>
      </c>
      <c r="AE28" s="18">
        <f t="shared" si="13"/>
        <v>0.23975403952271857</v>
      </c>
    </row>
    <row r="29" spans="3:31" x14ac:dyDescent="0.25">
      <c r="C29">
        <v>128</v>
      </c>
      <c r="D29">
        <v>8</v>
      </c>
      <c r="E29">
        <v>1</v>
      </c>
      <c r="F29" s="12">
        <v>16</v>
      </c>
      <c r="G29" s="12">
        <v>2</v>
      </c>
      <c r="H29" s="12">
        <v>2</v>
      </c>
      <c r="I29" s="12">
        <v>256</v>
      </c>
      <c r="J29" s="12">
        <v>30</v>
      </c>
      <c r="K29" s="14">
        <f t="shared" si="25"/>
        <v>8</v>
      </c>
      <c r="L29">
        <v>256</v>
      </c>
      <c r="M29" s="12">
        <v>128</v>
      </c>
      <c r="N29" s="15">
        <f t="shared" si="20"/>
        <v>3449.2631578947367</v>
      </c>
      <c r="O29" s="15">
        <f t="shared" si="21"/>
        <v>17476.266666666666</v>
      </c>
      <c r="P29" s="15">
        <f t="shared" si="22"/>
        <v>2048</v>
      </c>
      <c r="Q29" s="15">
        <f t="shared" si="23"/>
        <v>20925.529824561403</v>
      </c>
      <c r="R29" s="15">
        <f t="shared" si="15"/>
        <v>1024</v>
      </c>
      <c r="S29" s="15">
        <f t="shared" si="16"/>
        <v>17476.266666666666</v>
      </c>
      <c r="T29" s="15">
        <f t="shared" si="17"/>
        <v>2048</v>
      </c>
      <c r="U29" s="15">
        <f t="shared" si="9"/>
        <v>18500.266666666666</v>
      </c>
      <c r="V29" s="15">
        <f t="shared" si="18"/>
        <v>2730.6666666666665</v>
      </c>
      <c r="W29" s="12">
        <f t="shared" si="10"/>
        <v>7768</v>
      </c>
      <c r="X29" s="12">
        <v>20000</v>
      </c>
      <c r="Y29" s="16">
        <f t="shared" si="24"/>
        <v>49924.463157894737</v>
      </c>
      <c r="Z29" s="11">
        <f t="shared" si="19"/>
        <v>4.9924463157894734E-2</v>
      </c>
      <c r="AB29">
        <v>0.135659</v>
      </c>
      <c r="AC29">
        <v>0.151919</v>
      </c>
      <c r="AD29" s="18">
        <f t="shared" si="12"/>
        <v>0.36801438281201199</v>
      </c>
      <c r="AE29" s="18">
        <f t="shared" si="13"/>
        <v>0.32862553833223451</v>
      </c>
    </row>
    <row r="30" spans="3:31" x14ac:dyDescent="0.25">
      <c r="C30">
        <v>256</v>
      </c>
      <c r="D30">
        <v>8</v>
      </c>
      <c r="E30">
        <v>1</v>
      </c>
      <c r="F30" s="12">
        <v>16</v>
      </c>
      <c r="G30" s="12">
        <v>2</v>
      </c>
      <c r="H30" s="12">
        <v>2</v>
      </c>
      <c r="I30" s="12">
        <v>256</v>
      </c>
      <c r="J30" s="12">
        <v>30</v>
      </c>
      <c r="K30" s="14">
        <f t="shared" si="25"/>
        <v>16</v>
      </c>
      <c r="L30">
        <v>256</v>
      </c>
      <c r="M30" s="12">
        <v>128</v>
      </c>
      <c r="N30" s="15">
        <f t="shared" si="20"/>
        <v>6898.5263157894733</v>
      </c>
      <c r="O30" s="15">
        <f t="shared" si="21"/>
        <v>34952.533333333333</v>
      </c>
      <c r="P30" s="15">
        <f t="shared" si="22"/>
        <v>4096</v>
      </c>
      <c r="Q30" s="15">
        <f t="shared" si="23"/>
        <v>41851.059649122806</v>
      </c>
      <c r="R30" s="15">
        <f t="shared" si="15"/>
        <v>2048</v>
      </c>
      <c r="S30" s="15">
        <f t="shared" si="16"/>
        <v>34952.533333333333</v>
      </c>
      <c r="T30" s="15">
        <f t="shared" si="17"/>
        <v>4096</v>
      </c>
      <c r="U30" s="15">
        <f t="shared" si="9"/>
        <v>37000.533333333333</v>
      </c>
      <c r="V30" s="15">
        <f t="shared" si="18"/>
        <v>5461.333333333333</v>
      </c>
      <c r="W30" s="12">
        <f t="shared" si="10"/>
        <v>15536</v>
      </c>
      <c r="X30" s="12">
        <v>20000</v>
      </c>
      <c r="Y30" s="16">
        <f t="shared" si="24"/>
        <v>99848.926315789475</v>
      </c>
      <c r="Z30" s="11">
        <f t="shared" si="19"/>
        <v>9.9848926315789469E-2</v>
      </c>
      <c r="AB30">
        <v>0.214535</v>
      </c>
      <c r="AC30">
        <v>0.24712700000000001</v>
      </c>
      <c r="AD30" s="18">
        <f t="shared" si="12"/>
        <v>0.46542021728757299</v>
      </c>
      <c r="AE30" s="18">
        <f t="shared" si="13"/>
        <v>0.4040389205379803</v>
      </c>
    </row>
    <row r="31" spans="3:31" x14ac:dyDescent="0.25">
      <c r="C31">
        <v>512</v>
      </c>
      <c r="D31">
        <v>8</v>
      </c>
      <c r="E31">
        <v>1</v>
      </c>
      <c r="F31" s="12">
        <v>16</v>
      </c>
      <c r="G31" s="12">
        <v>2</v>
      </c>
      <c r="H31" s="12">
        <v>2</v>
      </c>
      <c r="I31" s="12">
        <v>256</v>
      </c>
      <c r="J31" s="12">
        <v>30</v>
      </c>
      <c r="K31" s="14">
        <f t="shared" si="25"/>
        <v>32</v>
      </c>
      <c r="L31">
        <v>256</v>
      </c>
      <c r="M31" s="12">
        <v>128</v>
      </c>
      <c r="N31" s="15">
        <f t="shared" si="20"/>
        <v>13797.052631578947</v>
      </c>
      <c r="O31" s="15">
        <f t="shared" si="21"/>
        <v>69905.066666666666</v>
      </c>
      <c r="P31" s="15">
        <f t="shared" si="22"/>
        <v>8192</v>
      </c>
      <c r="Q31" s="15">
        <f t="shared" si="23"/>
        <v>83702.119298245612</v>
      </c>
      <c r="R31" s="15">
        <f t="shared" si="15"/>
        <v>4096</v>
      </c>
      <c r="S31" s="15">
        <f t="shared" si="16"/>
        <v>69905.066666666666</v>
      </c>
      <c r="T31" s="15">
        <f t="shared" si="17"/>
        <v>8192</v>
      </c>
      <c r="U31" s="15">
        <f t="shared" si="9"/>
        <v>74001.066666666666</v>
      </c>
      <c r="V31" s="15">
        <f t="shared" si="18"/>
        <v>10922.666666666666</v>
      </c>
      <c r="W31" s="12">
        <f t="shared" si="10"/>
        <v>31072</v>
      </c>
      <c r="X31" s="12">
        <v>20000</v>
      </c>
      <c r="Y31" s="16">
        <f t="shared" si="24"/>
        <v>199697.85263157895</v>
      </c>
      <c r="Z31" s="11">
        <f t="shared" si="19"/>
        <v>0.19969785263157894</v>
      </c>
      <c r="AB31">
        <v>0.37137799999999999</v>
      </c>
      <c r="AC31">
        <v>0.44086399999999998</v>
      </c>
      <c r="AD31" s="18">
        <f t="shared" si="12"/>
        <v>0.5377212775974316</v>
      </c>
      <c r="AE31" s="18">
        <f t="shared" si="13"/>
        <v>0.45296928901334416</v>
      </c>
    </row>
    <row r="32" spans="3:31" x14ac:dyDescent="0.25">
      <c r="C32" s="8">
        <v>1</v>
      </c>
      <c r="D32" s="8">
        <v>8</v>
      </c>
      <c r="E32" s="8">
        <v>1</v>
      </c>
      <c r="F32" s="12">
        <v>16</v>
      </c>
      <c r="G32" s="12">
        <v>2</v>
      </c>
      <c r="H32" s="12">
        <v>2</v>
      </c>
      <c r="I32" s="12">
        <v>256</v>
      </c>
      <c r="J32" s="12">
        <v>30</v>
      </c>
      <c r="K32" s="14">
        <f t="shared" si="25"/>
        <v>1</v>
      </c>
      <c r="L32" s="8">
        <v>512</v>
      </c>
      <c r="M32" s="12">
        <v>128</v>
      </c>
      <c r="N32" s="15">
        <f t="shared" si="20"/>
        <v>431.15789473684208</v>
      </c>
      <c r="O32" s="15">
        <f t="shared" si="21"/>
        <v>4369.0666666666666</v>
      </c>
      <c r="P32" s="15">
        <f t="shared" si="22"/>
        <v>512</v>
      </c>
      <c r="Q32" s="15">
        <f t="shared" si="23"/>
        <v>4800.2245614035091</v>
      </c>
      <c r="R32" s="15">
        <f t="shared" si="15"/>
        <v>256</v>
      </c>
      <c r="S32" s="15">
        <f t="shared" si="16"/>
        <v>4369.0666666666666</v>
      </c>
      <c r="T32" s="15">
        <f t="shared" si="17"/>
        <v>512</v>
      </c>
      <c r="U32" s="15">
        <f t="shared" si="9"/>
        <v>4625.0666666666666</v>
      </c>
      <c r="V32" s="15">
        <f t="shared" si="18"/>
        <v>341.33333333333331</v>
      </c>
      <c r="W32" s="12">
        <f t="shared" si="10"/>
        <v>1747</v>
      </c>
      <c r="X32" s="12">
        <v>20000</v>
      </c>
      <c r="Y32" s="16">
        <f t="shared" si="24"/>
        <v>11513.624561403509</v>
      </c>
      <c r="Z32" s="11">
        <f t="shared" si="19"/>
        <v>1.1513624561403509E-2</v>
      </c>
      <c r="AB32" s="8">
        <v>7.3385000000000006E-2</v>
      </c>
      <c r="AC32">
        <v>6.7854999999999999E-2</v>
      </c>
      <c r="AD32" s="18">
        <f t="shared" si="12"/>
        <v>0.15689343273698314</v>
      </c>
      <c r="AE32" s="18">
        <f t="shared" si="13"/>
        <v>0.16967982553096322</v>
      </c>
    </row>
    <row r="33" spans="3:31" x14ac:dyDescent="0.25">
      <c r="C33" s="8">
        <v>2</v>
      </c>
      <c r="D33" s="8">
        <v>8</v>
      </c>
      <c r="E33" s="8">
        <v>1</v>
      </c>
      <c r="F33" s="12">
        <v>16</v>
      </c>
      <c r="G33" s="12">
        <v>2</v>
      </c>
      <c r="H33" s="12">
        <v>2</v>
      </c>
      <c r="I33" s="12">
        <v>256</v>
      </c>
      <c r="J33" s="12">
        <v>30</v>
      </c>
      <c r="K33" s="14">
        <f t="shared" si="25"/>
        <v>1</v>
      </c>
      <c r="L33" s="8">
        <v>512</v>
      </c>
      <c r="M33" s="12">
        <v>128</v>
      </c>
      <c r="N33" s="15">
        <f t="shared" si="20"/>
        <v>431.15789473684208</v>
      </c>
      <c r="O33" s="15">
        <f t="shared" si="21"/>
        <v>4369.0666666666666</v>
      </c>
      <c r="P33" s="15">
        <f t="shared" si="22"/>
        <v>512</v>
      </c>
      <c r="Q33" s="15">
        <f t="shared" si="23"/>
        <v>4800.2245614035091</v>
      </c>
      <c r="R33" s="15">
        <f t="shared" si="15"/>
        <v>256</v>
      </c>
      <c r="S33" s="15">
        <f t="shared" si="16"/>
        <v>4369.0666666666666</v>
      </c>
      <c r="T33" s="15">
        <f t="shared" si="17"/>
        <v>512</v>
      </c>
      <c r="U33" s="15">
        <f t="shared" si="9"/>
        <v>4625.0666666666666</v>
      </c>
      <c r="V33" s="15">
        <f t="shared" si="18"/>
        <v>341.33333333333331</v>
      </c>
      <c r="W33" s="12">
        <f t="shared" si="10"/>
        <v>1747</v>
      </c>
      <c r="X33" s="12">
        <v>20000</v>
      </c>
      <c r="Y33" s="16">
        <f t="shared" si="24"/>
        <v>11513.624561403509</v>
      </c>
      <c r="Z33" s="11">
        <f t="shared" si="19"/>
        <v>1.1513624561403509E-2</v>
      </c>
      <c r="AB33" s="8">
        <v>7.5555999999999998E-2</v>
      </c>
      <c r="AC33">
        <v>7.0281999999999997E-2</v>
      </c>
      <c r="AD33" s="18">
        <f t="shared" si="12"/>
        <v>0.15238531104615793</v>
      </c>
      <c r="AE33" s="18">
        <f t="shared" si="13"/>
        <v>0.16382038873969879</v>
      </c>
    </row>
    <row r="34" spans="3:31" x14ac:dyDescent="0.25">
      <c r="C34">
        <v>4</v>
      </c>
      <c r="D34">
        <v>8</v>
      </c>
      <c r="E34">
        <v>1</v>
      </c>
      <c r="F34" s="12">
        <v>16</v>
      </c>
      <c r="G34" s="12">
        <v>2</v>
      </c>
      <c r="H34" s="12">
        <v>2</v>
      </c>
      <c r="I34" s="12">
        <v>256</v>
      </c>
      <c r="J34" s="12">
        <v>30</v>
      </c>
      <c r="K34" s="14">
        <f t="shared" si="25"/>
        <v>1</v>
      </c>
      <c r="L34">
        <v>512</v>
      </c>
      <c r="M34" s="12">
        <v>128</v>
      </c>
      <c r="N34" s="15">
        <f t="shared" si="20"/>
        <v>431.15789473684208</v>
      </c>
      <c r="O34" s="15">
        <f t="shared" si="21"/>
        <v>4369.0666666666666</v>
      </c>
      <c r="P34" s="15">
        <f t="shared" si="22"/>
        <v>512</v>
      </c>
      <c r="Q34" s="15">
        <f t="shared" si="23"/>
        <v>4800.2245614035091</v>
      </c>
      <c r="R34" s="15">
        <f t="shared" si="15"/>
        <v>256</v>
      </c>
      <c r="S34" s="15">
        <f t="shared" si="16"/>
        <v>4369.0666666666666</v>
      </c>
      <c r="T34" s="15">
        <f t="shared" si="17"/>
        <v>512</v>
      </c>
      <c r="U34" s="15">
        <f t="shared" si="9"/>
        <v>4625.0666666666666</v>
      </c>
      <c r="V34" s="15">
        <f t="shared" si="18"/>
        <v>341.33333333333331</v>
      </c>
      <c r="W34" s="12">
        <f t="shared" si="10"/>
        <v>1747</v>
      </c>
      <c r="X34" s="12">
        <v>20000</v>
      </c>
      <c r="Y34" s="16">
        <f t="shared" si="24"/>
        <v>11513.624561403509</v>
      </c>
      <c r="Z34" s="11">
        <f t="shared" si="19"/>
        <v>1.1513624561403509E-2</v>
      </c>
      <c r="AB34">
        <v>7.5967000000000007E-2</v>
      </c>
      <c r="AC34">
        <v>7.0193000000000005E-2</v>
      </c>
      <c r="AD34" s="18">
        <f t="shared" si="12"/>
        <v>0.15156086934331364</v>
      </c>
      <c r="AE34" s="18">
        <f t="shared" si="13"/>
        <v>0.16402810196748263</v>
      </c>
    </row>
    <row r="35" spans="3:31" x14ac:dyDescent="0.25">
      <c r="C35">
        <v>8</v>
      </c>
      <c r="D35">
        <v>8</v>
      </c>
      <c r="E35">
        <v>1</v>
      </c>
      <c r="F35" s="12">
        <v>16</v>
      </c>
      <c r="G35" s="12">
        <v>2</v>
      </c>
      <c r="H35" s="12">
        <v>2</v>
      </c>
      <c r="I35" s="12">
        <v>256</v>
      </c>
      <c r="J35" s="12">
        <v>30</v>
      </c>
      <c r="K35" s="14">
        <f t="shared" si="25"/>
        <v>1</v>
      </c>
      <c r="L35">
        <v>512</v>
      </c>
      <c r="M35" s="12">
        <v>128</v>
      </c>
      <c r="N35" s="15">
        <f t="shared" si="20"/>
        <v>431.15789473684208</v>
      </c>
      <c r="O35" s="15">
        <f t="shared" si="21"/>
        <v>4369.0666666666666</v>
      </c>
      <c r="P35" s="15">
        <f t="shared" si="22"/>
        <v>512</v>
      </c>
      <c r="Q35" s="15">
        <f t="shared" si="23"/>
        <v>4800.2245614035091</v>
      </c>
      <c r="R35" s="15">
        <f t="shared" si="15"/>
        <v>256</v>
      </c>
      <c r="S35" s="15">
        <f t="shared" si="16"/>
        <v>4369.0666666666666</v>
      </c>
      <c r="T35" s="15">
        <f t="shared" si="17"/>
        <v>512</v>
      </c>
      <c r="U35" s="15">
        <f t="shared" si="9"/>
        <v>4625.0666666666666</v>
      </c>
      <c r="V35" s="15">
        <f t="shared" si="18"/>
        <v>341.33333333333331</v>
      </c>
      <c r="W35" s="12">
        <f t="shared" si="10"/>
        <v>1747</v>
      </c>
      <c r="X35" s="12">
        <v>20000</v>
      </c>
      <c r="Y35" s="16">
        <f t="shared" si="24"/>
        <v>11513.624561403509</v>
      </c>
      <c r="Z35" s="11">
        <f t="shared" si="19"/>
        <v>1.1513624561403509E-2</v>
      </c>
      <c r="AB35">
        <v>7.8756999999999994E-2</v>
      </c>
      <c r="AC35">
        <v>7.3665999999999995E-2</v>
      </c>
      <c r="AD35" s="18">
        <f t="shared" si="12"/>
        <v>0.14619176151203714</v>
      </c>
      <c r="AE35" s="18">
        <f t="shared" si="13"/>
        <v>0.15629496051643241</v>
      </c>
    </row>
    <row r="36" spans="3:31" x14ac:dyDescent="0.25">
      <c r="C36">
        <v>16</v>
      </c>
      <c r="D36">
        <v>8</v>
      </c>
      <c r="E36">
        <v>1</v>
      </c>
      <c r="F36" s="12">
        <v>16</v>
      </c>
      <c r="G36" s="12">
        <v>2</v>
      </c>
      <c r="H36" s="12">
        <v>2</v>
      </c>
      <c r="I36" s="12">
        <v>256</v>
      </c>
      <c r="J36" s="12">
        <v>30</v>
      </c>
      <c r="K36" s="14">
        <f t="shared" si="25"/>
        <v>1</v>
      </c>
      <c r="L36">
        <v>512</v>
      </c>
      <c r="M36" s="12">
        <v>128</v>
      </c>
      <c r="N36" s="15">
        <f t="shared" si="20"/>
        <v>431.15789473684208</v>
      </c>
      <c r="O36" s="15">
        <f t="shared" si="21"/>
        <v>4369.0666666666666</v>
      </c>
      <c r="P36" s="15">
        <f t="shared" si="22"/>
        <v>512</v>
      </c>
      <c r="Q36" s="15">
        <f t="shared" si="23"/>
        <v>4800.2245614035091</v>
      </c>
      <c r="R36" s="15">
        <f t="shared" si="15"/>
        <v>256</v>
      </c>
      <c r="S36" s="15">
        <f t="shared" si="16"/>
        <v>4369.0666666666666</v>
      </c>
      <c r="T36" s="15">
        <f t="shared" si="17"/>
        <v>512</v>
      </c>
      <c r="U36" s="15">
        <f t="shared" si="9"/>
        <v>4625.0666666666666</v>
      </c>
      <c r="V36" s="15">
        <f t="shared" si="18"/>
        <v>341.33333333333331</v>
      </c>
      <c r="W36" s="12">
        <f t="shared" si="10"/>
        <v>1747</v>
      </c>
      <c r="X36" s="12">
        <v>20000</v>
      </c>
      <c r="Y36" s="16">
        <f t="shared" si="24"/>
        <v>11513.624561403509</v>
      </c>
      <c r="Z36" s="11">
        <f t="shared" si="19"/>
        <v>1.1513624561403509E-2</v>
      </c>
      <c r="AB36">
        <v>7.9536999999999997E-2</v>
      </c>
      <c r="AC36">
        <v>7.4436000000000002E-2</v>
      </c>
      <c r="AD36" s="18">
        <f t="shared" si="12"/>
        <v>0.14475809448940127</v>
      </c>
      <c r="AE36" s="18">
        <f t="shared" si="13"/>
        <v>0.15467817402068232</v>
      </c>
    </row>
    <row r="37" spans="3:31" x14ac:dyDescent="0.25">
      <c r="C37">
        <v>32</v>
      </c>
      <c r="D37">
        <v>8</v>
      </c>
      <c r="E37">
        <v>1</v>
      </c>
      <c r="F37" s="12">
        <v>16</v>
      </c>
      <c r="G37" s="12">
        <v>2</v>
      </c>
      <c r="H37" s="12">
        <v>2</v>
      </c>
      <c r="I37" s="12">
        <v>256</v>
      </c>
      <c r="J37" s="12">
        <v>30</v>
      </c>
      <c r="K37" s="14">
        <f t="shared" si="25"/>
        <v>2</v>
      </c>
      <c r="L37">
        <v>512</v>
      </c>
      <c r="M37" s="12">
        <v>128</v>
      </c>
      <c r="N37" s="15">
        <f t="shared" si="20"/>
        <v>862.31578947368416</v>
      </c>
      <c r="O37" s="15">
        <f t="shared" si="21"/>
        <v>8738.1333333333332</v>
      </c>
      <c r="P37" s="15">
        <f t="shared" si="22"/>
        <v>1024</v>
      </c>
      <c r="Q37" s="15">
        <f t="shared" si="23"/>
        <v>9600.4491228070183</v>
      </c>
      <c r="R37" s="15">
        <f t="shared" si="15"/>
        <v>512</v>
      </c>
      <c r="S37" s="15">
        <f t="shared" si="16"/>
        <v>8738.1333333333332</v>
      </c>
      <c r="T37" s="15">
        <f t="shared" si="17"/>
        <v>1024</v>
      </c>
      <c r="U37" s="15">
        <f t="shared" si="9"/>
        <v>9250.1333333333332</v>
      </c>
      <c r="V37" s="15">
        <f t="shared" si="18"/>
        <v>682.66666666666663</v>
      </c>
      <c r="W37" s="12">
        <f t="shared" si="10"/>
        <v>3494</v>
      </c>
      <c r="X37" s="12">
        <v>20000</v>
      </c>
      <c r="Y37" s="16">
        <f t="shared" si="24"/>
        <v>23027.249122807018</v>
      </c>
      <c r="Z37" s="11">
        <f t="shared" si="19"/>
        <v>2.3027249122807018E-2</v>
      </c>
      <c r="AB37">
        <v>9.6170000000000005E-2</v>
      </c>
      <c r="AC37">
        <v>9.7199999999999995E-2</v>
      </c>
      <c r="AD37" s="18">
        <f t="shared" si="12"/>
        <v>0.23944316442556948</v>
      </c>
      <c r="AE37" s="18">
        <f t="shared" si="13"/>
        <v>0.23690585517291171</v>
      </c>
    </row>
    <row r="38" spans="3:31" x14ac:dyDescent="0.25">
      <c r="C38">
        <v>64</v>
      </c>
      <c r="D38">
        <v>8</v>
      </c>
      <c r="E38">
        <v>1</v>
      </c>
      <c r="F38" s="12">
        <v>16</v>
      </c>
      <c r="G38" s="12">
        <v>2</v>
      </c>
      <c r="H38" s="12">
        <v>2</v>
      </c>
      <c r="I38" s="12">
        <v>256</v>
      </c>
      <c r="J38" s="12">
        <v>30</v>
      </c>
      <c r="K38" s="14">
        <f t="shared" si="25"/>
        <v>4</v>
      </c>
      <c r="L38">
        <v>512</v>
      </c>
      <c r="M38" s="12">
        <v>128</v>
      </c>
      <c r="N38" s="15">
        <f t="shared" si="20"/>
        <v>1724.6315789473683</v>
      </c>
      <c r="O38" s="15">
        <f t="shared" si="21"/>
        <v>17476.266666666666</v>
      </c>
      <c r="P38" s="15">
        <f t="shared" si="22"/>
        <v>2048</v>
      </c>
      <c r="Q38" s="15">
        <f t="shared" si="23"/>
        <v>19200.898245614037</v>
      </c>
      <c r="R38" s="15">
        <f t="shared" si="15"/>
        <v>1024</v>
      </c>
      <c r="S38" s="15">
        <f t="shared" si="16"/>
        <v>17476.266666666666</v>
      </c>
      <c r="T38" s="15">
        <f t="shared" si="17"/>
        <v>2048</v>
      </c>
      <c r="U38" s="15">
        <f t="shared" si="9"/>
        <v>18500.266666666666</v>
      </c>
      <c r="V38" s="15">
        <f t="shared" si="18"/>
        <v>1365.3333333333333</v>
      </c>
      <c r="W38" s="12">
        <f t="shared" si="10"/>
        <v>6988</v>
      </c>
      <c r="X38" s="12">
        <v>20000</v>
      </c>
      <c r="Y38" s="16">
        <f t="shared" si="24"/>
        <v>46054.498245614035</v>
      </c>
      <c r="Z38" s="11">
        <f t="shared" si="19"/>
        <v>4.6054498245614035E-2</v>
      </c>
      <c r="AB38">
        <v>0.13566500000000001</v>
      </c>
      <c r="AC38">
        <v>0.13470699999999999</v>
      </c>
      <c r="AD38" s="18">
        <f t="shared" si="12"/>
        <v>0.33947221645681669</v>
      </c>
      <c r="AE38" s="18">
        <f t="shared" si="13"/>
        <v>0.3418864516737366</v>
      </c>
    </row>
    <row r="39" spans="3:31" x14ac:dyDescent="0.25">
      <c r="C39">
        <v>128</v>
      </c>
      <c r="D39">
        <v>8</v>
      </c>
      <c r="E39">
        <v>1</v>
      </c>
      <c r="F39" s="12">
        <v>16</v>
      </c>
      <c r="G39" s="12">
        <v>2</v>
      </c>
      <c r="H39" s="12">
        <v>2</v>
      </c>
      <c r="I39" s="12">
        <v>256</v>
      </c>
      <c r="J39" s="12">
        <v>30</v>
      </c>
      <c r="K39" s="14">
        <f t="shared" si="25"/>
        <v>8</v>
      </c>
      <c r="L39">
        <v>512</v>
      </c>
      <c r="M39" s="12">
        <v>128</v>
      </c>
      <c r="N39" s="15">
        <f t="shared" si="20"/>
        <v>3449.2631578947367</v>
      </c>
      <c r="O39" s="15">
        <f t="shared" si="21"/>
        <v>34952.533333333333</v>
      </c>
      <c r="P39" s="15">
        <f t="shared" si="22"/>
        <v>4096</v>
      </c>
      <c r="Q39" s="15">
        <f t="shared" si="23"/>
        <v>38401.796491228073</v>
      </c>
      <c r="R39" s="15">
        <f t="shared" si="15"/>
        <v>2048</v>
      </c>
      <c r="S39" s="15">
        <f t="shared" si="16"/>
        <v>34952.533333333333</v>
      </c>
      <c r="T39" s="15">
        <f t="shared" si="17"/>
        <v>4096</v>
      </c>
      <c r="U39" s="15">
        <f t="shared" si="9"/>
        <v>37000.533333333333</v>
      </c>
      <c r="V39" s="15">
        <f t="shared" si="18"/>
        <v>2730.6666666666665</v>
      </c>
      <c r="W39" s="12">
        <f t="shared" si="10"/>
        <v>13976</v>
      </c>
      <c r="X39" s="12">
        <v>20000</v>
      </c>
      <c r="Y39" s="16">
        <f t="shared" si="24"/>
        <v>92108.99649122807</v>
      </c>
      <c r="Z39" s="11">
        <f t="shared" si="19"/>
        <v>9.2108996491228071E-2</v>
      </c>
      <c r="AB39">
        <v>0.208178</v>
      </c>
      <c r="AC39">
        <v>0.212557</v>
      </c>
      <c r="AD39" s="18">
        <f t="shared" si="12"/>
        <v>0.44245307617148821</v>
      </c>
      <c r="AE39" s="18">
        <f t="shared" si="13"/>
        <v>0.43333786462562074</v>
      </c>
    </row>
    <row r="40" spans="3:31" x14ac:dyDescent="0.25">
      <c r="C40">
        <v>256</v>
      </c>
      <c r="D40">
        <v>8</v>
      </c>
      <c r="E40">
        <v>1</v>
      </c>
      <c r="F40" s="12">
        <v>16</v>
      </c>
      <c r="G40" s="12">
        <v>2</v>
      </c>
      <c r="H40" s="12">
        <v>2</v>
      </c>
      <c r="I40" s="12">
        <v>256</v>
      </c>
      <c r="J40" s="12">
        <v>30</v>
      </c>
      <c r="K40" s="14">
        <f t="shared" si="25"/>
        <v>16</v>
      </c>
      <c r="L40">
        <v>512</v>
      </c>
      <c r="M40" s="12">
        <v>128</v>
      </c>
      <c r="N40" s="15">
        <f t="shared" si="20"/>
        <v>6898.5263157894733</v>
      </c>
      <c r="O40" s="15">
        <f t="shared" si="21"/>
        <v>69905.066666666666</v>
      </c>
      <c r="P40" s="15">
        <f t="shared" si="22"/>
        <v>8192</v>
      </c>
      <c r="Q40" s="15">
        <f t="shared" si="23"/>
        <v>76803.592982456146</v>
      </c>
      <c r="R40" s="15">
        <f t="shared" si="15"/>
        <v>4096</v>
      </c>
      <c r="S40" s="15">
        <f t="shared" si="16"/>
        <v>69905.066666666666</v>
      </c>
      <c r="T40" s="15">
        <f t="shared" si="17"/>
        <v>8192</v>
      </c>
      <c r="U40" s="15">
        <f t="shared" si="9"/>
        <v>74001.066666666666</v>
      </c>
      <c r="V40" s="15">
        <f t="shared" si="18"/>
        <v>5461.333333333333</v>
      </c>
      <c r="W40" s="12">
        <f t="shared" si="10"/>
        <v>27952</v>
      </c>
      <c r="X40" s="12">
        <v>20000</v>
      </c>
      <c r="Y40" s="16">
        <f t="shared" si="24"/>
        <v>184217.99298245614</v>
      </c>
      <c r="Z40" s="11">
        <f t="shared" si="19"/>
        <v>0.18421799298245614</v>
      </c>
      <c r="AB40">
        <v>0.35464699999999999</v>
      </c>
      <c r="AC40">
        <v>0.36369099999999999</v>
      </c>
      <c r="AD40" s="18">
        <f t="shared" si="12"/>
        <v>0.51944043790714756</v>
      </c>
      <c r="AE40" s="18">
        <f t="shared" si="13"/>
        <v>0.50652337556457583</v>
      </c>
    </row>
    <row r="41" spans="3:31" x14ac:dyDescent="0.25">
      <c r="C41">
        <v>512</v>
      </c>
      <c r="D41">
        <v>8</v>
      </c>
      <c r="E41">
        <v>1</v>
      </c>
      <c r="F41" s="12">
        <v>16</v>
      </c>
      <c r="G41" s="12">
        <v>2</v>
      </c>
      <c r="H41" s="12">
        <v>2</v>
      </c>
      <c r="I41" s="12">
        <v>256</v>
      </c>
      <c r="J41" s="12">
        <v>30</v>
      </c>
      <c r="K41" s="14">
        <f t="shared" si="25"/>
        <v>32</v>
      </c>
      <c r="L41">
        <v>512</v>
      </c>
      <c r="M41" s="12">
        <v>128</v>
      </c>
      <c r="N41" s="15">
        <f t="shared" si="20"/>
        <v>13797.052631578947</v>
      </c>
      <c r="O41" s="15">
        <f t="shared" si="21"/>
        <v>139810.13333333333</v>
      </c>
      <c r="P41" s="15">
        <f t="shared" si="22"/>
        <v>16384</v>
      </c>
      <c r="Q41" s="15">
        <f t="shared" si="23"/>
        <v>153607.18596491229</v>
      </c>
      <c r="R41" s="15">
        <f t="shared" si="15"/>
        <v>8192</v>
      </c>
      <c r="S41" s="15">
        <f t="shared" si="16"/>
        <v>139810.13333333333</v>
      </c>
      <c r="T41" s="15">
        <f t="shared" si="17"/>
        <v>16384</v>
      </c>
      <c r="U41" s="15">
        <f t="shared" si="9"/>
        <v>148002.13333333333</v>
      </c>
      <c r="V41" s="15">
        <f t="shared" si="18"/>
        <v>10922.666666666666</v>
      </c>
      <c r="W41" s="12">
        <f t="shared" si="10"/>
        <v>55904</v>
      </c>
      <c r="X41" s="12">
        <v>20000</v>
      </c>
      <c r="Y41" s="16">
        <f t="shared" si="24"/>
        <v>368435.98596491228</v>
      </c>
      <c r="Z41" s="11">
        <f t="shared" si="19"/>
        <v>0.36843598596491228</v>
      </c>
      <c r="AB41">
        <v>0.63420500000000002</v>
      </c>
      <c r="AC41">
        <v>0.65984200000000004</v>
      </c>
      <c r="AD41" s="18">
        <f t="shared" si="12"/>
        <v>0.58094147155085862</v>
      </c>
      <c r="AE41" s="18">
        <f t="shared" si="13"/>
        <v>0.55837001276807519</v>
      </c>
    </row>
    <row r="42" spans="3:31" x14ac:dyDescent="0.25">
      <c r="C42" s="8">
        <v>1</v>
      </c>
      <c r="D42" s="8">
        <v>8</v>
      </c>
      <c r="E42" s="8">
        <v>1</v>
      </c>
      <c r="F42" s="12">
        <v>16</v>
      </c>
      <c r="G42" s="12">
        <v>2</v>
      </c>
      <c r="H42" s="12">
        <v>2</v>
      </c>
      <c r="I42" s="12">
        <v>256</v>
      </c>
      <c r="J42" s="12">
        <v>30</v>
      </c>
      <c r="K42" s="14">
        <f t="shared" si="25"/>
        <v>1</v>
      </c>
      <c r="L42" s="8">
        <f>1024</f>
        <v>1024</v>
      </c>
      <c r="M42" s="12">
        <v>128</v>
      </c>
      <c r="N42" s="15">
        <f t="shared" si="20"/>
        <v>431.15789473684208</v>
      </c>
      <c r="O42" s="15">
        <f t="shared" si="21"/>
        <v>8738.1333333333332</v>
      </c>
      <c r="P42" s="15">
        <f>64*M42*_xlfn.CEILING.MATH(L42/128)*128*K42/8192</f>
        <v>1024</v>
      </c>
      <c r="Q42" s="15">
        <f t="shared" si="23"/>
        <v>9169.2912280701748</v>
      </c>
      <c r="R42" s="15">
        <f t="shared" si="15"/>
        <v>512</v>
      </c>
      <c r="S42" s="15">
        <f t="shared" si="16"/>
        <v>8738.1333333333332</v>
      </c>
      <c r="T42" s="15">
        <f t="shared" si="17"/>
        <v>1024</v>
      </c>
      <c r="U42" s="15">
        <f t="shared" si="9"/>
        <v>9250.1333333333332</v>
      </c>
      <c r="V42" s="15">
        <f t="shared" si="18"/>
        <v>341.33333333333331</v>
      </c>
      <c r="W42" s="12">
        <f t="shared" si="10"/>
        <v>3299</v>
      </c>
      <c r="X42" s="12">
        <v>20000</v>
      </c>
      <c r="Y42" s="16">
        <f t="shared" si="24"/>
        <v>22059.757894736842</v>
      </c>
      <c r="Z42" s="11">
        <f t="shared" si="19"/>
        <v>2.2059757894736843E-2</v>
      </c>
      <c r="AB42" s="8">
        <v>9.1335E-2</v>
      </c>
      <c r="AC42">
        <v>7.7041999999999999E-2</v>
      </c>
      <c r="AD42" s="18">
        <f t="shared" si="12"/>
        <v>0.2415257885228756</v>
      </c>
      <c r="AE42" s="18">
        <f t="shared" si="13"/>
        <v>0.28633417998931548</v>
      </c>
    </row>
    <row r="43" spans="3:31" x14ac:dyDescent="0.25">
      <c r="C43" s="8">
        <v>2</v>
      </c>
      <c r="D43" s="8">
        <v>8</v>
      </c>
      <c r="E43" s="8">
        <v>1</v>
      </c>
      <c r="F43" s="12">
        <v>16</v>
      </c>
      <c r="G43" s="12">
        <v>2</v>
      </c>
      <c r="H43" s="12">
        <v>2</v>
      </c>
      <c r="I43" s="12">
        <v>256</v>
      </c>
      <c r="J43" s="12">
        <v>30</v>
      </c>
      <c r="K43" s="14">
        <f t="shared" si="25"/>
        <v>1</v>
      </c>
      <c r="L43" s="8">
        <f>1024</f>
        <v>1024</v>
      </c>
      <c r="M43" s="12">
        <v>128</v>
      </c>
      <c r="N43" s="15">
        <f t="shared" si="20"/>
        <v>431.15789473684208</v>
      </c>
      <c r="O43" s="15">
        <f t="shared" si="21"/>
        <v>8738.1333333333332</v>
      </c>
      <c r="P43" s="15">
        <f t="shared" si="22"/>
        <v>1024</v>
      </c>
      <c r="Q43" s="15">
        <f t="shared" si="23"/>
        <v>9169.2912280701748</v>
      </c>
      <c r="R43" s="15">
        <f t="shared" si="15"/>
        <v>512</v>
      </c>
      <c r="S43" s="15">
        <f t="shared" si="16"/>
        <v>8738.1333333333332</v>
      </c>
      <c r="T43" s="15">
        <f t="shared" si="17"/>
        <v>1024</v>
      </c>
      <c r="U43" s="15">
        <f t="shared" si="9"/>
        <v>9250.1333333333332</v>
      </c>
      <c r="V43" s="15">
        <f t="shared" si="18"/>
        <v>341.33333333333331</v>
      </c>
      <c r="W43" s="12">
        <f t="shared" si="10"/>
        <v>3299</v>
      </c>
      <c r="X43" s="12">
        <v>20000</v>
      </c>
      <c r="Y43" s="16">
        <f t="shared" si="24"/>
        <v>22059.757894736842</v>
      </c>
      <c r="Z43" s="11">
        <f t="shared" si="19"/>
        <v>2.2059757894736843E-2</v>
      </c>
      <c r="AB43" s="8">
        <v>9.5576999999999995E-2</v>
      </c>
      <c r="AC43">
        <v>8.1587999999999994E-2</v>
      </c>
      <c r="AD43" s="18">
        <f t="shared" si="12"/>
        <v>0.23080613426595148</v>
      </c>
      <c r="AE43" s="18">
        <f t="shared" si="13"/>
        <v>0.27037993203334859</v>
      </c>
    </row>
    <row r="44" spans="3:31" x14ac:dyDescent="0.25">
      <c r="C44" s="8">
        <v>4</v>
      </c>
      <c r="D44" s="8">
        <v>8</v>
      </c>
      <c r="E44" s="8">
        <v>1</v>
      </c>
      <c r="F44" s="12">
        <v>16</v>
      </c>
      <c r="G44" s="12">
        <v>2</v>
      </c>
      <c r="H44" s="12">
        <v>2</v>
      </c>
      <c r="I44" s="12">
        <v>256</v>
      </c>
      <c r="J44" s="12">
        <v>30</v>
      </c>
      <c r="K44" s="14">
        <f t="shared" si="25"/>
        <v>1</v>
      </c>
      <c r="L44" s="8">
        <f>1024</f>
        <v>1024</v>
      </c>
      <c r="M44" s="12">
        <v>128</v>
      </c>
      <c r="N44" s="15">
        <f t="shared" si="20"/>
        <v>431.15789473684208</v>
      </c>
      <c r="O44" s="15">
        <f t="shared" si="21"/>
        <v>8738.1333333333332</v>
      </c>
      <c r="P44" s="15">
        <f t="shared" si="22"/>
        <v>1024</v>
      </c>
      <c r="Q44" s="15">
        <f t="shared" si="23"/>
        <v>9169.2912280701748</v>
      </c>
      <c r="R44" s="15">
        <f t="shared" si="15"/>
        <v>512</v>
      </c>
      <c r="S44" s="15">
        <f t="shared" si="16"/>
        <v>8738.1333333333332</v>
      </c>
      <c r="T44" s="15">
        <f t="shared" si="17"/>
        <v>1024</v>
      </c>
      <c r="U44" s="15">
        <f t="shared" si="9"/>
        <v>9250.1333333333332</v>
      </c>
      <c r="V44" s="15">
        <f t="shared" si="18"/>
        <v>341.33333333333331</v>
      </c>
      <c r="W44" s="12">
        <f t="shared" si="10"/>
        <v>3299</v>
      </c>
      <c r="X44" s="12">
        <v>20000</v>
      </c>
      <c r="Y44" s="16">
        <f t="shared" si="24"/>
        <v>22059.757894736842</v>
      </c>
      <c r="Z44" s="11">
        <f t="shared" si="19"/>
        <v>2.2059757894736843E-2</v>
      </c>
      <c r="AB44" s="8">
        <v>9.5688999999999996E-2</v>
      </c>
      <c r="AC44">
        <v>8.1925999999999999E-2</v>
      </c>
      <c r="AD44" s="18">
        <f t="shared" si="12"/>
        <v>0.23053598527246438</v>
      </c>
      <c r="AE44" s="18">
        <f t="shared" si="13"/>
        <v>0.26926443247243664</v>
      </c>
    </row>
    <row r="45" spans="3:31" x14ac:dyDescent="0.25">
      <c r="C45">
        <v>8</v>
      </c>
      <c r="D45">
        <v>8</v>
      </c>
      <c r="E45">
        <v>1</v>
      </c>
      <c r="F45" s="12">
        <v>16</v>
      </c>
      <c r="G45" s="12">
        <v>2</v>
      </c>
      <c r="H45" s="12">
        <v>2</v>
      </c>
      <c r="I45" s="12">
        <v>256</v>
      </c>
      <c r="J45" s="12">
        <v>30</v>
      </c>
      <c r="K45" s="14">
        <f t="shared" si="25"/>
        <v>1</v>
      </c>
      <c r="L45">
        <f>1024</f>
        <v>1024</v>
      </c>
      <c r="M45" s="12">
        <v>128</v>
      </c>
      <c r="N45" s="15">
        <f t="shared" si="20"/>
        <v>431.15789473684208</v>
      </c>
      <c r="O45" s="15">
        <f t="shared" si="21"/>
        <v>8738.1333333333332</v>
      </c>
      <c r="P45" s="15">
        <f t="shared" si="22"/>
        <v>1024</v>
      </c>
      <c r="Q45" s="15">
        <f t="shared" si="23"/>
        <v>9169.2912280701748</v>
      </c>
      <c r="R45" s="15">
        <f t="shared" si="15"/>
        <v>512</v>
      </c>
      <c r="S45" s="15">
        <f t="shared" si="16"/>
        <v>8738.1333333333332</v>
      </c>
      <c r="T45" s="15">
        <f t="shared" si="17"/>
        <v>1024</v>
      </c>
      <c r="U45" s="15">
        <f t="shared" si="9"/>
        <v>9250.1333333333332</v>
      </c>
      <c r="V45" s="15">
        <f t="shared" si="18"/>
        <v>341.33333333333331</v>
      </c>
      <c r="W45" s="12">
        <f t="shared" si="10"/>
        <v>3299</v>
      </c>
      <c r="X45" s="12">
        <v>20000</v>
      </c>
      <c r="Y45" s="16">
        <f t="shared" si="24"/>
        <v>22059.757894736842</v>
      </c>
      <c r="Z45" s="11">
        <f t="shared" si="19"/>
        <v>2.2059757894736843E-2</v>
      </c>
      <c r="AB45">
        <v>0.101011</v>
      </c>
      <c r="AC45">
        <v>8.7368000000000001E-2</v>
      </c>
      <c r="AD45" s="18">
        <f t="shared" si="12"/>
        <v>0.21838965948992528</v>
      </c>
      <c r="AE45" s="18">
        <f t="shared" si="13"/>
        <v>0.25249242165022484</v>
      </c>
    </row>
    <row r="46" spans="3:31" x14ac:dyDescent="0.25">
      <c r="C46">
        <v>16</v>
      </c>
      <c r="D46">
        <v>8</v>
      </c>
      <c r="E46">
        <v>1</v>
      </c>
      <c r="F46" s="12">
        <v>16</v>
      </c>
      <c r="G46" s="12">
        <v>2</v>
      </c>
      <c r="H46" s="12">
        <v>2</v>
      </c>
      <c r="I46" s="12">
        <v>256</v>
      </c>
      <c r="J46" s="12">
        <v>30</v>
      </c>
      <c r="K46" s="14">
        <f t="shared" si="25"/>
        <v>1</v>
      </c>
      <c r="L46">
        <f>1024</f>
        <v>1024</v>
      </c>
      <c r="M46" s="12">
        <v>128</v>
      </c>
      <c r="N46" s="15">
        <f t="shared" si="20"/>
        <v>431.15789473684208</v>
      </c>
      <c r="O46" s="15">
        <f t="shared" si="21"/>
        <v>8738.1333333333332</v>
      </c>
      <c r="P46" s="15">
        <f t="shared" si="22"/>
        <v>1024</v>
      </c>
      <c r="Q46" s="15">
        <f t="shared" si="23"/>
        <v>9169.2912280701748</v>
      </c>
      <c r="R46" s="15">
        <f t="shared" si="15"/>
        <v>512</v>
      </c>
      <c r="S46" s="15">
        <f t="shared" si="16"/>
        <v>8738.1333333333332</v>
      </c>
      <c r="T46" s="15">
        <f t="shared" si="17"/>
        <v>1024</v>
      </c>
      <c r="U46" s="15">
        <f t="shared" si="9"/>
        <v>9250.1333333333332</v>
      </c>
      <c r="V46" s="15">
        <f t="shared" si="18"/>
        <v>341.33333333333331</v>
      </c>
      <c r="W46" s="12">
        <f t="shared" si="10"/>
        <v>3299</v>
      </c>
      <c r="X46" s="12">
        <v>20000</v>
      </c>
      <c r="Y46" s="16">
        <f t="shared" si="24"/>
        <v>22059.757894736842</v>
      </c>
      <c r="Z46" s="11">
        <f t="shared" si="19"/>
        <v>2.2059757894736843E-2</v>
      </c>
      <c r="AB46">
        <v>0.10489900000000001</v>
      </c>
      <c r="AC46">
        <v>9.1359999999999997E-2</v>
      </c>
      <c r="AD46" s="18">
        <f t="shared" si="12"/>
        <v>0.21029521630079259</v>
      </c>
      <c r="AE46" s="18">
        <f t="shared" si="13"/>
        <v>0.2414596967462439</v>
      </c>
    </row>
    <row r="47" spans="3:31" x14ac:dyDescent="0.25">
      <c r="C47">
        <v>32</v>
      </c>
      <c r="D47">
        <v>8</v>
      </c>
      <c r="E47">
        <v>1</v>
      </c>
      <c r="F47" s="12">
        <v>16</v>
      </c>
      <c r="G47" s="12">
        <v>2</v>
      </c>
      <c r="H47" s="12">
        <v>2</v>
      </c>
      <c r="I47" s="12">
        <v>256</v>
      </c>
      <c r="J47" s="12">
        <v>30</v>
      </c>
      <c r="K47" s="14">
        <f t="shared" si="25"/>
        <v>2</v>
      </c>
      <c r="L47">
        <f>1024</f>
        <v>1024</v>
      </c>
      <c r="M47" s="12">
        <v>128</v>
      </c>
      <c r="N47" s="15">
        <f t="shared" si="20"/>
        <v>862.31578947368416</v>
      </c>
      <c r="O47" s="15">
        <f t="shared" si="21"/>
        <v>17476.266666666666</v>
      </c>
      <c r="P47" s="15">
        <f t="shared" si="22"/>
        <v>2048</v>
      </c>
      <c r="Q47" s="15">
        <f t="shared" si="23"/>
        <v>18338.58245614035</v>
      </c>
      <c r="R47" s="15">
        <f t="shared" si="15"/>
        <v>1024</v>
      </c>
      <c r="S47" s="15">
        <f t="shared" si="16"/>
        <v>17476.266666666666</v>
      </c>
      <c r="T47" s="15">
        <f t="shared" si="17"/>
        <v>2048</v>
      </c>
      <c r="U47" s="15">
        <f t="shared" si="9"/>
        <v>18500.266666666666</v>
      </c>
      <c r="V47" s="15">
        <f t="shared" si="18"/>
        <v>682.66666666666663</v>
      </c>
      <c r="W47" s="12">
        <f t="shared" si="10"/>
        <v>6598</v>
      </c>
      <c r="X47" s="12">
        <v>20000</v>
      </c>
      <c r="Y47" s="16">
        <f t="shared" si="24"/>
        <v>44119.515789473684</v>
      </c>
      <c r="Z47" s="11">
        <f t="shared" si="19"/>
        <v>4.4119515789473686E-2</v>
      </c>
      <c r="AB47">
        <v>0.135875</v>
      </c>
      <c r="AC47">
        <v>0.127475</v>
      </c>
      <c r="AD47" s="18">
        <f t="shared" si="12"/>
        <v>0.32470664794460857</v>
      </c>
      <c r="AE47" s="18">
        <f t="shared" si="13"/>
        <v>0.34610328134515539</v>
      </c>
    </row>
    <row r="48" spans="3:31" x14ac:dyDescent="0.25">
      <c r="C48">
        <v>64</v>
      </c>
      <c r="D48">
        <v>8</v>
      </c>
      <c r="E48">
        <v>1</v>
      </c>
      <c r="F48" s="12">
        <v>16</v>
      </c>
      <c r="G48" s="12">
        <v>2</v>
      </c>
      <c r="H48" s="12">
        <v>2</v>
      </c>
      <c r="I48" s="12">
        <v>256</v>
      </c>
      <c r="J48" s="12">
        <v>30</v>
      </c>
      <c r="K48" s="14">
        <f t="shared" si="25"/>
        <v>4</v>
      </c>
      <c r="L48">
        <f>1024</f>
        <v>1024</v>
      </c>
      <c r="M48" s="12">
        <v>128</v>
      </c>
      <c r="N48" s="15">
        <f t="shared" si="20"/>
        <v>1724.6315789473683</v>
      </c>
      <c r="O48" s="15">
        <f t="shared" si="21"/>
        <v>34952.533333333333</v>
      </c>
      <c r="P48" s="15">
        <f t="shared" si="22"/>
        <v>4096</v>
      </c>
      <c r="Q48" s="15">
        <f t="shared" si="23"/>
        <v>36677.164912280699</v>
      </c>
      <c r="R48" s="15">
        <f t="shared" si="15"/>
        <v>2048</v>
      </c>
      <c r="S48" s="15">
        <f t="shared" si="16"/>
        <v>34952.533333333333</v>
      </c>
      <c r="T48" s="15">
        <f t="shared" si="17"/>
        <v>4096</v>
      </c>
      <c r="U48" s="15">
        <f t="shared" si="9"/>
        <v>37000.533333333333</v>
      </c>
      <c r="V48" s="15">
        <f t="shared" si="18"/>
        <v>1365.3333333333333</v>
      </c>
      <c r="W48" s="12">
        <f t="shared" si="10"/>
        <v>13196</v>
      </c>
      <c r="X48" s="12">
        <v>20000</v>
      </c>
      <c r="Y48" s="16">
        <f t="shared" si="24"/>
        <v>88239.031578947368</v>
      </c>
      <c r="Z48" s="11">
        <f t="shared" si="19"/>
        <v>8.8239031578947372E-2</v>
      </c>
      <c r="AB48">
        <v>0.20402799999999999</v>
      </c>
      <c r="AC48">
        <v>0.19656899999999999</v>
      </c>
      <c r="AD48" s="18">
        <f t="shared" si="12"/>
        <v>0.43248491177165577</v>
      </c>
      <c r="AE48" s="18">
        <f t="shared" si="13"/>
        <v>0.44889596822971767</v>
      </c>
    </row>
    <row r="49" spans="2:31" x14ac:dyDescent="0.25">
      <c r="C49">
        <v>128</v>
      </c>
      <c r="D49">
        <v>8</v>
      </c>
      <c r="E49">
        <v>1</v>
      </c>
      <c r="F49" s="12">
        <v>16</v>
      </c>
      <c r="G49" s="12">
        <v>2</v>
      </c>
      <c r="H49" s="12">
        <v>2</v>
      </c>
      <c r="I49" s="12">
        <v>256</v>
      </c>
      <c r="J49" s="12">
        <v>30</v>
      </c>
      <c r="K49" s="14">
        <f t="shared" si="25"/>
        <v>8</v>
      </c>
      <c r="L49">
        <f>1024</f>
        <v>1024</v>
      </c>
      <c r="M49" s="12">
        <v>128</v>
      </c>
      <c r="N49" s="15">
        <f t="shared" si="20"/>
        <v>3449.2631578947367</v>
      </c>
      <c r="O49" s="15">
        <f t="shared" si="21"/>
        <v>69905.066666666666</v>
      </c>
      <c r="P49" s="15">
        <f t="shared" si="22"/>
        <v>8192</v>
      </c>
      <c r="Q49" s="15">
        <f t="shared" si="23"/>
        <v>73354.329824561399</v>
      </c>
      <c r="R49" s="15">
        <f t="shared" si="15"/>
        <v>4096</v>
      </c>
      <c r="S49" s="15">
        <f t="shared" si="16"/>
        <v>69905.066666666666</v>
      </c>
      <c r="T49" s="15">
        <f t="shared" si="17"/>
        <v>8192</v>
      </c>
      <c r="U49" s="15">
        <f t="shared" si="9"/>
        <v>74001.066666666666</v>
      </c>
      <c r="V49" s="15">
        <f t="shared" si="18"/>
        <v>2730.6666666666665</v>
      </c>
      <c r="W49" s="12">
        <f t="shared" si="10"/>
        <v>26392</v>
      </c>
      <c r="X49" s="12">
        <v>20000</v>
      </c>
      <c r="Y49" s="16">
        <f t="shared" si="24"/>
        <v>176478.06315789474</v>
      </c>
      <c r="Z49" s="11">
        <f t="shared" si="19"/>
        <v>0.17647806315789474</v>
      </c>
      <c r="AB49">
        <v>0.34551900000000002</v>
      </c>
      <c r="AC49">
        <v>0.323019</v>
      </c>
      <c r="AD49" s="18">
        <f t="shared" si="12"/>
        <v>0.51076225376287476</v>
      </c>
      <c r="AE49" s="18">
        <f t="shared" si="13"/>
        <v>0.54633957494108631</v>
      </c>
    </row>
    <row r="50" spans="2:31" x14ac:dyDescent="0.25">
      <c r="C50">
        <v>256</v>
      </c>
      <c r="D50">
        <v>8</v>
      </c>
      <c r="E50">
        <v>1</v>
      </c>
      <c r="F50" s="12">
        <v>16</v>
      </c>
      <c r="G50" s="12">
        <v>2</v>
      </c>
      <c r="H50" s="12">
        <v>2</v>
      </c>
      <c r="I50" s="12">
        <v>256</v>
      </c>
      <c r="J50" s="12">
        <v>30</v>
      </c>
      <c r="K50" s="14">
        <f t="shared" si="25"/>
        <v>16</v>
      </c>
      <c r="L50">
        <f>1024</f>
        <v>1024</v>
      </c>
      <c r="M50" s="12">
        <v>128</v>
      </c>
      <c r="N50" s="15">
        <f t="shared" si="20"/>
        <v>6898.5263157894733</v>
      </c>
      <c r="O50" s="15">
        <f t="shared" si="21"/>
        <v>139810.13333333333</v>
      </c>
      <c r="P50" s="15">
        <f t="shared" si="22"/>
        <v>16384</v>
      </c>
      <c r="Q50" s="15">
        <f t="shared" si="23"/>
        <v>146708.6596491228</v>
      </c>
      <c r="R50" s="15">
        <f t="shared" si="15"/>
        <v>8192</v>
      </c>
      <c r="S50" s="15">
        <f t="shared" si="16"/>
        <v>139810.13333333333</v>
      </c>
      <c r="T50" s="15">
        <f t="shared" si="17"/>
        <v>16384</v>
      </c>
      <c r="U50" s="15">
        <f t="shared" si="9"/>
        <v>148002.13333333333</v>
      </c>
      <c r="V50" s="15">
        <f t="shared" si="18"/>
        <v>5461.333333333333</v>
      </c>
      <c r="W50" s="12">
        <f t="shared" si="10"/>
        <v>52784</v>
      </c>
      <c r="X50" s="12">
        <v>20000</v>
      </c>
      <c r="Y50" s="16">
        <f t="shared" si="24"/>
        <v>352956.12631578947</v>
      </c>
      <c r="Z50" s="11">
        <f t="shared" si="19"/>
        <v>0.35295612631578949</v>
      </c>
      <c r="AB50">
        <v>0.61458100000000004</v>
      </c>
      <c r="AC50">
        <v>0.566195</v>
      </c>
      <c r="AD50" s="18">
        <f t="shared" si="12"/>
        <v>0.57430367407353866</v>
      </c>
      <c r="AE50" s="18">
        <f t="shared" si="13"/>
        <v>0.62338262668478084</v>
      </c>
    </row>
    <row r="51" spans="2:31" x14ac:dyDescent="0.25">
      <c r="C51">
        <v>512</v>
      </c>
      <c r="D51">
        <v>8</v>
      </c>
      <c r="E51">
        <v>1</v>
      </c>
      <c r="F51" s="12">
        <v>16</v>
      </c>
      <c r="G51" s="12">
        <v>2</v>
      </c>
      <c r="H51" s="12">
        <v>2</v>
      </c>
      <c r="I51" s="12">
        <v>256</v>
      </c>
      <c r="J51" s="12">
        <v>30</v>
      </c>
      <c r="K51" s="14">
        <f t="shared" si="25"/>
        <v>32</v>
      </c>
      <c r="L51">
        <f>1024</f>
        <v>1024</v>
      </c>
      <c r="M51" s="12">
        <v>128</v>
      </c>
      <c r="N51" s="15">
        <f t="shared" si="20"/>
        <v>13797.052631578947</v>
      </c>
      <c r="O51" s="15">
        <f t="shared" si="21"/>
        <v>279620.26666666666</v>
      </c>
      <c r="P51" s="15">
        <f t="shared" si="22"/>
        <v>32768</v>
      </c>
      <c r="Q51" s="15">
        <f t="shared" si="23"/>
        <v>293417.31929824559</v>
      </c>
      <c r="R51" s="15">
        <f t="shared" si="15"/>
        <v>16384</v>
      </c>
      <c r="S51" s="15">
        <f t="shared" si="16"/>
        <v>279620.26666666666</v>
      </c>
      <c r="T51" s="15">
        <f t="shared" si="17"/>
        <v>32768</v>
      </c>
      <c r="U51" s="15">
        <f t="shared" si="9"/>
        <v>296004.26666666666</v>
      </c>
      <c r="V51" s="15">
        <f t="shared" si="18"/>
        <v>10922.666666666666</v>
      </c>
      <c r="W51" s="12">
        <f t="shared" si="10"/>
        <v>105568</v>
      </c>
      <c r="X51" s="12">
        <v>20000</v>
      </c>
      <c r="Y51" s="16">
        <f t="shared" si="24"/>
        <v>705912.25263157894</v>
      </c>
      <c r="Z51" s="11">
        <f t="shared" si="19"/>
        <v>0.70591225263157897</v>
      </c>
      <c r="AB51">
        <v>1.1362239999999999</v>
      </c>
      <c r="AC51">
        <v>1.0374760000000001</v>
      </c>
      <c r="AD51" s="18">
        <f t="shared" si="12"/>
        <v>0.62127912509468119</v>
      </c>
      <c r="AE51" s="18">
        <f t="shared" si="13"/>
        <v>0.68041309161038799</v>
      </c>
    </row>
    <row r="52" spans="2:31" x14ac:dyDescent="0.25">
      <c r="C52" s="8">
        <v>1</v>
      </c>
      <c r="D52" s="8">
        <v>8</v>
      </c>
      <c r="E52" s="8">
        <v>1</v>
      </c>
      <c r="F52" s="12">
        <v>16</v>
      </c>
      <c r="G52" s="12">
        <v>2</v>
      </c>
      <c r="H52" s="12">
        <v>2</v>
      </c>
      <c r="I52" s="12">
        <v>256</v>
      </c>
      <c r="J52" s="12">
        <v>30</v>
      </c>
      <c r="K52" s="14">
        <f t="shared" si="25"/>
        <v>1</v>
      </c>
      <c r="L52" s="8">
        <f>2048</f>
        <v>2048</v>
      </c>
      <c r="M52" s="12">
        <v>128</v>
      </c>
      <c r="N52" s="15">
        <f t="shared" si="20"/>
        <v>431.15789473684208</v>
      </c>
      <c r="O52" s="15">
        <f t="shared" si="21"/>
        <v>17476.266666666666</v>
      </c>
      <c r="P52" s="15">
        <f t="shared" si="22"/>
        <v>2048</v>
      </c>
      <c r="Q52" s="15">
        <f t="shared" si="23"/>
        <v>17907.42456140351</v>
      </c>
      <c r="R52" s="15">
        <f t="shared" si="15"/>
        <v>1024</v>
      </c>
      <c r="S52" s="15">
        <f t="shared" si="16"/>
        <v>17476.266666666666</v>
      </c>
      <c r="T52" s="15">
        <f t="shared" si="17"/>
        <v>2048</v>
      </c>
      <c r="U52" s="15">
        <f t="shared" si="9"/>
        <v>18500.266666666666</v>
      </c>
      <c r="V52" s="15">
        <f t="shared" si="18"/>
        <v>341.33333333333331</v>
      </c>
      <c r="W52" s="12">
        <f t="shared" si="10"/>
        <v>6403</v>
      </c>
      <c r="X52" s="12">
        <v>20000</v>
      </c>
      <c r="Y52" s="16">
        <f t="shared" si="24"/>
        <v>43152.024561403516</v>
      </c>
      <c r="Z52" s="11">
        <f t="shared" si="19"/>
        <v>4.3152024561403518E-2</v>
      </c>
      <c r="AB52" s="8">
        <v>0.125837</v>
      </c>
      <c r="AC52">
        <v>9.6602999999999994E-2</v>
      </c>
      <c r="AD52" s="18">
        <f t="shared" si="12"/>
        <v>0.34292000414348339</v>
      </c>
      <c r="AE52" s="18">
        <f t="shared" si="13"/>
        <v>0.44669445629435445</v>
      </c>
    </row>
    <row r="53" spans="2:31" x14ac:dyDescent="0.25">
      <c r="C53" s="8">
        <v>2</v>
      </c>
      <c r="D53" s="8">
        <v>8</v>
      </c>
      <c r="E53" s="8">
        <v>1</v>
      </c>
      <c r="F53" s="12">
        <v>16</v>
      </c>
      <c r="G53" s="12">
        <v>2</v>
      </c>
      <c r="H53" s="12">
        <v>2</v>
      </c>
      <c r="I53" s="12">
        <v>256</v>
      </c>
      <c r="J53" s="12">
        <v>30</v>
      </c>
      <c r="K53" s="14">
        <f t="shared" si="25"/>
        <v>1</v>
      </c>
      <c r="L53" s="8">
        <f>2048</f>
        <v>2048</v>
      </c>
      <c r="M53" s="12">
        <v>128</v>
      </c>
      <c r="N53" s="15">
        <f t="shared" si="20"/>
        <v>431.15789473684208</v>
      </c>
      <c r="O53" s="15">
        <f t="shared" si="21"/>
        <v>17476.266666666666</v>
      </c>
      <c r="P53" s="15">
        <f t="shared" si="22"/>
        <v>2048</v>
      </c>
      <c r="Q53" s="15">
        <f t="shared" si="23"/>
        <v>17907.42456140351</v>
      </c>
      <c r="R53" s="15">
        <f t="shared" si="15"/>
        <v>1024</v>
      </c>
      <c r="S53" s="15">
        <f t="shared" si="16"/>
        <v>17476.266666666666</v>
      </c>
      <c r="T53" s="15">
        <f t="shared" si="17"/>
        <v>2048</v>
      </c>
      <c r="U53" s="15">
        <f t="shared" si="9"/>
        <v>18500.266666666666</v>
      </c>
      <c r="V53" s="15">
        <f t="shared" si="18"/>
        <v>341.33333333333331</v>
      </c>
      <c r="W53" s="12">
        <f t="shared" si="10"/>
        <v>6403</v>
      </c>
      <c r="X53" s="12">
        <v>20000</v>
      </c>
      <c r="Y53" s="16">
        <f t="shared" si="24"/>
        <v>43152.024561403516</v>
      </c>
      <c r="Z53" s="11">
        <f t="shared" si="19"/>
        <v>4.3152024561403518E-2</v>
      </c>
      <c r="AB53" s="8">
        <v>0.134188</v>
      </c>
      <c r="AC53">
        <v>0.104584</v>
      </c>
      <c r="AD53" s="18">
        <f t="shared" si="12"/>
        <v>0.32157886369424626</v>
      </c>
      <c r="AE53" s="18">
        <f t="shared" si="13"/>
        <v>0.41260636963018743</v>
      </c>
    </row>
    <row r="54" spans="2:31" x14ac:dyDescent="0.25">
      <c r="C54" s="8">
        <v>4</v>
      </c>
      <c r="D54" s="8">
        <v>8</v>
      </c>
      <c r="E54" s="8">
        <v>1</v>
      </c>
      <c r="F54" s="12">
        <v>16</v>
      </c>
      <c r="G54" s="12">
        <v>2</v>
      </c>
      <c r="H54" s="12">
        <v>2</v>
      </c>
      <c r="I54" s="12">
        <v>256</v>
      </c>
      <c r="J54" s="12">
        <v>30</v>
      </c>
      <c r="K54" s="14">
        <f t="shared" si="25"/>
        <v>1</v>
      </c>
      <c r="L54" s="8">
        <f>2048</f>
        <v>2048</v>
      </c>
      <c r="M54" s="12">
        <v>128</v>
      </c>
      <c r="N54" s="15">
        <f t="shared" si="20"/>
        <v>431.15789473684208</v>
      </c>
      <c r="O54" s="15">
        <f t="shared" si="21"/>
        <v>17476.266666666666</v>
      </c>
      <c r="P54" s="15">
        <f t="shared" si="22"/>
        <v>2048</v>
      </c>
      <c r="Q54" s="15">
        <f t="shared" si="23"/>
        <v>17907.42456140351</v>
      </c>
      <c r="R54" s="15">
        <f t="shared" si="15"/>
        <v>1024</v>
      </c>
      <c r="S54" s="15">
        <f t="shared" si="16"/>
        <v>17476.266666666666</v>
      </c>
      <c r="T54" s="15">
        <f t="shared" si="17"/>
        <v>2048</v>
      </c>
      <c r="U54" s="15">
        <f t="shared" si="9"/>
        <v>18500.266666666666</v>
      </c>
      <c r="V54" s="15">
        <f t="shared" si="18"/>
        <v>341.33333333333331</v>
      </c>
      <c r="W54" s="12">
        <f t="shared" si="10"/>
        <v>6403</v>
      </c>
      <c r="X54" s="12">
        <v>20000</v>
      </c>
      <c r="Y54" s="16">
        <f t="shared" si="24"/>
        <v>43152.024561403516</v>
      </c>
      <c r="Z54" s="11">
        <f t="shared" si="19"/>
        <v>4.3152024561403518E-2</v>
      </c>
      <c r="AB54" s="8">
        <v>0.13600100000000001</v>
      </c>
      <c r="AC54">
        <v>0.106113</v>
      </c>
      <c r="AD54" s="18">
        <f t="shared" si="12"/>
        <v>0.31729196521645808</v>
      </c>
      <c r="AE54" s="18">
        <f t="shared" si="13"/>
        <v>0.4066610553033419</v>
      </c>
    </row>
    <row r="55" spans="2:31" x14ac:dyDescent="0.25">
      <c r="C55">
        <v>8</v>
      </c>
      <c r="D55">
        <v>8</v>
      </c>
      <c r="E55">
        <v>1</v>
      </c>
      <c r="F55" s="12">
        <v>16</v>
      </c>
      <c r="G55" s="12">
        <v>2</v>
      </c>
      <c r="H55" s="12">
        <v>2</v>
      </c>
      <c r="I55" s="12">
        <v>256</v>
      </c>
      <c r="J55" s="12">
        <v>30</v>
      </c>
      <c r="K55" s="14">
        <f t="shared" si="25"/>
        <v>1</v>
      </c>
      <c r="L55">
        <f>2048</f>
        <v>2048</v>
      </c>
      <c r="M55" s="12">
        <v>128</v>
      </c>
      <c r="N55" s="15">
        <f t="shared" si="20"/>
        <v>431.15789473684208</v>
      </c>
      <c r="O55" s="15">
        <f t="shared" si="21"/>
        <v>17476.266666666666</v>
      </c>
      <c r="P55" s="15">
        <f t="shared" si="22"/>
        <v>2048</v>
      </c>
      <c r="Q55" s="15">
        <f t="shared" si="23"/>
        <v>17907.42456140351</v>
      </c>
      <c r="R55" s="15">
        <f t="shared" si="15"/>
        <v>1024</v>
      </c>
      <c r="S55" s="15">
        <f t="shared" si="16"/>
        <v>17476.266666666666</v>
      </c>
      <c r="T55" s="15">
        <f t="shared" si="17"/>
        <v>2048</v>
      </c>
      <c r="U55" s="15">
        <f t="shared" si="9"/>
        <v>18500.266666666666</v>
      </c>
      <c r="V55" s="15">
        <f t="shared" si="18"/>
        <v>341.33333333333331</v>
      </c>
      <c r="W55" s="12">
        <f t="shared" si="10"/>
        <v>6403</v>
      </c>
      <c r="X55" s="12">
        <v>20000</v>
      </c>
      <c r="Y55" s="16">
        <f t="shared" si="24"/>
        <v>43152.024561403516</v>
      </c>
      <c r="Z55" s="11">
        <f t="shared" si="19"/>
        <v>4.3152024561403518E-2</v>
      </c>
      <c r="AB55">
        <v>0.14746999999999999</v>
      </c>
      <c r="AC55">
        <v>0.117908</v>
      </c>
      <c r="AD55" s="18">
        <f t="shared" si="12"/>
        <v>0.29261561376146689</v>
      </c>
      <c r="AE55" s="18">
        <f t="shared" si="13"/>
        <v>0.36598046410255047</v>
      </c>
    </row>
    <row r="56" spans="2:31" x14ac:dyDescent="0.25">
      <c r="C56">
        <v>16</v>
      </c>
      <c r="D56">
        <v>8</v>
      </c>
      <c r="E56">
        <v>1</v>
      </c>
      <c r="F56" s="12">
        <v>16</v>
      </c>
      <c r="G56" s="12">
        <v>2</v>
      </c>
      <c r="H56" s="12">
        <v>2</v>
      </c>
      <c r="I56" s="12">
        <v>256</v>
      </c>
      <c r="J56" s="12">
        <v>30</v>
      </c>
      <c r="K56" s="14">
        <f t="shared" si="25"/>
        <v>1</v>
      </c>
      <c r="L56">
        <f>2048</f>
        <v>2048</v>
      </c>
      <c r="M56" s="12">
        <v>128</v>
      </c>
      <c r="N56" s="15">
        <f t="shared" si="20"/>
        <v>431.15789473684208</v>
      </c>
      <c r="O56" s="15">
        <f t="shared" si="21"/>
        <v>17476.266666666666</v>
      </c>
      <c r="P56" s="15">
        <f t="shared" si="22"/>
        <v>2048</v>
      </c>
      <c r="Q56" s="15">
        <f t="shared" si="23"/>
        <v>17907.42456140351</v>
      </c>
      <c r="R56" s="15">
        <f t="shared" si="15"/>
        <v>1024</v>
      </c>
      <c r="S56" s="15">
        <f t="shared" si="16"/>
        <v>17476.266666666666</v>
      </c>
      <c r="T56" s="15">
        <f t="shared" si="17"/>
        <v>2048</v>
      </c>
      <c r="U56" s="15">
        <f t="shared" si="9"/>
        <v>18500.266666666666</v>
      </c>
      <c r="V56" s="15">
        <f t="shared" si="18"/>
        <v>341.33333333333331</v>
      </c>
      <c r="W56" s="12">
        <f t="shared" si="10"/>
        <v>6403</v>
      </c>
      <c r="X56" s="12">
        <v>20000</v>
      </c>
      <c r="Y56" s="16">
        <f t="shared" si="24"/>
        <v>43152.024561403516</v>
      </c>
      <c r="Z56" s="11">
        <f t="shared" si="19"/>
        <v>4.3152024561403518E-2</v>
      </c>
      <c r="AB56">
        <v>0.15895899999999999</v>
      </c>
      <c r="AC56">
        <v>0.12926499999999999</v>
      </c>
      <c r="AD56" s="18">
        <f t="shared" si="12"/>
        <v>0.271466381654411</v>
      </c>
      <c r="AE56" s="18">
        <f t="shared" si="13"/>
        <v>0.33382605161028522</v>
      </c>
    </row>
    <row r="57" spans="2:31" x14ac:dyDescent="0.25">
      <c r="C57">
        <v>32</v>
      </c>
      <c r="D57">
        <v>8</v>
      </c>
      <c r="E57">
        <v>1</v>
      </c>
      <c r="F57" s="12">
        <v>16</v>
      </c>
      <c r="G57" s="12">
        <v>2</v>
      </c>
      <c r="H57" s="12">
        <v>2</v>
      </c>
      <c r="I57" s="12">
        <v>256</v>
      </c>
      <c r="J57" s="12">
        <v>30</v>
      </c>
      <c r="K57" s="14">
        <f t="shared" si="25"/>
        <v>2</v>
      </c>
      <c r="L57">
        <f>2048</f>
        <v>2048</v>
      </c>
      <c r="M57" s="12">
        <v>128</v>
      </c>
      <c r="N57" s="15">
        <f t="shared" si="20"/>
        <v>862.31578947368416</v>
      </c>
      <c r="O57" s="15">
        <f t="shared" si="21"/>
        <v>34952.533333333333</v>
      </c>
      <c r="P57" s="15">
        <f t="shared" si="22"/>
        <v>4096</v>
      </c>
      <c r="Q57" s="15">
        <f t="shared" si="23"/>
        <v>35814.84912280702</v>
      </c>
      <c r="R57" s="15">
        <f t="shared" si="15"/>
        <v>2048</v>
      </c>
      <c r="S57" s="15">
        <f t="shared" si="16"/>
        <v>34952.533333333333</v>
      </c>
      <c r="T57" s="15">
        <f t="shared" si="17"/>
        <v>4096</v>
      </c>
      <c r="U57" s="15">
        <f t="shared" si="9"/>
        <v>37000.533333333333</v>
      </c>
      <c r="V57" s="15">
        <f t="shared" si="18"/>
        <v>682.66666666666663</v>
      </c>
      <c r="W57" s="12">
        <f t="shared" si="10"/>
        <v>12806</v>
      </c>
      <c r="X57" s="12">
        <v>20000</v>
      </c>
      <c r="Y57" s="16">
        <f t="shared" si="24"/>
        <v>86304.049122807031</v>
      </c>
      <c r="Z57" s="11">
        <f t="shared" si="19"/>
        <v>8.6304049122807036E-2</v>
      </c>
      <c r="AB57">
        <v>0.222498</v>
      </c>
      <c r="AC57">
        <v>0.19988500000000001</v>
      </c>
      <c r="AD57" s="18">
        <f t="shared" si="12"/>
        <v>0.38788685346747853</v>
      </c>
      <c r="AE57" s="18">
        <f t="shared" si="13"/>
        <v>0.43176851250872766</v>
      </c>
    </row>
    <row r="58" spans="2:31" x14ac:dyDescent="0.25">
      <c r="B58" s="2"/>
      <c r="C58">
        <v>64</v>
      </c>
      <c r="D58">
        <v>8</v>
      </c>
      <c r="E58">
        <v>1</v>
      </c>
      <c r="F58" s="12">
        <v>16</v>
      </c>
      <c r="G58" s="12">
        <v>2</v>
      </c>
      <c r="H58" s="12">
        <v>2</v>
      </c>
      <c r="I58" s="12">
        <v>256</v>
      </c>
      <c r="J58" s="12">
        <v>30</v>
      </c>
      <c r="K58" s="14">
        <f t="shared" si="25"/>
        <v>4</v>
      </c>
      <c r="L58">
        <f>2048</f>
        <v>2048</v>
      </c>
      <c r="M58" s="12">
        <v>128</v>
      </c>
      <c r="N58" s="15">
        <f t="shared" si="20"/>
        <v>1724.6315789473683</v>
      </c>
      <c r="O58" s="15">
        <f t="shared" si="21"/>
        <v>69905.066666666666</v>
      </c>
      <c r="P58" s="15">
        <f t="shared" si="22"/>
        <v>8192</v>
      </c>
      <c r="Q58" s="15">
        <f t="shared" si="23"/>
        <v>71629.698245614039</v>
      </c>
      <c r="R58" s="15">
        <f t="shared" si="15"/>
        <v>4096</v>
      </c>
      <c r="S58" s="15">
        <f t="shared" si="16"/>
        <v>69905.066666666666</v>
      </c>
      <c r="T58" s="15">
        <f t="shared" si="17"/>
        <v>8192</v>
      </c>
      <c r="U58" s="15">
        <f t="shared" si="9"/>
        <v>74001.066666666666</v>
      </c>
      <c r="V58" s="15">
        <f t="shared" si="18"/>
        <v>1365.3333333333333</v>
      </c>
      <c r="W58" s="12">
        <f t="shared" si="10"/>
        <v>25612</v>
      </c>
      <c r="X58" s="12">
        <v>20000</v>
      </c>
      <c r="Y58" s="16">
        <f t="shared" si="24"/>
        <v>172608.09824561406</v>
      </c>
      <c r="Z58" s="11">
        <f t="shared" si="19"/>
        <v>0.17260809824561407</v>
      </c>
      <c r="AB58">
        <v>0.34425800000000001</v>
      </c>
      <c r="AC58">
        <v>0.33194800000000002</v>
      </c>
      <c r="AD58" s="18">
        <f t="shared" si="12"/>
        <v>0.50139168369540887</v>
      </c>
      <c r="AE58" s="18">
        <f t="shared" si="13"/>
        <v>0.51998535386751554</v>
      </c>
    </row>
    <row r="59" spans="2:31" x14ac:dyDescent="0.25">
      <c r="C59">
        <v>128</v>
      </c>
      <c r="D59">
        <v>8</v>
      </c>
      <c r="E59">
        <v>1</v>
      </c>
      <c r="F59" s="12">
        <v>16</v>
      </c>
      <c r="G59" s="12">
        <v>2</v>
      </c>
      <c r="H59" s="12">
        <v>2</v>
      </c>
      <c r="I59" s="12">
        <v>256</v>
      </c>
      <c r="J59" s="12">
        <v>30</v>
      </c>
      <c r="K59" s="14">
        <f t="shared" si="25"/>
        <v>8</v>
      </c>
      <c r="L59">
        <f>2048</f>
        <v>2048</v>
      </c>
      <c r="M59" s="12">
        <v>128</v>
      </c>
      <c r="N59" s="15">
        <f t="shared" si="20"/>
        <v>3449.2631578947367</v>
      </c>
      <c r="O59" s="15">
        <f t="shared" si="21"/>
        <v>139810.13333333333</v>
      </c>
      <c r="P59" s="15">
        <f t="shared" si="22"/>
        <v>16384</v>
      </c>
      <c r="Q59" s="15">
        <f t="shared" si="23"/>
        <v>143259.39649122808</v>
      </c>
      <c r="R59" s="15">
        <f t="shared" si="15"/>
        <v>8192</v>
      </c>
      <c r="S59" s="15">
        <f t="shared" si="16"/>
        <v>139810.13333333333</v>
      </c>
      <c r="T59" s="15">
        <f t="shared" si="17"/>
        <v>16384</v>
      </c>
      <c r="U59" s="15">
        <f t="shared" si="9"/>
        <v>148002.13333333333</v>
      </c>
      <c r="V59" s="15">
        <f t="shared" si="18"/>
        <v>2730.6666666666665</v>
      </c>
      <c r="W59" s="12">
        <f t="shared" si="10"/>
        <v>51224</v>
      </c>
      <c r="X59" s="12">
        <v>20000</v>
      </c>
      <c r="Y59" s="16">
        <f t="shared" si="24"/>
        <v>345216.19649122813</v>
      </c>
      <c r="Z59" s="11">
        <f t="shared" si="19"/>
        <v>0.34521619649122814</v>
      </c>
      <c r="AB59">
        <v>0.60201899999999997</v>
      </c>
      <c r="AC59">
        <v>0.57773300000000005</v>
      </c>
      <c r="AD59" s="18">
        <f t="shared" si="12"/>
        <v>0.57343073306860437</v>
      </c>
      <c r="AE59" s="18">
        <f t="shared" si="13"/>
        <v>0.59753587988089329</v>
      </c>
    </row>
    <row r="60" spans="2:31" x14ac:dyDescent="0.25">
      <c r="C60">
        <v>256</v>
      </c>
      <c r="D60">
        <v>8</v>
      </c>
      <c r="E60">
        <v>1</v>
      </c>
      <c r="F60" s="12">
        <v>16</v>
      </c>
      <c r="G60" s="12">
        <v>2</v>
      </c>
      <c r="H60" s="12">
        <v>2</v>
      </c>
      <c r="I60" s="12">
        <v>256</v>
      </c>
      <c r="J60" s="12">
        <v>30</v>
      </c>
      <c r="K60" s="14">
        <f t="shared" si="25"/>
        <v>16</v>
      </c>
      <c r="L60">
        <f>2048</f>
        <v>2048</v>
      </c>
      <c r="M60" s="12">
        <v>128</v>
      </c>
      <c r="N60" s="15">
        <f t="shared" si="20"/>
        <v>6898.5263157894733</v>
      </c>
      <c r="O60" s="15">
        <f t="shared" si="21"/>
        <v>279620.26666666666</v>
      </c>
      <c r="P60" s="15">
        <f t="shared" si="22"/>
        <v>32768</v>
      </c>
      <c r="Q60" s="15">
        <f t="shared" si="23"/>
        <v>286518.79298245616</v>
      </c>
      <c r="R60" s="15">
        <f t="shared" si="15"/>
        <v>16384</v>
      </c>
      <c r="S60" s="15">
        <f t="shared" si="16"/>
        <v>279620.26666666666</v>
      </c>
      <c r="T60" s="15">
        <f t="shared" si="17"/>
        <v>32768</v>
      </c>
      <c r="U60" s="15">
        <f t="shared" si="9"/>
        <v>296004.26666666666</v>
      </c>
      <c r="V60" s="15">
        <f t="shared" si="18"/>
        <v>5461.333333333333</v>
      </c>
      <c r="W60" s="12">
        <f t="shared" si="10"/>
        <v>102448</v>
      </c>
      <c r="X60" s="12">
        <v>20000</v>
      </c>
      <c r="Y60" s="16">
        <f t="shared" si="24"/>
        <v>690432.39298245625</v>
      </c>
      <c r="Z60" s="11">
        <f t="shared" si="19"/>
        <v>0.69043239298245629</v>
      </c>
      <c r="AB60">
        <v>1.111612</v>
      </c>
      <c r="AC60">
        <v>1.0398259999999999</v>
      </c>
      <c r="AD60" s="18">
        <f t="shared" si="12"/>
        <v>0.62110915767593033</v>
      </c>
      <c r="AE60" s="18">
        <f t="shared" si="13"/>
        <v>0.66398839131013876</v>
      </c>
    </row>
    <row r="61" spans="2:31" x14ac:dyDescent="0.25">
      <c r="C61">
        <v>512</v>
      </c>
      <c r="D61">
        <v>8</v>
      </c>
      <c r="E61">
        <v>1</v>
      </c>
      <c r="F61" s="12">
        <v>16</v>
      </c>
      <c r="G61" s="12">
        <v>2</v>
      </c>
      <c r="H61" s="12">
        <v>2</v>
      </c>
      <c r="I61" s="12">
        <v>256</v>
      </c>
      <c r="J61" s="12">
        <v>30</v>
      </c>
      <c r="K61" s="14">
        <f t="shared" si="25"/>
        <v>32</v>
      </c>
      <c r="L61">
        <f>2048</f>
        <v>2048</v>
      </c>
      <c r="M61" s="12">
        <v>128</v>
      </c>
      <c r="N61" s="15">
        <f t="shared" si="20"/>
        <v>13797.052631578947</v>
      </c>
      <c r="O61" s="15">
        <f t="shared" si="21"/>
        <v>559240.53333333333</v>
      </c>
      <c r="P61" s="15">
        <f t="shared" si="22"/>
        <v>65536</v>
      </c>
      <c r="Q61" s="15">
        <f t="shared" si="23"/>
        <v>573037.58596491232</v>
      </c>
      <c r="R61" s="15">
        <f t="shared" si="15"/>
        <v>32768</v>
      </c>
      <c r="S61" s="15">
        <f t="shared" si="16"/>
        <v>559240.53333333333</v>
      </c>
      <c r="T61" s="15">
        <f t="shared" si="17"/>
        <v>65536</v>
      </c>
      <c r="U61" s="15">
        <f t="shared" si="9"/>
        <v>592008.53333333333</v>
      </c>
      <c r="V61" s="15">
        <f t="shared" si="18"/>
        <v>10922.666666666666</v>
      </c>
      <c r="W61" s="12">
        <f t="shared" si="10"/>
        <v>204896</v>
      </c>
      <c r="X61" s="12">
        <v>20000</v>
      </c>
      <c r="Y61" s="16">
        <f t="shared" si="24"/>
        <v>1380864.7859649125</v>
      </c>
      <c r="Z61" s="11">
        <f t="shared" si="19"/>
        <v>1.3808647859649126</v>
      </c>
      <c r="AB61">
        <v>2.1102400000000001</v>
      </c>
      <c r="AC61">
        <v>1.959997</v>
      </c>
      <c r="AD61" s="18">
        <f t="shared" si="12"/>
        <v>0.65436385717497181</v>
      </c>
      <c r="AE61" s="18">
        <f t="shared" si="13"/>
        <v>0.70452392833504984</v>
      </c>
    </row>
    <row r="62" spans="2:31" x14ac:dyDescent="0.25">
      <c r="C62" s="8">
        <v>1</v>
      </c>
      <c r="D62" s="8">
        <v>8</v>
      </c>
      <c r="E62" s="8">
        <v>1</v>
      </c>
      <c r="F62" s="12">
        <v>16</v>
      </c>
      <c r="G62" s="12">
        <v>2</v>
      </c>
      <c r="H62" s="12">
        <v>2</v>
      </c>
      <c r="I62" s="12">
        <v>256</v>
      </c>
      <c r="J62" s="12">
        <v>30</v>
      </c>
      <c r="K62" s="14">
        <f t="shared" si="25"/>
        <v>1</v>
      </c>
      <c r="L62" s="8">
        <f>4096</f>
        <v>4096</v>
      </c>
      <c r="M62" s="12">
        <v>128</v>
      </c>
      <c r="N62" s="15">
        <f t="shared" si="20"/>
        <v>431.15789473684208</v>
      </c>
      <c r="O62" s="15">
        <f t="shared" si="21"/>
        <v>34952.533333333333</v>
      </c>
      <c r="P62" s="15">
        <f t="shared" si="22"/>
        <v>4096</v>
      </c>
      <c r="Q62" s="15">
        <f t="shared" si="23"/>
        <v>35383.691228070173</v>
      </c>
      <c r="R62" s="15">
        <f t="shared" si="15"/>
        <v>2048</v>
      </c>
      <c r="S62" s="15">
        <f t="shared" si="16"/>
        <v>34952.533333333333</v>
      </c>
      <c r="T62" s="15">
        <f t="shared" si="17"/>
        <v>4096</v>
      </c>
      <c r="U62" s="15">
        <f t="shared" si="9"/>
        <v>37000.533333333333</v>
      </c>
      <c r="V62" s="15">
        <f t="shared" si="18"/>
        <v>341.33333333333331</v>
      </c>
      <c r="W62" s="12">
        <f t="shared" si="10"/>
        <v>12611</v>
      </c>
      <c r="X62" s="12">
        <v>20000</v>
      </c>
      <c r="Y62" s="16">
        <f t="shared" si="24"/>
        <v>85336.557894736834</v>
      </c>
      <c r="Z62" s="11">
        <f t="shared" si="19"/>
        <v>8.5336557894736834E-2</v>
      </c>
      <c r="AB62" s="8">
        <v>0.19586700000000001</v>
      </c>
      <c r="AC62">
        <v>0.13563600000000001</v>
      </c>
      <c r="AD62" s="18">
        <f t="shared" si="12"/>
        <v>0.43568624574194137</v>
      </c>
      <c r="AE62" s="18">
        <f t="shared" si="13"/>
        <v>0.62915861493067349</v>
      </c>
    </row>
    <row r="63" spans="2:31" x14ac:dyDescent="0.25">
      <c r="C63" s="8">
        <v>2</v>
      </c>
      <c r="D63" s="8">
        <v>8</v>
      </c>
      <c r="E63" s="8">
        <v>1</v>
      </c>
      <c r="F63" s="12">
        <v>16</v>
      </c>
      <c r="G63" s="12">
        <v>2</v>
      </c>
      <c r="H63" s="12">
        <v>2</v>
      </c>
      <c r="I63" s="12">
        <v>256</v>
      </c>
      <c r="J63" s="12">
        <v>30</v>
      </c>
      <c r="K63" s="14">
        <f t="shared" si="25"/>
        <v>1</v>
      </c>
      <c r="L63" s="8">
        <f>4096</f>
        <v>4096</v>
      </c>
      <c r="M63" s="12">
        <v>128</v>
      </c>
      <c r="N63" s="15">
        <f t="shared" si="20"/>
        <v>431.15789473684208</v>
      </c>
      <c r="O63" s="15">
        <f t="shared" si="21"/>
        <v>34952.533333333333</v>
      </c>
      <c r="P63" s="15">
        <f t="shared" si="22"/>
        <v>4096</v>
      </c>
      <c r="Q63" s="15">
        <f t="shared" si="23"/>
        <v>35383.691228070173</v>
      </c>
      <c r="R63" s="15">
        <f t="shared" si="15"/>
        <v>2048</v>
      </c>
      <c r="S63" s="15">
        <f t="shared" si="16"/>
        <v>34952.533333333333</v>
      </c>
      <c r="T63" s="15">
        <f t="shared" si="17"/>
        <v>4096</v>
      </c>
      <c r="U63" s="15">
        <f t="shared" si="9"/>
        <v>37000.533333333333</v>
      </c>
      <c r="V63" s="15">
        <f t="shared" si="18"/>
        <v>341.33333333333331</v>
      </c>
      <c r="W63" s="12">
        <f t="shared" si="10"/>
        <v>12611</v>
      </c>
      <c r="X63" s="12">
        <v>20000</v>
      </c>
      <c r="Y63" s="16">
        <f t="shared" si="24"/>
        <v>85336.557894736834</v>
      </c>
      <c r="Z63" s="11">
        <f t="shared" si="19"/>
        <v>8.5336557894736834E-2</v>
      </c>
      <c r="AB63" s="8">
        <v>0.21348700000000001</v>
      </c>
      <c r="AC63">
        <v>0.15212300000000001</v>
      </c>
      <c r="AD63" s="18">
        <f t="shared" si="12"/>
        <v>0.39972718664245049</v>
      </c>
      <c r="AE63" s="18">
        <f t="shared" si="13"/>
        <v>0.56097077953193686</v>
      </c>
    </row>
    <row r="64" spans="2:31" x14ac:dyDescent="0.25">
      <c r="C64" s="8">
        <v>4</v>
      </c>
      <c r="D64" s="8">
        <v>8</v>
      </c>
      <c r="E64" s="8">
        <v>1</v>
      </c>
      <c r="F64" s="12">
        <v>16</v>
      </c>
      <c r="G64" s="12">
        <v>2</v>
      </c>
      <c r="H64" s="12">
        <v>2</v>
      </c>
      <c r="I64" s="12">
        <v>256</v>
      </c>
      <c r="J64" s="12">
        <v>30</v>
      </c>
      <c r="K64" s="14">
        <f t="shared" si="25"/>
        <v>1</v>
      </c>
      <c r="L64" s="8">
        <f>4096</f>
        <v>4096</v>
      </c>
      <c r="M64" s="12">
        <v>128</v>
      </c>
      <c r="N64" s="15">
        <f t="shared" si="20"/>
        <v>431.15789473684208</v>
      </c>
      <c r="O64" s="15">
        <f t="shared" si="21"/>
        <v>34952.533333333333</v>
      </c>
      <c r="P64" s="15">
        <f t="shared" si="22"/>
        <v>4096</v>
      </c>
      <c r="Q64" s="15">
        <f t="shared" si="23"/>
        <v>35383.691228070173</v>
      </c>
      <c r="R64" s="15">
        <f t="shared" si="15"/>
        <v>2048</v>
      </c>
      <c r="S64" s="15">
        <f t="shared" si="16"/>
        <v>34952.533333333333</v>
      </c>
      <c r="T64" s="15">
        <f t="shared" si="17"/>
        <v>4096</v>
      </c>
      <c r="U64" s="15">
        <f t="shared" si="9"/>
        <v>37000.533333333333</v>
      </c>
      <c r="V64" s="15">
        <f t="shared" si="18"/>
        <v>341.33333333333331</v>
      </c>
      <c r="W64" s="12">
        <f t="shared" si="10"/>
        <v>12611</v>
      </c>
      <c r="X64" s="12">
        <v>20000</v>
      </c>
      <c r="Y64" s="16">
        <f t="shared" si="24"/>
        <v>85336.557894736834</v>
      </c>
      <c r="Z64" s="11">
        <f t="shared" si="19"/>
        <v>8.5336557894736834E-2</v>
      </c>
      <c r="AB64" s="8">
        <v>0.217143</v>
      </c>
      <c r="AC64">
        <v>0.155834</v>
      </c>
      <c r="AD64" s="18">
        <f t="shared" si="12"/>
        <v>0.39299704754349363</v>
      </c>
      <c r="AE64" s="18">
        <f t="shared" si="13"/>
        <v>0.54761193253549822</v>
      </c>
    </row>
    <row r="65" spans="3:31" x14ac:dyDescent="0.25">
      <c r="C65">
        <v>8</v>
      </c>
      <c r="D65">
        <v>8</v>
      </c>
      <c r="E65">
        <v>1</v>
      </c>
      <c r="F65" s="12">
        <v>16</v>
      </c>
      <c r="G65" s="12">
        <v>2</v>
      </c>
      <c r="H65" s="12">
        <v>2</v>
      </c>
      <c r="I65" s="12">
        <v>256</v>
      </c>
      <c r="J65" s="12">
        <v>30</v>
      </c>
      <c r="K65" s="14">
        <f t="shared" si="25"/>
        <v>1</v>
      </c>
      <c r="L65">
        <f>4096</f>
        <v>4096</v>
      </c>
      <c r="M65" s="12">
        <v>128</v>
      </c>
      <c r="N65" s="15">
        <f t="shared" si="20"/>
        <v>431.15789473684208</v>
      </c>
      <c r="O65" s="15">
        <f t="shared" si="21"/>
        <v>34952.533333333333</v>
      </c>
      <c r="P65" s="15">
        <f t="shared" si="22"/>
        <v>4096</v>
      </c>
      <c r="Q65" s="15">
        <f t="shared" si="23"/>
        <v>35383.691228070173</v>
      </c>
      <c r="R65" s="15">
        <f t="shared" si="15"/>
        <v>2048</v>
      </c>
      <c r="S65" s="15">
        <f t="shared" si="16"/>
        <v>34952.533333333333</v>
      </c>
      <c r="T65" s="15">
        <f t="shared" si="17"/>
        <v>4096</v>
      </c>
      <c r="U65" s="15">
        <f t="shared" si="9"/>
        <v>37000.533333333333</v>
      </c>
      <c r="V65" s="15">
        <f t="shared" si="18"/>
        <v>341.33333333333331</v>
      </c>
      <c r="W65" s="12">
        <f t="shared" si="10"/>
        <v>12611</v>
      </c>
      <c r="X65" s="12">
        <v>20000</v>
      </c>
      <c r="Y65" s="16">
        <f t="shared" si="24"/>
        <v>85336.557894736834</v>
      </c>
      <c r="Z65" s="11">
        <f t="shared" si="19"/>
        <v>8.5336557894736834E-2</v>
      </c>
      <c r="AB65">
        <v>0.24057100000000001</v>
      </c>
      <c r="AC65">
        <v>0.17739099999999999</v>
      </c>
      <c r="AD65" s="18">
        <f t="shared" si="12"/>
        <v>0.3547250412341339</v>
      </c>
      <c r="AE65" s="18">
        <f t="shared" si="13"/>
        <v>0.48106475466476223</v>
      </c>
    </row>
    <row r="66" spans="3:31" x14ac:dyDescent="0.25">
      <c r="C66">
        <v>16</v>
      </c>
      <c r="D66">
        <v>8</v>
      </c>
      <c r="E66">
        <v>1</v>
      </c>
      <c r="F66" s="12">
        <v>16</v>
      </c>
      <c r="G66" s="12">
        <v>2</v>
      </c>
      <c r="H66" s="12">
        <v>2</v>
      </c>
      <c r="I66" s="12">
        <v>256</v>
      </c>
      <c r="J66" s="12">
        <v>30</v>
      </c>
      <c r="K66" s="14">
        <f t="shared" si="25"/>
        <v>1</v>
      </c>
      <c r="L66">
        <f>4096</f>
        <v>4096</v>
      </c>
      <c r="M66" s="12">
        <v>128</v>
      </c>
      <c r="N66" s="15">
        <f t="shared" si="20"/>
        <v>431.15789473684208</v>
      </c>
      <c r="O66" s="15">
        <f t="shared" si="21"/>
        <v>34952.533333333333</v>
      </c>
      <c r="P66" s="15">
        <f t="shared" si="22"/>
        <v>4096</v>
      </c>
      <c r="Q66" s="15">
        <f t="shared" si="23"/>
        <v>35383.691228070173</v>
      </c>
      <c r="R66" s="15">
        <f t="shared" si="15"/>
        <v>2048</v>
      </c>
      <c r="S66" s="15">
        <f t="shared" si="16"/>
        <v>34952.533333333333</v>
      </c>
      <c r="T66" s="15">
        <f t="shared" si="17"/>
        <v>4096</v>
      </c>
      <c r="U66" s="15">
        <f t="shared" si="9"/>
        <v>37000.533333333333</v>
      </c>
      <c r="V66" s="15">
        <f t="shared" si="18"/>
        <v>341.33333333333331</v>
      </c>
      <c r="W66" s="12">
        <f t="shared" si="10"/>
        <v>12611</v>
      </c>
      <c r="X66" s="12">
        <v>20000</v>
      </c>
      <c r="Y66" s="16">
        <f t="shared" si="24"/>
        <v>85336.557894736834</v>
      </c>
      <c r="Z66" s="11">
        <f t="shared" si="19"/>
        <v>8.5336557894736834E-2</v>
      </c>
      <c r="AB66">
        <v>0.265461</v>
      </c>
      <c r="AC66">
        <v>0.199881</v>
      </c>
      <c r="AD66" s="18">
        <f t="shared" si="12"/>
        <v>0.32146551807887724</v>
      </c>
      <c r="AE66" s="18">
        <f t="shared" si="13"/>
        <v>0.42693681687972762</v>
      </c>
    </row>
    <row r="67" spans="3:31" s="9" customFormat="1" x14ac:dyDescent="0.25">
      <c r="C67" s="9">
        <v>32</v>
      </c>
      <c r="D67" s="9">
        <v>8</v>
      </c>
      <c r="E67" s="9">
        <v>1</v>
      </c>
      <c r="F67" s="23">
        <v>16</v>
      </c>
      <c r="G67" s="23">
        <v>2</v>
      </c>
      <c r="H67" s="23">
        <v>2</v>
      </c>
      <c r="I67" s="23">
        <v>256</v>
      </c>
      <c r="J67" s="23">
        <v>30</v>
      </c>
      <c r="K67" s="24">
        <f t="shared" si="25"/>
        <v>2</v>
      </c>
      <c r="L67" s="9">
        <f>4096</f>
        <v>4096</v>
      </c>
      <c r="M67" s="23">
        <v>128</v>
      </c>
      <c r="N67" s="16">
        <f t="shared" si="20"/>
        <v>862.31578947368416</v>
      </c>
      <c r="O67" s="16">
        <f t="shared" si="21"/>
        <v>69905.066666666666</v>
      </c>
      <c r="P67" s="16">
        <f t="shared" si="22"/>
        <v>8192</v>
      </c>
      <c r="Q67" s="16">
        <f t="shared" si="23"/>
        <v>70767.382456140345</v>
      </c>
      <c r="R67" s="16">
        <f t="shared" si="15"/>
        <v>4096</v>
      </c>
      <c r="S67" s="16">
        <f t="shared" si="16"/>
        <v>69905.066666666666</v>
      </c>
      <c r="T67" s="16">
        <f t="shared" si="17"/>
        <v>8192</v>
      </c>
      <c r="U67" s="15">
        <f t="shared" ref="U67:U130" si="26">S67+R67</f>
        <v>74001.066666666666</v>
      </c>
      <c r="V67" s="16">
        <f t="shared" si="18"/>
        <v>682.66666666666663</v>
      </c>
      <c r="W67" s="23">
        <f t="shared" ref="W67:W130" si="27">K67*(_xlfn.CEILING.MATH(L67/32)*97+195)</f>
        <v>25222</v>
      </c>
      <c r="X67" s="23">
        <v>20000</v>
      </c>
      <c r="Y67" s="16">
        <f t="shared" si="24"/>
        <v>170673.11578947367</v>
      </c>
      <c r="Z67" s="25">
        <f t="shared" si="19"/>
        <v>0.17067311578947367</v>
      </c>
      <c r="AB67" s="9">
        <v>0.39693299999999998</v>
      </c>
      <c r="AC67" s="9">
        <v>0.32766400000000001</v>
      </c>
      <c r="AD67" s="26">
        <f t="shared" ref="AD67:AD130" si="28">Z67/AB67</f>
        <v>0.42997965850527337</v>
      </c>
      <c r="AE67" s="26">
        <f t="shared" ref="AE67:AE130" si="29">Z67/AC67</f>
        <v>0.52087844801221272</v>
      </c>
    </row>
    <row r="68" spans="3:31" x14ac:dyDescent="0.25">
      <c r="C68">
        <v>64</v>
      </c>
      <c r="D68">
        <v>8</v>
      </c>
      <c r="E68">
        <v>1</v>
      </c>
      <c r="F68" s="12">
        <v>16</v>
      </c>
      <c r="G68" s="12">
        <v>2</v>
      </c>
      <c r="H68" s="12">
        <v>2</v>
      </c>
      <c r="I68" s="12">
        <v>256</v>
      </c>
      <c r="J68" s="12">
        <v>30</v>
      </c>
      <c r="K68" s="14">
        <f t="shared" si="25"/>
        <v>4</v>
      </c>
      <c r="L68">
        <f>4096</f>
        <v>4096</v>
      </c>
      <c r="M68" s="12">
        <v>128</v>
      </c>
      <c r="N68" s="15">
        <f t="shared" si="20"/>
        <v>1724.6315789473683</v>
      </c>
      <c r="O68" s="15">
        <f t="shared" si="21"/>
        <v>139810.13333333333</v>
      </c>
      <c r="P68" s="15">
        <f t="shared" si="22"/>
        <v>16384</v>
      </c>
      <c r="Q68" s="15">
        <f t="shared" si="23"/>
        <v>141534.76491228069</v>
      </c>
      <c r="R68" s="15">
        <f t="shared" si="15"/>
        <v>8192</v>
      </c>
      <c r="S68" s="15">
        <f t="shared" si="16"/>
        <v>139810.13333333333</v>
      </c>
      <c r="T68" s="15">
        <f t="shared" si="17"/>
        <v>16384</v>
      </c>
      <c r="U68" s="15">
        <f t="shared" si="26"/>
        <v>148002.13333333333</v>
      </c>
      <c r="V68" s="15">
        <f t="shared" si="18"/>
        <v>1365.3333333333333</v>
      </c>
      <c r="W68" s="12">
        <f t="shared" si="27"/>
        <v>50444</v>
      </c>
      <c r="X68" s="12">
        <v>20000</v>
      </c>
      <c r="Y68" s="16">
        <f t="shared" si="24"/>
        <v>341346.23157894734</v>
      </c>
      <c r="Z68" s="11">
        <f t="shared" si="19"/>
        <v>0.34134623157894733</v>
      </c>
      <c r="AB68">
        <v>0.63598500000000002</v>
      </c>
      <c r="AC68">
        <v>0.56909200000000004</v>
      </c>
      <c r="AD68" s="18">
        <f t="shared" si="28"/>
        <v>0.5367205697916575</v>
      </c>
      <c r="AE68" s="18">
        <f t="shared" si="29"/>
        <v>0.59980852231088699</v>
      </c>
    </row>
    <row r="69" spans="3:31" x14ac:dyDescent="0.25">
      <c r="C69">
        <v>128</v>
      </c>
      <c r="D69">
        <v>8</v>
      </c>
      <c r="E69">
        <v>1</v>
      </c>
      <c r="F69" s="12">
        <v>16</v>
      </c>
      <c r="G69" s="12">
        <v>2</v>
      </c>
      <c r="H69" s="12">
        <v>2</v>
      </c>
      <c r="I69" s="12">
        <v>256</v>
      </c>
      <c r="J69" s="12">
        <v>30</v>
      </c>
      <c r="K69" s="14">
        <f t="shared" si="25"/>
        <v>8</v>
      </c>
      <c r="L69">
        <f>4096</f>
        <v>4096</v>
      </c>
      <c r="M69" s="12">
        <v>128</v>
      </c>
      <c r="N69" s="15">
        <f t="shared" si="20"/>
        <v>3449.2631578947367</v>
      </c>
      <c r="O69" s="15">
        <f t="shared" si="21"/>
        <v>279620.26666666666</v>
      </c>
      <c r="P69" s="15">
        <f t="shared" si="22"/>
        <v>32768</v>
      </c>
      <c r="Q69" s="15">
        <f t="shared" si="23"/>
        <v>283069.52982456138</v>
      </c>
      <c r="R69" s="15">
        <f t="shared" si="15"/>
        <v>16384</v>
      </c>
      <c r="S69" s="15">
        <f t="shared" si="16"/>
        <v>279620.26666666666</v>
      </c>
      <c r="T69" s="15">
        <f t="shared" si="17"/>
        <v>32768</v>
      </c>
      <c r="U69" s="15">
        <f t="shared" si="26"/>
        <v>296004.26666666666</v>
      </c>
      <c r="V69" s="15">
        <f t="shared" si="18"/>
        <v>2730.6666666666665</v>
      </c>
      <c r="W69" s="12">
        <f t="shared" si="27"/>
        <v>100888</v>
      </c>
      <c r="X69" s="12">
        <v>20000</v>
      </c>
      <c r="Y69" s="16">
        <f t="shared" si="24"/>
        <v>682692.46315789467</v>
      </c>
      <c r="Z69" s="11">
        <f t="shared" si="19"/>
        <v>0.68269246315789467</v>
      </c>
      <c r="AB69">
        <v>1.1312359999999999</v>
      </c>
      <c r="AC69">
        <v>1.026491</v>
      </c>
      <c r="AD69" s="18">
        <f t="shared" si="28"/>
        <v>0.60349251894201983</v>
      </c>
      <c r="AE69" s="18">
        <f t="shared" si="29"/>
        <v>0.66507398813812746</v>
      </c>
    </row>
    <row r="70" spans="3:31" x14ac:dyDescent="0.25">
      <c r="C70">
        <v>256</v>
      </c>
      <c r="D70">
        <v>8</v>
      </c>
      <c r="E70">
        <v>1</v>
      </c>
      <c r="F70" s="12">
        <v>16</v>
      </c>
      <c r="G70" s="12">
        <v>2</v>
      </c>
      <c r="H70" s="12">
        <v>2</v>
      </c>
      <c r="I70" s="12">
        <v>256</v>
      </c>
      <c r="J70" s="12">
        <v>30</v>
      </c>
      <c r="K70" s="14">
        <f t="shared" si="25"/>
        <v>16</v>
      </c>
      <c r="L70">
        <f>4096</f>
        <v>4096</v>
      </c>
      <c r="M70" s="12">
        <v>128</v>
      </c>
      <c r="N70" s="15">
        <f t="shared" si="20"/>
        <v>6898.5263157894733</v>
      </c>
      <c r="O70" s="15">
        <f t="shared" si="21"/>
        <v>559240.53333333333</v>
      </c>
      <c r="P70" s="15">
        <f t="shared" si="22"/>
        <v>65536</v>
      </c>
      <c r="Q70" s="15">
        <f t="shared" si="23"/>
        <v>566139.05964912276</v>
      </c>
      <c r="R70" s="15">
        <f t="shared" ref="R70:R133" si="30">G70*K70*64*_xlfn.CEILING.MATH(L70/128)*128/I70</f>
        <v>32768</v>
      </c>
      <c r="S70" s="15">
        <f t="shared" ref="S70:S133" si="31">H70*K70*_xlfn.CEILING.MATH(L70/128)*128*M70/J70</f>
        <v>559240.53333333333</v>
      </c>
      <c r="T70" s="15">
        <f t="shared" ref="T70:T133" si="32">64*M70*_xlfn.CEILING.MATH(L70/128)*128*K70/8192</f>
        <v>65536</v>
      </c>
      <c r="U70" s="15">
        <f t="shared" si="26"/>
        <v>592008.53333333333</v>
      </c>
      <c r="V70" s="15">
        <f t="shared" ref="V70:V133" si="33">K70*8*128/30*10</f>
        <v>5461.333333333333</v>
      </c>
      <c r="W70" s="12">
        <f t="shared" si="27"/>
        <v>201776</v>
      </c>
      <c r="X70" s="12">
        <v>20000</v>
      </c>
      <c r="Y70" s="16">
        <f t="shared" si="24"/>
        <v>1365384.9263157893</v>
      </c>
      <c r="Z70" s="11">
        <f t="shared" ref="Z70:Z133" si="34">Y70/1000000</f>
        <v>1.3653849263157893</v>
      </c>
      <c r="AB70">
        <v>2.113318</v>
      </c>
      <c r="AC70">
        <v>1.911281</v>
      </c>
      <c r="AD70" s="18">
        <f t="shared" si="28"/>
        <v>0.6460858831069386</v>
      </c>
      <c r="AE70" s="18">
        <f t="shared" si="29"/>
        <v>0.7143820957335888</v>
      </c>
    </row>
    <row r="71" spans="3:31" x14ac:dyDescent="0.25">
      <c r="C71">
        <v>512</v>
      </c>
      <c r="D71">
        <v>8</v>
      </c>
      <c r="E71">
        <v>1</v>
      </c>
      <c r="F71" s="12">
        <v>16</v>
      </c>
      <c r="G71" s="12">
        <v>2</v>
      </c>
      <c r="H71" s="12">
        <v>2</v>
      </c>
      <c r="I71" s="12">
        <v>256</v>
      </c>
      <c r="J71" s="12">
        <v>30</v>
      </c>
      <c r="K71" s="14">
        <f t="shared" si="25"/>
        <v>32</v>
      </c>
      <c r="L71">
        <f>4096</f>
        <v>4096</v>
      </c>
      <c r="M71" s="12">
        <v>128</v>
      </c>
      <c r="N71" s="15">
        <f t="shared" ref="N71:N134" si="35">G71*K71*64*M71/38</f>
        <v>13797.052631578947</v>
      </c>
      <c r="O71" s="15">
        <f t="shared" ref="O71:O134" si="36">H71*K71*_xlfn.CEILING.MATH(L71/64)*64*M71/J71</f>
        <v>1118481.0666666667</v>
      </c>
      <c r="P71" s="15">
        <f t="shared" ref="P71:P134" si="37">64*M71*_xlfn.CEILING.MATH(L71/128)*128*K71/8192</f>
        <v>131072</v>
      </c>
      <c r="Q71" s="15">
        <f t="shared" ref="Q71:Q134" si="38">N71+O71</f>
        <v>1132278.1192982455</v>
      </c>
      <c r="R71" s="15">
        <f t="shared" si="30"/>
        <v>65536</v>
      </c>
      <c r="S71" s="15">
        <f t="shared" si="31"/>
        <v>1118481.0666666667</v>
      </c>
      <c r="T71" s="15">
        <f t="shared" si="32"/>
        <v>131072</v>
      </c>
      <c r="U71" s="15">
        <f t="shared" si="26"/>
        <v>1184017.0666666667</v>
      </c>
      <c r="V71" s="15">
        <f t="shared" si="33"/>
        <v>10922.666666666666</v>
      </c>
      <c r="W71" s="12">
        <f t="shared" si="27"/>
        <v>403552</v>
      </c>
      <c r="X71" s="12">
        <v>20000</v>
      </c>
      <c r="Y71" s="16">
        <f t="shared" ref="Y71:Y134" si="39">Q71+U71+W71+V71</f>
        <v>2730769.8526315787</v>
      </c>
      <c r="Z71" s="11">
        <f t="shared" si="34"/>
        <v>2.7307698526315787</v>
      </c>
      <c r="AB71">
        <v>4.0626150000000001</v>
      </c>
      <c r="AC71">
        <v>3.6560049999999999</v>
      </c>
      <c r="AD71" s="18">
        <f t="shared" si="28"/>
        <v>0.67217047459126167</v>
      </c>
      <c r="AE71" s="18">
        <f t="shared" si="29"/>
        <v>0.74692727516280166</v>
      </c>
    </row>
    <row r="72" spans="3:31" x14ac:dyDescent="0.25">
      <c r="C72" s="8">
        <v>1</v>
      </c>
      <c r="D72" s="8">
        <v>8</v>
      </c>
      <c r="E72" s="8">
        <v>1</v>
      </c>
      <c r="F72" s="12">
        <v>16</v>
      </c>
      <c r="G72" s="12">
        <v>2</v>
      </c>
      <c r="H72" s="12">
        <v>2</v>
      </c>
      <c r="I72" s="12">
        <v>256</v>
      </c>
      <c r="J72" s="12">
        <v>30</v>
      </c>
      <c r="K72" s="14">
        <f t="shared" si="25"/>
        <v>1</v>
      </c>
      <c r="L72" s="8">
        <f>8192</f>
        <v>8192</v>
      </c>
      <c r="M72" s="12">
        <v>128</v>
      </c>
      <c r="N72" s="15">
        <f t="shared" si="35"/>
        <v>431.15789473684208</v>
      </c>
      <c r="O72" s="15">
        <f t="shared" si="36"/>
        <v>69905.066666666666</v>
      </c>
      <c r="P72" s="15">
        <f t="shared" si="37"/>
        <v>8192</v>
      </c>
      <c r="Q72" s="15">
        <f t="shared" si="38"/>
        <v>70336.224561403506</v>
      </c>
      <c r="R72" s="15">
        <f t="shared" si="30"/>
        <v>4096</v>
      </c>
      <c r="S72" s="15">
        <f t="shared" si="31"/>
        <v>69905.066666666666</v>
      </c>
      <c r="T72" s="15">
        <f t="shared" si="32"/>
        <v>8192</v>
      </c>
      <c r="U72" s="15">
        <f t="shared" si="26"/>
        <v>74001.066666666666</v>
      </c>
      <c r="V72" s="15">
        <f t="shared" si="33"/>
        <v>341.33333333333331</v>
      </c>
      <c r="W72" s="12">
        <f t="shared" si="27"/>
        <v>25027</v>
      </c>
      <c r="X72" s="12">
        <v>20000</v>
      </c>
      <c r="Y72" s="16">
        <f t="shared" si="39"/>
        <v>169705.6245614035</v>
      </c>
      <c r="Z72" s="11">
        <f t="shared" si="34"/>
        <v>0.16970562456140351</v>
      </c>
      <c r="AB72" s="8">
        <v>0.336256</v>
      </c>
      <c r="AC72">
        <v>0.213862</v>
      </c>
      <c r="AD72" s="18">
        <f t="shared" si="28"/>
        <v>0.50469173653824317</v>
      </c>
      <c r="AE72" s="18">
        <f t="shared" si="29"/>
        <v>0.79352865194098765</v>
      </c>
    </row>
    <row r="73" spans="3:31" x14ac:dyDescent="0.25">
      <c r="C73" s="8">
        <v>2</v>
      </c>
      <c r="D73" s="8">
        <v>8</v>
      </c>
      <c r="E73" s="8">
        <v>1</v>
      </c>
      <c r="F73" s="12">
        <v>16</v>
      </c>
      <c r="G73" s="12">
        <v>2</v>
      </c>
      <c r="H73" s="12">
        <v>2</v>
      </c>
      <c r="I73" s="12">
        <v>256</v>
      </c>
      <c r="J73" s="12">
        <v>30</v>
      </c>
      <c r="K73" s="14">
        <f t="shared" si="25"/>
        <v>1</v>
      </c>
      <c r="L73" s="8">
        <f>8192</f>
        <v>8192</v>
      </c>
      <c r="M73" s="12">
        <v>128</v>
      </c>
      <c r="N73" s="15">
        <f t="shared" si="35"/>
        <v>431.15789473684208</v>
      </c>
      <c r="O73" s="15">
        <f t="shared" si="36"/>
        <v>69905.066666666666</v>
      </c>
      <c r="P73" s="15">
        <f t="shared" si="37"/>
        <v>8192</v>
      </c>
      <c r="Q73" s="15">
        <f t="shared" si="38"/>
        <v>70336.224561403506</v>
      </c>
      <c r="R73" s="15">
        <f t="shared" si="30"/>
        <v>4096</v>
      </c>
      <c r="S73" s="15">
        <f t="shared" si="31"/>
        <v>69905.066666666666</v>
      </c>
      <c r="T73" s="15">
        <f t="shared" si="32"/>
        <v>8192</v>
      </c>
      <c r="U73" s="15">
        <f t="shared" si="26"/>
        <v>74001.066666666666</v>
      </c>
      <c r="V73" s="15">
        <f t="shared" si="33"/>
        <v>341.33333333333331</v>
      </c>
      <c r="W73" s="12">
        <f t="shared" si="27"/>
        <v>25027</v>
      </c>
      <c r="X73" s="12">
        <v>20000</v>
      </c>
      <c r="Y73" s="16">
        <f t="shared" si="39"/>
        <v>169705.6245614035</v>
      </c>
      <c r="Z73" s="11">
        <f t="shared" si="34"/>
        <v>0.16970562456140351</v>
      </c>
      <c r="AB73" s="8">
        <v>0.37155700000000003</v>
      </c>
      <c r="AC73">
        <v>0.24545900000000001</v>
      </c>
      <c r="AD73" s="18">
        <f t="shared" si="28"/>
        <v>0.45674183116292655</v>
      </c>
      <c r="AE73" s="18">
        <f t="shared" si="29"/>
        <v>0.69138073797010291</v>
      </c>
    </row>
    <row r="74" spans="3:31" x14ac:dyDescent="0.25">
      <c r="C74" s="8">
        <v>4</v>
      </c>
      <c r="D74" s="8">
        <v>8</v>
      </c>
      <c r="E74" s="8">
        <v>1</v>
      </c>
      <c r="F74" s="12">
        <v>16</v>
      </c>
      <c r="G74" s="12">
        <v>2</v>
      </c>
      <c r="H74" s="12">
        <v>2</v>
      </c>
      <c r="I74" s="12">
        <v>256</v>
      </c>
      <c r="J74" s="12">
        <v>30</v>
      </c>
      <c r="K74" s="14">
        <f t="shared" si="25"/>
        <v>1</v>
      </c>
      <c r="L74" s="8">
        <f>8192</f>
        <v>8192</v>
      </c>
      <c r="M74" s="12">
        <v>128</v>
      </c>
      <c r="N74" s="15">
        <f t="shared" si="35"/>
        <v>431.15789473684208</v>
      </c>
      <c r="O74" s="15">
        <f t="shared" si="36"/>
        <v>69905.066666666666</v>
      </c>
      <c r="P74" s="15">
        <f t="shared" si="37"/>
        <v>8192</v>
      </c>
      <c r="Q74" s="15">
        <f t="shared" si="38"/>
        <v>70336.224561403506</v>
      </c>
      <c r="R74" s="15">
        <f t="shared" si="30"/>
        <v>4096</v>
      </c>
      <c r="S74" s="15">
        <f t="shared" si="31"/>
        <v>69905.066666666666</v>
      </c>
      <c r="T74" s="15">
        <f t="shared" si="32"/>
        <v>8192</v>
      </c>
      <c r="U74" s="15">
        <f t="shared" si="26"/>
        <v>74001.066666666666</v>
      </c>
      <c r="V74" s="15">
        <f t="shared" si="33"/>
        <v>341.33333333333331</v>
      </c>
      <c r="W74" s="12">
        <f t="shared" si="27"/>
        <v>25027</v>
      </c>
      <c r="X74" s="12">
        <v>20000</v>
      </c>
      <c r="Y74" s="16">
        <f t="shared" si="39"/>
        <v>169705.6245614035</v>
      </c>
      <c r="Z74" s="11">
        <f t="shared" si="34"/>
        <v>0.16970562456140351</v>
      </c>
      <c r="AB74" s="8">
        <v>0.37873099999999998</v>
      </c>
      <c r="AC74">
        <v>0.25369900000000001</v>
      </c>
      <c r="AD74" s="18">
        <f t="shared" si="28"/>
        <v>0.44809013405663523</v>
      </c>
      <c r="AE74" s="18">
        <f t="shared" si="29"/>
        <v>0.66892508272166429</v>
      </c>
    </row>
    <row r="75" spans="3:31" x14ac:dyDescent="0.25">
      <c r="C75">
        <v>8</v>
      </c>
      <c r="D75">
        <v>8</v>
      </c>
      <c r="E75">
        <v>1</v>
      </c>
      <c r="F75" s="12">
        <v>16</v>
      </c>
      <c r="G75" s="12">
        <v>2</v>
      </c>
      <c r="H75" s="12">
        <v>2</v>
      </c>
      <c r="I75" s="12">
        <v>256</v>
      </c>
      <c r="J75" s="12">
        <v>30</v>
      </c>
      <c r="K75" s="14">
        <f t="shared" si="25"/>
        <v>1</v>
      </c>
      <c r="L75">
        <f>8192</f>
        <v>8192</v>
      </c>
      <c r="M75" s="12">
        <v>128</v>
      </c>
      <c r="N75" s="15">
        <f t="shared" si="35"/>
        <v>431.15789473684208</v>
      </c>
      <c r="O75" s="15">
        <f t="shared" si="36"/>
        <v>69905.066666666666</v>
      </c>
      <c r="P75" s="15">
        <f t="shared" si="37"/>
        <v>8192</v>
      </c>
      <c r="Q75" s="15">
        <f t="shared" si="38"/>
        <v>70336.224561403506</v>
      </c>
      <c r="R75" s="15">
        <f t="shared" si="30"/>
        <v>4096</v>
      </c>
      <c r="S75" s="15">
        <f t="shared" si="31"/>
        <v>69905.066666666666</v>
      </c>
      <c r="T75" s="15">
        <f t="shared" si="32"/>
        <v>8192</v>
      </c>
      <c r="U75" s="15">
        <f t="shared" si="26"/>
        <v>74001.066666666666</v>
      </c>
      <c r="V75" s="15">
        <f t="shared" si="33"/>
        <v>341.33333333333331</v>
      </c>
      <c r="W75" s="12">
        <f t="shared" si="27"/>
        <v>25027</v>
      </c>
      <c r="X75" s="12">
        <v>20000</v>
      </c>
      <c r="Y75" s="16">
        <f t="shared" si="39"/>
        <v>169705.6245614035</v>
      </c>
      <c r="Z75" s="11">
        <f t="shared" si="34"/>
        <v>0.16970562456140351</v>
      </c>
      <c r="AB75">
        <v>0.42692000000000002</v>
      </c>
      <c r="AC75">
        <v>0.29230699999999998</v>
      </c>
      <c r="AD75" s="18">
        <f t="shared" si="28"/>
        <v>0.39751153509182868</v>
      </c>
      <c r="AE75" s="18">
        <f t="shared" si="29"/>
        <v>0.58057324854144277</v>
      </c>
    </row>
    <row r="76" spans="3:31" x14ac:dyDescent="0.25">
      <c r="C76">
        <v>16</v>
      </c>
      <c r="D76">
        <v>8</v>
      </c>
      <c r="E76">
        <v>1</v>
      </c>
      <c r="F76" s="12">
        <v>16</v>
      </c>
      <c r="G76" s="12">
        <v>2</v>
      </c>
      <c r="H76" s="12">
        <v>2</v>
      </c>
      <c r="I76" s="12">
        <v>256</v>
      </c>
      <c r="J76" s="12">
        <v>30</v>
      </c>
      <c r="K76" s="14">
        <f t="shared" si="25"/>
        <v>1</v>
      </c>
      <c r="L76">
        <f>8192</f>
        <v>8192</v>
      </c>
      <c r="M76" s="12">
        <v>128</v>
      </c>
      <c r="N76" s="15">
        <f t="shared" si="35"/>
        <v>431.15789473684208</v>
      </c>
      <c r="O76" s="15">
        <f t="shared" si="36"/>
        <v>69905.066666666666</v>
      </c>
      <c r="P76" s="15">
        <f t="shared" si="37"/>
        <v>8192</v>
      </c>
      <c r="Q76" s="15">
        <f t="shared" si="38"/>
        <v>70336.224561403506</v>
      </c>
      <c r="R76" s="15">
        <f t="shared" si="30"/>
        <v>4096</v>
      </c>
      <c r="S76" s="15">
        <f t="shared" si="31"/>
        <v>69905.066666666666</v>
      </c>
      <c r="T76" s="15">
        <f t="shared" si="32"/>
        <v>8192</v>
      </c>
      <c r="U76" s="15">
        <f t="shared" si="26"/>
        <v>74001.066666666666</v>
      </c>
      <c r="V76" s="15">
        <f t="shared" si="33"/>
        <v>341.33333333333331</v>
      </c>
      <c r="W76" s="12">
        <f t="shared" si="27"/>
        <v>25027</v>
      </c>
      <c r="X76" s="12">
        <v>20000</v>
      </c>
      <c r="Y76" s="16">
        <f t="shared" si="39"/>
        <v>169705.6245614035</v>
      </c>
      <c r="Z76" s="11">
        <f t="shared" si="34"/>
        <v>0.16970562456140351</v>
      </c>
      <c r="AB76">
        <v>0.47640399999999999</v>
      </c>
      <c r="AC76">
        <v>0.32756200000000002</v>
      </c>
      <c r="AD76" s="18">
        <f t="shared" si="28"/>
        <v>0.35622208159755903</v>
      </c>
      <c r="AE76" s="18">
        <f t="shared" si="29"/>
        <v>0.51808703256605926</v>
      </c>
    </row>
    <row r="77" spans="3:31" x14ac:dyDescent="0.25">
      <c r="C77">
        <v>32</v>
      </c>
      <c r="D77">
        <v>8</v>
      </c>
      <c r="E77">
        <v>1</v>
      </c>
      <c r="F77" s="12">
        <v>16</v>
      </c>
      <c r="G77" s="12">
        <v>2</v>
      </c>
      <c r="H77" s="12">
        <v>2</v>
      </c>
      <c r="I77" s="12">
        <v>256</v>
      </c>
      <c r="J77" s="12">
        <v>30</v>
      </c>
      <c r="K77" s="14">
        <f t="shared" si="25"/>
        <v>2</v>
      </c>
      <c r="L77">
        <f>8192</f>
        <v>8192</v>
      </c>
      <c r="M77" s="12">
        <v>128</v>
      </c>
      <c r="N77" s="15">
        <f t="shared" si="35"/>
        <v>862.31578947368416</v>
      </c>
      <c r="O77" s="15">
        <f t="shared" si="36"/>
        <v>139810.13333333333</v>
      </c>
      <c r="P77" s="15">
        <f t="shared" si="37"/>
        <v>16384</v>
      </c>
      <c r="Q77" s="15">
        <f t="shared" si="38"/>
        <v>140672.44912280701</v>
      </c>
      <c r="R77" s="15">
        <f t="shared" si="30"/>
        <v>8192</v>
      </c>
      <c r="S77" s="15">
        <f t="shared" si="31"/>
        <v>139810.13333333333</v>
      </c>
      <c r="T77" s="15">
        <f t="shared" si="32"/>
        <v>16384</v>
      </c>
      <c r="U77" s="15">
        <f t="shared" si="26"/>
        <v>148002.13333333333</v>
      </c>
      <c r="V77" s="15">
        <f t="shared" si="33"/>
        <v>682.66666666666663</v>
      </c>
      <c r="W77" s="12">
        <f t="shared" si="27"/>
        <v>50054</v>
      </c>
      <c r="X77" s="12">
        <v>20000</v>
      </c>
      <c r="Y77" s="16">
        <f t="shared" si="39"/>
        <v>339411.249122807</v>
      </c>
      <c r="Z77" s="11">
        <f t="shared" si="34"/>
        <v>0.33941124912280701</v>
      </c>
      <c r="AB77">
        <v>0.74941000000000002</v>
      </c>
      <c r="AC77">
        <v>0.56617799999999996</v>
      </c>
      <c r="AD77" s="18">
        <f t="shared" si="28"/>
        <v>0.45290461712921765</v>
      </c>
      <c r="AE77" s="18">
        <f t="shared" si="29"/>
        <v>0.59947798947116815</v>
      </c>
    </row>
    <row r="78" spans="3:31" x14ac:dyDescent="0.25">
      <c r="C78">
        <v>64</v>
      </c>
      <c r="D78">
        <v>8</v>
      </c>
      <c r="E78">
        <v>1</v>
      </c>
      <c r="F78" s="12">
        <v>16</v>
      </c>
      <c r="G78" s="12">
        <v>2</v>
      </c>
      <c r="H78" s="12">
        <v>2</v>
      </c>
      <c r="I78" s="12">
        <v>256</v>
      </c>
      <c r="J78" s="12">
        <v>30</v>
      </c>
      <c r="K78" s="14">
        <f t="shared" si="25"/>
        <v>4</v>
      </c>
      <c r="L78">
        <f>8192</f>
        <v>8192</v>
      </c>
      <c r="M78" s="12">
        <v>128</v>
      </c>
      <c r="N78" s="15">
        <f t="shared" si="35"/>
        <v>1724.6315789473683</v>
      </c>
      <c r="O78" s="15">
        <f t="shared" si="36"/>
        <v>279620.26666666666</v>
      </c>
      <c r="P78" s="15">
        <f t="shared" si="37"/>
        <v>32768</v>
      </c>
      <c r="Q78" s="15">
        <f t="shared" si="38"/>
        <v>281344.89824561402</v>
      </c>
      <c r="R78" s="15">
        <f t="shared" si="30"/>
        <v>16384</v>
      </c>
      <c r="S78" s="15">
        <f t="shared" si="31"/>
        <v>279620.26666666666</v>
      </c>
      <c r="T78" s="15">
        <f t="shared" si="32"/>
        <v>32768</v>
      </c>
      <c r="U78" s="15">
        <f t="shared" si="26"/>
        <v>296004.26666666666</v>
      </c>
      <c r="V78" s="15">
        <f t="shared" si="33"/>
        <v>1365.3333333333333</v>
      </c>
      <c r="W78" s="12">
        <f t="shared" si="27"/>
        <v>100108</v>
      </c>
      <c r="X78" s="12">
        <v>20000</v>
      </c>
      <c r="Y78" s="16">
        <f t="shared" si="39"/>
        <v>678822.498245614</v>
      </c>
      <c r="Z78" s="11">
        <f t="shared" si="34"/>
        <v>0.67882249824561403</v>
      </c>
      <c r="AB78">
        <v>1.2287589999999999</v>
      </c>
      <c r="AC78">
        <v>1.015714</v>
      </c>
      <c r="AD78" s="18">
        <f t="shared" si="28"/>
        <v>0.55244559612227784</v>
      </c>
      <c r="AE78" s="18">
        <f t="shared" si="29"/>
        <v>0.66832050975531898</v>
      </c>
    </row>
    <row r="79" spans="3:31" x14ac:dyDescent="0.25">
      <c r="C79">
        <v>128</v>
      </c>
      <c r="D79">
        <v>8</v>
      </c>
      <c r="E79">
        <v>1</v>
      </c>
      <c r="F79" s="12">
        <v>16</v>
      </c>
      <c r="G79" s="12">
        <v>2</v>
      </c>
      <c r="H79" s="12">
        <v>2</v>
      </c>
      <c r="I79" s="12">
        <v>256</v>
      </c>
      <c r="J79" s="12">
        <v>30</v>
      </c>
      <c r="K79" s="14">
        <f t="shared" si="25"/>
        <v>8</v>
      </c>
      <c r="L79">
        <f>8192</f>
        <v>8192</v>
      </c>
      <c r="M79" s="12">
        <v>128</v>
      </c>
      <c r="N79" s="15">
        <f t="shared" si="35"/>
        <v>3449.2631578947367</v>
      </c>
      <c r="O79" s="15">
        <f t="shared" si="36"/>
        <v>559240.53333333333</v>
      </c>
      <c r="P79" s="15">
        <f t="shared" si="37"/>
        <v>65536</v>
      </c>
      <c r="Q79" s="15">
        <f t="shared" si="38"/>
        <v>562689.79649122804</v>
      </c>
      <c r="R79" s="15">
        <f t="shared" si="30"/>
        <v>32768</v>
      </c>
      <c r="S79" s="15">
        <f t="shared" si="31"/>
        <v>559240.53333333333</v>
      </c>
      <c r="T79" s="15">
        <f t="shared" si="32"/>
        <v>65536</v>
      </c>
      <c r="U79" s="15">
        <f t="shared" si="26"/>
        <v>592008.53333333333</v>
      </c>
      <c r="V79" s="15">
        <f t="shared" si="33"/>
        <v>2730.6666666666665</v>
      </c>
      <c r="W79" s="12">
        <f t="shared" si="27"/>
        <v>200216</v>
      </c>
      <c r="X79" s="12">
        <v>20000</v>
      </c>
      <c r="Y79" s="16">
        <f t="shared" si="39"/>
        <v>1357644.996491228</v>
      </c>
      <c r="Z79" s="11">
        <f t="shared" si="34"/>
        <v>1.3576449964912281</v>
      </c>
      <c r="AB79">
        <v>2.2033879999999999</v>
      </c>
      <c r="AC79">
        <v>1.897138</v>
      </c>
      <c r="AD79" s="18">
        <f t="shared" si="28"/>
        <v>0.61616247183484163</v>
      </c>
      <c r="AE79" s="18">
        <f t="shared" si="29"/>
        <v>0.71562795984858674</v>
      </c>
    </row>
    <row r="80" spans="3:31" x14ac:dyDescent="0.25">
      <c r="C80">
        <v>256</v>
      </c>
      <c r="D80">
        <v>8</v>
      </c>
      <c r="E80">
        <v>1</v>
      </c>
      <c r="F80" s="12">
        <v>16</v>
      </c>
      <c r="G80" s="12">
        <v>2</v>
      </c>
      <c r="H80" s="12">
        <v>2</v>
      </c>
      <c r="I80" s="12">
        <v>256</v>
      </c>
      <c r="J80" s="12">
        <v>30</v>
      </c>
      <c r="K80" s="14">
        <f t="shared" si="25"/>
        <v>16</v>
      </c>
      <c r="L80">
        <f>8192</f>
        <v>8192</v>
      </c>
      <c r="M80" s="12">
        <v>128</v>
      </c>
      <c r="N80" s="15">
        <f>G80*K80*64*M80/38</f>
        <v>6898.5263157894733</v>
      </c>
      <c r="O80" s="15">
        <f t="shared" si="36"/>
        <v>1118481.0666666667</v>
      </c>
      <c r="P80" s="15">
        <f t="shared" si="37"/>
        <v>131072</v>
      </c>
      <c r="Q80" s="15">
        <f>N80+O80</f>
        <v>1125379.5929824561</v>
      </c>
      <c r="R80" s="15">
        <f t="shared" si="30"/>
        <v>65536</v>
      </c>
      <c r="S80" s="15">
        <f t="shared" si="31"/>
        <v>1118481.0666666667</v>
      </c>
      <c r="T80" s="15">
        <f t="shared" si="32"/>
        <v>131072</v>
      </c>
      <c r="U80" s="15">
        <f t="shared" si="26"/>
        <v>1184017.0666666667</v>
      </c>
      <c r="V80" s="15">
        <f t="shared" si="33"/>
        <v>5461.333333333333</v>
      </c>
      <c r="W80" s="12">
        <f t="shared" si="27"/>
        <v>400432</v>
      </c>
      <c r="X80" s="12">
        <v>20000</v>
      </c>
      <c r="Y80" s="16">
        <f t="shared" si="39"/>
        <v>2715289.992982456</v>
      </c>
      <c r="Z80" s="11">
        <f t="shared" si="34"/>
        <v>2.7152899929824561</v>
      </c>
      <c r="AB80">
        <v>4.1369300000000004</v>
      </c>
      <c r="AC80">
        <v>3.607132</v>
      </c>
      <c r="AD80" s="18">
        <f t="shared" si="28"/>
        <v>0.65635386457649891</v>
      </c>
      <c r="AE80" s="18">
        <f t="shared" si="29"/>
        <v>0.75275592714168937</v>
      </c>
    </row>
    <row r="81" spans="1:31" x14ac:dyDescent="0.25">
      <c r="C81">
        <v>512</v>
      </c>
      <c r="D81">
        <v>8</v>
      </c>
      <c r="E81">
        <v>1</v>
      </c>
      <c r="F81" s="12">
        <v>16</v>
      </c>
      <c r="G81" s="12">
        <v>2</v>
      </c>
      <c r="H81" s="12">
        <v>2</v>
      </c>
      <c r="I81" s="12">
        <v>256</v>
      </c>
      <c r="J81" s="12">
        <v>30</v>
      </c>
      <c r="K81" s="14">
        <f t="shared" si="25"/>
        <v>32</v>
      </c>
      <c r="L81">
        <f>8192</f>
        <v>8192</v>
      </c>
      <c r="M81" s="12">
        <v>128</v>
      </c>
      <c r="N81" s="15">
        <f t="shared" si="35"/>
        <v>13797.052631578947</v>
      </c>
      <c r="O81" s="15">
        <f t="shared" si="36"/>
        <v>2236962.1333333333</v>
      </c>
      <c r="P81" s="15">
        <f t="shared" si="37"/>
        <v>262144</v>
      </c>
      <c r="Q81" s="15">
        <f t="shared" si="38"/>
        <v>2250759.1859649122</v>
      </c>
      <c r="R81" s="15">
        <f t="shared" si="30"/>
        <v>131072</v>
      </c>
      <c r="S81" s="15">
        <f t="shared" si="31"/>
        <v>2236962.1333333333</v>
      </c>
      <c r="T81" s="15">
        <f t="shared" si="32"/>
        <v>262144</v>
      </c>
      <c r="U81" s="15">
        <f t="shared" si="26"/>
        <v>2368034.1333333333</v>
      </c>
      <c r="V81" s="15">
        <f t="shared" si="33"/>
        <v>10922.666666666666</v>
      </c>
      <c r="W81" s="12">
        <f t="shared" si="27"/>
        <v>800864</v>
      </c>
      <c r="X81" s="12">
        <v>20000</v>
      </c>
      <c r="Y81" s="16">
        <f t="shared" si="39"/>
        <v>5430579.985964912</v>
      </c>
      <c r="Z81" s="11">
        <f t="shared" si="34"/>
        <v>5.4305799859649122</v>
      </c>
      <c r="AB81">
        <v>7.985322</v>
      </c>
      <c r="AC81">
        <v>6.9685050000000004</v>
      </c>
      <c r="AD81" s="18">
        <f t="shared" si="28"/>
        <v>0.68007025714991987</v>
      </c>
      <c r="AE81" s="18">
        <f t="shared" si="29"/>
        <v>0.77930344973059673</v>
      </c>
    </row>
    <row r="82" spans="1:31" x14ac:dyDescent="0.25">
      <c r="C82" s="8">
        <v>1</v>
      </c>
      <c r="D82" s="8">
        <v>8</v>
      </c>
      <c r="E82" s="8">
        <v>1</v>
      </c>
      <c r="F82" s="12">
        <v>16</v>
      </c>
      <c r="G82" s="12">
        <v>2</v>
      </c>
      <c r="H82" s="12">
        <v>2</v>
      </c>
      <c r="I82" s="12">
        <v>256</v>
      </c>
      <c r="J82" s="12">
        <v>30</v>
      </c>
      <c r="K82" s="14">
        <f t="shared" si="25"/>
        <v>1</v>
      </c>
      <c r="L82" s="8">
        <f>16384</f>
        <v>16384</v>
      </c>
      <c r="M82" s="12">
        <v>128</v>
      </c>
      <c r="N82" s="15">
        <f t="shared" si="35"/>
        <v>431.15789473684208</v>
      </c>
      <c r="O82" s="15">
        <f t="shared" si="36"/>
        <v>139810.13333333333</v>
      </c>
      <c r="P82" s="15">
        <f t="shared" si="37"/>
        <v>16384</v>
      </c>
      <c r="Q82" s="15">
        <f t="shared" si="38"/>
        <v>140241.29122807019</v>
      </c>
      <c r="R82" s="15">
        <f t="shared" si="30"/>
        <v>8192</v>
      </c>
      <c r="S82" s="15">
        <f t="shared" si="31"/>
        <v>139810.13333333333</v>
      </c>
      <c r="T82" s="15">
        <f t="shared" si="32"/>
        <v>16384</v>
      </c>
      <c r="U82" s="15">
        <f t="shared" si="26"/>
        <v>148002.13333333333</v>
      </c>
      <c r="V82" s="15">
        <f t="shared" si="33"/>
        <v>341.33333333333331</v>
      </c>
      <c r="W82" s="12">
        <f t="shared" si="27"/>
        <v>49859</v>
      </c>
      <c r="X82" s="12">
        <v>20000</v>
      </c>
      <c r="Y82" s="16">
        <f t="shared" si="39"/>
        <v>338443.75789473683</v>
      </c>
      <c r="Z82" s="11">
        <f t="shared" si="34"/>
        <v>0.33844375789473685</v>
      </c>
      <c r="AB82" s="8">
        <v>0.61742399999999997</v>
      </c>
      <c r="AC82">
        <v>0.37048900000000001</v>
      </c>
      <c r="AD82" s="18">
        <f t="shared" si="28"/>
        <v>0.54815452249141083</v>
      </c>
      <c r="AE82" s="18">
        <f t="shared" si="29"/>
        <v>0.91350555048796822</v>
      </c>
    </row>
    <row r="83" spans="1:31" x14ac:dyDescent="0.25">
      <c r="C83" s="8">
        <v>2</v>
      </c>
      <c r="D83" s="8">
        <v>8</v>
      </c>
      <c r="E83" s="8">
        <v>1</v>
      </c>
      <c r="F83" s="12">
        <v>16</v>
      </c>
      <c r="G83" s="12">
        <v>2</v>
      </c>
      <c r="H83" s="12">
        <v>2</v>
      </c>
      <c r="I83" s="12">
        <v>256</v>
      </c>
      <c r="J83" s="12">
        <v>30</v>
      </c>
      <c r="K83" s="14">
        <f t="shared" si="25"/>
        <v>1</v>
      </c>
      <c r="L83" s="8">
        <f>16384</f>
        <v>16384</v>
      </c>
      <c r="M83" s="12">
        <v>128</v>
      </c>
      <c r="N83" s="15">
        <f t="shared" si="35"/>
        <v>431.15789473684208</v>
      </c>
      <c r="O83" s="15">
        <f t="shared" si="36"/>
        <v>139810.13333333333</v>
      </c>
      <c r="P83" s="15">
        <f t="shared" si="37"/>
        <v>16384</v>
      </c>
      <c r="Q83" s="15">
        <f t="shared" si="38"/>
        <v>140241.29122807019</v>
      </c>
      <c r="R83" s="15">
        <f t="shared" si="30"/>
        <v>8192</v>
      </c>
      <c r="S83" s="15">
        <f t="shared" si="31"/>
        <v>139810.13333333333</v>
      </c>
      <c r="T83" s="15">
        <f t="shared" si="32"/>
        <v>16384</v>
      </c>
      <c r="U83" s="15">
        <f t="shared" si="26"/>
        <v>148002.13333333333</v>
      </c>
      <c r="V83" s="15">
        <f t="shared" si="33"/>
        <v>341.33333333333331</v>
      </c>
      <c r="W83" s="12">
        <f t="shared" si="27"/>
        <v>49859</v>
      </c>
      <c r="X83" s="12">
        <v>20000</v>
      </c>
      <c r="Y83" s="16">
        <f t="shared" si="39"/>
        <v>338443.75789473683</v>
      </c>
      <c r="Z83" s="11">
        <f t="shared" si="34"/>
        <v>0.33844375789473685</v>
      </c>
      <c r="AB83" s="8">
        <v>0.687809</v>
      </c>
      <c r="AC83">
        <v>0.423184</v>
      </c>
      <c r="AD83" s="18">
        <f t="shared" si="28"/>
        <v>0.4920606707599593</v>
      </c>
      <c r="AE83" s="18">
        <f t="shared" si="29"/>
        <v>0.7997555623434176</v>
      </c>
    </row>
    <row r="84" spans="1:31" x14ac:dyDescent="0.25">
      <c r="C84" s="8">
        <v>4</v>
      </c>
      <c r="D84" s="8">
        <v>8</v>
      </c>
      <c r="E84" s="8">
        <v>1</v>
      </c>
      <c r="F84" s="12">
        <v>16</v>
      </c>
      <c r="G84" s="12">
        <v>2</v>
      </c>
      <c r="H84" s="12">
        <v>2</v>
      </c>
      <c r="I84" s="12">
        <v>256</v>
      </c>
      <c r="J84" s="12">
        <v>30</v>
      </c>
      <c r="K84" s="14">
        <f t="shared" si="25"/>
        <v>1</v>
      </c>
      <c r="L84" s="8">
        <f>16384</f>
        <v>16384</v>
      </c>
      <c r="M84" s="12">
        <v>128</v>
      </c>
      <c r="N84" s="15">
        <f t="shared" si="35"/>
        <v>431.15789473684208</v>
      </c>
      <c r="O84" s="15">
        <f t="shared" si="36"/>
        <v>139810.13333333333</v>
      </c>
      <c r="P84" s="15">
        <f t="shared" si="37"/>
        <v>16384</v>
      </c>
      <c r="Q84" s="15">
        <f t="shared" si="38"/>
        <v>140241.29122807019</v>
      </c>
      <c r="R84" s="15">
        <f t="shared" si="30"/>
        <v>8192</v>
      </c>
      <c r="S84" s="15">
        <f t="shared" si="31"/>
        <v>139810.13333333333</v>
      </c>
      <c r="T84" s="15">
        <f t="shared" si="32"/>
        <v>16384</v>
      </c>
      <c r="U84" s="15">
        <f t="shared" si="26"/>
        <v>148002.13333333333</v>
      </c>
      <c r="V84" s="15">
        <f t="shared" si="33"/>
        <v>341.33333333333331</v>
      </c>
      <c r="W84" s="12">
        <f t="shared" si="27"/>
        <v>49859</v>
      </c>
      <c r="X84" s="12">
        <v>20000</v>
      </c>
      <c r="Y84" s="16">
        <f t="shared" si="39"/>
        <v>338443.75789473683</v>
      </c>
      <c r="Z84" s="11">
        <f t="shared" si="34"/>
        <v>0.33844375789473685</v>
      </c>
      <c r="AB84" s="8">
        <v>0.70228400000000002</v>
      </c>
      <c r="AC84">
        <v>0.44124799999999997</v>
      </c>
      <c r="AD84" s="18">
        <f t="shared" si="28"/>
        <v>0.48191865099409475</v>
      </c>
      <c r="AE84" s="18">
        <f t="shared" si="29"/>
        <v>0.76701482589096581</v>
      </c>
    </row>
    <row r="85" spans="1:31" x14ac:dyDescent="0.25">
      <c r="C85">
        <v>8</v>
      </c>
      <c r="D85">
        <v>8</v>
      </c>
      <c r="E85">
        <v>1</v>
      </c>
      <c r="F85" s="12">
        <v>16</v>
      </c>
      <c r="G85" s="12">
        <v>2</v>
      </c>
      <c r="H85" s="12">
        <v>2</v>
      </c>
      <c r="I85" s="12">
        <v>256</v>
      </c>
      <c r="J85" s="12">
        <v>30</v>
      </c>
      <c r="K85" s="14">
        <f t="shared" si="25"/>
        <v>1</v>
      </c>
      <c r="L85">
        <f>16384</f>
        <v>16384</v>
      </c>
      <c r="M85" s="12">
        <v>128</v>
      </c>
      <c r="N85" s="15">
        <f t="shared" si="35"/>
        <v>431.15789473684208</v>
      </c>
      <c r="O85" s="15">
        <f t="shared" si="36"/>
        <v>139810.13333333333</v>
      </c>
      <c r="P85" s="15">
        <f t="shared" si="37"/>
        <v>16384</v>
      </c>
      <c r="Q85" s="15">
        <f t="shared" si="38"/>
        <v>140241.29122807019</v>
      </c>
      <c r="R85" s="15">
        <f t="shared" si="30"/>
        <v>8192</v>
      </c>
      <c r="S85" s="15">
        <f t="shared" si="31"/>
        <v>139810.13333333333</v>
      </c>
      <c r="T85" s="15">
        <f t="shared" si="32"/>
        <v>16384</v>
      </c>
      <c r="U85" s="15">
        <f t="shared" si="26"/>
        <v>148002.13333333333</v>
      </c>
      <c r="V85" s="15">
        <f t="shared" si="33"/>
        <v>341.33333333333331</v>
      </c>
      <c r="W85" s="12">
        <f t="shared" si="27"/>
        <v>49859</v>
      </c>
      <c r="X85" s="12">
        <v>20000</v>
      </c>
      <c r="Y85" s="16">
        <f t="shared" si="39"/>
        <v>338443.75789473683</v>
      </c>
      <c r="Z85" s="11">
        <f t="shared" si="34"/>
        <v>0.33844375789473685</v>
      </c>
      <c r="AB85">
        <v>0.800535</v>
      </c>
      <c r="AC85">
        <v>0.50888900000000004</v>
      </c>
      <c r="AD85" s="18">
        <f t="shared" si="28"/>
        <v>0.42277196861441019</v>
      </c>
      <c r="AE85" s="18">
        <f t="shared" si="29"/>
        <v>0.66506400785777808</v>
      </c>
    </row>
    <row r="86" spans="1:31" x14ac:dyDescent="0.25">
      <c r="C86">
        <v>16</v>
      </c>
      <c r="D86">
        <v>8</v>
      </c>
      <c r="E86">
        <v>1</v>
      </c>
      <c r="F86" s="12">
        <v>16</v>
      </c>
      <c r="G86" s="12">
        <v>2</v>
      </c>
      <c r="H86" s="12">
        <v>2</v>
      </c>
      <c r="I86" s="12">
        <v>256</v>
      </c>
      <c r="J86" s="12">
        <v>30</v>
      </c>
      <c r="K86" s="14">
        <f t="shared" si="25"/>
        <v>1</v>
      </c>
      <c r="L86">
        <f>16384</f>
        <v>16384</v>
      </c>
      <c r="M86" s="12">
        <v>128</v>
      </c>
      <c r="N86" s="15">
        <f t="shared" si="35"/>
        <v>431.15789473684208</v>
      </c>
      <c r="O86" s="15">
        <f t="shared" si="36"/>
        <v>139810.13333333333</v>
      </c>
      <c r="P86" s="15">
        <f t="shared" si="37"/>
        <v>16384</v>
      </c>
      <c r="Q86" s="15">
        <f t="shared" si="38"/>
        <v>140241.29122807019</v>
      </c>
      <c r="R86" s="15">
        <f t="shared" si="30"/>
        <v>8192</v>
      </c>
      <c r="S86" s="15">
        <f t="shared" si="31"/>
        <v>139810.13333333333</v>
      </c>
      <c r="T86" s="15">
        <f t="shared" si="32"/>
        <v>16384</v>
      </c>
      <c r="U86" s="15">
        <f t="shared" si="26"/>
        <v>148002.13333333333</v>
      </c>
      <c r="V86" s="15">
        <f t="shared" si="33"/>
        <v>341.33333333333331</v>
      </c>
      <c r="W86" s="12">
        <f t="shared" si="27"/>
        <v>49859</v>
      </c>
      <c r="X86" s="12">
        <v>20000</v>
      </c>
      <c r="Y86" s="16">
        <f t="shared" si="39"/>
        <v>338443.75789473683</v>
      </c>
      <c r="Z86" s="11">
        <f t="shared" si="34"/>
        <v>0.33844375789473685</v>
      </c>
      <c r="AB86">
        <v>0.901864</v>
      </c>
      <c r="AC86">
        <v>0.56691100000000005</v>
      </c>
      <c r="AD86" s="18">
        <f t="shared" si="28"/>
        <v>0.37527139113517877</v>
      </c>
      <c r="AE86" s="18">
        <f t="shared" si="29"/>
        <v>0.59699627965366142</v>
      </c>
    </row>
    <row r="87" spans="1:31" x14ac:dyDescent="0.25">
      <c r="C87">
        <v>32</v>
      </c>
      <c r="D87">
        <v>8</v>
      </c>
      <c r="E87">
        <v>1</v>
      </c>
      <c r="F87" s="12">
        <v>16</v>
      </c>
      <c r="G87" s="12">
        <v>2</v>
      </c>
      <c r="H87" s="12">
        <v>2</v>
      </c>
      <c r="I87" s="12">
        <v>256</v>
      </c>
      <c r="J87" s="12">
        <v>30</v>
      </c>
      <c r="K87" s="14">
        <f t="shared" si="25"/>
        <v>2</v>
      </c>
      <c r="L87">
        <f>16384</f>
        <v>16384</v>
      </c>
      <c r="M87" s="12">
        <v>128</v>
      </c>
      <c r="N87" s="15">
        <f t="shared" si="35"/>
        <v>862.31578947368416</v>
      </c>
      <c r="O87" s="15">
        <f t="shared" si="36"/>
        <v>279620.26666666666</v>
      </c>
      <c r="P87" s="15">
        <f t="shared" si="37"/>
        <v>32768</v>
      </c>
      <c r="Q87" s="15">
        <f t="shared" si="38"/>
        <v>280482.58245614037</v>
      </c>
      <c r="R87" s="15">
        <f t="shared" si="30"/>
        <v>16384</v>
      </c>
      <c r="S87" s="15">
        <f t="shared" si="31"/>
        <v>279620.26666666666</v>
      </c>
      <c r="T87" s="15">
        <f t="shared" si="32"/>
        <v>32768</v>
      </c>
      <c r="U87" s="15">
        <f t="shared" si="26"/>
        <v>296004.26666666666</v>
      </c>
      <c r="V87" s="15">
        <f t="shared" si="33"/>
        <v>682.66666666666663</v>
      </c>
      <c r="W87" s="12">
        <f t="shared" si="27"/>
        <v>99718</v>
      </c>
      <c r="X87" s="12">
        <v>20000</v>
      </c>
      <c r="Y87" s="16">
        <f t="shared" si="39"/>
        <v>676887.51578947366</v>
      </c>
      <c r="Z87" s="11">
        <f t="shared" si="34"/>
        <v>0.6768875157894737</v>
      </c>
      <c r="AB87">
        <v>1.451038</v>
      </c>
      <c r="AC87">
        <v>1.0140530000000001</v>
      </c>
      <c r="AD87" s="18">
        <f t="shared" si="28"/>
        <v>0.46648503746247422</v>
      </c>
      <c r="AE87" s="18">
        <f t="shared" si="29"/>
        <v>0.66750703936527345</v>
      </c>
    </row>
    <row r="88" spans="1:31" x14ac:dyDescent="0.25">
      <c r="C88">
        <v>64</v>
      </c>
      <c r="D88">
        <v>8</v>
      </c>
      <c r="E88">
        <v>1</v>
      </c>
      <c r="F88" s="12">
        <v>16</v>
      </c>
      <c r="G88" s="12">
        <v>2</v>
      </c>
      <c r="H88" s="12">
        <v>2</v>
      </c>
      <c r="I88" s="12">
        <v>256</v>
      </c>
      <c r="J88" s="12">
        <v>30</v>
      </c>
      <c r="K88" s="14">
        <f t="shared" si="25"/>
        <v>4</v>
      </c>
      <c r="L88">
        <f>16384</f>
        <v>16384</v>
      </c>
      <c r="M88" s="12">
        <v>128</v>
      </c>
      <c r="N88" s="15">
        <f t="shared" si="35"/>
        <v>1724.6315789473683</v>
      </c>
      <c r="O88" s="15">
        <f t="shared" si="36"/>
        <v>559240.53333333333</v>
      </c>
      <c r="P88" s="15">
        <f t="shared" si="37"/>
        <v>65536</v>
      </c>
      <c r="Q88" s="15">
        <f t="shared" si="38"/>
        <v>560965.16491228074</v>
      </c>
      <c r="R88" s="15">
        <f t="shared" si="30"/>
        <v>32768</v>
      </c>
      <c r="S88" s="15">
        <f t="shared" si="31"/>
        <v>559240.53333333333</v>
      </c>
      <c r="T88" s="15">
        <f t="shared" si="32"/>
        <v>65536</v>
      </c>
      <c r="U88" s="15">
        <f t="shared" si="26"/>
        <v>592008.53333333333</v>
      </c>
      <c r="V88" s="15">
        <f t="shared" si="33"/>
        <v>1365.3333333333333</v>
      </c>
      <c r="W88" s="12">
        <f t="shared" si="27"/>
        <v>199436</v>
      </c>
      <c r="X88" s="12">
        <v>20000</v>
      </c>
      <c r="Y88" s="16">
        <f t="shared" si="39"/>
        <v>1353775.0315789473</v>
      </c>
      <c r="Z88" s="11">
        <f t="shared" si="34"/>
        <v>1.3537750315789474</v>
      </c>
      <c r="AB88">
        <v>2.4109479999999999</v>
      </c>
      <c r="AC88">
        <v>1.8830769999999999</v>
      </c>
      <c r="AD88" s="18">
        <f t="shared" si="28"/>
        <v>0.56151150152510443</v>
      </c>
      <c r="AE88" s="18">
        <f t="shared" si="29"/>
        <v>0.71891644982066449</v>
      </c>
    </row>
    <row r="89" spans="1:31" x14ac:dyDescent="0.25">
      <c r="C89">
        <v>128</v>
      </c>
      <c r="D89">
        <v>8</v>
      </c>
      <c r="E89">
        <v>1</v>
      </c>
      <c r="F89" s="12">
        <v>16</v>
      </c>
      <c r="G89" s="12">
        <v>2</v>
      </c>
      <c r="H89" s="12">
        <v>2</v>
      </c>
      <c r="I89" s="12">
        <v>256</v>
      </c>
      <c r="J89" s="12">
        <v>30</v>
      </c>
      <c r="K89" s="14">
        <f t="shared" si="25"/>
        <v>8</v>
      </c>
      <c r="L89">
        <f>16384</f>
        <v>16384</v>
      </c>
      <c r="M89" s="12">
        <v>128</v>
      </c>
      <c r="N89" s="15">
        <f t="shared" si="35"/>
        <v>3449.2631578947367</v>
      </c>
      <c r="O89" s="15">
        <f t="shared" si="36"/>
        <v>1118481.0666666667</v>
      </c>
      <c r="P89" s="15">
        <f t="shared" si="37"/>
        <v>131072</v>
      </c>
      <c r="Q89" s="15">
        <f t="shared" si="38"/>
        <v>1121930.3298245615</v>
      </c>
      <c r="R89" s="15">
        <f t="shared" si="30"/>
        <v>65536</v>
      </c>
      <c r="S89" s="15">
        <f t="shared" si="31"/>
        <v>1118481.0666666667</v>
      </c>
      <c r="T89" s="15">
        <f t="shared" si="32"/>
        <v>131072</v>
      </c>
      <c r="U89" s="15">
        <f t="shared" si="26"/>
        <v>1184017.0666666667</v>
      </c>
      <c r="V89" s="15">
        <f t="shared" si="33"/>
        <v>2730.6666666666665</v>
      </c>
      <c r="W89" s="12">
        <f t="shared" si="27"/>
        <v>398872</v>
      </c>
      <c r="X89" s="12">
        <v>20000</v>
      </c>
      <c r="Y89" s="16">
        <f t="shared" si="39"/>
        <v>2707550.0631578946</v>
      </c>
      <c r="Z89" s="11">
        <f t="shared" si="34"/>
        <v>2.7075500631578948</v>
      </c>
      <c r="AB89">
        <v>4.3366959999999999</v>
      </c>
      <c r="AC89">
        <v>3.577169</v>
      </c>
      <c r="AD89" s="18">
        <f t="shared" si="28"/>
        <v>0.62433476156915191</v>
      </c>
      <c r="AE89" s="18">
        <f t="shared" si="29"/>
        <v>0.75689744128887815</v>
      </c>
    </row>
    <row r="90" spans="1:31" x14ac:dyDescent="0.25">
      <c r="C90">
        <v>256</v>
      </c>
      <c r="D90">
        <v>8</v>
      </c>
      <c r="E90">
        <v>1</v>
      </c>
      <c r="F90" s="12">
        <v>16</v>
      </c>
      <c r="G90" s="12">
        <v>2</v>
      </c>
      <c r="H90" s="12">
        <v>2</v>
      </c>
      <c r="I90" s="12">
        <v>256</v>
      </c>
      <c r="J90" s="12">
        <v>30</v>
      </c>
      <c r="K90" s="14">
        <f t="shared" si="25"/>
        <v>16</v>
      </c>
      <c r="L90">
        <f>16384</f>
        <v>16384</v>
      </c>
      <c r="M90" s="12">
        <v>128</v>
      </c>
      <c r="N90" s="15">
        <f t="shared" si="35"/>
        <v>6898.5263157894733</v>
      </c>
      <c r="O90" s="15">
        <f t="shared" si="36"/>
        <v>2236962.1333333333</v>
      </c>
      <c r="P90" s="15">
        <f t="shared" si="37"/>
        <v>262144</v>
      </c>
      <c r="Q90" s="15">
        <f t="shared" si="38"/>
        <v>2243860.659649123</v>
      </c>
      <c r="R90" s="15">
        <f t="shared" si="30"/>
        <v>131072</v>
      </c>
      <c r="S90" s="15">
        <f t="shared" si="31"/>
        <v>2236962.1333333333</v>
      </c>
      <c r="T90" s="15">
        <f t="shared" si="32"/>
        <v>262144</v>
      </c>
      <c r="U90" s="15">
        <f t="shared" si="26"/>
        <v>2368034.1333333333</v>
      </c>
      <c r="V90" s="15">
        <f t="shared" si="33"/>
        <v>5461.333333333333</v>
      </c>
      <c r="W90" s="12">
        <f t="shared" si="27"/>
        <v>797744</v>
      </c>
      <c r="X90" s="12">
        <v>20000</v>
      </c>
      <c r="Y90" s="16">
        <f t="shared" si="39"/>
        <v>5415100.1263157893</v>
      </c>
      <c r="Z90" s="11">
        <f t="shared" si="34"/>
        <v>5.4151001263157896</v>
      </c>
      <c r="AB90">
        <v>8.1710279999999997</v>
      </c>
      <c r="AC90">
        <v>6.892277</v>
      </c>
      <c r="AD90" s="18">
        <f t="shared" si="28"/>
        <v>0.6627195655572089</v>
      </c>
      <c r="AE90" s="18">
        <f t="shared" si="29"/>
        <v>0.78567650811419643</v>
      </c>
    </row>
    <row r="91" spans="1:31" x14ac:dyDescent="0.25">
      <c r="C91">
        <v>512</v>
      </c>
      <c r="D91">
        <v>8</v>
      </c>
      <c r="E91">
        <v>1</v>
      </c>
      <c r="F91" s="12">
        <v>16</v>
      </c>
      <c r="G91" s="12">
        <v>2</v>
      </c>
      <c r="H91" s="12">
        <v>2</v>
      </c>
      <c r="I91" s="12">
        <v>256</v>
      </c>
      <c r="J91" s="12">
        <v>30</v>
      </c>
      <c r="K91" s="14">
        <f t="shared" ref="K91:K154" si="40">_xlfn.CEILING.MATH(C91*E91/F91)</f>
        <v>32</v>
      </c>
      <c r="L91">
        <f>16384</f>
        <v>16384</v>
      </c>
      <c r="M91" s="12">
        <v>128</v>
      </c>
      <c r="N91" s="15">
        <f t="shared" si="35"/>
        <v>13797.052631578947</v>
      </c>
      <c r="O91" s="15">
        <f t="shared" si="36"/>
        <v>4473924.2666666666</v>
      </c>
      <c r="P91" s="15">
        <f t="shared" si="37"/>
        <v>524288</v>
      </c>
      <c r="Q91" s="15">
        <f>N91+O91</f>
        <v>4487721.3192982459</v>
      </c>
      <c r="R91" s="15">
        <f t="shared" si="30"/>
        <v>262144</v>
      </c>
      <c r="S91" s="15">
        <f t="shared" si="31"/>
        <v>4473924.2666666666</v>
      </c>
      <c r="T91" s="15">
        <f t="shared" si="32"/>
        <v>524288</v>
      </c>
      <c r="U91" s="15">
        <f t="shared" si="26"/>
        <v>4736068.2666666666</v>
      </c>
      <c r="V91" s="15">
        <f t="shared" si="33"/>
        <v>10922.666666666666</v>
      </c>
      <c r="W91" s="12">
        <f t="shared" si="27"/>
        <v>1595488</v>
      </c>
      <c r="X91" s="12">
        <v>20000</v>
      </c>
      <c r="Y91" s="16">
        <f t="shared" si="39"/>
        <v>10830200.252631579</v>
      </c>
      <c r="Z91" s="11">
        <f t="shared" si="34"/>
        <v>10.830200252631579</v>
      </c>
      <c r="AB91">
        <v>15.832815</v>
      </c>
      <c r="AC91">
        <v>13.469061999999999</v>
      </c>
      <c r="AD91" s="18">
        <f t="shared" si="28"/>
        <v>0.68403504068174736</v>
      </c>
      <c r="AE91" s="18">
        <f t="shared" si="29"/>
        <v>0.8040797683336508</v>
      </c>
    </row>
    <row r="92" spans="1:31" x14ac:dyDescent="0.25">
      <c r="C92">
        <v>1</v>
      </c>
      <c r="D92">
        <v>16</v>
      </c>
      <c r="E92">
        <v>1</v>
      </c>
      <c r="F92" s="12">
        <v>16</v>
      </c>
      <c r="G92" s="12">
        <v>2</v>
      </c>
      <c r="H92" s="12">
        <v>2</v>
      </c>
      <c r="I92" s="12">
        <v>256</v>
      </c>
      <c r="J92" s="12">
        <v>30</v>
      </c>
      <c r="K92" s="14">
        <f t="shared" si="40"/>
        <v>1</v>
      </c>
      <c r="L92">
        <v>64</v>
      </c>
      <c r="M92" s="12">
        <v>128</v>
      </c>
      <c r="N92" s="15">
        <f t="shared" si="35"/>
        <v>431.15789473684208</v>
      </c>
      <c r="O92" s="15">
        <f t="shared" si="36"/>
        <v>546.13333333333333</v>
      </c>
      <c r="P92" s="15">
        <f t="shared" si="37"/>
        <v>128</v>
      </c>
      <c r="Q92" s="15">
        <f t="shared" si="38"/>
        <v>977.29122807017541</v>
      </c>
      <c r="R92" s="15">
        <f t="shared" si="30"/>
        <v>64</v>
      </c>
      <c r="S92" s="15">
        <f t="shared" si="31"/>
        <v>1092.2666666666667</v>
      </c>
      <c r="T92" s="15">
        <f t="shared" si="32"/>
        <v>128</v>
      </c>
      <c r="U92" s="15">
        <f t="shared" si="26"/>
        <v>1156.2666666666667</v>
      </c>
      <c r="V92" s="15">
        <f t="shared" si="33"/>
        <v>341.33333333333331</v>
      </c>
      <c r="W92" s="12">
        <f t="shared" si="27"/>
        <v>389</v>
      </c>
      <c r="X92" s="12">
        <v>20000</v>
      </c>
      <c r="Y92" s="16">
        <f t="shared" si="39"/>
        <v>2863.8912280701757</v>
      </c>
      <c r="Z92" s="11">
        <f t="shared" si="34"/>
        <v>2.8638912280701755E-3</v>
      </c>
      <c r="AB92">
        <v>5.9936999999999997E-2</v>
      </c>
      <c r="AC92">
        <v>6.1213999999999998E-2</v>
      </c>
      <c r="AD92" s="18">
        <f t="shared" si="28"/>
        <v>4.7781691243642087E-2</v>
      </c>
      <c r="AE92" s="18">
        <f t="shared" si="29"/>
        <v>4.6784905872352331E-2</v>
      </c>
    </row>
    <row r="93" spans="1:31" x14ac:dyDescent="0.25">
      <c r="C93">
        <v>2</v>
      </c>
      <c r="D93">
        <v>16</v>
      </c>
      <c r="E93">
        <v>1</v>
      </c>
      <c r="F93" s="12">
        <v>16</v>
      </c>
      <c r="G93" s="12">
        <v>2</v>
      </c>
      <c r="H93" s="12">
        <v>2</v>
      </c>
      <c r="I93" s="12">
        <v>256</v>
      </c>
      <c r="J93" s="12">
        <v>30</v>
      </c>
      <c r="K93" s="14">
        <f t="shared" si="40"/>
        <v>1</v>
      </c>
      <c r="L93">
        <v>64</v>
      </c>
      <c r="M93" s="12">
        <v>128</v>
      </c>
      <c r="N93" s="15">
        <f t="shared" si="35"/>
        <v>431.15789473684208</v>
      </c>
      <c r="O93" s="15">
        <f t="shared" si="36"/>
        <v>546.13333333333333</v>
      </c>
      <c r="P93" s="15">
        <f t="shared" si="37"/>
        <v>128</v>
      </c>
      <c r="Q93" s="15">
        <f t="shared" si="38"/>
        <v>977.29122807017541</v>
      </c>
      <c r="R93" s="15">
        <f t="shared" si="30"/>
        <v>64</v>
      </c>
      <c r="S93" s="15">
        <f t="shared" si="31"/>
        <v>1092.2666666666667</v>
      </c>
      <c r="T93" s="15">
        <f t="shared" si="32"/>
        <v>128</v>
      </c>
      <c r="U93" s="15">
        <f t="shared" si="26"/>
        <v>1156.2666666666667</v>
      </c>
      <c r="V93" s="15">
        <f t="shared" si="33"/>
        <v>341.33333333333331</v>
      </c>
      <c r="W93" s="12">
        <f t="shared" si="27"/>
        <v>389</v>
      </c>
      <c r="X93" s="12">
        <v>20000</v>
      </c>
      <c r="Y93" s="16">
        <f t="shared" si="39"/>
        <v>2863.8912280701757</v>
      </c>
      <c r="Z93" s="11">
        <f t="shared" si="34"/>
        <v>2.8638912280701755E-3</v>
      </c>
      <c r="AB93">
        <v>6.0024000000000001E-2</v>
      </c>
      <c r="AC93">
        <v>6.1800000000000001E-2</v>
      </c>
      <c r="AD93" s="18">
        <f t="shared" si="28"/>
        <v>4.7712435493638801E-2</v>
      </c>
      <c r="AE93" s="18">
        <f t="shared" si="29"/>
        <v>4.6341282007608016E-2</v>
      </c>
    </row>
    <row r="94" spans="1:31" x14ac:dyDescent="0.25">
      <c r="A94" s="2"/>
      <c r="C94">
        <v>4</v>
      </c>
      <c r="D94">
        <v>16</v>
      </c>
      <c r="E94">
        <v>1</v>
      </c>
      <c r="F94" s="12">
        <v>16</v>
      </c>
      <c r="G94" s="12">
        <v>2</v>
      </c>
      <c r="H94" s="12">
        <v>2</v>
      </c>
      <c r="I94" s="12">
        <v>256</v>
      </c>
      <c r="J94" s="12">
        <v>30</v>
      </c>
      <c r="K94" s="14">
        <f t="shared" si="40"/>
        <v>1</v>
      </c>
      <c r="L94">
        <v>64</v>
      </c>
      <c r="M94" s="12">
        <v>128</v>
      </c>
      <c r="N94" s="15">
        <f t="shared" si="35"/>
        <v>431.15789473684208</v>
      </c>
      <c r="O94" s="15">
        <f t="shared" si="36"/>
        <v>546.13333333333333</v>
      </c>
      <c r="P94" s="15">
        <f t="shared" si="37"/>
        <v>128</v>
      </c>
      <c r="Q94" s="15">
        <f t="shared" si="38"/>
        <v>977.29122807017541</v>
      </c>
      <c r="R94" s="15">
        <f t="shared" si="30"/>
        <v>64</v>
      </c>
      <c r="S94" s="15">
        <f t="shared" si="31"/>
        <v>1092.2666666666667</v>
      </c>
      <c r="T94" s="15">
        <f t="shared" si="32"/>
        <v>128</v>
      </c>
      <c r="U94" s="15">
        <f t="shared" si="26"/>
        <v>1156.2666666666667</v>
      </c>
      <c r="V94" s="15">
        <f t="shared" si="33"/>
        <v>341.33333333333331</v>
      </c>
      <c r="W94" s="12">
        <f t="shared" si="27"/>
        <v>389</v>
      </c>
      <c r="X94" s="12">
        <v>20000</v>
      </c>
      <c r="Y94" s="16">
        <f t="shared" si="39"/>
        <v>2863.8912280701757</v>
      </c>
      <c r="Z94" s="11">
        <f t="shared" si="34"/>
        <v>2.8638912280701755E-3</v>
      </c>
      <c r="AB94">
        <v>5.9449000000000002E-2</v>
      </c>
      <c r="AC94">
        <v>6.1017000000000002E-2</v>
      </c>
      <c r="AD94" s="18">
        <f t="shared" si="28"/>
        <v>4.8173917611232742E-2</v>
      </c>
      <c r="AE94" s="18">
        <f t="shared" si="29"/>
        <v>4.6935956013408976E-2</v>
      </c>
    </row>
    <row r="95" spans="1:31" x14ac:dyDescent="0.25">
      <c r="C95">
        <v>8</v>
      </c>
      <c r="D95">
        <v>16</v>
      </c>
      <c r="E95">
        <v>1</v>
      </c>
      <c r="F95" s="12">
        <v>16</v>
      </c>
      <c r="G95" s="12">
        <v>2</v>
      </c>
      <c r="H95" s="12">
        <v>2</v>
      </c>
      <c r="I95" s="12">
        <v>256</v>
      </c>
      <c r="J95" s="12">
        <v>30</v>
      </c>
      <c r="K95" s="14">
        <f t="shared" si="40"/>
        <v>1</v>
      </c>
      <c r="L95">
        <v>64</v>
      </c>
      <c r="M95" s="12">
        <v>128</v>
      </c>
      <c r="N95" s="15">
        <f t="shared" si="35"/>
        <v>431.15789473684208</v>
      </c>
      <c r="O95" s="15">
        <f t="shared" si="36"/>
        <v>546.13333333333333</v>
      </c>
      <c r="P95" s="15">
        <f t="shared" si="37"/>
        <v>128</v>
      </c>
      <c r="Q95" s="15">
        <f t="shared" si="38"/>
        <v>977.29122807017541</v>
      </c>
      <c r="R95" s="15">
        <f t="shared" si="30"/>
        <v>64</v>
      </c>
      <c r="S95" s="15">
        <f t="shared" si="31"/>
        <v>1092.2666666666667</v>
      </c>
      <c r="T95" s="15">
        <f t="shared" si="32"/>
        <v>128</v>
      </c>
      <c r="U95" s="15">
        <f t="shared" si="26"/>
        <v>1156.2666666666667</v>
      </c>
      <c r="V95" s="15">
        <f t="shared" si="33"/>
        <v>341.33333333333331</v>
      </c>
      <c r="W95" s="12">
        <f t="shared" si="27"/>
        <v>389</v>
      </c>
      <c r="X95" s="12">
        <v>20000</v>
      </c>
      <c r="Y95" s="16">
        <f t="shared" si="39"/>
        <v>2863.8912280701757</v>
      </c>
      <c r="Z95" s="11">
        <f t="shared" si="34"/>
        <v>2.8638912280701755E-3</v>
      </c>
      <c r="AB95">
        <v>6.0523E-2</v>
      </c>
      <c r="AC95">
        <v>6.1913999999999997E-2</v>
      </c>
      <c r="AD95" s="18">
        <f t="shared" si="28"/>
        <v>4.7319056029446249E-2</v>
      </c>
      <c r="AE95" s="18">
        <f t="shared" si="29"/>
        <v>4.6255955487776203E-2</v>
      </c>
    </row>
    <row r="96" spans="1:31" x14ac:dyDescent="0.25">
      <c r="C96">
        <v>16</v>
      </c>
      <c r="D96">
        <v>16</v>
      </c>
      <c r="E96">
        <v>1</v>
      </c>
      <c r="F96" s="12">
        <v>16</v>
      </c>
      <c r="G96" s="12">
        <v>2</v>
      </c>
      <c r="H96" s="12">
        <v>2</v>
      </c>
      <c r="I96" s="12">
        <v>256</v>
      </c>
      <c r="J96" s="12">
        <v>30</v>
      </c>
      <c r="K96" s="14">
        <f t="shared" si="40"/>
        <v>1</v>
      </c>
      <c r="L96">
        <v>64</v>
      </c>
      <c r="M96" s="12">
        <v>128</v>
      </c>
      <c r="N96" s="15">
        <f t="shared" si="35"/>
        <v>431.15789473684208</v>
      </c>
      <c r="O96" s="15">
        <f t="shared" si="36"/>
        <v>546.13333333333333</v>
      </c>
      <c r="P96" s="15">
        <f t="shared" si="37"/>
        <v>128</v>
      </c>
      <c r="Q96" s="15">
        <f t="shared" si="38"/>
        <v>977.29122807017541</v>
      </c>
      <c r="R96" s="15">
        <f t="shared" si="30"/>
        <v>64</v>
      </c>
      <c r="S96" s="15">
        <f t="shared" si="31"/>
        <v>1092.2666666666667</v>
      </c>
      <c r="T96" s="15">
        <f t="shared" si="32"/>
        <v>128</v>
      </c>
      <c r="U96" s="15">
        <f t="shared" si="26"/>
        <v>1156.2666666666667</v>
      </c>
      <c r="V96" s="15">
        <f t="shared" si="33"/>
        <v>341.33333333333331</v>
      </c>
      <c r="W96" s="12">
        <f t="shared" si="27"/>
        <v>389</v>
      </c>
      <c r="X96" s="12">
        <v>20000</v>
      </c>
      <c r="Y96" s="16">
        <f t="shared" si="39"/>
        <v>2863.8912280701757</v>
      </c>
      <c r="Z96" s="11">
        <f t="shared" si="34"/>
        <v>2.8638912280701755E-3</v>
      </c>
      <c r="AB96">
        <v>6.0772E-2</v>
      </c>
      <c r="AC96">
        <v>6.2758999999999995E-2</v>
      </c>
      <c r="AD96" s="18">
        <f t="shared" si="28"/>
        <v>4.7125176529819249E-2</v>
      </c>
      <c r="AE96" s="18">
        <f t="shared" si="29"/>
        <v>4.5633155851275128E-2</v>
      </c>
    </row>
    <row r="97" spans="3:31" x14ac:dyDescent="0.25">
      <c r="C97">
        <v>32</v>
      </c>
      <c r="D97">
        <v>16</v>
      </c>
      <c r="E97">
        <v>1</v>
      </c>
      <c r="F97" s="12">
        <v>16</v>
      </c>
      <c r="G97" s="12">
        <v>2</v>
      </c>
      <c r="H97" s="12">
        <v>2</v>
      </c>
      <c r="I97" s="12">
        <v>256</v>
      </c>
      <c r="J97" s="12">
        <v>30</v>
      </c>
      <c r="K97" s="14">
        <f t="shared" si="40"/>
        <v>2</v>
      </c>
      <c r="L97">
        <v>64</v>
      </c>
      <c r="M97" s="12">
        <v>128</v>
      </c>
      <c r="N97" s="15">
        <f t="shared" si="35"/>
        <v>862.31578947368416</v>
      </c>
      <c r="O97" s="15">
        <f t="shared" si="36"/>
        <v>1092.2666666666667</v>
      </c>
      <c r="P97" s="15">
        <f t="shared" si="37"/>
        <v>256</v>
      </c>
      <c r="Q97" s="15">
        <f t="shared" si="38"/>
        <v>1954.5824561403508</v>
      </c>
      <c r="R97" s="15">
        <f t="shared" si="30"/>
        <v>128</v>
      </c>
      <c r="S97" s="15">
        <f t="shared" si="31"/>
        <v>2184.5333333333333</v>
      </c>
      <c r="T97" s="15">
        <f t="shared" si="32"/>
        <v>256</v>
      </c>
      <c r="U97" s="15">
        <f t="shared" si="26"/>
        <v>2312.5333333333333</v>
      </c>
      <c r="V97" s="15">
        <f t="shared" si="33"/>
        <v>682.66666666666663</v>
      </c>
      <c r="W97" s="12">
        <f t="shared" si="27"/>
        <v>778</v>
      </c>
      <c r="X97" s="12">
        <v>20000</v>
      </c>
      <c r="Y97" s="16">
        <f t="shared" si="39"/>
        <v>5727.7824561403513</v>
      </c>
      <c r="Z97" s="11">
        <f t="shared" si="34"/>
        <v>5.727782456140351E-3</v>
      </c>
      <c r="AB97">
        <v>6.5657999999999994E-2</v>
      </c>
      <c r="AC97">
        <v>7.0711999999999997E-2</v>
      </c>
      <c r="AD97" s="18">
        <f t="shared" si="28"/>
        <v>8.7236627008747625E-2</v>
      </c>
      <c r="AE97" s="18">
        <f t="shared" si="29"/>
        <v>8.1001562056515888E-2</v>
      </c>
    </row>
    <row r="98" spans="3:31" x14ac:dyDescent="0.25">
      <c r="C98">
        <v>64</v>
      </c>
      <c r="D98">
        <v>16</v>
      </c>
      <c r="E98">
        <v>1</v>
      </c>
      <c r="F98" s="12">
        <v>16</v>
      </c>
      <c r="G98" s="12">
        <v>2</v>
      </c>
      <c r="H98" s="12">
        <v>2</v>
      </c>
      <c r="I98" s="12">
        <v>256</v>
      </c>
      <c r="J98" s="12">
        <v>30</v>
      </c>
      <c r="K98" s="14">
        <f t="shared" si="40"/>
        <v>4</v>
      </c>
      <c r="L98">
        <v>64</v>
      </c>
      <c r="M98" s="12">
        <v>128</v>
      </c>
      <c r="N98" s="15">
        <f t="shared" si="35"/>
        <v>1724.6315789473683</v>
      </c>
      <c r="O98" s="15">
        <f t="shared" si="36"/>
        <v>2184.5333333333333</v>
      </c>
      <c r="P98" s="15">
        <f t="shared" si="37"/>
        <v>512</v>
      </c>
      <c r="Q98" s="15">
        <f t="shared" si="38"/>
        <v>3909.1649122807016</v>
      </c>
      <c r="R98" s="15">
        <f t="shared" si="30"/>
        <v>256</v>
      </c>
      <c r="S98" s="15">
        <f t="shared" si="31"/>
        <v>4369.0666666666666</v>
      </c>
      <c r="T98" s="15">
        <f t="shared" si="32"/>
        <v>512</v>
      </c>
      <c r="U98" s="15">
        <f t="shared" si="26"/>
        <v>4625.0666666666666</v>
      </c>
      <c r="V98" s="15">
        <f t="shared" si="33"/>
        <v>1365.3333333333333</v>
      </c>
      <c r="W98" s="12">
        <f t="shared" si="27"/>
        <v>1556</v>
      </c>
      <c r="X98" s="12">
        <v>20000</v>
      </c>
      <c r="Y98" s="16">
        <f t="shared" si="39"/>
        <v>11455.564912280703</v>
      </c>
      <c r="Z98" s="11">
        <f t="shared" si="34"/>
        <v>1.1455564912280702E-2</v>
      </c>
      <c r="AB98">
        <v>7.6124999999999998E-2</v>
      </c>
      <c r="AC98">
        <v>8.7309999999999999E-2</v>
      </c>
      <c r="AD98" s="18">
        <f t="shared" si="28"/>
        <v>0.1504836113271685</v>
      </c>
      <c r="AE98" s="18">
        <f t="shared" si="29"/>
        <v>0.13120564554209943</v>
      </c>
    </row>
    <row r="99" spans="3:31" x14ac:dyDescent="0.25">
      <c r="C99">
        <v>128</v>
      </c>
      <c r="D99">
        <v>16</v>
      </c>
      <c r="E99">
        <v>1</v>
      </c>
      <c r="F99" s="12">
        <v>16</v>
      </c>
      <c r="G99" s="12">
        <v>2</v>
      </c>
      <c r="H99" s="12">
        <v>2</v>
      </c>
      <c r="I99" s="12">
        <v>256</v>
      </c>
      <c r="J99" s="12">
        <v>30</v>
      </c>
      <c r="K99" s="14">
        <f t="shared" si="40"/>
        <v>8</v>
      </c>
      <c r="L99">
        <v>64</v>
      </c>
      <c r="M99" s="12">
        <v>128</v>
      </c>
      <c r="N99" s="15">
        <f t="shared" si="35"/>
        <v>3449.2631578947367</v>
      </c>
      <c r="O99" s="15">
        <f t="shared" si="36"/>
        <v>4369.0666666666666</v>
      </c>
      <c r="P99" s="15">
        <f t="shared" si="37"/>
        <v>1024</v>
      </c>
      <c r="Q99" s="15">
        <f t="shared" si="38"/>
        <v>7818.3298245614033</v>
      </c>
      <c r="R99" s="15">
        <f t="shared" si="30"/>
        <v>512</v>
      </c>
      <c r="S99" s="15">
        <f t="shared" si="31"/>
        <v>8738.1333333333332</v>
      </c>
      <c r="T99" s="15">
        <f t="shared" si="32"/>
        <v>1024</v>
      </c>
      <c r="U99" s="15">
        <f t="shared" si="26"/>
        <v>9250.1333333333332</v>
      </c>
      <c r="V99" s="15">
        <f t="shared" si="33"/>
        <v>2730.6666666666665</v>
      </c>
      <c r="W99" s="12">
        <f t="shared" si="27"/>
        <v>3112</v>
      </c>
      <c r="X99" s="12">
        <v>20000</v>
      </c>
      <c r="Y99" s="16">
        <f t="shared" si="39"/>
        <v>22911.129824561405</v>
      </c>
      <c r="Z99" s="11">
        <f t="shared" si="34"/>
        <v>2.2911129824561404E-2</v>
      </c>
      <c r="AB99">
        <v>9.5024999999999998E-2</v>
      </c>
      <c r="AC99">
        <v>0.119504</v>
      </c>
      <c r="AD99" s="18">
        <f t="shared" si="28"/>
        <v>0.24110633859049097</v>
      </c>
      <c r="AE99" s="18">
        <f t="shared" si="29"/>
        <v>0.19171851841412341</v>
      </c>
    </row>
    <row r="100" spans="3:31" x14ac:dyDescent="0.25">
      <c r="C100">
        <v>256</v>
      </c>
      <c r="D100">
        <v>16</v>
      </c>
      <c r="E100">
        <v>1</v>
      </c>
      <c r="F100" s="12">
        <v>16</v>
      </c>
      <c r="G100" s="12">
        <v>2</v>
      </c>
      <c r="H100" s="12">
        <v>2</v>
      </c>
      <c r="I100" s="12">
        <v>256</v>
      </c>
      <c r="J100" s="12">
        <v>30</v>
      </c>
      <c r="K100" s="14">
        <f t="shared" si="40"/>
        <v>16</v>
      </c>
      <c r="L100">
        <v>64</v>
      </c>
      <c r="M100" s="12">
        <v>128</v>
      </c>
      <c r="N100" s="15">
        <f t="shared" si="35"/>
        <v>6898.5263157894733</v>
      </c>
      <c r="O100" s="15">
        <f t="shared" si="36"/>
        <v>8738.1333333333332</v>
      </c>
      <c r="P100" s="15">
        <f t="shared" si="37"/>
        <v>2048</v>
      </c>
      <c r="Q100" s="15">
        <f t="shared" si="38"/>
        <v>15636.659649122807</v>
      </c>
      <c r="R100" s="15">
        <f t="shared" si="30"/>
        <v>1024</v>
      </c>
      <c r="S100" s="15">
        <f t="shared" si="31"/>
        <v>17476.266666666666</v>
      </c>
      <c r="T100" s="15">
        <f t="shared" si="32"/>
        <v>2048</v>
      </c>
      <c r="U100" s="15">
        <f t="shared" si="26"/>
        <v>18500.266666666666</v>
      </c>
      <c r="V100" s="15">
        <f t="shared" si="33"/>
        <v>5461.333333333333</v>
      </c>
      <c r="W100" s="12">
        <f t="shared" si="27"/>
        <v>6224</v>
      </c>
      <c r="X100" s="12">
        <v>20000</v>
      </c>
      <c r="Y100" s="16">
        <f t="shared" si="39"/>
        <v>45822.259649122811</v>
      </c>
      <c r="Z100" s="11">
        <f t="shared" si="34"/>
        <v>4.5822259649122808E-2</v>
      </c>
      <c r="AB100">
        <v>0.137041</v>
      </c>
      <c r="AC100">
        <v>0.18440899999999999</v>
      </c>
      <c r="AD100" s="18">
        <f t="shared" si="28"/>
        <v>0.33436898190412218</v>
      </c>
      <c r="AE100" s="18">
        <f t="shared" si="29"/>
        <v>0.24848168825340852</v>
      </c>
    </row>
    <row r="101" spans="3:31" x14ac:dyDescent="0.25">
      <c r="C101">
        <v>512</v>
      </c>
      <c r="D101">
        <v>16</v>
      </c>
      <c r="E101">
        <v>1</v>
      </c>
      <c r="F101" s="12">
        <v>16</v>
      </c>
      <c r="G101" s="12">
        <v>2</v>
      </c>
      <c r="H101" s="12">
        <v>2</v>
      </c>
      <c r="I101" s="12">
        <v>256</v>
      </c>
      <c r="J101" s="12">
        <v>30</v>
      </c>
      <c r="K101" s="14">
        <f t="shared" si="40"/>
        <v>32</v>
      </c>
      <c r="L101">
        <v>64</v>
      </c>
      <c r="M101" s="12">
        <v>128</v>
      </c>
      <c r="N101" s="15">
        <f t="shared" si="35"/>
        <v>13797.052631578947</v>
      </c>
      <c r="O101" s="15">
        <f t="shared" si="36"/>
        <v>17476.266666666666</v>
      </c>
      <c r="P101" s="15">
        <f t="shared" si="37"/>
        <v>4096</v>
      </c>
      <c r="Q101" s="15">
        <f t="shared" si="38"/>
        <v>31273.319298245613</v>
      </c>
      <c r="R101" s="15">
        <f t="shared" si="30"/>
        <v>2048</v>
      </c>
      <c r="S101" s="15">
        <f t="shared" si="31"/>
        <v>34952.533333333333</v>
      </c>
      <c r="T101" s="15">
        <f t="shared" si="32"/>
        <v>4096</v>
      </c>
      <c r="U101" s="15">
        <f t="shared" si="26"/>
        <v>37000.533333333333</v>
      </c>
      <c r="V101" s="15">
        <f t="shared" si="33"/>
        <v>10922.666666666666</v>
      </c>
      <c r="W101" s="12">
        <f t="shared" si="27"/>
        <v>12448</v>
      </c>
      <c r="X101" s="12">
        <v>20000</v>
      </c>
      <c r="Y101" s="16">
        <f t="shared" si="39"/>
        <v>91644.519298245621</v>
      </c>
      <c r="Z101" s="11">
        <f t="shared" si="34"/>
        <v>9.1644519298245616E-2</v>
      </c>
      <c r="AB101">
        <v>0.218253</v>
      </c>
      <c r="AC101">
        <v>0.316581</v>
      </c>
      <c r="AD101" s="18">
        <f t="shared" si="28"/>
        <v>0.41990038761549953</v>
      </c>
      <c r="AE101" s="18">
        <f t="shared" si="29"/>
        <v>0.28948205766690238</v>
      </c>
    </row>
    <row r="102" spans="3:31" x14ac:dyDescent="0.25">
      <c r="C102" s="8">
        <v>1</v>
      </c>
      <c r="D102" s="8">
        <v>16</v>
      </c>
      <c r="E102" s="8">
        <v>1</v>
      </c>
      <c r="F102" s="12">
        <v>16</v>
      </c>
      <c r="G102" s="12">
        <v>2</v>
      </c>
      <c r="H102" s="12">
        <v>2</v>
      </c>
      <c r="I102" s="12">
        <v>256</v>
      </c>
      <c r="J102" s="12">
        <v>30</v>
      </c>
      <c r="K102" s="14">
        <f t="shared" si="40"/>
        <v>1</v>
      </c>
      <c r="L102" s="8">
        <v>128</v>
      </c>
      <c r="M102" s="12">
        <v>128</v>
      </c>
      <c r="N102" s="15">
        <f t="shared" si="35"/>
        <v>431.15789473684208</v>
      </c>
      <c r="O102" s="15">
        <f t="shared" si="36"/>
        <v>1092.2666666666667</v>
      </c>
      <c r="P102" s="15">
        <f t="shared" si="37"/>
        <v>128</v>
      </c>
      <c r="Q102" s="15">
        <f t="shared" si="38"/>
        <v>1523.4245614035087</v>
      </c>
      <c r="R102" s="15">
        <f t="shared" si="30"/>
        <v>64</v>
      </c>
      <c r="S102" s="15">
        <f t="shared" si="31"/>
        <v>1092.2666666666667</v>
      </c>
      <c r="T102" s="15">
        <f t="shared" si="32"/>
        <v>128</v>
      </c>
      <c r="U102" s="15">
        <f t="shared" si="26"/>
        <v>1156.2666666666667</v>
      </c>
      <c r="V102" s="15">
        <f t="shared" si="33"/>
        <v>341.33333333333331</v>
      </c>
      <c r="W102" s="12">
        <f t="shared" si="27"/>
        <v>583</v>
      </c>
      <c r="X102" s="12">
        <v>20000</v>
      </c>
      <c r="Y102" s="16">
        <f t="shared" si="39"/>
        <v>3604.0245614035089</v>
      </c>
      <c r="Z102" s="11">
        <f t="shared" si="34"/>
        <v>3.6040245614035087E-3</v>
      </c>
      <c r="AB102" s="8">
        <v>6.2288999999999997E-2</v>
      </c>
      <c r="AC102">
        <v>6.2266000000000002E-2</v>
      </c>
      <c r="AD102" s="18">
        <f t="shared" si="28"/>
        <v>5.7859727422233602E-2</v>
      </c>
      <c r="AE102" s="18">
        <f t="shared" si="29"/>
        <v>5.7881099820182899E-2</v>
      </c>
    </row>
    <row r="103" spans="3:31" x14ac:dyDescent="0.25">
      <c r="C103">
        <v>2</v>
      </c>
      <c r="D103">
        <v>16</v>
      </c>
      <c r="E103">
        <v>1</v>
      </c>
      <c r="F103" s="12">
        <v>16</v>
      </c>
      <c r="G103" s="12">
        <v>2</v>
      </c>
      <c r="H103" s="12">
        <v>2</v>
      </c>
      <c r="I103" s="12">
        <v>256</v>
      </c>
      <c r="J103" s="12">
        <v>30</v>
      </c>
      <c r="K103" s="14">
        <f t="shared" si="40"/>
        <v>1</v>
      </c>
      <c r="L103">
        <v>128</v>
      </c>
      <c r="M103" s="12">
        <v>128</v>
      </c>
      <c r="N103" s="15">
        <f t="shared" si="35"/>
        <v>431.15789473684208</v>
      </c>
      <c r="O103" s="15">
        <f t="shared" si="36"/>
        <v>1092.2666666666667</v>
      </c>
      <c r="P103" s="15">
        <f t="shared" si="37"/>
        <v>128</v>
      </c>
      <c r="Q103" s="15">
        <f t="shared" si="38"/>
        <v>1523.4245614035087</v>
      </c>
      <c r="R103" s="15">
        <f t="shared" si="30"/>
        <v>64</v>
      </c>
      <c r="S103" s="15">
        <f t="shared" si="31"/>
        <v>1092.2666666666667</v>
      </c>
      <c r="T103" s="15">
        <f t="shared" si="32"/>
        <v>128</v>
      </c>
      <c r="U103" s="15">
        <f t="shared" si="26"/>
        <v>1156.2666666666667</v>
      </c>
      <c r="V103" s="15">
        <f t="shared" si="33"/>
        <v>341.33333333333331</v>
      </c>
      <c r="W103" s="12">
        <f t="shared" si="27"/>
        <v>583</v>
      </c>
      <c r="X103" s="12">
        <v>20000</v>
      </c>
      <c r="Y103" s="16">
        <f t="shared" si="39"/>
        <v>3604.0245614035089</v>
      </c>
      <c r="Z103" s="11">
        <f t="shared" si="34"/>
        <v>3.6040245614035087E-3</v>
      </c>
      <c r="AB103">
        <v>6.2427999999999997E-2</v>
      </c>
      <c r="AC103">
        <v>6.3101000000000004E-2</v>
      </c>
      <c r="AD103" s="18">
        <f t="shared" si="28"/>
        <v>5.7730898978078891E-2</v>
      </c>
      <c r="AE103" s="18">
        <f t="shared" si="29"/>
        <v>5.7115173474327006E-2</v>
      </c>
    </row>
    <row r="104" spans="3:31" x14ac:dyDescent="0.25">
      <c r="C104">
        <v>4</v>
      </c>
      <c r="D104">
        <v>16</v>
      </c>
      <c r="E104">
        <v>1</v>
      </c>
      <c r="F104" s="12">
        <v>16</v>
      </c>
      <c r="G104" s="12">
        <v>2</v>
      </c>
      <c r="H104" s="12">
        <v>2</v>
      </c>
      <c r="I104" s="12">
        <v>256</v>
      </c>
      <c r="J104" s="12">
        <v>30</v>
      </c>
      <c r="K104" s="14">
        <f t="shared" si="40"/>
        <v>1</v>
      </c>
      <c r="L104">
        <v>128</v>
      </c>
      <c r="M104" s="12">
        <v>128</v>
      </c>
      <c r="N104" s="15">
        <f t="shared" si="35"/>
        <v>431.15789473684208</v>
      </c>
      <c r="O104" s="15">
        <f t="shared" si="36"/>
        <v>1092.2666666666667</v>
      </c>
      <c r="P104" s="15">
        <f t="shared" si="37"/>
        <v>128</v>
      </c>
      <c r="Q104" s="15">
        <f t="shared" si="38"/>
        <v>1523.4245614035087</v>
      </c>
      <c r="R104" s="15">
        <f t="shared" si="30"/>
        <v>64</v>
      </c>
      <c r="S104" s="15">
        <f t="shared" si="31"/>
        <v>1092.2666666666667</v>
      </c>
      <c r="T104" s="15">
        <f t="shared" si="32"/>
        <v>128</v>
      </c>
      <c r="U104" s="15">
        <f t="shared" si="26"/>
        <v>1156.2666666666667</v>
      </c>
      <c r="V104" s="15">
        <f t="shared" si="33"/>
        <v>341.33333333333331</v>
      </c>
      <c r="W104" s="12">
        <f t="shared" si="27"/>
        <v>583</v>
      </c>
      <c r="X104" s="12">
        <v>20000</v>
      </c>
      <c r="Y104" s="16">
        <f t="shared" si="39"/>
        <v>3604.0245614035089</v>
      </c>
      <c r="Z104" s="11">
        <f t="shared" si="34"/>
        <v>3.6040245614035087E-3</v>
      </c>
      <c r="AB104">
        <v>6.1643000000000003E-2</v>
      </c>
      <c r="AC104">
        <v>6.2378999999999997E-2</v>
      </c>
      <c r="AD104" s="18">
        <f t="shared" si="28"/>
        <v>5.8466079869628484E-2</v>
      </c>
      <c r="AE104" s="18">
        <f t="shared" si="29"/>
        <v>5.7776247798193445E-2</v>
      </c>
    </row>
    <row r="105" spans="3:31" x14ac:dyDescent="0.25">
      <c r="C105">
        <v>8</v>
      </c>
      <c r="D105">
        <v>16</v>
      </c>
      <c r="E105">
        <v>1</v>
      </c>
      <c r="F105" s="12">
        <v>16</v>
      </c>
      <c r="G105" s="12">
        <v>2</v>
      </c>
      <c r="H105" s="12">
        <v>2</v>
      </c>
      <c r="I105" s="12">
        <v>256</v>
      </c>
      <c r="J105" s="12">
        <v>30</v>
      </c>
      <c r="K105" s="14">
        <f t="shared" si="40"/>
        <v>1</v>
      </c>
      <c r="L105">
        <v>128</v>
      </c>
      <c r="M105" s="12">
        <v>128</v>
      </c>
      <c r="N105" s="15">
        <f t="shared" si="35"/>
        <v>431.15789473684208</v>
      </c>
      <c r="O105" s="15">
        <f t="shared" si="36"/>
        <v>1092.2666666666667</v>
      </c>
      <c r="P105" s="15">
        <f t="shared" si="37"/>
        <v>128</v>
      </c>
      <c r="Q105" s="15">
        <f t="shared" si="38"/>
        <v>1523.4245614035087</v>
      </c>
      <c r="R105" s="15">
        <f t="shared" si="30"/>
        <v>64</v>
      </c>
      <c r="S105" s="15">
        <f t="shared" si="31"/>
        <v>1092.2666666666667</v>
      </c>
      <c r="T105" s="15">
        <f t="shared" si="32"/>
        <v>128</v>
      </c>
      <c r="U105" s="15">
        <f t="shared" si="26"/>
        <v>1156.2666666666667</v>
      </c>
      <c r="V105" s="15">
        <f t="shared" si="33"/>
        <v>341.33333333333331</v>
      </c>
      <c r="W105" s="12">
        <f t="shared" si="27"/>
        <v>583</v>
      </c>
      <c r="X105" s="12">
        <v>20000</v>
      </c>
      <c r="Y105" s="16">
        <f t="shared" si="39"/>
        <v>3604.0245614035089</v>
      </c>
      <c r="Z105" s="11">
        <f t="shared" si="34"/>
        <v>3.6040245614035087E-3</v>
      </c>
      <c r="AB105">
        <v>6.2958E-2</v>
      </c>
      <c r="AC105">
        <v>6.3308000000000003E-2</v>
      </c>
      <c r="AD105" s="18">
        <f t="shared" si="28"/>
        <v>5.7244902338122378E-2</v>
      </c>
      <c r="AE105" s="18">
        <f t="shared" si="29"/>
        <v>5.6928422338464464E-2</v>
      </c>
    </row>
    <row r="106" spans="3:31" x14ac:dyDescent="0.25">
      <c r="C106">
        <v>16</v>
      </c>
      <c r="D106">
        <v>16</v>
      </c>
      <c r="E106">
        <v>1</v>
      </c>
      <c r="F106" s="12">
        <v>16</v>
      </c>
      <c r="G106" s="12">
        <v>2</v>
      </c>
      <c r="H106" s="12">
        <v>2</v>
      </c>
      <c r="I106" s="12">
        <v>256</v>
      </c>
      <c r="J106" s="12">
        <v>30</v>
      </c>
      <c r="K106" s="14">
        <f t="shared" si="40"/>
        <v>1</v>
      </c>
      <c r="L106">
        <v>128</v>
      </c>
      <c r="M106" s="12">
        <v>128</v>
      </c>
      <c r="N106" s="15">
        <f t="shared" si="35"/>
        <v>431.15789473684208</v>
      </c>
      <c r="O106" s="15">
        <f t="shared" si="36"/>
        <v>1092.2666666666667</v>
      </c>
      <c r="P106" s="15">
        <f t="shared" si="37"/>
        <v>128</v>
      </c>
      <c r="Q106" s="15">
        <f t="shared" si="38"/>
        <v>1523.4245614035087</v>
      </c>
      <c r="R106" s="15">
        <f t="shared" si="30"/>
        <v>64</v>
      </c>
      <c r="S106" s="15">
        <f t="shared" si="31"/>
        <v>1092.2666666666667</v>
      </c>
      <c r="T106" s="15">
        <f t="shared" si="32"/>
        <v>128</v>
      </c>
      <c r="U106" s="15">
        <f t="shared" si="26"/>
        <v>1156.2666666666667</v>
      </c>
      <c r="V106" s="15">
        <f t="shared" si="33"/>
        <v>341.33333333333331</v>
      </c>
      <c r="W106" s="12">
        <f t="shared" si="27"/>
        <v>583</v>
      </c>
      <c r="X106" s="12">
        <v>20000</v>
      </c>
      <c r="Y106" s="16">
        <f t="shared" si="39"/>
        <v>3604.0245614035089</v>
      </c>
      <c r="Z106" s="11">
        <f t="shared" si="34"/>
        <v>3.6040245614035087E-3</v>
      </c>
      <c r="AB106">
        <v>6.3128000000000004E-2</v>
      </c>
      <c r="AC106">
        <v>6.4014000000000001E-2</v>
      </c>
      <c r="AD106" s="18">
        <f t="shared" si="28"/>
        <v>5.7090745174938354E-2</v>
      </c>
      <c r="AE106" s="18">
        <f t="shared" si="29"/>
        <v>5.6300568022674864E-2</v>
      </c>
    </row>
    <row r="107" spans="3:31" x14ac:dyDescent="0.25">
      <c r="C107">
        <v>32</v>
      </c>
      <c r="D107">
        <v>16</v>
      </c>
      <c r="E107">
        <v>1</v>
      </c>
      <c r="F107" s="12">
        <v>16</v>
      </c>
      <c r="G107" s="12">
        <v>2</v>
      </c>
      <c r="H107" s="12">
        <v>2</v>
      </c>
      <c r="I107" s="12">
        <v>256</v>
      </c>
      <c r="J107" s="12">
        <v>30</v>
      </c>
      <c r="K107" s="14">
        <f t="shared" si="40"/>
        <v>2</v>
      </c>
      <c r="L107">
        <v>128</v>
      </c>
      <c r="M107" s="12">
        <v>128</v>
      </c>
      <c r="N107" s="15">
        <f t="shared" si="35"/>
        <v>862.31578947368416</v>
      </c>
      <c r="O107" s="15">
        <f t="shared" si="36"/>
        <v>2184.5333333333333</v>
      </c>
      <c r="P107" s="15">
        <f t="shared" si="37"/>
        <v>256</v>
      </c>
      <c r="Q107" s="15">
        <f t="shared" si="38"/>
        <v>3046.8491228070175</v>
      </c>
      <c r="R107" s="15">
        <f t="shared" si="30"/>
        <v>128</v>
      </c>
      <c r="S107" s="15">
        <f t="shared" si="31"/>
        <v>2184.5333333333333</v>
      </c>
      <c r="T107" s="15">
        <f t="shared" si="32"/>
        <v>256</v>
      </c>
      <c r="U107" s="15">
        <f t="shared" si="26"/>
        <v>2312.5333333333333</v>
      </c>
      <c r="V107" s="15">
        <f t="shared" si="33"/>
        <v>682.66666666666663</v>
      </c>
      <c r="W107" s="12">
        <f t="shared" si="27"/>
        <v>1166</v>
      </c>
      <c r="X107" s="12">
        <v>20000</v>
      </c>
      <c r="Y107" s="16">
        <f t="shared" si="39"/>
        <v>7208.0491228070177</v>
      </c>
      <c r="Z107" s="11">
        <f t="shared" si="34"/>
        <v>7.2080491228070174E-3</v>
      </c>
      <c r="AB107">
        <v>6.9846000000000005E-2</v>
      </c>
      <c r="AC107">
        <v>7.3284000000000002E-2</v>
      </c>
      <c r="AD107" s="18">
        <f t="shared" si="28"/>
        <v>0.10319916849650684</v>
      </c>
      <c r="AE107" s="18">
        <f t="shared" si="29"/>
        <v>9.8357746886182762E-2</v>
      </c>
    </row>
    <row r="108" spans="3:31" x14ac:dyDescent="0.25">
      <c r="C108">
        <v>64</v>
      </c>
      <c r="D108">
        <v>16</v>
      </c>
      <c r="E108">
        <v>1</v>
      </c>
      <c r="F108" s="12">
        <v>16</v>
      </c>
      <c r="G108" s="12">
        <v>2</v>
      </c>
      <c r="H108" s="12">
        <v>2</v>
      </c>
      <c r="I108" s="12">
        <v>256</v>
      </c>
      <c r="J108" s="12">
        <v>30</v>
      </c>
      <c r="K108" s="14">
        <f t="shared" si="40"/>
        <v>4</v>
      </c>
      <c r="L108">
        <v>128</v>
      </c>
      <c r="M108" s="12">
        <v>128</v>
      </c>
      <c r="N108" s="15">
        <f t="shared" si="35"/>
        <v>1724.6315789473683</v>
      </c>
      <c r="O108" s="15">
        <f t="shared" si="36"/>
        <v>4369.0666666666666</v>
      </c>
      <c r="P108" s="15">
        <f t="shared" si="37"/>
        <v>512</v>
      </c>
      <c r="Q108" s="15">
        <f t="shared" si="38"/>
        <v>6093.6982456140349</v>
      </c>
      <c r="R108" s="15">
        <f t="shared" si="30"/>
        <v>256</v>
      </c>
      <c r="S108" s="15">
        <f t="shared" si="31"/>
        <v>4369.0666666666666</v>
      </c>
      <c r="T108" s="15">
        <f t="shared" si="32"/>
        <v>512</v>
      </c>
      <c r="U108" s="15">
        <f t="shared" si="26"/>
        <v>4625.0666666666666</v>
      </c>
      <c r="V108" s="15">
        <f t="shared" si="33"/>
        <v>1365.3333333333333</v>
      </c>
      <c r="W108" s="12">
        <f t="shared" si="27"/>
        <v>2332</v>
      </c>
      <c r="X108" s="12">
        <v>20000</v>
      </c>
      <c r="Y108" s="16">
        <f t="shared" si="39"/>
        <v>14416.098245614035</v>
      </c>
      <c r="Z108" s="11">
        <f t="shared" si="34"/>
        <v>1.4416098245614035E-2</v>
      </c>
      <c r="AB108">
        <v>8.1213999999999995E-2</v>
      </c>
      <c r="AC108">
        <v>9.1857999999999995E-2</v>
      </c>
      <c r="AD108" s="18">
        <f t="shared" si="28"/>
        <v>0.17750755098399335</v>
      </c>
      <c r="AE108" s="18">
        <f t="shared" si="29"/>
        <v>0.15693895192159676</v>
      </c>
    </row>
    <row r="109" spans="3:31" x14ac:dyDescent="0.25">
      <c r="C109">
        <v>128</v>
      </c>
      <c r="D109">
        <v>16</v>
      </c>
      <c r="E109">
        <v>1</v>
      </c>
      <c r="F109" s="12">
        <v>16</v>
      </c>
      <c r="G109" s="12">
        <v>2</v>
      </c>
      <c r="H109" s="12">
        <v>2</v>
      </c>
      <c r="I109" s="12">
        <v>256</v>
      </c>
      <c r="J109" s="12">
        <v>30</v>
      </c>
      <c r="K109" s="14">
        <f t="shared" si="40"/>
        <v>8</v>
      </c>
      <c r="L109">
        <v>128</v>
      </c>
      <c r="M109" s="12">
        <v>128</v>
      </c>
      <c r="N109" s="15">
        <f t="shared" si="35"/>
        <v>3449.2631578947367</v>
      </c>
      <c r="O109" s="15">
        <f t="shared" si="36"/>
        <v>8738.1333333333332</v>
      </c>
      <c r="P109" s="15">
        <f t="shared" si="37"/>
        <v>1024</v>
      </c>
      <c r="Q109" s="15">
        <f t="shared" si="38"/>
        <v>12187.39649122807</v>
      </c>
      <c r="R109" s="15">
        <f t="shared" si="30"/>
        <v>512</v>
      </c>
      <c r="S109" s="15">
        <f t="shared" si="31"/>
        <v>8738.1333333333332</v>
      </c>
      <c r="T109" s="15">
        <f t="shared" si="32"/>
        <v>1024</v>
      </c>
      <c r="U109" s="15">
        <f t="shared" si="26"/>
        <v>9250.1333333333332</v>
      </c>
      <c r="V109" s="15">
        <f t="shared" si="33"/>
        <v>2730.6666666666665</v>
      </c>
      <c r="W109" s="12">
        <f t="shared" si="27"/>
        <v>4664</v>
      </c>
      <c r="X109" s="12">
        <v>20000</v>
      </c>
      <c r="Y109" s="16">
        <f t="shared" si="39"/>
        <v>28832.196491228071</v>
      </c>
      <c r="Z109" s="11">
        <f t="shared" si="34"/>
        <v>2.883219649122807E-2</v>
      </c>
      <c r="AB109">
        <v>0.105281</v>
      </c>
      <c r="AC109">
        <v>0.128501</v>
      </c>
      <c r="AD109" s="18">
        <f t="shared" si="28"/>
        <v>0.27385944749031704</v>
      </c>
      <c r="AE109" s="18">
        <f t="shared" si="29"/>
        <v>0.22437332387474082</v>
      </c>
    </row>
    <row r="110" spans="3:31" x14ac:dyDescent="0.25">
      <c r="C110">
        <v>256</v>
      </c>
      <c r="D110">
        <v>16</v>
      </c>
      <c r="E110">
        <v>1</v>
      </c>
      <c r="F110" s="12">
        <v>16</v>
      </c>
      <c r="G110" s="12">
        <v>2</v>
      </c>
      <c r="H110" s="12">
        <v>2</v>
      </c>
      <c r="I110" s="12">
        <v>256</v>
      </c>
      <c r="J110" s="12">
        <v>30</v>
      </c>
      <c r="K110" s="14">
        <f t="shared" si="40"/>
        <v>16</v>
      </c>
      <c r="L110">
        <v>128</v>
      </c>
      <c r="M110" s="12">
        <v>128</v>
      </c>
      <c r="N110" s="15">
        <f t="shared" si="35"/>
        <v>6898.5263157894733</v>
      </c>
      <c r="O110" s="15">
        <f t="shared" si="36"/>
        <v>17476.266666666666</v>
      </c>
      <c r="P110" s="15">
        <f t="shared" si="37"/>
        <v>2048</v>
      </c>
      <c r="Q110" s="15">
        <f t="shared" si="38"/>
        <v>24374.79298245614</v>
      </c>
      <c r="R110" s="15">
        <f t="shared" si="30"/>
        <v>1024</v>
      </c>
      <c r="S110" s="15">
        <f t="shared" si="31"/>
        <v>17476.266666666666</v>
      </c>
      <c r="T110" s="15">
        <f t="shared" si="32"/>
        <v>2048</v>
      </c>
      <c r="U110" s="15">
        <f t="shared" si="26"/>
        <v>18500.266666666666</v>
      </c>
      <c r="V110" s="15">
        <f t="shared" si="33"/>
        <v>5461.333333333333</v>
      </c>
      <c r="W110" s="12">
        <f t="shared" si="27"/>
        <v>9328</v>
      </c>
      <c r="X110" s="12">
        <v>20000</v>
      </c>
      <c r="Y110" s="16">
        <f t="shared" si="39"/>
        <v>57664.392982456142</v>
      </c>
      <c r="Z110" s="11">
        <f t="shared" si="34"/>
        <v>5.7664392982456139E-2</v>
      </c>
      <c r="AB110">
        <v>0.15449199999999999</v>
      </c>
      <c r="AC110">
        <v>0.20127400000000001</v>
      </c>
      <c r="AD110" s="18">
        <f t="shared" si="28"/>
        <v>0.37325164398451793</v>
      </c>
      <c r="AE110" s="18">
        <f t="shared" si="29"/>
        <v>0.28649697915506295</v>
      </c>
    </row>
    <row r="111" spans="3:31" x14ac:dyDescent="0.25">
      <c r="C111">
        <v>512</v>
      </c>
      <c r="D111">
        <v>16</v>
      </c>
      <c r="E111">
        <v>1</v>
      </c>
      <c r="F111" s="12">
        <v>16</v>
      </c>
      <c r="G111" s="12">
        <v>2</v>
      </c>
      <c r="H111" s="12">
        <v>2</v>
      </c>
      <c r="I111" s="12">
        <v>256</v>
      </c>
      <c r="J111" s="12">
        <v>30</v>
      </c>
      <c r="K111" s="14">
        <f t="shared" si="40"/>
        <v>32</v>
      </c>
      <c r="L111">
        <v>128</v>
      </c>
      <c r="M111" s="12">
        <v>128</v>
      </c>
      <c r="N111" s="15">
        <f t="shared" si="35"/>
        <v>13797.052631578947</v>
      </c>
      <c r="O111" s="15">
        <f t="shared" si="36"/>
        <v>34952.533333333333</v>
      </c>
      <c r="P111" s="15">
        <f t="shared" si="37"/>
        <v>4096</v>
      </c>
      <c r="Q111" s="15">
        <f t="shared" si="38"/>
        <v>48749.585964912279</v>
      </c>
      <c r="R111" s="15">
        <f t="shared" si="30"/>
        <v>2048</v>
      </c>
      <c r="S111" s="15">
        <f t="shared" si="31"/>
        <v>34952.533333333333</v>
      </c>
      <c r="T111" s="15">
        <f t="shared" si="32"/>
        <v>4096</v>
      </c>
      <c r="U111" s="15">
        <f t="shared" si="26"/>
        <v>37000.533333333333</v>
      </c>
      <c r="V111" s="15">
        <f t="shared" si="33"/>
        <v>10922.666666666666</v>
      </c>
      <c r="W111" s="12">
        <f t="shared" si="27"/>
        <v>18656</v>
      </c>
      <c r="X111" s="12">
        <v>20000</v>
      </c>
      <c r="Y111" s="16">
        <f t="shared" si="39"/>
        <v>115328.78596491228</v>
      </c>
      <c r="Z111" s="11">
        <f t="shared" si="34"/>
        <v>0.11532878596491228</v>
      </c>
      <c r="AB111">
        <v>0.25364999999999999</v>
      </c>
      <c r="AC111">
        <v>0.35230299999999998</v>
      </c>
      <c r="AD111" s="18">
        <f t="shared" si="28"/>
        <v>0.45467686167913379</v>
      </c>
      <c r="AE111" s="18">
        <f t="shared" si="29"/>
        <v>0.32735680923782168</v>
      </c>
    </row>
    <row r="112" spans="3:31" x14ac:dyDescent="0.25">
      <c r="C112" s="8">
        <v>1</v>
      </c>
      <c r="D112" s="8">
        <v>16</v>
      </c>
      <c r="E112" s="8">
        <v>1</v>
      </c>
      <c r="F112" s="12">
        <v>16</v>
      </c>
      <c r="G112" s="12">
        <v>2</v>
      </c>
      <c r="H112" s="12">
        <v>2</v>
      </c>
      <c r="I112" s="12">
        <v>256</v>
      </c>
      <c r="J112" s="12">
        <v>30</v>
      </c>
      <c r="K112" s="14">
        <f t="shared" si="40"/>
        <v>1</v>
      </c>
      <c r="L112" s="8">
        <v>256</v>
      </c>
      <c r="M112" s="12">
        <v>128</v>
      </c>
      <c r="N112" s="15">
        <f t="shared" si="35"/>
        <v>431.15789473684208</v>
      </c>
      <c r="O112" s="15">
        <f t="shared" si="36"/>
        <v>2184.5333333333333</v>
      </c>
      <c r="P112" s="15">
        <f t="shared" si="37"/>
        <v>256</v>
      </c>
      <c r="Q112" s="15">
        <f t="shared" si="38"/>
        <v>2615.6912280701754</v>
      </c>
      <c r="R112" s="15">
        <f t="shared" si="30"/>
        <v>128</v>
      </c>
      <c r="S112" s="15">
        <f t="shared" si="31"/>
        <v>2184.5333333333333</v>
      </c>
      <c r="T112" s="15">
        <f t="shared" si="32"/>
        <v>256</v>
      </c>
      <c r="U112" s="15">
        <f t="shared" si="26"/>
        <v>2312.5333333333333</v>
      </c>
      <c r="V112" s="15">
        <f t="shared" si="33"/>
        <v>341.33333333333331</v>
      </c>
      <c r="W112" s="12">
        <f t="shared" si="27"/>
        <v>971</v>
      </c>
      <c r="X112" s="12">
        <v>20000</v>
      </c>
      <c r="Y112" s="16">
        <f t="shared" si="39"/>
        <v>6240.5578947368422</v>
      </c>
      <c r="Z112" s="11">
        <f t="shared" si="34"/>
        <v>6.2405578947368418E-3</v>
      </c>
      <c r="AB112" s="8">
        <v>6.6475000000000006E-2</v>
      </c>
      <c r="AC112">
        <v>6.4504000000000006E-2</v>
      </c>
      <c r="AD112" s="18">
        <f t="shared" si="28"/>
        <v>9.3878268442825735E-2</v>
      </c>
      <c r="AE112" s="18">
        <f t="shared" si="29"/>
        <v>9.6746835773546466E-2</v>
      </c>
    </row>
    <row r="113" spans="3:31" x14ac:dyDescent="0.25">
      <c r="C113">
        <v>2</v>
      </c>
      <c r="D113">
        <v>16</v>
      </c>
      <c r="E113">
        <v>1</v>
      </c>
      <c r="F113" s="12">
        <v>16</v>
      </c>
      <c r="G113" s="12">
        <v>2</v>
      </c>
      <c r="H113" s="12">
        <v>2</v>
      </c>
      <c r="I113" s="12">
        <v>256</v>
      </c>
      <c r="J113" s="12">
        <v>30</v>
      </c>
      <c r="K113" s="14">
        <f t="shared" si="40"/>
        <v>1</v>
      </c>
      <c r="L113">
        <v>256</v>
      </c>
      <c r="M113" s="12">
        <v>128</v>
      </c>
      <c r="N113" s="15">
        <f t="shared" si="35"/>
        <v>431.15789473684208</v>
      </c>
      <c r="O113" s="15">
        <f t="shared" si="36"/>
        <v>2184.5333333333333</v>
      </c>
      <c r="P113" s="15">
        <f t="shared" si="37"/>
        <v>256</v>
      </c>
      <c r="Q113" s="15">
        <f t="shared" si="38"/>
        <v>2615.6912280701754</v>
      </c>
      <c r="R113" s="15">
        <f t="shared" si="30"/>
        <v>128</v>
      </c>
      <c r="S113" s="15">
        <f t="shared" si="31"/>
        <v>2184.5333333333333</v>
      </c>
      <c r="T113" s="15">
        <f t="shared" si="32"/>
        <v>256</v>
      </c>
      <c r="U113" s="15">
        <f t="shared" si="26"/>
        <v>2312.5333333333333</v>
      </c>
      <c r="V113" s="15">
        <f t="shared" si="33"/>
        <v>341.33333333333331</v>
      </c>
      <c r="W113" s="12">
        <f t="shared" si="27"/>
        <v>971</v>
      </c>
      <c r="X113" s="12">
        <v>20000</v>
      </c>
      <c r="Y113" s="16">
        <f t="shared" si="39"/>
        <v>6240.5578947368422</v>
      </c>
      <c r="Z113" s="11">
        <f t="shared" si="34"/>
        <v>6.2405578947368418E-3</v>
      </c>
      <c r="AB113">
        <v>6.7179000000000003E-2</v>
      </c>
      <c r="AC113">
        <v>6.5915000000000001E-2</v>
      </c>
      <c r="AD113" s="18">
        <f t="shared" si="28"/>
        <v>9.2894474385400813E-2</v>
      </c>
      <c r="AE113" s="18">
        <f t="shared" si="29"/>
        <v>9.4675838500141718E-2</v>
      </c>
    </row>
    <row r="114" spans="3:31" x14ac:dyDescent="0.25">
      <c r="C114">
        <v>4</v>
      </c>
      <c r="D114">
        <v>16</v>
      </c>
      <c r="E114">
        <v>1</v>
      </c>
      <c r="F114" s="12">
        <v>16</v>
      </c>
      <c r="G114" s="12">
        <v>2</v>
      </c>
      <c r="H114" s="12">
        <v>2</v>
      </c>
      <c r="I114" s="12">
        <v>256</v>
      </c>
      <c r="J114" s="12">
        <v>30</v>
      </c>
      <c r="K114" s="14">
        <f t="shared" si="40"/>
        <v>1</v>
      </c>
      <c r="L114">
        <v>256</v>
      </c>
      <c r="M114" s="12">
        <v>128</v>
      </c>
      <c r="N114" s="15">
        <f t="shared" si="35"/>
        <v>431.15789473684208</v>
      </c>
      <c r="O114" s="15">
        <f t="shared" si="36"/>
        <v>2184.5333333333333</v>
      </c>
      <c r="P114" s="15">
        <f t="shared" si="37"/>
        <v>256</v>
      </c>
      <c r="Q114" s="15">
        <f t="shared" si="38"/>
        <v>2615.6912280701754</v>
      </c>
      <c r="R114" s="15">
        <f t="shared" si="30"/>
        <v>128</v>
      </c>
      <c r="S114" s="15">
        <f t="shared" si="31"/>
        <v>2184.5333333333333</v>
      </c>
      <c r="T114" s="15">
        <f t="shared" si="32"/>
        <v>256</v>
      </c>
      <c r="U114" s="15">
        <f t="shared" si="26"/>
        <v>2312.5333333333333</v>
      </c>
      <c r="V114" s="15">
        <f t="shared" si="33"/>
        <v>341.33333333333331</v>
      </c>
      <c r="W114" s="12">
        <f t="shared" si="27"/>
        <v>971</v>
      </c>
      <c r="X114" s="12">
        <v>20000</v>
      </c>
      <c r="Y114" s="16">
        <f t="shared" si="39"/>
        <v>6240.5578947368422</v>
      </c>
      <c r="Z114" s="11">
        <f t="shared" si="34"/>
        <v>6.2405578947368418E-3</v>
      </c>
      <c r="AB114">
        <v>6.6911999999999999E-2</v>
      </c>
      <c r="AC114">
        <v>6.5279000000000004E-2</v>
      </c>
      <c r="AD114" s="18">
        <f t="shared" si="28"/>
        <v>9.326515265926652E-2</v>
      </c>
      <c r="AE114" s="18">
        <f t="shared" si="29"/>
        <v>9.5598245909662247E-2</v>
      </c>
    </row>
    <row r="115" spans="3:31" x14ac:dyDescent="0.25">
      <c r="C115">
        <v>8</v>
      </c>
      <c r="D115">
        <v>16</v>
      </c>
      <c r="E115">
        <v>1</v>
      </c>
      <c r="F115" s="12">
        <v>16</v>
      </c>
      <c r="G115" s="12">
        <v>2</v>
      </c>
      <c r="H115" s="12">
        <v>2</v>
      </c>
      <c r="I115" s="12">
        <v>256</v>
      </c>
      <c r="J115" s="12">
        <v>30</v>
      </c>
      <c r="K115" s="14">
        <f t="shared" si="40"/>
        <v>1</v>
      </c>
      <c r="L115">
        <v>256</v>
      </c>
      <c r="M115" s="12">
        <v>128</v>
      </c>
      <c r="N115" s="15">
        <f t="shared" si="35"/>
        <v>431.15789473684208</v>
      </c>
      <c r="O115" s="15">
        <f t="shared" si="36"/>
        <v>2184.5333333333333</v>
      </c>
      <c r="P115" s="15">
        <f t="shared" si="37"/>
        <v>256</v>
      </c>
      <c r="Q115" s="15">
        <f t="shared" si="38"/>
        <v>2615.6912280701754</v>
      </c>
      <c r="R115" s="15">
        <f t="shared" si="30"/>
        <v>128</v>
      </c>
      <c r="S115" s="15">
        <f t="shared" si="31"/>
        <v>2184.5333333333333</v>
      </c>
      <c r="T115" s="15">
        <f t="shared" si="32"/>
        <v>256</v>
      </c>
      <c r="U115" s="15">
        <f t="shared" si="26"/>
        <v>2312.5333333333333</v>
      </c>
      <c r="V115" s="15">
        <f t="shared" si="33"/>
        <v>341.33333333333331</v>
      </c>
      <c r="W115" s="12">
        <f t="shared" si="27"/>
        <v>971</v>
      </c>
      <c r="X115" s="12">
        <v>20000</v>
      </c>
      <c r="Y115" s="16">
        <f t="shared" si="39"/>
        <v>6240.5578947368422</v>
      </c>
      <c r="Z115" s="11">
        <f t="shared" si="34"/>
        <v>6.2405578947368418E-3</v>
      </c>
      <c r="AB115">
        <v>6.8249000000000004E-2</v>
      </c>
      <c r="AC115">
        <v>6.6623000000000002E-2</v>
      </c>
      <c r="AD115" s="18">
        <f t="shared" si="28"/>
        <v>9.1438085462597865E-2</v>
      </c>
      <c r="AE115" s="18">
        <f t="shared" si="29"/>
        <v>9.3669722089020926E-2</v>
      </c>
    </row>
    <row r="116" spans="3:31" x14ac:dyDescent="0.25">
      <c r="C116">
        <v>16</v>
      </c>
      <c r="D116">
        <v>16</v>
      </c>
      <c r="E116">
        <v>1</v>
      </c>
      <c r="F116" s="12">
        <v>16</v>
      </c>
      <c r="G116" s="12">
        <v>2</v>
      </c>
      <c r="H116" s="12">
        <v>2</v>
      </c>
      <c r="I116" s="12">
        <v>256</v>
      </c>
      <c r="J116" s="12">
        <v>30</v>
      </c>
      <c r="K116" s="14">
        <f t="shared" si="40"/>
        <v>1</v>
      </c>
      <c r="L116">
        <v>256</v>
      </c>
      <c r="M116" s="12">
        <v>128</v>
      </c>
      <c r="N116" s="15">
        <f t="shared" si="35"/>
        <v>431.15789473684208</v>
      </c>
      <c r="O116" s="15">
        <f t="shared" si="36"/>
        <v>2184.5333333333333</v>
      </c>
      <c r="P116" s="15">
        <f t="shared" si="37"/>
        <v>256</v>
      </c>
      <c r="Q116" s="15">
        <f t="shared" si="38"/>
        <v>2615.6912280701754</v>
      </c>
      <c r="R116" s="15">
        <f t="shared" si="30"/>
        <v>128</v>
      </c>
      <c r="S116" s="15">
        <f t="shared" si="31"/>
        <v>2184.5333333333333</v>
      </c>
      <c r="T116" s="15">
        <f t="shared" si="32"/>
        <v>256</v>
      </c>
      <c r="U116" s="15">
        <f t="shared" si="26"/>
        <v>2312.5333333333333</v>
      </c>
      <c r="V116" s="15">
        <f t="shared" si="33"/>
        <v>341.33333333333331</v>
      </c>
      <c r="W116" s="12">
        <f t="shared" si="27"/>
        <v>971</v>
      </c>
      <c r="X116" s="12">
        <v>20000</v>
      </c>
      <c r="Y116" s="16">
        <f t="shared" si="39"/>
        <v>6240.5578947368422</v>
      </c>
      <c r="Z116" s="11">
        <f t="shared" si="34"/>
        <v>6.2405578947368418E-3</v>
      </c>
      <c r="AB116">
        <v>6.8831000000000003E-2</v>
      </c>
      <c r="AC116">
        <v>6.7434999999999995E-2</v>
      </c>
      <c r="AD116" s="18">
        <f t="shared" si="28"/>
        <v>9.0664931422423642E-2</v>
      </c>
      <c r="AE116" s="18">
        <f t="shared" si="29"/>
        <v>9.2541823900598244E-2</v>
      </c>
    </row>
    <row r="117" spans="3:31" x14ac:dyDescent="0.25">
      <c r="C117">
        <v>32</v>
      </c>
      <c r="D117">
        <v>16</v>
      </c>
      <c r="E117">
        <v>1</v>
      </c>
      <c r="F117" s="12">
        <v>16</v>
      </c>
      <c r="G117" s="12">
        <v>2</v>
      </c>
      <c r="H117" s="12">
        <v>2</v>
      </c>
      <c r="I117" s="12">
        <v>256</v>
      </c>
      <c r="J117" s="12">
        <v>30</v>
      </c>
      <c r="K117" s="14">
        <f t="shared" si="40"/>
        <v>2</v>
      </c>
      <c r="L117">
        <v>256</v>
      </c>
      <c r="M117" s="12">
        <v>128</v>
      </c>
      <c r="N117" s="15">
        <f t="shared" si="35"/>
        <v>862.31578947368416</v>
      </c>
      <c r="O117" s="15">
        <f t="shared" si="36"/>
        <v>4369.0666666666666</v>
      </c>
      <c r="P117" s="15">
        <f t="shared" si="37"/>
        <v>512</v>
      </c>
      <c r="Q117" s="15">
        <f t="shared" si="38"/>
        <v>5231.3824561403508</v>
      </c>
      <c r="R117" s="15">
        <f t="shared" si="30"/>
        <v>256</v>
      </c>
      <c r="S117" s="15">
        <f t="shared" si="31"/>
        <v>4369.0666666666666</v>
      </c>
      <c r="T117" s="15">
        <f t="shared" si="32"/>
        <v>512</v>
      </c>
      <c r="U117" s="15">
        <f t="shared" si="26"/>
        <v>4625.0666666666666</v>
      </c>
      <c r="V117" s="15">
        <f t="shared" si="33"/>
        <v>682.66666666666663</v>
      </c>
      <c r="W117" s="12">
        <f t="shared" si="27"/>
        <v>1942</v>
      </c>
      <c r="X117" s="12">
        <v>20000</v>
      </c>
      <c r="Y117" s="16">
        <f t="shared" si="39"/>
        <v>12481.115789473684</v>
      </c>
      <c r="Z117" s="11">
        <f t="shared" si="34"/>
        <v>1.2481115789473684E-2</v>
      </c>
      <c r="AB117">
        <v>7.8051999999999996E-2</v>
      </c>
      <c r="AC117">
        <v>8.0593999999999999E-2</v>
      </c>
      <c r="AD117" s="18">
        <f t="shared" si="28"/>
        <v>0.15990769986001235</v>
      </c>
      <c r="AE117" s="18">
        <f t="shared" si="29"/>
        <v>0.15486408156281714</v>
      </c>
    </row>
    <row r="118" spans="3:31" x14ac:dyDescent="0.25">
      <c r="C118">
        <v>64</v>
      </c>
      <c r="D118">
        <v>16</v>
      </c>
      <c r="E118">
        <v>1</v>
      </c>
      <c r="F118" s="12">
        <v>16</v>
      </c>
      <c r="G118" s="12">
        <v>2</v>
      </c>
      <c r="H118" s="12">
        <v>2</v>
      </c>
      <c r="I118" s="12">
        <v>256</v>
      </c>
      <c r="J118" s="12">
        <v>30</v>
      </c>
      <c r="K118" s="14">
        <f t="shared" si="40"/>
        <v>4</v>
      </c>
      <c r="L118">
        <v>256</v>
      </c>
      <c r="M118" s="12">
        <v>128</v>
      </c>
      <c r="N118" s="15">
        <f t="shared" si="35"/>
        <v>1724.6315789473683</v>
      </c>
      <c r="O118" s="15">
        <f t="shared" si="36"/>
        <v>8738.1333333333332</v>
      </c>
      <c r="P118" s="15">
        <f t="shared" si="37"/>
        <v>1024</v>
      </c>
      <c r="Q118" s="15">
        <f t="shared" si="38"/>
        <v>10462.764912280702</v>
      </c>
      <c r="R118" s="15">
        <f t="shared" si="30"/>
        <v>512</v>
      </c>
      <c r="S118" s="15">
        <f t="shared" si="31"/>
        <v>8738.1333333333332</v>
      </c>
      <c r="T118" s="15">
        <f t="shared" si="32"/>
        <v>1024</v>
      </c>
      <c r="U118" s="15">
        <f t="shared" si="26"/>
        <v>9250.1333333333332</v>
      </c>
      <c r="V118" s="15">
        <f t="shared" si="33"/>
        <v>1365.3333333333333</v>
      </c>
      <c r="W118" s="12">
        <f t="shared" si="27"/>
        <v>3884</v>
      </c>
      <c r="X118" s="12">
        <v>20000</v>
      </c>
      <c r="Y118" s="16">
        <f t="shared" si="39"/>
        <v>24962.231578947369</v>
      </c>
      <c r="Z118" s="11">
        <f t="shared" si="34"/>
        <v>2.4962231578947367E-2</v>
      </c>
      <c r="AB118">
        <v>0.100039</v>
      </c>
      <c r="AC118">
        <v>0.105729</v>
      </c>
      <c r="AD118" s="18">
        <f t="shared" si="28"/>
        <v>0.24952500103906844</v>
      </c>
      <c r="AE118" s="18">
        <f t="shared" si="29"/>
        <v>0.23609635557838782</v>
      </c>
    </row>
    <row r="119" spans="3:31" x14ac:dyDescent="0.25">
      <c r="C119">
        <v>128</v>
      </c>
      <c r="D119">
        <v>16</v>
      </c>
      <c r="E119">
        <v>1</v>
      </c>
      <c r="F119" s="12">
        <v>16</v>
      </c>
      <c r="G119" s="12">
        <v>2</v>
      </c>
      <c r="H119" s="12">
        <v>2</v>
      </c>
      <c r="I119" s="12">
        <v>256</v>
      </c>
      <c r="J119" s="12">
        <v>30</v>
      </c>
      <c r="K119" s="14">
        <f t="shared" si="40"/>
        <v>8</v>
      </c>
      <c r="L119">
        <v>256</v>
      </c>
      <c r="M119" s="12">
        <v>128</v>
      </c>
      <c r="N119" s="15">
        <f t="shared" si="35"/>
        <v>3449.2631578947367</v>
      </c>
      <c r="O119" s="15">
        <f t="shared" si="36"/>
        <v>17476.266666666666</v>
      </c>
      <c r="P119" s="15">
        <f t="shared" si="37"/>
        <v>2048</v>
      </c>
      <c r="Q119" s="15">
        <f t="shared" si="38"/>
        <v>20925.529824561403</v>
      </c>
      <c r="R119" s="15">
        <f t="shared" si="30"/>
        <v>1024</v>
      </c>
      <c r="S119" s="15">
        <f t="shared" si="31"/>
        <v>17476.266666666666</v>
      </c>
      <c r="T119" s="15">
        <f t="shared" si="32"/>
        <v>2048</v>
      </c>
      <c r="U119" s="15">
        <f t="shared" si="26"/>
        <v>18500.266666666666</v>
      </c>
      <c r="V119" s="15">
        <f t="shared" si="33"/>
        <v>2730.6666666666665</v>
      </c>
      <c r="W119" s="12">
        <f t="shared" si="27"/>
        <v>7768</v>
      </c>
      <c r="X119" s="12">
        <v>20000</v>
      </c>
      <c r="Y119" s="16">
        <f t="shared" si="39"/>
        <v>49924.463157894737</v>
      </c>
      <c r="Z119" s="11">
        <f t="shared" si="34"/>
        <v>4.9924463157894734E-2</v>
      </c>
      <c r="AB119">
        <v>0.13845199999999999</v>
      </c>
      <c r="AC119">
        <v>0.15473200000000001</v>
      </c>
      <c r="AD119" s="18">
        <f t="shared" si="28"/>
        <v>0.36059040792400787</v>
      </c>
      <c r="AE119" s="18">
        <f t="shared" si="29"/>
        <v>0.32265118500306811</v>
      </c>
    </row>
    <row r="120" spans="3:31" x14ac:dyDescent="0.25">
      <c r="C120">
        <v>256</v>
      </c>
      <c r="D120">
        <v>16</v>
      </c>
      <c r="E120">
        <v>1</v>
      </c>
      <c r="F120" s="12">
        <v>16</v>
      </c>
      <c r="G120" s="12">
        <v>2</v>
      </c>
      <c r="H120" s="12">
        <v>2</v>
      </c>
      <c r="I120" s="12">
        <v>256</v>
      </c>
      <c r="J120" s="12">
        <v>30</v>
      </c>
      <c r="K120" s="14">
        <f t="shared" si="40"/>
        <v>16</v>
      </c>
      <c r="L120">
        <v>256</v>
      </c>
      <c r="M120" s="12">
        <v>128</v>
      </c>
      <c r="N120" s="15">
        <f t="shared" si="35"/>
        <v>6898.5263157894733</v>
      </c>
      <c r="O120" s="15">
        <f t="shared" si="36"/>
        <v>34952.533333333333</v>
      </c>
      <c r="P120" s="15">
        <f t="shared" si="37"/>
        <v>4096</v>
      </c>
      <c r="Q120" s="15">
        <f t="shared" si="38"/>
        <v>41851.059649122806</v>
      </c>
      <c r="R120" s="15">
        <f t="shared" si="30"/>
        <v>2048</v>
      </c>
      <c r="S120" s="15">
        <f t="shared" si="31"/>
        <v>34952.533333333333</v>
      </c>
      <c r="T120" s="15">
        <f t="shared" si="32"/>
        <v>4096</v>
      </c>
      <c r="U120" s="15">
        <f t="shared" si="26"/>
        <v>37000.533333333333</v>
      </c>
      <c r="V120" s="15">
        <f t="shared" si="33"/>
        <v>5461.333333333333</v>
      </c>
      <c r="W120" s="12">
        <f t="shared" si="27"/>
        <v>15536</v>
      </c>
      <c r="X120" s="12">
        <v>20000</v>
      </c>
      <c r="Y120" s="16">
        <f t="shared" si="39"/>
        <v>99848.926315789475</v>
      </c>
      <c r="Z120" s="11">
        <f t="shared" si="34"/>
        <v>9.9848926315789469E-2</v>
      </c>
      <c r="AB120">
        <v>0.218892</v>
      </c>
      <c r="AC120">
        <v>0.25459799999999999</v>
      </c>
      <c r="AD120" s="18">
        <f t="shared" si="28"/>
        <v>0.45615612409676676</v>
      </c>
      <c r="AE120" s="18">
        <f t="shared" si="29"/>
        <v>0.39218268138708662</v>
      </c>
    </row>
    <row r="121" spans="3:31" x14ac:dyDescent="0.25">
      <c r="C121">
        <v>512</v>
      </c>
      <c r="D121">
        <v>16</v>
      </c>
      <c r="E121">
        <v>1</v>
      </c>
      <c r="F121" s="12">
        <v>16</v>
      </c>
      <c r="G121" s="12">
        <v>2</v>
      </c>
      <c r="H121" s="12">
        <v>2</v>
      </c>
      <c r="I121" s="12">
        <v>256</v>
      </c>
      <c r="J121" s="12">
        <v>30</v>
      </c>
      <c r="K121" s="14">
        <f t="shared" si="40"/>
        <v>32</v>
      </c>
      <c r="L121">
        <v>256</v>
      </c>
      <c r="M121" s="12">
        <v>128</v>
      </c>
      <c r="N121" s="15">
        <f t="shared" si="35"/>
        <v>13797.052631578947</v>
      </c>
      <c r="O121" s="15">
        <f t="shared" si="36"/>
        <v>69905.066666666666</v>
      </c>
      <c r="P121" s="15">
        <f t="shared" si="37"/>
        <v>8192</v>
      </c>
      <c r="Q121" s="15">
        <f t="shared" si="38"/>
        <v>83702.119298245612</v>
      </c>
      <c r="R121" s="15">
        <f t="shared" si="30"/>
        <v>4096</v>
      </c>
      <c r="S121" s="15">
        <f t="shared" si="31"/>
        <v>69905.066666666666</v>
      </c>
      <c r="T121" s="15">
        <f t="shared" si="32"/>
        <v>8192</v>
      </c>
      <c r="U121" s="15">
        <f t="shared" si="26"/>
        <v>74001.066666666666</v>
      </c>
      <c r="V121" s="15">
        <f t="shared" si="33"/>
        <v>10922.666666666666</v>
      </c>
      <c r="W121" s="12">
        <f t="shared" si="27"/>
        <v>31072</v>
      </c>
      <c r="X121" s="12">
        <v>20000</v>
      </c>
      <c r="Y121" s="16">
        <f t="shared" si="39"/>
        <v>199697.85263157895</v>
      </c>
      <c r="Z121" s="11">
        <f t="shared" si="34"/>
        <v>0.19969785263157894</v>
      </c>
      <c r="AB121">
        <v>0.379357</v>
      </c>
      <c r="AC121">
        <v>0.46202599999999999</v>
      </c>
      <c r="AD121" s="18">
        <f t="shared" si="28"/>
        <v>0.52641140833457389</v>
      </c>
      <c r="AE121" s="18">
        <f t="shared" si="29"/>
        <v>0.43222211007947375</v>
      </c>
    </row>
    <row r="122" spans="3:31" x14ac:dyDescent="0.25">
      <c r="C122" s="8">
        <v>1</v>
      </c>
      <c r="D122" s="8">
        <v>16</v>
      </c>
      <c r="E122" s="8">
        <v>1</v>
      </c>
      <c r="F122" s="12">
        <v>16</v>
      </c>
      <c r="G122" s="12">
        <v>2</v>
      </c>
      <c r="H122" s="12">
        <v>2</v>
      </c>
      <c r="I122" s="12">
        <v>256</v>
      </c>
      <c r="J122" s="12">
        <v>30</v>
      </c>
      <c r="K122" s="14">
        <f t="shared" si="40"/>
        <v>1</v>
      </c>
      <c r="L122" s="8">
        <v>512</v>
      </c>
      <c r="M122" s="12">
        <v>128</v>
      </c>
      <c r="N122" s="15">
        <f t="shared" si="35"/>
        <v>431.15789473684208</v>
      </c>
      <c r="O122" s="15">
        <f t="shared" si="36"/>
        <v>4369.0666666666666</v>
      </c>
      <c r="P122" s="15">
        <f t="shared" si="37"/>
        <v>512</v>
      </c>
      <c r="Q122" s="15">
        <f t="shared" si="38"/>
        <v>4800.2245614035091</v>
      </c>
      <c r="R122" s="15">
        <f t="shared" si="30"/>
        <v>256</v>
      </c>
      <c r="S122" s="15">
        <f t="shared" si="31"/>
        <v>4369.0666666666666</v>
      </c>
      <c r="T122" s="15">
        <f t="shared" si="32"/>
        <v>512</v>
      </c>
      <c r="U122" s="15">
        <f t="shared" si="26"/>
        <v>4625.0666666666666</v>
      </c>
      <c r="V122" s="15">
        <f t="shared" si="33"/>
        <v>341.33333333333331</v>
      </c>
      <c r="W122" s="12">
        <f t="shared" si="27"/>
        <v>1747</v>
      </c>
      <c r="X122" s="12">
        <v>20000</v>
      </c>
      <c r="Y122" s="16">
        <f t="shared" si="39"/>
        <v>11513.624561403509</v>
      </c>
      <c r="Z122" s="11">
        <f t="shared" si="34"/>
        <v>1.1513624561403509E-2</v>
      </c>
      <c r="AB122" s="8">
        <v>7.4615000000000001E-2</v>
      </c>
      <c r="AC122">
        <v>6.9176000000000001E-2</v>
      </c>
      <c r="AD122" s="18">
        <f t="shared" si="28"/>
        <v>0.15430710395233543</v>
      </c>
      <c r="AE122" s="18">
        <f t="shared" si="29"/>
        <v>0.1664395825344557</v>
      </c>
    </row>
    <row r="123" spans="3:31" x14ac:dyDescent="0.25">
      <c r="C123">
        <v>2</v>
      </c>
      <c r="D123">
        <v>16</v>
      </c>
      <c r="E123">
        <v>1</v>
      </c>
      <c r="F123" s="12">
        <v>16</v>
      </c>
      <c r="G123" s="12">
        <v>2</v>
      </c>
      <c r="H123" s="12">
        <v>2</v>
      </c>
      <c r="I123" s="12">
        <v>256</v>
      </c>
      <c r="J123" s="12">
        <v>30</v>
      </c>
      <c r="K123" s="14">
        <f t="shared" si="40"/>
        <v>1</v>
      </c>
      <c r="L123">
        <v>512</v>
      </c>
      <c r="M123" s="12">
        <v>128</v>
      </c>
      <c r="N123" s="15">
        <f t="shared" si="35"/>
        <v>431.15789473684208</v>
      </c>
      <c r="O123" s="15">
        <f t="shared" si="36"/>
        <v>4369.0666666666666</v>
      </c>
      <c r="P123" s="15">
        <f t="shared" si="37"/>
        <v>512</v>
      </c>
      <c r="Q123" s="15">
        <f t="shared" si="38"/>
        <v>4800.2245614035091</v>
      </c>
      <c r="R123" s="15">
        <f t="shared" si="30"/>
        <v>256</v>
      </c>
      <c r="S123" s="15">
        <f t="shared" si="31"/>
        <v>4369.0666666666666</v>
      </c>
      <c r="T123" s="15">
        <f t="shared" si="32"/>
        <v>512</v>
      </c>
      <c r="U123" s="15">
        <f t="shared" si="26"/>
        <v>4625.0666666666666</v>
      </c>
      <c r="V123" s="15">
        <f t="shared" si="33"/>
        <v>341.33333333333331</v>
      </c>
      <c r="W123" s="12">
        <f t="shared" si="27"/>
        <v>1747</v>
      </c>
      <c r="X123" s="12">
        <v>20000</v>
      </c>
      <c r="Y123" s="16">
        <f t="shared" si="39"/>
        <v>11513.624561403509</v>
      </c>
      <c r="Z123" s="11">
        <f t="shared" si="34"/>
        <v>1.1513624561403509E-2</v>
      </c>
      <c r="AB123">
        <v>7.6929999999999998E-2</v>
      </c>
      <c r="AC123">
        <v>7.1660000000000001E-2</v>
      </c>
      <c r="AD123" s="18">
        <f t="shared" si="28"/>
        <v>0.14966364956978434</v>
      </c>
      <c r="AE123" s="18">
        <f t="shared" si="29"/>
        <v>0.16067017250074669</v>
      </c>
    </row>
    <row r="124" spans="3:31" x14ac:dyDescent="0.25">
      <c r="C124">
        <v>4</v>
      </c>
      <c r="D124">
        <v>16</v>
      </c>
      <c r="E124">
        <v>1</v>
      </c>
      <c r="F124" s="12">
        <v>16</v>
      </c>
      <c r="G124" s="12">
        <v>2</v>
      </c>
      <c r="H124" s="12">
        <v>2</v>
      </c>
      <c r="I124" s="12">
        <v>256</v>
      </c>
      <c r="J124" s="12">
        <v>30</v>
      </c>
      <c r="K124" s="14">
        <f t="shared" si="40"/>
        <v>1</v>
      </c>
      <c r="L124">
        <v>512</v>
      </c>
      <c r="M124" s="12">
        <v>128</v>
      </c>
      <c r="N124" s="15">
        <f t="shared" si="35"/>
        <v>431.15789473684208</v>
      </c>
      <c r="O124" s="15">
        <f t="shared" si="36"/>
        <v>4369.0666666666666</v>
      </c>
      <c r="P124" s="15">
        <f t="shared" si="37"/>
        <v>512</v>
      </c>
      <c r="Q124" s="15">
        <f t="shared" si="38"/>
        <v>4800.2245614035091</v>
      </c>
      <c r="R124" s="15">
        <f t="shared" si="30"/>
        <v>256</v>
      </c>
      <c r="S124" s="15">
        <f t="shared" si="31"/>
        <v>4369.0666666666666</v>
      </c>
      <c r="T124" s="15">
        <f t="shared" si="32"/>
        <v>512</v>
      </c>
      <c r="U124" s="15">
        <f t="shared" si="26"/>
        <v>4625.0666666666666</v>
      </c>
      <c r="V124" s="15">
        <f t="shared" si="33"/>
        <v>341.33333333333331</v>
      </c>
      <c r="W124" s="12">
        <f t="shared" si="27"/>
        <v>1747</v>
      </c>
      <c r="X124" s="12">
        <v>20000</v>
      </c>
      <c r="Y124" s="16">
        <f t="shared" si="39"/>
        <v>11513.624561403509</v>
      </c>
      <c r="Z124" s="11">
        <f t="shared" si="34"/>
        <v>1.1513624561403509E-2</v>
      </c>
      <c r="AB124">
        <v>7.6732999999999996E-2</v>
      </c>
      <c r="AC124">
        <v>7.1165999999999993E-2</v>
      </c>
      <c r="AD124" s="18">
        <f t="shared" si="28"/>
        <v>0.15004788762857582</v>
      </c>
      <c r="AE124" s="18">
        <f t="shared" si="29"/>
        <v>0.16178546723721313</v>
      </c>
    </row>
    <row r="125" spans="3:31" x14ac:dyDescent="0.25">
      <c r="C125">
        <v>8</v>
      </c>
      <c r="D125">
        <v>16</v>
      </c>
      <c r="E125">
        <v>1</v>
      </c>
      <c r="F125" s="12">
        <v>16</v>
      </c>
      <c r="G125" s="12">
        <v>2</v>
      </c>
      <c r="H125" s="12">
        <v>2</v>
      </c>
      <c r="I125" s="12">
        <v>256</v>
      </c>
      <c r="J125" s="12">
        <v>30</v>
      </c>
      <c r="K125" s="14">
        <f t="shared" si="40"/>
        <v>1</v>
      </c>
      <c r="L125">
        <v>512</v>
      </c>
      <c r="M125" s="12">
        <v>128</v>
      </c>
      <c r="N125" s="15">
        <f t="shared" si="35"/>
        <v>431.15789473684208</v>
      </c>
      <c r="O125" s="15">
        <f t="shared" si="36"/>
        <v>4369.0666666666666</v>
      </c>
      <c r="P125" s="15">
        <f t="shared" si="37"/>
        <v>512</v>
      </c>
      <c r="Q125" s="15">
        <f t="shared" si="38"/>
        <v>4800.2245614035091</v>
      </c>
      <c r="R125" s="15">
        <f t="shared" si="30"/>
        <v>256</v>
      </c>
      <c r="S125" s="15">
        <f t="shared" si="31"/>
        <v>4369.0666666666666</v>
      </c>
      <c r="T125" s="15">
        <f t="shared" si="32"/>
        <v>512</v>
      </c>
      <c r="U125" s="15">
        <f t="shared" si="26"/>
        <v>4625.0666666666666</v>
      </c>
      <c r="V125" s="15">
        <f t="shared" si="33"/>
        <v>341.33333333333331</v>
      </c>
      <c r="W125" s="12">
        <f t="shared" si="27"/>
        <v>1747</v>
      </c>
      <c r="X125" s="12">
        <v>20000</v>
      </c>
      <c r="Y125" s="16">
        <f t="shared" si="39"/>
        <v>11513.624561403509</v>
      </c>
      <c r="Z125" s="11">
        <f t="shared" si="34"/>
        <v>1.1513624561403509E-2</v>
      </c>
      <c r="AB125">
        <v>7.9861000000000001E-2</v>
      </c>
      <c r="AC125">
        <v>7.4122999999999994E-2</v>
      </c>
      <c r="AD125" s="18">
        <f t="shared" si="28"/>
        <v>0.14417080378912747</v>
      </c>
      <c r="AE125" s="18">
        <f t="shared" si="29"/>
        <v>0.15533133523202663</v>
      </c>
    </row>
    <row r="126" spans="3:31" x14ac:dyDescent="0.25">
      <c r="C126">
        <v>16</v>
      </c>
      <c r="D126">
        <v>16</v>
      </c>
      <c r="E126">
        <v>1</v>
      </c>
      <c r="F126" s="12">
        <v>16</v>
      </c>
      <c r="G126" s="12">
        <v>2</v>
      </c>
      <c r="H126" s="12">
        <v>2</v>
      </c>
      <c r="I126" s="12">
        <v>256</v>
      </c>
      <c r="J126" s="12">
        <v>30</v>
      </c>
      <c r="K126" s="14">
        <f t="shared" si="40"/>
        <v>1</v>
      </c>
      <c r="L126">
        <v>512</v>
      </c>
      <c r="M126" s="12">
        <v>128</v>
      </c>
      <c r="N126" s="15">
        <f t="shared" si="35"/>
        <v>431.15789473684208</v>
      </c>
      <c r="O126" s="15">
        <f t="shared" si="36"/>
        <v>4369.0666666666666</v>
      </c>
      <c r="P126" s="15">
        <f t="shared" si="37"/>
        <v>512</v>
      </c>
      <c r="Q126" s="15">
        <f t="shared" si="38"/>
        <v>4800.2245614035091</v>
      </c>
      <c r="R126" s="15">
        <f t="shared" si="30"/>
        <v>256</v>
      </c>
      <c r="S126" s="15">
        <f t="shared" si="31"/>
        <v>4369.0666666666666</v>
      </c>
      <c r="T126" s="15">
        <f t="shared" si="32"/>
        <v>512</v>
      </c>
      <c r="U126" s="15">
        <f t="shared" si="26"/>
        <v>4625.0666666666666</v>
      </c>
      <c r="V126" s="15">
        <f t="shared" si="33"/>
        <v>341.33333333333331</v>
      </c>
      <c r="W126" s="12">
        <f t="shared" si="27"/>
        <v>1747</v>
      </c>
      <c r="X126" s="12">
        <v>20000</v>
      </c>
      <c r="Y126" s="16">
        <f t="shared" si="39"/>
        <v>11513.624561403509</v>
      </c>
      <c r="Z126" s="11">
        <f t="shared" si="34"/>
        <v>1.1513624561403509E-2</v>
      </c>
      <c r="AB126">
        <v>8.0618999999999996E-2</v>
      </c>
      <c r="AC126">
        <v>7.5600000000000001E-2</v>
      </c>
      <c r="AD126" s="18">
        <f t="shared" si="28"/>
        <v>0.14281527383623599</v>
      </c>
      <c r="AE126" s="18">
        <f t="shared" si="29"/>
        <v>0.15229662118258611</v>
      </c>
    </row>
    <row r="127" spans="3:31" x14ac:dyDescent="0.25">
      <c r="C127">
        <v>32</v>
      </c>
      <c r="D127">
        <v>16</v>
      </c>
      <c r="E127">
        <v>1</v>
      </c>
      <c r="F127" s="12">
        <v>16</v>
      </c>
      <c r="G127" s="12">
        <v>2</v>
      </c>
      <c r="H127" s="12">
        <v>2</v>
      </c>
      <c r="I127" s="12">
        <v>256</v>
      </c>
      <c r="J127" s="12">
        <v>30</v>
      </c>
      <c r="K127" s="14">
        <f t="shared" si="40"/>
        <v>2</v>
      </c>
      <c r="L127">
        <v>512</v>
      </c>
      <c r="M127" s="12">
        <v>128</v>
      </c>
      <c r="N127" s="15">
        <f t="shared" si="35"/>
        <v>862.31578947368416</v>
      </c>
      <c r="O127" s="15">
        <f t="shared" si="36"/>
        <v>8738.1333333333332</v>
      </c>
      <c r="P127" s="15">
        <f t="shared" si="37"/>
        <v>1024</v>
      </c>
      <c r="Q127" s="15">
        <f t="shared" si="38"/>
        <v>9600.4491228070183</v>
      </c>
      <c r="R127" s="15">
        <f t="shared" si="30"/>
        <v>512</v>
      </c>
      <c r="S127" s="15">
        <f t="shared" si="31"/>
        <v>8738.1333333333332</v>
      </c>
      <c r="T127" s="15">
        <f t="shared" si="32"/>
        <v>1024</v>
      </c>
      <c r="U127" s="15">
        <f t="shared" si="26"/>
        <v>9250.1333333333332</v>
      </c>
      <c r="V127" s="15">
        <f t="shared" si="33"/>
        <v>682.66666666666663</v>
      </c>
      <c r="W127" s="12">
        <f t="shared" si="27"/>
        <v>3494</v>
      </c>
      <c r="X127" s="12">
        <v>20000</v>
      </c>
      <c r="Y127" s="16">
        <f t="shared" si="39"/>
        <v>23027.249122807018</v>
      </c>
      <c r="Z127" s="11">
        <f t="shared" si="34"/>
        <v>2.3027249122807018E-2</v>
      </c>
      <c r="AB127">
        <v>9.7147999999999998E-2</v>
      </c>
      <c r="AC127">
        <v>9.8239999999999994E-2</v>
      </c>
      <c r="AD127" s="18">
        <f t="shared" si="28"/>
        <v>0.23703266277027851</v>
      </c>
      <c r="AE127" s="18">
        <f t="shared" si="29"/>
        <v>0.2343978941653809</v>
      </c>
    </row>
    <row r="128" spans="3:31" x14ac:dyDescent="0.25">
      <c r="C128">
        <v>64</v>
      </c>
      <c r="D128">
        <v>16</v>
      </c>
      <c r="E128">
        <v>1</v>
      </c>
      <c r="F128" s="12">
        <v>16</v>
      </c>
      <c r="G128" s="12">
        <v>2</v>
      </c>
      <c r="H128" s="12">
        <v>2</v>
      </c>
      <c r="I128" s="12">
        <v>256</v>
      </c>
      <c r="J128" s="12">
        <v>30</v>
      </c>
      <c r="K128" s="14">
        <f t="shared" si="40"/>
        <v>4</v>
      </c>
      <c r="L128">
        <v>512</v>
      </c>
      <c r="M128" s="12">
        <v>128</v>
      </c>
      <c r="N128" s="15">
        <f t="shared" si="35"/>
        <v>1724.6315789473683</v>
      </c>
      <c r="O128" s="15">
        <f t="shared" si="36"/>
        <v>17476.266666666666</v>
      </c>
      <c r="P128" s="15">
        <f t="shared" si="37"/>
        <v>2048</v>
      </c>
      <c r="Q128" s="15">
        <f t="shared" si="38"/>
        <v>19200.898245614037</v>
      </c>
      <c r="R128" s="15">
        <f t="shared" si="30"/>
        <v>1024</v>
      </c>
      <c r="S128" s="15">
        <f t="shared" si="31"/>
        <v>17476.266666666666</v>
      </c>
      <c r="T128" s="15">
        <f t="shared" si="32"/>
        <v>2048</v>
      </c>
      <c r="U128" s="15">
        <f t="shared" si="26"/>
        <v>18500.266666666666</v>
      </c>
      <c r="V128" s="15">
        <f t="shared" si="33"/>
        <v>1365.3333333333333</v>
      </c>
      <c r="W128" s="12">
        <f t="shared" si="27"/>
        <v>6988</v>
      </c>
      <c r="X128" s="12">
        <v>20000</v>
      </c>
      <c r="Y128" s="16">
        <f t="shared" si="39"/>
        <v>46054.498245614035</v>
      </c>
      <c r="Z128" s="11">
        <f t="shared" si="34"/>
        <v>4.6054498245614035E-2</v>
      </c>
      <c r="AB128">
        <v>0.13778899999999999</v>
      </c>
      <c r="AC128">
        <v>0.136353</v>
      </c>
      <c r="AD128" s="18">
        <f t="shared" si="28"/>
        <v>0.33423929519492873</v>
      </c>
      <c r="AE128" s="18">
        <f t="shared" si="29"/>
        <v>0.33775933236242717</v>
      </c>
    </row>
    <row r="129" spans="3:31" x14ac:dyDescent="0.25">
      <c r="C129">
        <v>128</v>
      </c>
      <c r="D129">
        <v>16</v>
      </c>
      <c r="E129">
        <v>1</v>
      </c>
      <c r="F129" s="12">
        <v>16</v>
      </c>
      <c r="G129" s="12">
        <v>2</v>
      </c>
      <c r="H129" s="12">
        <v>2</v>
      </c>
      <c r="I129" s="12">
        <v>256</v>
      </c>
      <c r="J129" s="12">
        <v>30</v>
      </c>
      <c r="K129" s="14">
        <f t="shared" si="40"/>
        <v>8</v>
      </c>
      <c r="L129">
        <v>512</v>
      </c>
      <c r="M129" s="12">
        <v>128</v>
      </c>
      <c r="N129" s="15">
        <f t="shared" si="35"/>
        <v>3449.2631578947367</v>
      </c>
      <c r="O129" s="15">
        <f t="shared" si="36"/>
        <v>34952.533333333333</v>
      </c>
      <c r="P129" s="15">
        <f t="shared" si="37"/>
        <v>4096</v>
      </c>
      <c r="Q129" s="15">
        <f t="shared" si="38"/>
        <v>38401.796491228073</v>
      </c>
      <c r="R129" s="15">
        <f t="shared" si="30"/>
        <v>2048</v>
      </c>
      <c r="S129" s="15">
        <f t="shared" si="31"/>
        <v>34952.533333333333</v>
      </c>
      <c r="T129" s="15">
        <f t="shared" si="32"/>
        <v>4096</v>
      </c>
      <c r="U129" s="15">
        <f t="shared" si="26"/>
        <v>37000.533333333333</v>
      </c>
      <c r="V129" s="15">
        <f t="shared" si="33"/>
        <v>2730.6666666666665</v>
      </c>
      <c r="W129" s="12">
        <f t="shared" si="27"/>
        <v>13976</v>
      </c>
      <c r="X129" s="12">
        <v>20000</v>
      </c>
      <c r="Y129" s="16">
        <f t="shared" si="39"/>
        <v>92108.99649122807</v>
      </c>
      <c r="Z129" s="11">
        <f t="shared" si="34"/>
        <v>9.2108996491228071E-2</v>
      </c>
      <c r="AB129">
        <v>0.21137700000000001</v>
      </c>
      <c r="AC129">
        <v>0.218995</v>
      </c>
      <c r="AD129" s="18">
        <f t="shared" si="28"/>
        <v>0.43575694844390861</v>
      </c>
      <c r="AE129" s="18">
        <f t="shared" si="29"/>
        <v>0.42059862778249762</v>
      </c>
    </row>
    <row r="130" spans="3:31" x14ac:dyDescent="0.25">
      <c r="C130">
        <v>256</v>
      </c>
      <c r="D130">
        <v>16</v>
      </c>
      <c r="E130">
        <v>1</v>
      </c>
      <c r="F130" s="12">
        <v>16</v>
      </c>
      <c r="G130" s="12">
        <v>2</v>
      </c>
      <c r="H130" s="12">
        <v>2</v>
      </c>
      <c r="I130" s="12">
        <v>256</v>
      </c>
      <c r="J130" s="12">
        <v>30</v>
      </c>
      <c r="K130" s="14">
        <f t="shared" si="40"/>
        <v>16</v>
      </c>
      <c r="L130">
        <v>512</v>
      </c>
      <c r="M130" s="12">
        <v>128</v>
      </c>
      <c r="N130" s="15">
        <f t="shared" si="35"/>
        <v>6898.5263157894733</v>
      </c>
      <c r="O130" s="15">
        <f t="shared" si="36"/>
        <v>69905.066666666666</v>
      </c>
      <c r="P130" s="15">
        <f t="shared" si="37"/>
        <v>8192</v>
      </c>
      <c r="Q130" s="15">
        <f t="shared" si="38"/>
        <v>76803.592982456146</v>
      </c>
      <c r="R130" s="15">
        <f t="shared" si="30"/>
        <v>4096</v>
      </c>
      <c r="S130" s="15">
        <f t="shared" si="31"/>
        <v>69905.066666666666</v>
      </c>
      <c r="T130" s="15">
        <f t="shared" si="32"/>
        <v>8192</v>
      </c>
      <c r="U130" s="15">
        <f t="shared" si="26"/>
        <v>74001.066666666666</v>
      </c>
      <c r="V130" s="15">
        <f t="shared" si="33"/>
        <v>5461.333333333333</v>
      </c>
      <c r="W130" s="12">
        <f t="shared" si="27"/>
        <v>27952</v>
      </c>
      <c r="X130" s="12">
        <v>20000</v>
      </c>
      <c r="Y130" s="16">
        <f t="shared" si="39"/>
        <v>184217.99298245614</v>
      </c>
      <c r="Z130" s="11">
        <f t="shared" si="34"/>
        <v>0.18421799298245614</v>
      </c>
      <c r="AB130">
        <v>0.35969200000000001</v>
      </c>
      <c r="AC130">
        <v>0.3765</v>
      </c>
      <c r="AD130" s="18">
        <f t="shared" si="28"/>
        <v>0.51215482407853419</v>
      </c>
      <c r="AE130" s="18">
        <f t="shared" si="29"/>
        <v>0.48929081801449176</v>
      </c>
    </row>
    <row r="131" spans="3:31" x14ac:dyDescent="0.25">
      <c r="C131">
        <v>512</v>
      </c>
      <c r="D131">
        <v>16</v>
      </c>
      <c r="E131">
        <v>1</v>
      </c>
      <c r="F131" s="12">
        <v>16</v>
      </c>
      <c r="G131" s="12">
        <v>2</v>
      </c>
      <c r="H131" s="12">
        <v>2</v>
      </c>
      <c r="I131" s="12">
        <v>256</v>
      </c>
      <c r="J131" s="12">
        <v>30</v>
      </c>
      <c r="K131" s="14">
        <f t="shared" si="40"/>
        <v>32</v>
      </c>
      <c r="L131">
        <v>512</v>
      </c>
      <c r="M131" s="12">
        <v>128</v>
      </c>
      <c r="N131" s="15">
        <f t="shared" si="35"/>
        <v>13797.052631578947</v>
      </c>
      <c r="O131" s="15">
        <f t="shared" si="36"/>
        <v>139810.13333333333</v>
      </c>
      <c r="P131" s="15">
        <f t="shared" si="37"/>
        <v>16384</v>
      </c>
      <c r="Q131" s="15">
        <f t="shared" si="38"/>
        <v>153607.18596491229</v>
      </c>
      <c r="R131" s="15">
        <f t="shared" si="30"/>
        <v>8192</v>
      </c>
      <c r="S131" s="15">
        <f t="shared" si="31"/>
        <v>139810.13333333333</v>
      </c>
      <c r="T131" s="15">
        <f t="shared" si="32"/>
        <v>16384</v>
      </c>
      <c r="U131" s="15">
        <f t="shared" ref="U131:U181" si="41">S131+R131</f>
        <v>148002.13333333333</v>
      </c>
      <c r="V131" s="15">
        <f t="shared" si="33"/>
        <v>10922.666666666666</v>
      </c>
      <c r="W131" s="12">
        <f t="shared" ref="W131:W181" si="42">K131*(_xlfn.CEILING.MATH(L131/32)*97+195)</f>
        <v>55904</v>
      </c>
      <c r="X131" s="12">
        <v>20000</v>
      </c>
      <c r="Y131" s="16">
        <f t="shared" si="39"/>
        <v>368435.98596491228</v>
      </c>
      <c r="Z131" s="11">
        <f t="shared" si="34"/>
        <v>0.36843598596491228</v>
      </c>
      <c r="AB131">
        <v>0.64265300000000003</v>
      </c>
      <c r="AC131">
        <v>0.690913</v>
      </c>
      <c r="AD131" s="18">
        <f t="shared" ref="AD131:AD181" si="43">Z131/AB131</f>
        <v>0.5733047009271135</v>
      </c>
      <c r="AE131" s="18">
        <f t="shared" ref="AE131:AE181" si="44">Z131/AC131</f>
        <v>0.53325959413835355</v>
      </c>
    </row>
    <row r="132" spans="3:31" x14ac:dyDescent="0.25">
      <c r="C132" s="8">
        <v>1</v>
      </c>
      <c r="D132" s="8">
        <v>16</v>
      </c>
      <c r="E132" s="8">
        <v>1</v>
      </c>
      <c r="F132" s="12">
        <v>16</v>
      </c>
      <c r="G132" s="12">
        <v>2</v>
      </c>
      <c r="H132" s="12">
        <v>2</v>
      </c>
      <c r="I132" s="12">
        <v>256</v>
      </c>
      <c r="J132" s="12">
        <v>30</v>
      </c>
      <c r="K132" s="14">
        <f t="shared" si="40"/>
        <v>1</v>
      </c>
      <c r="L132" s="8">
        <f>1024</f>
        <v>1024</v>
      </c>
      <c r="M132" s="12">
        <v>128</v>
      </c>
      <c r="N132" s="15">
        <f t="shared" si="35"/>
        <v>431.15789473684208</v>
      </c>
      <c r="O132" s="15">
        <f t="shared" si="36"/>
        <v>8738.1333333333332</v>
      </c>
      <c r="P132" s="15">
        <f t="shared" si="37"/>
        <v>1024</v>
      </c>
      <c r="Q132" s="15">
        <f t="shared" si="38"/>
        <v>9169.2912280701748</v>
      </c>
      <c r="R132" s="15">
        <f t="shared" si="30"/>
        <v>512</v>
      </c>
      <c r="S132" s="15">
        <f t="shared" si="31"/>
        <v>8738.1333333333332</v>
      </c>
      <c r="T132" s="15">
        <f t="shared" si="32"/>
        <v>1024</v>
      </c>
      <c r="U132" s="15">
        <f t="shared" si="41"/>
        <v>9250.1333333333332</v>
      </c>
      <c r="V132" s="15">
        <f t="shared" si="33"/>
        <v>341.33333333333331</v>
      </c>
      <c r="W132" s="12">
        <f t="shared" si="42"/>
        <v>3299</v>
      </c>
      <c r="X132" s="12">
        <v>20000</v>
      </c>
      <c r="Y132" s="16">
        <f t="shared" si="39"/>
        <v>22059.757894736842</v>
      </c>
      <c r="Z132" s="11">
        <f t="shared" si="34"/>
        <v>2.2059757894736843E-2</v>
      </c>
      <c r="AB132" s="8">
        <v>9.2565999999999996E-2</v>
      </c>
      <c r="AC132">
        <v>7.8109999999999999E-2</v>
      </c>
      <c r="AD132" s="18">
        <f t="shared" si="43"/>
        <v>0.23831382899484524</v>
      </c>
      <c r="AE132" s="18">
        <f t="shared" si="44"/>
        <v>0.28241912552473236</v>
      </c>
    </row>
    <row r="133" spans="3:31" x14ac:dyDescent="0.25">
      <c r="C133" s="8">
        <v>2</v>
      </c>
      <c r="D133" s="8">
        <v>16</v>
      </c>
      <c r="E133" s="8">
        <v>1</v>
      </c>
      <c r="F133" s="12">
        <v>16</v>
      </c>
      <c r="G133" s="12">
        <v>2</v>
      </c>
      <c r="H133" s="12">
        <v>2</v>
      </c>
      <c r="I133" s="12">
        <v>256</v>
      </c>
      <c r="J133" s="12">
        <v>30</v>
      </c>
      <c r="K133" s="14">
        <f t="shared" si="40"/>
        <v>1</v>
      </c>
      <c r="L133" s="8">
        <f>1024</f>
        <v>1024</v>
      </c>
      <c r="M133" s="12">
        <v>128</v>
      </c>
      <c r="N133" s="15">
        <f t="shared" si="35"/>
        <v>431.15789473684208</v>
      </c>
      <c r="O133" s="15">
        <f t="shared" si="36"/>
        <v>8738.1333333333332</v>
      </c>
      <c r="P133" s="15">
        <f t="shared" si="37"/>
        <v>1024</v>
      </c>
      <c r="Q133" s="15">
        <f t="shared" si="38"/>
        <v>9169.2912280701748</v>
      </c>
      <c r="R133" s="15">
        <f t="shared" si="30"/>
        <v>512</v>
      </c>
      <c r="S133" s="15">
        <f t="shared" si="31"/>
        <v>8738.1333333333332</v>
      </c>
      <c r="T133" s="15">
        <f t="shared" si="32"/>
        <v>1024</v>
      </c>
      <c r="U133" s="15">
        <f t="shared" si="41"/>
        <v>9250.1333333333332</v>
      </c>
      <c r="V133" s="15">
        <f t="shared" si="33"/>
        <v>341.33333333333331</v>
      </c>
      <c r="W133" s="12">
        <f t="shared" si="42"/>
        <v>3299</v>
      </c>
      <c r="X133" s="12">
        <v>20000</v>
      </c>
      <c r="Y133" s="16">
        <f t="shared" si="39"/>
        <v>22059.757894736842</v>
      </c>
      <c r="Z133" s="11">
        <f t="shared" si="34"/>
        <v>2.2059757894736843E-2</v>
      </c>
      <c r="AB133" s="8">
        <v>9.6920000000000006E-2</v>
      </c>
      <c r="AC133">
        <v>8.2837999999999995E-2</v>
      </c>
      <c r="AD133" s="18">
        <f t="shared" si="43"/>
        <v>0.22760790233942263</v>
      </c>
      <c r="AE133" s="18">
        <f t="shared" si="44"/>
        <v>0.26629998182883269</v>
      </c>
    </row>
    <row r="134" spans="3:31" x14ac:dyDescent="0.25">
      <c r="C134">
        <v>4</v>
      </c>
      <c r="D134">
        <v>16</v>
      </c>
      <c r="E134">
        <v>1</v>
      </c>
      <c r="F134" s="12">
        <v>16</v>
      </c>
      <c r="G134" s="12">
        <v>2</v>
      </c>
      <c r="H134" s="12">
        <v>2</v>
      </c>
      <c r="I134" s="12">
        <v>256</v>
      </c>
      <c r="J134" s="12">
        <v>30</v>
      </c>
      <c r="K134" s="14">
        <f t="shared" si="40"/>
        <v>1</v>
      </c>
      <c r="L134">
        <f>1024</f>
        <v>1024</v>
      </c>
      <c r="M134" s="12">
        <v>128</v>
      </c>
      <c r="N134" s="15">
        <f t="shared" si="35"/>
        <v>431.15789473684208</v>
      </c>
      <c r="O134" s="15">
        <f t="shared" si="36"/>
        <v>8738.1333333333332</v>
      </c>
      <c r="P134" s="15">
        <f t="shared" si="37"/>
        <v>1024</v>
      </c>
      <c r="Q134" s="15">
        <f t="shared" si="38"/>
        <v>9169.2912280701748</v>
      </c>
      <c r="R134" s="15">
        <f t="shared" ref="R134:R181" si="45">G134*K134*64*_xlfn.CEILING.MATH(L134/128)*128/I134</f>
        <v>512</v>
      </c>
      <c r="S134" s="15">
        <f t="shared" ref="S134:S181" si="46">H134*K134*_xlfn.CEILING.MATH(L134/128)*128*M134/J134</f>
        <v>8738.1333333333332</v>
      </c>
      <c r="T134" s="15">
        <f t="shared" ref="T134:T181" si="47">64*M134*_xlfn.CEILING.MATH(L134/128)*128*K134/8192</f>
        <v>1024</v>
      </c>
      <c r="U134" s="15">
        <f t="shared" si="41"/>
        <v>9250.1333333333332</v>
      </c>
      <c r="V134" s="15">
        <f t="shared" ref="V134:V181" si="48">K134*8*128/30*10</f>
        <v>341.33333333333331</v>
      </c>
      <c r="W134" s="12">
        <f t="shared" si="42"/>
        <v>3299</v>
      </c>
      <c r="X134" s="12">
        <v>20000</v>
      </c>
      <c r="Y134" s="16">
        <f t="shared" si="39"/>
        <v>22059.757894736842</v>
      </c>
      <c r="Z134" s="11">
        <f t="shared" ref="Z134:Z181" si="49">Y134/1000000</f>
        <v>2.2059757894736843E-2</v>
      </c>
      <c r="AB134">
        <v>9.6575999999999995E-2</v>
      </c>
      <c r="AC134">
        <v>8.2775000000000001E-2</v>
      </c>
      <c r="AD134" s="18">
        <f t="shared" si="43"/>
        <v>0.22841863293920689</v>
      </c>
      <c r="AE134" s="18">
        <f t="shared" si="44"/>
        <v>0.266502662576102</v>
      </c>
    </row>
    <row r="135" spans="3:31" x14ac:dyDescent="0.25">
      <c r="C135">
        <v>8</v>
      </c>
      <c r="D135">
        <v>16</v>
      </c>
      <c r="E135">
        <v>1</v>
      </c>
      <c r="F135" s="12">
        <v>16</v>
      </c>
      <c r="G135" s="12">
        <v>2</v>
      </c>
      <c r="H135" s="12">
        <v>2</v>
      </c>
      <c r="I135" s="12">
        <v>256</v>
      </c>
      <c r="J135" s="12">
        <v>30</v>
      </c>
      <c r="K135" s="14">
        <f t="shared" si="40"/>
        <v>1</v>
      </c>
      <c r="L135">
        <f>1024</f>
        <v>1024</v>
      </c>
      <c r="M135" s="12">
        <v>128</v>
      </c>
      <c r="N135" s="15">
        <f t="shared" ref="N135:N181" si="50">G135*K135*64*M135/38</f>
        <v>431.15789473684208</v>
      </c>
      <c r="O135" s="15">
        <f t="shared" ref="O135:O181" si="51">H135*K135*_xlfn.CEILING.MATH(L135/64)*64*M135/J135</f>
        <v>8738.1333333333332</v>
      </c>
      <c r="P135" s="15">
        <f t="shared" ref="P135:P181" si="52">64*M135*_xlfn.CEILING.MATH(L135/128)*128*K135/8192</f>
        <v>1024</v>
      </c>
      <c r="Q135" s="15">
        <f t="shared" ref="Q135:Q181" si="53">N135+O135</f>
        <v>9169.2912280701748</v>
      </c>
      <c r="R135" s="15">
        <f t="shared" si="45"/>
        <v>512</v>
      </c>
      <c r="S135" s="15">
        <f t="shared" si="46"/>
        <v>8738.1333333333332</v>
      </c>
      <c r="T135" s="15">
        <f t="shared" si="47"/>
        <v>1024</v>
      </c>
      <c r="U135" s="15">
        <f t="shared" si="41"/>
        <v>9250.1333333333332</v>
      </c>
      <c r="V135" s="15">
        <f t="shared" si="48"/>
        <v>341.33333333333331</v>
      </c>
      <c r="W135" s="12">
        <f t="shared" si="42"/>
        <v>3299</v>
      </c>
      <c r="X135" s="12">
        <v>20000</v>
      </c>
      <c r="Y135" s="16">
        <f t="shared" ref="Y135:Y181" si="54">Q135+U135+W135+V135</f>
        <v>22059.757894736842</v>
      </c>
      <c r="Z135" s="11">
        <f t="shared" si="49"/>
        <v>2.2059757894736843E-2</v>
      </c>
      <c r="AB135">
        <v>0.1022</v>
      </c>
      <c r="AC135">
        <v>8.8501999999999997E-2</v>
      </c>
      <c r="AD135" s="18">
        <f t="shared" si="43"/>
        <v>0.21584890307961685</v>
      </c>
      <c r="AE135" s="18">
        <f t="shared" si="44"/>
        <v>0.24925716814011936</v>
      </c>
    </row>
    <row r="136" spans="3:31" x14ac:dyDescent="0.25">
      <c r="C136">
        <v>16</v>
      </c>
      <c r="D136">
        <v>16</v>
      </c>
      <c r="E136">
        <v>1</v>
      </c>
      <c r="F136" s="12">
        <v>16</v>
      </c>
      <c r="G136" s="12">
        <v>2</v>
      </c>
      <c r="H136" s="12">
        <v>2</v>
      </c>
      <c r="I136" s="12">
        <v>256</v>
      </c>
      <c r="J136" s="12">
        <v>30</v>
      </c>
      <c r="K136" s="14">
        <f t="shared" si="40"/>
        <v>1</v>
      </c>
      <c r="L136">
        <f>1024</f>
        <v>1024</v>
      </c>
      <c r="M136" s="12">
        <v>128</v>
      </c>
      <c r="N136" s="15">
        <f t="shared" si="50"/>
        <v>431.15789473684208</v>
      </c>
      <c r="O136" s="15">
        <f t="shared" si="51"/>
        <v>8738.1333333333332</v>
      </c>
      <c r="P136" s="15">
        <f t="shared" si="52"/>
        <v>1024</v>
      </c>
      <c r="Q136" s="15">
        <f t="shared" si="53"/>
        <v>9169.2912280701748</v>
      </c>
      <c r="R136" s="15">
        <f t="shared" si="45"/>
        <v>512</v>
      </c>
      <c r="S136" s="15">
        <f t="shared" si="46"/>
        <v>8738.1333333333332</v>
      </c>
      <c r="T136" s="15">
        <f t="shared" si="47"/>
        <v>1024</v>
      </c>
      <c r="U136" s="15">
        <f t="shared" si="41"/>
        <v>9250.1333333333332</v>
      </c>
      <c r="V136" s="15">
        <f t="shared" si="48"/>
        <v>341.33333333333331</v>
      </c>
      <c r="W136" s="12">
        <f t="shared" si="42"/>
        <v>3299</v>
      </c>
      <c r="X136" s="12">
        <v>20000</v>
      </c>
      <c r="Y136" s="16">
        <f t="shared" si="54"/>
        <v>22059.757894736842</v>
      </c>
      <c r="Z136" s="11">
        <f t="shared" si="49"/>
        <v>2.2059757894736843E-2</v>
      </c>
      <c r="AB136">
        <v>0.10578799999999999</v>
      </c>
      <c r="AC136">
        <v>9.2507000000000006E-2</v>
      </c>
      <c r="AD136" s="18">
        <f t="shared" si="43"/>
        <v>0.20852797949424173</v>
      </c>
      <c r="AE136" s="18">
        <f t="shared" si="44"/>
        <v>0.2384658230700038</v>
      </c>
    </row>
    <row r="137" spans="3:31" x14ac:dyDescent="0.25">
      <c r="C137">
        <v>32</v>
      </c>
      <c r="D137">
        <v>16</v>
      </c>
      <c r="E137">
        <v>1</v>
      </c>
      <c r="F137" s="12">
        <v>16</v>
      </c>
      <c r="G137" s="12">
        <v>2</v>
      </c>
      <c r="H137" s="12">
        <v>2</v>
      </c>
      <c r="I137" s="12">
        <v>256</v>
      </c>
      <c r="J137" s="12">
        <v>30</v>
      </c>
      <c r="K137" s="14">
        <f t="shared" si="40"/>
        <v>2</v>
      </c>
      <c r="L137">
        <f>1024</f>
        <v>1024</v>
      </c>
      <c r="M137" s="12">
        <v>128</v>
      </c>
      <c r="N137" s="15">
        <f t="shared" si="50"/>
        <v>862.31578947368416</v>
      </c>
      <c r="O137" s="15">
        <f t="shared" si="51"/>
        <v>17476.266666666666</v>
      </c>
      <c r="P137" s="15">
        <f t="shared" si="52"/>
        <v>2048</v>
      </c>
      <c r="Q137" s="15">
        <f t="shared" si="53"/>
        <v>18338.58245614035</v>
      </c>
      <c r="R137" s="15">
        <f t="shared" si="45"/>
        <v>1024</v>
      </c>
      <c r="S137" s="15">
        <f t="shared" si="46"/>
        <v>17476.266666666666</v>
      </c>
      <c r="T137" s="15">
        <f t="shared" si="47"/>
        <v>2048</v>
      </c>
      <c r="U137" s="15">
        <f t="shared" si="41"/>
        <v>18500.266666666666</v>
      </c>
      <c r="V137" s="15">
        <f t="shared" si="48"/>
        <v>682.66666666666663</v>
      </c>
      <c r="W137" s="12">
        <f t="shared" si="42"/>
        <v>6598</v>
      </c>
      <c r="X137" s="12">
        <v>20000</v>
      </c>
      <c r="Y137" s="16">
        <f t="shared" si="54"/>
        <v>44119.515789473684</v>
      </c>
      <c r="Z137" s="11">
        <f t="shared" si="49"/>
        <v>4.4119515789473686E-2</v>
      </c>
      <c r="AB137">
        <v>0.13789499999999999</v>
      </c>
      <c r="AC137">
        <v>0.128557</v>
      </c>
      <c r="AD137" s="18">
        <f t="shared" si="43"/>
        <v>0.31995007643115186</v>
      </c>
      <c r="AE137" s="18">
        <f t="shared" si="44"/>
        <v>0.34319030305213782</v>
      </c>
    </row>
    <row r="138" spans="3:31" x14ac:dyDescent="0.25">
      <c r="C138">
        <v>64</v>
      </c>
      <c r="D138">
        <v>16</v>
      </c>
      <c r="E138">
        <v>1</v>
      </c>
      <c r="F138" s="12">
        <v>16</v>
      </c>
      <c r="G138" s="12">
        <v>2</v>
      </c>
      <c r="H138" s="12">
        <v>2</v>
      </c>
      <c r="I138" s="12">
        <v>256</v>
      </c>
      <c r="J138" s="12">
        <v>30</v>
      </c>
      <c r="K138" s="14">
        <f t="shared" si="40"/>
        <v>4</v>
      </c>
      <c r="L138">
        <f>1024</f>
        <v>1024</v>
      </c>
      <c r="M138" s="12">
        <v>128</v>
      </c>
      <c r="N138" s="15">
        <f t="shared" si="50"/>
        <v>1724.6315789473683</v>
      </c>
      <c r="O138" s="15">
        <f t="shared" si="51"/>
        <v>34952.533333333333</v>
      </c>
      <c r="P138" s="15">
        <f t="shared" si="52"/>
        <v>4096</v>
      </c>
      <c r="Q138" s="15">
        <f t="shared" si="53"/>
        <v>36677.164912280699</v>
      </c>
      <c r="R138" s="15">
        <f t="shared" si="45"/>
        <v>2048</v>
      </c>
      <c r="S138" s="15">
        <f t="shared" si="46"/>
        <v>34952.533333333333</v>
      </c>
      <c r="T138" s="15">
        <f t="shared" si="47"/>
        <v>4096</v>
      </c>
      <c r="U138" s="15">
        <f t="shared" si="41"/>
        <v>37000.533333333333</v>
      </c>
      <c r="V138" s="15">
        <f t="shared" si="48"/>
        <v>1365.3333333333333</v>
      </c>
      <c r="W138" s="12">
        <f t="shared" si="42"/>
        <v>13196</v>
      </c>
      <c r="X138" s="12">
        <v>20000</v>
      </c>
      <c r="Y138" s="16">
        <f t="shared" si="54"/>
        <v>88239.031578947368</v>
      </c>
      <c r="Z138" s="11">
        <f t="shared" si="49"/>
        <v>8.8239031578947372E-2</v>
      </c>
      <c r="AB138">
        <v>0.20415800000000001</v>
      </c>
      <c r="AC138">
        <v>0.19780700000000001</v>
      </c>
      <c r="AD138" s="18">
        <f t="shared" si="43"/>
        <v>0.43220952193373452</v>
      </c>
      <c r="AE138" s="18">
        <f t="shared" si="44"/>
        <v>0.44608649632696196</v>
      </c>
    </row>
    <row r="139" spans="3:31" x14ac:dyDescent="0.25">
      <c r="C139">
        <v>128</v>
      </c>
      <c r="D139">
        <v>16</v>
      </c>
      <c r="E139">
        <v>1</v>
      </c>
      <c r="F139" s="12">
        <v>16</v>
      </c>
      <c r="G139" s="12">
        <v>2</v>
      </c>
      <c r="H139" s="12">
        <v>2</v>
      </c>
      <c r="I139" s="12">
        <v>256</v>
      </c>
      <c r="J139" s="12">
        <v>30</v>
      </c>
      <c r="K139" s="14">
        <f t="shared" si="40"/>
        <v>8</v>
      </c>
      <c r="L139">
        <f>1024</f>
        <v>1024</v>
      </c>
      <c r="M139" s="12">
        <v>128</v>
      </c>
      <c r="N139" s="15">
        <f t="shared" si="50"/>
        <v>3449.2631578947367</v>
      </c>
      <c r="O139" s="15">
        <f t="shared" si="51"/>
        <v>69905.066666666666</v>
      </c>
      <c r="P139" s="15">
        <f t="shared" si="52"/>
        <v>8192</v>
      </c>
      <c r="Q139" s="15">
        <f t="shared" si="53"/>
        <v>73354.329824561399</v>
      </c>
      <c r="R139" s="15">
        <f t="shared" si="45"/>
        <v>4096</v>
      </c>
      <c r="S139" s="15">
        <f t="shared" si="46"/>
        <v>69905.066666666666</v>
      </c>
      <c r="T139" s="15">
        <f t="shared" si="47"/>
        <v>8192</v>
      </c>
      <c r="U139" s="15">
        <f t="shared" si="41"/>
        <v>74001.066666666666</v>
      </c>
      <c r="V139" s="15">
        <f t="shared" si="48"/>
        <v>2730.6666666666665</v>
      </c>
      <c r="W139" s="12">
        <f t="shared" si="42"/>
        <v>26392</v>
      </c>
      <c r="X139" s="12">
        <v>20000</v>
      </c>
      <c r="Y139" s="16">
        <f t="shared" si="54"/>
        <v>176478.06315789474</v>
      </c>
      <c r="Z139" s="11">
        <f t="shared" si="49"/>
        <v>0.17647806315789474</v>
      </c>
      <c r="AB139">
        <v>0.34223300000000001</v>
      </c>
      <c r="AC139">
        <v>0.32604</v>
      </c>
      <c r="AD139" s="18">
        <f t="shared" si="43"/>
        <v>0.51566641194126439</v>
      </c>
      <c r="AE139" s="18">
        <f t="shared" si="44"/>
        <v>0.54127733762082797</v>
      </c>
    </row>
    <row r="140" spans="3:31" x14ac:dyDescent="0.25">
      <c r="C140">
        <v>256</v>
      </c>
      <c r="D140">
        <v>16</v>
      </c>
      <c r="E140">
        <v>1</v>
      </c>
      <c r="F140" s="12">
        <v>16</v>
      </c>
      <c r="G140" s="12">
        <v>2</v>
      </c>
      <c r="H140" s="12">
        <v>2</v>
      </c>
      <c r="I140" s="12">
        <v>256</v>
      </c>
      <c r="J140" s="12">
        <v>30</v>
      </c>
      <c r="K140" s="14">
        <f t="shared" si="40"/>
        <v>16</v>
      </c>
      <c r="L140">
        <f>1024</f>
        <v>1024</v>
      </c>
      <c r="M140" s="12">
        <v>128</v>
      </c>
      <c r="N140" s="15">
        <f t="shared" si="50"/>
        <v>6898.5263157894733</v>
      </c>
      <c r="O140" s="15">
        <f t="shared" si="51"/>
        <v>139810.13333333333</v>
      </c>
      <c r="P140" s="15">
        <f t="shared" si="52"/>
        <v>16384</v>
      </c>
      <c r="Q140" s="15">
        <f t="shared" si="53"/>
        <v>146708.6596491228</v>
      </c>
      <c r="R140" s="15">
        <f t="shared" si="45"/>
        <v>8192</v>
      </c>
      <c r="S140" s="15">
        <f t="shared" si="46"/>
        <v>139810.13333333333</v>
      </c>
      <c r="T140" s="15">
        <f t="shared" si="47"/>
        <v>16384</v>
      </c>
      <c r="U140" s="15">
        <f t="shared" si="41"/>
        <v>148002.13333333333</v>
      </c>
      <c r="V140" s="15">
        <f t="shared" si="48"/>
        <v>5461.333333333333</v>
      </c>
      <c r="W140" s="12">
        <f t="shared" si="42"/>
        <v>52784</v>
      </c>
      <c r="X140" s="12">
        <v>20000</v>
      </c>
      <c r="Y140" s="16">
        <f t="shared" si="54"/>
        <v>352956.12631578947</v>
      </c>
      <c r="Z140" s="11">
        <f t="shared" si="49"/>
        <v>0.35295612631578949</v>
      </c>
      <c r="AB140">
        <v>0.61105399999999999</v>
      </c>
      <c r="AC140">
        <v>0.57605499999999998</v>
      </c>
      <c r="AD140" s="18">
        <f t="shared" si="43"/>
        <v>0.57761855141409679</v>
      </c>
      <c r="AE140" s="18">
        <f t="shared" si="44"/>
        <v>0.61271254709322809</v>
      </c>
    </row>
    <row r="141" spans="3:31" x14ac:dyDescent="0.25">
      <c r="C141">
        <v>512</v>
      </c>
      <c r="D141">
        <v>16</v>
      </c>
      <c r="E141">
        <v>1</v>
      </c>
      <c r="F141" s="12">
        <v>16</v>
      </c>
      <c r="G141" s="12">
        <v>2</v>
      </c>
      <c r="H141" s="12">
        <v>2</v>
      </c>
      <c r="I141" s="12">
        <v>256</v>
      </c>
      <c r="J141" s="12">
        <v>30</v>
      </c>
      <c r="K141" s="14">
        <f t="shared" si="40"/>
        <v>32</v>
      </c>
      <c r="L141">
        <f>1024</f>
        <v>1024</v>
      </c>
      <c r="M141" s="12">
        <v>128</v>
      </c>
      <c r="N141" s="15">
        <f t="shared" si="50"/>
        <v>13797.052631578947</v>
      </c>
      <c r="O141" s="15">
        <f t="shared" si="51"/>
        <v>279620.26666666666</v>
      </c>
      <c r="P141" s="15">
        <f t="shared" si="52"/>
        <v>32768</v>
      </c>
      <c r="Q141" s="15">
        <f t="shared" si="53"/>
        <v>293417.31929824559</v>
      </c>
      <c r="R141" s="15">
        <f t="shared" si="45"/>
        <v>16384</v>
      </c>
      <c r="S141" s="15">
        <f t="shared" si="46"/>
        <v>279620.26666666666</v>
      </c>
      <c r="T141" s="15">
        <f t="shared" si="47"/>
        <v>32768</v>
      </c>
      <c r="U141" s="15">
        <f t="shared" si="41"/>
        <v>296004.26666666666</v>
      </c>
      <c r="V141" s="15">
        <f t="shared" si="48"/>
        <v>10922.666666666666</v>
      </c>
      <c r="W141" s="12">
        <f t="shared" si="42"/>
        <v>105568</v>
      </c>
      <c r="X141" s="12">
        <v>20000</v>
      </c>
      <c r="Y141" s="16">
        <f t="shared" si="54"/>
        <v>705912.25263157894</v>
      </c>
      <c r="Z141" s="11">
        <f t="shared" si="49"/>
        <v>0.70591225263157897</v>
      </c>
      <c r="AB141">
        <v>1.130811</v>
      </c>
      <c r="AC141">
        <v>1.0644359999999999</v>
      </c>
      <c r="AD141" s="18">
        <f t="shared" si="43"/>
        <v>0.62425308263854784</v>
      </c>
      <c r="AE141" s="18">
        <f t="shared" si="44"/>
        <v>0.66317961120403579</v>
      </c>
    </row>
    <row r="142" spans="3:31" x14ac:dyDescent="0.25">
      <c r="C142" s="8">
        <v>1</v>
      </c>
      <c r="D142" s="8">
        <v>16</v>
      </c>
      <c r="E142" s="8">
        <v>1</v>
      </c>
      <c r="F142" s="12">
        <v>16</v>
      </c>
      <c r="G142" s="12">
        <v>2</v>
      </c>
      <c r="H142" s="12">
        <v>2</v>
      </c>
      <c r="I142" s="12">
        <v>256</v>
      </c>
      <c r="J142" s="12">
        <v>30</v>
      </c>
      <c r="K142" s="14">
        <f t="shared" si="40"/>
        <v>1</v>
      </c>
      <c r="L142" s="8">
        <f>2048</f>
        <v>2048</v>
      </c>
      <c r="M142" s="12">
        <v>128</v>
      </c>
      <c r="N142" s="15">
        <f t="shared" si="50"/>
        <v>431.15789473684208</v>
      </c>
      <c r="O142" s="15">
        <f t="shared" si="51"/>
        <v>17476.266666666666</v>
      </c>
      <c r="P142" s="15">
        <f t="shared" si="52"/>
        <v>2048</v>
      </c>
      <c r="Q142" s="15">
        <f t="shared" si="53"/>
        <v>17907.42456140351</v>
      </c>
      <c r="R142" s="15">
        <f t="shared" si="45"/>
        <v>1024</v>
      </c>
      <c r="S142" s="15">
        <f t="shared" si="46"/>
        <v>17476.266666666666</v>
      </c>
      <c r="T142" s="15">
        <f t="shared" si="47"/>
        <v>2048</v>
      </c>
      <c r="U142" s="15">
        <f t="shared" si="41"/>
        <v>18500.266666666666</v>
      </c>
      <c r="V142" s="15">
        <f t="shared" si="48"/>
        <v>341.33333333333331</v>
      </c>
      <c r="W142" s="12">
        <f t="shared" si="42"/>
        <v>6403</v>
      </c>
      <c r="X142" s="12">
        <v>20000</v>
      </c>
      <c r="Y142" s="16">
        <f t="shared" si="54"/>
        <v>43152.024561403516</v>
      </c>
      <c r="Z142" s="11">
        <f t="shared" si="49"/>
        <v>4.3152024561403518E-2</v>
      </c>
      <c r="AB142" s="9">
        <v>0.127081</v>
      </c>
      <c r="AC142" s="9">
        <v>9.7673999999999997E-2</v>
      </c>
      <c r="AD142" s="18">
        <f t="shared" si="43"/>
        <v>0.33956314918361924</v>
      </c>
      <c r="AE142" s="18">
        <f t="shared" si="44"/>
        <v>0.44179643058954809</v>
      </c>
    </row>
    <row r="143" spans="3:31" x14ac:dyDescent="0.25">
      <c r="C143" s="8">
        <v>2</v>
      </c>
      <c r="D143" s="8">
        <v>16</v>
      </c>
      <c r="E143" s="8">
        <v>1</v>
      </c>
      <c r="F143" s="12">
        <v>16</v>
      </c>
      <c r="G143" s="12">
        <v>2</v>
      </c>
      <c r="H143" s="12">
        <v>2</v>
      </c>
      <c r="I143" s="12">
        <v>256</v>
      </c>
      <c r="J143" s="12">
        <v>30</v>
      </c>
      <c r="K143" s="14">
        <f t="shared" si="40"/>
        <v>1</v>
      </c>
      <c r="L143" s="8">
        <f>2048</f>
        <v>2048</v>
      </c>
      <c r="M143" s="12">
        <v>128</v>
      </c>
      <c r="N143" s="15">
        <f t="shared" si="50"/>
        <v>431.15789473684208</v>
      </c>
      <c r="O143" s="15">
        <f t="shared" si="51"/>
        <v>17476.266666666666</v>
      </c>
      <c r="P143" s="15">
        <f t="shared" si="52"/>
        <v>2048</v>
      </c>
      <c r="Q143" s="15">
        <f t="shared" si="53"/>
        <v>17907.42456140351</v>
      </c>
      <c r="R143" s="15">
        <f t="shared" si="45"/>
        <v>1024</v>
      </c>
      <c r="S143" s="15">
        <f t="shared" si="46"/>
        <v>17476.266666666666</v>
      </c>
      <c r="T143" s="15">
        <f t="shared" si="47"/>
        <v>2048</v>
      </c>
      <c r="U143" s="15">
        <f t="shared" si="41"/>
        <v>18500.266666666666</v>
      </c>
      <c r="V143" s="15">
        <f t="shared" si="48"/>
        <v>341.33333333333331</v>
      </c>
      <c r="W143" s="12">
        <f t="shared" si="42"/>
        <v>6403</v>
      </c>
      <c r="X143" s="12">
        <v>20000</v>
      </c>
      <c r="Y143" s="16">
        <f t="shared" si="54"/>
        <v>43152.024561403516</v>
      </c>
      <c r="Z143" s="11">
        <f t="shared" si="49"/>
        <v>4.3152024561403518E-2</v>
      </c>
      <c r="AB143">
        <v>0.13558700000000001</v>
      </c>
      <c r="AC143">
        <v>0.10582999999999999</v>
      </c>
      <c r="AD143" s="18">
        <f t="shared" si="43"/>
        <v>0.31826078135369551</v>
      </c>
      <c r="AE143" s="18">
        <f t="shared" si="44"/>
        <v>0.4077485076198008</v>
      </c>
    </row>
    <row r="144" spans="3:31" x14ac:dyDescent="0.25">
      <c r="C144">
        <v>4</v>
      </c>
      <c r="D144">
        <v>16</v>
      </c>
      <c r="E144">
        <v>1</v>
      </c>
      <c r="F144" s="12">
        <v>16</v>
      </c>
      <c r="G144" s="12">
        <v>2</v>
      </c>
      <c r="H144" s="12">
        <v>2</v>
      </c>
      <c r="I144" s="12">
        <v>256</v>
      </c>
      <c r="J144" s="12">
        <v>30</v>
      </c>
      <c r="K144" s="14">
        <f t="shared" si="40"/>
        <v>1</v>
      </c>
      <c r="L144">
        <f>2048</f>
        <v>2048</v>
      </c>
      <c r="M144" s="12">
        <v>128</v>
      </c>
      <c r="N144" s="15">
        <f t="shared" si="50"/>
        <v>431.15789473684208</v>
      </c>
      <c r="O144" s="15">
        <f t="shared" si="51"/>
        <v>17476.266666666666</v>
      </c>
      <c r="P144" s="15">
        <f t="shared" si="52"/>
        <v>2048</v>
      </c>
      <c r="Q144" s="15">
        <f t="shared" si="53"/>
        <v>17907.42456140351</v>
      </c>
      <c r="R144" s="15">
        <f t="shared" si="45"/>
        <v>1024</v>
      </c>
      <c r="S144" s="15">
        <f t="shared" si="46"/>
        <v>17476.266666666666</v>
      </c>
      <c r="T144" s="15">
        <f t="shared" si="47"/>
        <v>2048</v>
      </c>
      <c r="U144" s="15">
        <f t="shared" si="41"/>
        <v>18500.266666666666</v>
      </c>
      <c r="V144" s="15">
        <f t="shared" si="48"/>
        <v>341.33333333333331</v>
      </c>
      <c r="W144" s="12">
        <f t="shared" si="42"/>
        <v>6403</v>
      </c>
      <c r="X144" s="12">
        <v>20000</v>
      </c>
      <c r="Y144" s="16">
        <f t="shared" si="54"/>
        <v>43152.024561403516</v>
      </c>
      <c r="Z144" s="11">
        <f t="shared" si="49"/>
        <v>4.3152024561403518E-2</v>
      </c>
      <c r="AB144">
        <v>0.13680999999999999</v>
      </c>
      <c r="AC144">
        <v>0.106909</v>
      </c>
      <c r="AD144" s="18">
        <f t="shared" si="43"/>
        <v>0.31541571932902218</v>
      </c>
      <c r="AE144" s="18">
        <f t="shared" si="44"/>
        <v>0.40363322602777613</v>
      </c>
    </row>
    <row r="145" spans="3:31" x14ac:dyDescent="0.25">
      <c r="C145">
        <v>8</v>
      </c>
      <c r="D145">
        <v>16</v>
      </c>
      <c r="E145">
        <v>1</v>
      </c>
      <c r="F145" s="12">
        <v>16</v>
      </c>
      <c r="G145" s="12">
        <v>2</v>
      </c>
      <c r="H145" s="12">
        <v>2</v>
      </c>
      <c r="I145" s="12">
        <v>256</v>
      </c>
      <c r="J145" s="12">
        <v>30</v>
      </c>
      <c r="K145" s="14">
        <f t="shared" si="40"/>
        <v>1</v>
      </c>
      <c r="L145">
        <f>2048</f>
        <v>2048</v>
      </c>
      <c r="M145" s="12">
        <v>128</v>
      </c>
      <c r="N145" s="15">
        <f t="shared" si="50"/>
        <v>431.15789473684208</v>
      </c>
      <c r="O145" s="15">
        <f t="shared" si="51"/>
        <v>17476.266666666666</v>
      </c>
      <c r="P145" s="15">
        <f t="shared" si="52"/>
        <v>2048</v>
      </c>
      <c r="Q145" s="15">
        <f t="shared" si="53"/>
        <v>17907.42456140351</v>
      </c>
      <c r="R145" s="15">
        <f t="shared" si="45"/>
        <v>1024</v>
      </c>
      <c r="S145" s="15">
        <f t="shared" si="46"/>
        <v>17476.266666666666</v>
      </c>
      <c r="T145" s="15">
        <f t="shared" si="47"/>
        <v>2048</v>
      </c>
      <c r="U145" s="15">
        <f t="shared" si="41"/>
        <v>18500.266666666666</v>
      </c>
      <c r="V145" s="15">
        <f t="shared" si="48"/>
        <v>341.33333333333331</v>
      </c>
      <c r="W145" s="12">
        <f t="shared" si="42"/>
        <v>6403</v>
      </c>
      <c r="X145" s="12">
        <v>20000</v>
      </c>
      <c r="Y145" s="16">
        <f t="shared" si="54"/>
        <v>43152.024561403516</v>
      </c>
      <c r="Z145" s="11">
        <f t="shared" si="49"/>
        <v>4.3152024561403518E-2</v>
      </c>
      <c r="AB145">
        <v>0.14824799999999999</v>
      </c>
      <c r="AC145">
        <v>0.11856899999999999</v>
      </c>
      <c r="AD145" s="18">
        <f t="shared" si="43"/>
        <v>0.29107997788437967</v>
      </c>
      <c r="AE145" s="18">
        <f t="shared" si="44"/>
        <v>0.36394019146154155</v>
      </c>
    </row>
    <row r="146" spans="3:31" x14ac:dyDescent="0.25">
      <c r="C146">
        <v>16</v>
      </c>
      <c r="D146">
        <v>16</v>
      </c>
      <c r="E146">
        <v>1</v>
      </c>
      <c r="F146" s="12">
        <v>16</v>
      </c>
      <c r="G146" s="12">
        <v>2</v>
      </c>
      <c r="H146" s="12">
        <v>2</v>
      </c>
      <c r="I146" s="12">
        <v>256</v>
      </c>
      <c r="J146" s="12">
        <v>30</v>
      </c>
      <c r="K146" s="14">
        <f t="shared" si="40"/>
        <v>1</v>
      </c>
      <c r="L146">
        <f>2048</f>
        <v>2048</v>
      </c>
      <c r="M146" s="12">
        <v>128</v>
      </c>
      <c r="N146" s="15">
        <f t="shared" si="50"/>
        <v>431.15789473684208</v>
      </c>
      <c r="O146" s="15">
        <f t="shared" si="51"/>
        <v>17476.266666666666</v>
      </c>
      <c r="P146" s="15">
        <f t="shared" si="52"/>
        <v>2048</v>
      </c>
      <c r="Q146" s="15">
        <f t="shared" si="53"/>
        <v>17907.42456140351</v>
      </c>
      <c r="R146" s="15">
        <f t="shared" si="45"/>
        <v>1024</v>
      </c>
      <c r="S146" s="15">
        <f t="shared" si="46"/>
        <v>17476.266666666666</v>
      </c>
      <c r="T146" s="15">
        <f t="shared" si="47"/>
        <v>2048</v>
      </c>
      <c r="U146" s="15">
        <f t="shared" si="41"/>
        <v>18500.266666666666</v>
      </c>
      <c r="V146" s="15">
        <f t="shared" si="48"/>
        <v>341.33333333333331</v>
      </c>
      <c r="W146" s="12">
        <f t="shared" si="42"/>
        <v>6403</v>
      </c>
      <c r="X146" s="12">
        <v>20000</v>
      </c>
      <c r="Y146" s="16">
        <f t="shared" si="54"/>
        <v>43152.024561403516</v>
      </c>
      <c r="Z146" s="11">
        <f t="shared" si="49"/>
        <v>4.3152024561403518E-2</v>
      </c>
      <c r="AB146">
        <v>0.16030900000000001</v>
      </c>
      <c r="AC146">
        <v>0.13033600000000001</v>
      </c>
      <c r="AD146" s="18">
        <f t="shared" si="43"/>
        <v>0.26918029905621965</v>
      </c>
      <c r="AE146" s="18">
        <f t="shared" si="44"/>
        <v>0.33108292844190029</v>
      </c>
    </row>
    <row r="147" spans="3:31" x14ac:dyDescent="0.25">
      <c r="C147">
        <v>32</v>
      </c>
      <c r="D147">
        <v>16</v>
      </c>
      <c r="E147">
        <v>1</v>
      </c>
      <c r="F147" s="12">
        <v>16</v>
      </c>
      <c r="G147" s="12">
        <v>2</v>
      </c>
      <c r="H147" s="12">
        <v>2</v>
      </c>
      <c r="I147" s="12">
        <v>256</v>
      </c>
      <c r="J147" s="12">
        <v>30</v>
      </c>
      <c r="K147" s="14">
        <f t="shared" si="40"/>
        <v>2</v>
      </c>
      <c r="L147">
        <f>2048</f>
        <v>2048</v>
      </c>
      <c r="M147" s="12">
        <v>128</v>
      </c>
      <c r="N147" s="15">
        <f t="shared" si="50"/>
        <v>862.31578947368416</v>
      </c>
      <c r="O147" s="15">
        <f t="shared" si="51"/>
        <v>34952.533333333333</v>
      </c>
      <c r="P147" s="15">
        <f t="shared" si="52"/>
        <v>4096</v>
      </c>
      <c r="Q147" s="15">
        <f t="shared" si="53"/>
        <v>35814.84912280702</v>
      </c>
      <c r="R147" s="15">
        <f t="shared" si="45"/>
        <v>2048</v>
      </c>
      <c r="S147" s="15">
        <f t="shared" si="46"/>
        <v>34952.533333333333</v>
      </c>
      <c r="T147" s="15">
        <f t="shared" si="47"/>
        <v>4096</v>
      </c>
      <c r="U147" s="15">
        <f t="shared" si="41"/>
        <v>37000.533333333333</v>
      </c>
      <c r="V147" s="15">
        <f t="shared" si="48"/>
        <v>682.66666666666663</v>
      </c>
      <c r="W147" s="12">
        <f t="shared" si="42"/>
        <v>12806</v>
      </c>
      <c r="X147" s="12">
        <v>20000</v>
      </c>
      <c r="Y147" s="16">
        <f t="shared" si="54"/>
        <v>86304.049122807031</v>
      </c>
      <c r="Z147" s="11">
        <f t="shared" si="49"/>
        <v>8.6304049122807036E-2</v>
      </c>
      <c r="AB147">
        <v>0.223276</v>
      </c>
      <c r="AC147">
        <v>0.20066200000000001</v>
      </c>
      <c r="AD147" s="18">
        <f t="shared" si="43"/>
        <v>0.38653527079850514</v>
      </c>
      <c r="AE147" s="18">
        <f t="shared" si="44"/>
        <v>0.43009662578269442</v>
      </c>
    </row>
    <row r="148" spans="3:31" x14ac:dyDescent="0.25">
      <c r="C148">
        <v>64</v>
      </c>
      <c r="D148">
        <v>16</v>
      </c>
      <c r="E148">
        <v>1</v>
      </c>
      <c r="F148" s="12">
        <v>16</v>
      </c>
      <c r="G148" s="12">
        <v>2</v>
      </c>
      <c r="H148" s="12">
        <v>2</v>
      </c>
      <c r="I148" s="12">
        <v>256</v>
      </c>
      <c r="J148" s="12">
        <v>30</v>
      </c>
      <c r="K148" s="14">
        <f t="shared" si="40"/>
        <v>4</v>
      </c>
      <c r="L148">
        <f>2048</f>
        <v>2048</v>
      </c>
      <c r="M148" s="12">
        <v>128</v>
      </c>
      <c r="N148" s="15">
        <f t="shared" si="50"/>
        <v>1724.6315789473683</v>
      </c>
      <c r="O148" s="15">
        <f t="shared" si="51"/>
        <v>69905.066666666666</v>
      </c>
      <c r="P148" s="15">
        <f t="shared" si="52"/>
        <v>8192</v>
      </c>
      <c r="Q148" s="15">
        <f t="shared" si="53"/>
        <v>71629.698245614039</v>
      </c>
      <c r="R148" s="15">
        <f t="shared" si="45"/>
        <v>4096</v>
      </c>
      <c r="S148" s="15">
        <f t="shared" si="46"/>
        <v>69905.066666666666</v>
      </c>
      <c r="T148" s="15">
        <f t="shared" si="47"/>
        <v>8192</v>
      </c>
      <c r="U148" s="15">
        <f t="shared" si="41"/>
        <v>74001.066666666666</v>
      </c>
      <c r="V148" s="15">
        <f t="shared" si="48"/>
        <v>1365.3333333333333</v>
      </c>
      <c r="W148" s="12">
        <f t="shared" si="42"/>
        <v>25612</v>
      </c>
      <c r="X148" s="12">
        <v>20000</v>
      </c>
      <c r="Y148" s="16">
        <f t="shared" si="54"/>
        <v>172608.09824561406</v>
      </c>
      <c r="Z148" s="11">
        <f t="shared" si="49"/>
        <v>0.17260809824561407</v>
      </c>
      <c r="AB148">
        <v>0.345113</v>
      </c>
      <c r="AC148">
        <v>0.33144899999999999</v>
      </c>
      <c r="AD148" s="18">
        <f t="shared" si="43"/>
        <v>0.5001495111618921</v>
      </c>
      <c r="AE148" s="18">
        <f t="shared" si="44"/>
        <v>0.52076819735649849</v>
      </c>
    </row>
    <row r="149" spans="3:31" x14ac:dyDescent="0.25">
      <c r="C149">
        <v>128</v>
      </c>
      <c r="D149">
        <v>16</v>
      </c>
      <c r="E149">
        <v>1</v>
      </c>
      <c r="F149" s="12">
        <v>16</v>
      </c>
      <c r="G149" s="12">
        <v>2</v>
      </c>
      <c r="H149" s="12">
        <v>2</v>
      </c>
      <c r="I149" s="12">
        <v>256</v>
      </c>
      <c r="J149" s="12">
        <v>30</v>
      </c>
      <c r="K149" s="14">
        <f t="shared" si="40"/>
        <v>8</v>
      </c>
      <c r="L149">
        <f>2048</f>
        <v>2048</v>
      </c>
      <c r="M149" s="12">
        <v>128</v>
      </c>
      <c r="N149" s="15">
        <f t="shared" si="50"/>
        <v>3449.2631578947367</v>
      </c>
      <c r="O149" s="15">
        <f t="shared" si="51"/>
        <v>139810.13333333333</v>
      </c>
      <c r="P149" s="15">
        <f t="shared" si="52"/>
        <v>16384</v>
      </c>
      <c r="Q149" s="15">
        <f t="shared" si="53"/>
        <v>143259.39649122808</v>
      </c>
      <c r="R149" s="15">
        <f t="shared" si="45"/>
        <v>8192</v>
      </c>
      <c r="S149" s="15">
        <f t="shared" si="46"/>
        <v>139810.13333333333</v>
      </c>
      <c r="T149" s="15">
        <f t="shared" si="47"/>
        <v>16384</v>
      </c>
      <c r="U149" s="15">
        <f t="shared" si="41"/>
        <v>148002.13333333333</v>
      </c>
      <c r="V149" s="15">
        <f t="shared" si="48"/>
        <v>2730.6666666666665</v>
      </c>
      <c r="W149" s="12">
        <f t="shared" si="42"/>
        <v>51224</v>
      </c>
      <c r="X149" s="12">
        <v>20000</v>
      </c>
      <c r="Y149" s="16">
        <f t="shared" si="54"/>
        <v>345216.19649122813</v>
      </c>
      <c r="Z149" s="11">
        <f t="shared" si="49"/>
        <v>0.34521619649122814</v>
      </c>
      <c r="AB149">
        <v>0.60217799999999999</v>
      </c>
      <c r="AC149">
        <v>0.58024500000000001</v>
      </c>
      <c r="AD149" s="18">
        <f t="shared" si="43"/>
        <v>0.5732793235409267</v>
      </c>
      <c r="AE149" s="18">
        <f t="shared" si="44"/>
        <v>0.59494902410400463</v>
      </c>
    </row>
    <row r="150" spans="3:31" x14ac:dyDescent="0.25">
      <c r="C150">
        <v>256</v>
      </c>
      <c r="D150">
        <v>16</v>
      </c>
      <c r="E150">
        <v>1</v>
      </c>
      <c r="F150" s="12">
        <v>16</v>
      </c>
      <c r="G150" s="12">
        <v>2</v>
      </c>
      <c r="H150" s="12">
        <v>2</v>
      </c>
      <c r="I150" s="12">
        <v>256</v>
      </c>
      <c r="J150" s="12">
        <v>30</v>
      </c>
      <c r="K150" s="14">
        <f t="shared" si="40"/>
        <v>16</v>
      </c>
      <c r="L150">
        <f>2048</f>
        <v>2048</v>
      </c>
      <c r="M150" s="12">
        <v>128</v>
      </c>
      <c r="N150" s="15">
        <f t="shared" si="50"/>
        <v>6898.5263157894733</v>
      </c>
      <c r="O150" s="15">
        <f t="shared" si="51"/>
        <v>279620.26666666666</v>
      </c>
      <c r="P150" s="15">
        <f t="shared" si="52"/>
        <v>32768</v>
      </c>
      <c r="Q150" s="15">
        <f t="shared" si="53"/>
        <v>286518.79298245616</v>
      </c>
      <c r="R150" s="15">
        <f t="shared" si="45"/>
        <v>16384</v>
      </c>
      <c r="S150" s="15">
        <f t="shared" si="46"/>
        <v>279620.26666666666</v>
      </c>
      <c r="T150" s="15">
        <f t="shared" si="47"/>
        <v>32768</v>
      </c>
      <c r="U150" s="15">
        <f t="shared" si="41"/>
        <v>296004.26666666666</v>
      </c>
      <c r="V150" s="15">
        <f t="shared" si="48"/>
        <v>5461.333333333333</v>
      </c>
      <c r="W150" s="12">
        <f t="shared" si="42"/>
        <v>102448</v>
      </c>
      <c r="X150" s="12">
        <v>20000</v>
      </c>
      <c r="Y150" s="16">
        <f t="shared" si="54"/>
        <v>690432.39298245625</v>
      </c>
      <c r="Z150" s="11">
        <f t="shared" si="49"/>
        <v>0.69043239298245629</v>
      </c>
      <c r="AB150">
        <v>1.1091599999999999</v>
      </c>
      <c r="AC150">
        <v>1.0526960000000001</v>
      </c>
      <c r="AD150" s="18">
        <f t="shared" si="43"/>
        <v>0.62248223248445345</v>
      </c>
      <c r="AE150" s="18">
        <f t="shared" si="44"/>
        <v>0.65587063405052959</v>
      </c>
    </row>
    <row r="151" spans="3:31" x14ac:dyDescent="0.25">
      <c r="C151">
        <v>512</v>
      </c>
      <c r="D151">
        <v>16</v>
      </c>
      <c r="E151">
        <v>1</v>
      </c>
      <c r="F151" s="12">
        <v>16</v>
      </c>
      <c r="G151" s="12">
        <v>2</v>
      </c>
      <c r="H151" s="12">
        <v>2</v>
      </c>
      <c r="I151" s="12">
        <v>256</v>
      </c>
      <c r="J151" s="12">
        <v>30</v>
      </c>
      <c r="K151" s="14">
        <f t="shared" si="40"/>
        <v>32</v>
      </c>
      <c r="L151">
        <f>2048</f>
        <v>2048</v>
      </c>
      <c r="M151" s="12">
        <v>128</v>
      </c>
      <c r="N151" s="15">
        <f t="shared" si="50"/>
        <v>13797.052631578947</v>
      </c>
      <c r="O151" s="15">
        <f t="shared" si="51"/>
        <v>559240.53333333333</v>
      </c>
      <c r="P151" s="15">
        <f t="shared" si="52"/>
        <v>65536</v>
      </c>
      <c r="Q151" s="15">
        <f t="shared" si="53"/>
        <v>573037.58596491232</v>
      </c>
      <c r="R151" s="15">
        <f t="shared" si="45"/>
        <v>32768</v>
      </c>
      <c r="S151" s="15">
        <f t="shared" si="46"/>
        <v>559240.53333333333</v>
      </c>
      <c r="T151" s="15">
        <f t="shared" si="47"/>
        <v>65536</v>
      </c>
      <c r="U151" s="15">
        <f t="shared" si="41"/>
        <v>592008.53333333333</v>
      </c>
      <c r="V151" s="15">
        <f t="shared" si="48"/>
        <v>10922.666666666666</v>
      </c>
      <c r="W151" s="12">
        <f t="shared" si="42"/>
        <v>204896</v>
      </c>
      <c r="X151" s="12">
        <v>20000</v>
      </c>
      <c r="Y151" s="16">
        <f t="shared" si="54"/>
        <v>1380864.7859649125</v>
      </c>
      <c r="Z151" s="11">
        <f t="shared" si="49"/>
        <v>1.3808647859649126</v>
      </c>
      <c r="AB151">
        <v>2.1119659999999998</v>
      </c>
      <c r="AC151">
        <v>1.983514</v>
      </c>
      <c r="AD151" s="18">
        <f t="shared" si="43"/>
        <v>0.65382907961819114</v>
      </c>
      <c r="AE151" s="18">
        <f t="shared" si="44"/>
        <v>0.69617092995810093</v>
      </c>
    </row>
    <row r="152" spans="3:31" x14ac:dyDescent="0.25">
      <c r="C152" s="8">
        <v>1</v>
      </c>
      <c r="D152" s="8">
        <v>16</v>
      </c>
      <c r="E152" s="8">
        <v>1</v>
      </c>
      <c r="F152" s="12">
        <v>16</v>
      </c>
      <c r="G152" s="12">
        <v>2</v>
      </c>
      <c r="H152" s="12">
        <v>2</v>
      </c>
      <c r="I152" s="12">
        <v>256</v>
      </c>
      <c r="J152" s="12">
        <v>30</v>
      </c>
      <c r="K152" s="14">
        <f t="shared" si="40"/>
        <v>1</v>
      </c>
      <c r="L152" s="8">
        <f>4096</f>
        <v>4096</v>
      </c>
      <c r="M152" s="12">
        <v>128</v>
      </c>
      <c r="N152" s="15">
        <f t="shared" si="50"/>
        <v>431.15789473684208</v>
      </c>
      <c r="O152" s="15">
        <f t="shared" si="51"/>
        <v>34952.533333333333</v>
      </c>
      <c r="P152" s="15">
        <f t="shared" si="52"/>
        <v>4096</v>
      </c>
      <c r="Q152" s="15">
        <f t="shared" si="53"/>
        <v>35383.691228070173</v>
      </c>
      <c r="R152" s="15">
        <f t="shared" si="45"/>
        <v>2048</v>
      </c>
      <c r="S152" s="15">
        <f t="shared" si="46"/>
        <v>34952.533333333333</v>
      </c>
      <c r="T152" s="15">
        <f t="shared" si="47"/>
        <v>4096</v>
      </c>
      <c r="U152" s="15">
        <f t="shared" si="41"/>
        <v>37000.533333333333</v>
      </c>
      <c r="V152" s="15">
        <f t="shared" si="48"/>
        <v>341.33333333333331</v>
      </c>
      <c r="W152" s="12">
        <f t="shared" si="42"/>
        <v>12611</v>
      </c>
      <c r="X152" s="12">
        <v>20000</v>
      </c>
      <c r="Y152" s="16">
        <f t="shared" si="54"/>
        <v>85336.557894736834</v>
      </c>
      <c r="Z152" s="11">
        <f t="shared" si="49"/>
        <v>8.5336557894736834E-2</v>
      </c>
      <c r="AB152" s="8">
        <v>0.19713600000000001</v>
      </c>
      <c r="AC152">
        <v>0.13686200000000001</v>
      </c>
      <c r="AD152" s="18">
        <f t="shared" si="43"/>
        <v>0.43288165476999041</v>
      </c>
      <c r="AE152" s="18">
        <f t="shared" si="44"/>
        <v>0.62352265709062282</v>
      </c>
    </row>
    <row r="153" spans="3:31" x14ac:dyDescent="0.25">
      <c r="C153" s="8">
        <v>2</v>
      </c>
      <c r="D153" s="8">
        <v>16</v>
      </c>
      <c r="E153" s="8">
        <v>1</v>
      </c>
      <c r="F153" s="12">
        <v>16</v>
      </c>
      <c r="G153" s="12">
        <v>2</v>
      </c>
      <c r="H153" s="12">
        <v>2</v>
      </c>
      <c r="I153" s="12">
        <v>256</v>
      </c>
      <c r="J153" s="12">
        <v>30</v>
      </c>
      <c r="K153" s="14">
        <f t="shared" si="40"/>
        <v>1</v>
      </c>
      <c r="L153" s="8">
        <f>4096</f>
        <v>4096</v>
      </c>
      <c r="M153" s="12">
        <v>128</v>
      </c>
      <c r="N153" s="15">
        <f t="shared" si="50"/>
        <v>431.15789473684208</v>
      </c>
      <c r="O153" s="15">
        <f t="shared" si="51"/>
        <v>34952.533333333333</v>
      </c>
      <c r="P153" s="15">
        <f t="shared" si="52"/>
        <v>4096</v>
      </c>
      <c r="Q153" s="15">
        <f t="shared" si="53"/>
        <v>35383.691228070173</v>
      </c>
      <c r="R153" s="15">
        <f t="shared" si="45"/>
        <v>2048</v>
      </c>
      <c r="S153" s="15">
        <f t="shared" si="46"/>
        <v>34952.533333333333</v>
      </c>
      <c r="T153" s="15">
        <f t="shared" si="47"/>
        <v>4096</v>
      </c>
      <c r="U153" s="15">
        <f t="shared" si="41"/>
        <v>37000.533333333333</v>
      </c>
      <c r="V153" s="15">
        <f t="shared" si="48"/>
        <v>341.33333333333331</v>
      </c>
      <c r="W153" s="12">
        <f t="shared" si="42"/>
        <v>12611</v>
      </c>
      <c r="X153" s="12">
        <v>20000</v>
      </c>
      <c r="Y153" s="16">
        <f t="shared" si="54"/>
        <v>85336.557894736834</v>
      </c>
      <c r="Z153" s="11">
        <f t="shared" si="49"/>
        <v>8.5336557894736834E-2</v>
      </c>
      <c r="AB153" s="8">
        <v>0.21485899999999999</v>
      </c>
      <c r="AC153">
        <v>0.15335599999999999</v>
      </c>
      <c r="AD153" s="18">
        <f t="shared" si="43"/>
        <v>0.39717469547348183</v>
      </c>
      <c r="AE153" s="18">
        <f t="shared" si="44"/>
        <v>0.55646050949905346</v>
      </c>
    </row>
    <row r="154" spans="3:31" x14ac:dyDescent="0.25">
      <c r="C154">
        <v>4</v>
      </c>
      <c r="D154">
        <v>16</v>
      </c>
      <c r="E154">
        <v>1</v>
      </c>
      <c r="F154" s="12">
        <v>16</v>
      </c>
      <c r="G154" s="12">
        <v>2</v>
      </c>
      <c r="H154" s="12">
        <v>2</v>
      </c>
      <c r="I154" s="12">
        <v>256</v>
      </c>
      <c r="J154" s="12">
        <v>30</v>
      </c>
      <c r="K154" s="14">
        <f t="shared" si="40"/>
        <v>1</v>
      </c>
      <c r="L154">
        <f>4096</f>
        <v>4096</v>
      </c>
      <c r="M154" s="12">
        <v>128</v>
      </c>
      <c r="N154" s="15">
        <f t="shared" si="50"/>
        <v>431.15789473684208</v>
      </c>
      <c r="O154" s="15">
        <f t="shared" si="51"/>
        <v>34952.533333333333</v>
      </c>
      <c r="P154" s="15">
        <f t="shared" si="52"/>
        <v>4096</v>
      </c>
      <c r="Q154" s="15">
        <f t="shared" si="53"/>
        <v>35383.691228070173</v>
      </c>
      <c r="R154" s="15">
        <f t="shared" si="45"/>
        <v>2048</v>
      </c>
      <c r="S154" s="15">
        <f t="shared" si="46"/>
        <v>34952.533333333333</v>
      </c>
      <c r="T154" s="15">
        <f t="shared" si="47"/>
        <v>4096</v>
      </c>
      <c r="U154" s="15">
        <f t="shared" si="41"/>
        <v>37000.533333333333</v>
      </c>
      <c r="V154" s="15">
        <f t="shared" si="48"/>
        <v>341.33333333333331</v>
      </c>
      <c r="W154" s="12">
        <f t="shared" si="42"/>
        <v>12611</v>
      </c>
      <c r="X154" s="12">
        <v>20000</v>
      </c>
      <c r="Y154" s="16">
        <f t="shared" si="54"/>
        <v>85336.557894736834</v>
      </c>
      <c r="Z154" s="11">
        <f t="shared" si="49"/>
        <v>8.5336557894736834E-2</v>
      </c>
      <c r="AB154">
        <v>0.21811700000000001</v>
      </c>
      <c r="AC154">
        <v>0.156806</v>
      </c>
      <c r="AD154" s="18">
        <f t="shared" si="43"/>
        <v>0.39124212186458107</v>
      </c>
      <c r="AE154" s="18">
        <f t="shared" si="44"/>
        <v>0.54421742723324895</v>
      </c>
    </row>
    <row r="155" spans="3:31" x14ac:dyDescent="0.25">
      <c r="C155">
        <v>8</v>
      </c>
      <c r="D155">
        <v>16</v>
      </c>
      <c r="E155">
        <v>1</v>
      </c>
      <c r="F155" s="12">
        <v>16</v>
      </c>
      <c r="G155" s="12">
        <v>2</v>
      </c>
      <c r="H155" s="12">
        <v>2</v>
      </c>
      <c r="I155" s="12">
        <v>256</v>
      </c>
      <c r="J155" s="12">
        <v>30</v>
      </c>
      <c r="K155" s="14">
        <f t="shared" ref="K155:K181" si="55">_xlfn.CEILING.MATH(C155*E155/F155)</f>
        <v>1</v>
      </c>
      <c r="L155">
        <f>4096</f>
        <v>4096</v>
      </c>
      <c r="M155" s="12">
        <v>128</v>
      </c>
      <c r="N155" s="15">
        <f t="shared" si="50"/>
        <v>431.15789473684208</v>
      </c>
      <c r="O155" s="15">
        <f t="shared" si="51"/>
        <v>34952.533333333333</v>
      </c>
      <c r="P155" s="15">
        <f t="shared" si="52"/>
        <v>4096</v>
      </c>
      <c r="Q155" s="15">
        <f t="shared" si="53"/>
        <v>35383.691228070173</v>
      </c>
      <c r="R155" s="15">
        <f t="shared" si="45"/>
        <v>2048</v>
      </c>
      <c r="S155" s="15">
        <f t="shared" si="46"/>
        <v>34952.533333333333</v>
      </c>
      <c r="T155" s="15">
        <f t="shared" si="47"/>
        <v>4096</v>
      </c>
      <c r="U155" s="15">
        <f t="shared" si="41"/>
        <v>37000.533333333333</v>
      </c>
      <c r="V155" s="15">
        <f t="shared" si="48"/>
        <v>341.33333333333331</v>
      </c>
      <c r="W155" s="12">
        <f t="shared" si="42"/>
        <v>12611</v>
      </c>
      <c r="X155" s="12">
        <v>20000</v>
      </c>
      <c r="Y155" s="16">
        <f t="shared" si="54"/>
        <v>85336.557894736834</v>
      </c>
      <c r="Z155" s="11">
        <f t="shared" si="49"/>
        <v>8.5336557894736834E-2</v>
      </c>
      <c r="AB155">
        <v>0.24143700000000001</v>
      </c>
      <c r="AC155">
        <v>0.17826</v>
      </c>
      <c r="AD155" s="18">
        <f t="shared" si="43"/>
        <v>0.35345269322737122</v>
      </c>
      <c r="AE155" s="18">
        <f t="shared" si="44"/>
        <v>0.47871961121248086</v>
      </c>
    </row>
    <row r="156" spans="3:31" x14ac:dyDescent="0.25">
      <c r="C156">
        <v>16</v>
      </c>
      <c r="D156">
        <v>16</v>
      </c>
      <c r="E156">
        <v>1</v>
      </c>
      <c r="F156" s="12">
        <v>16</v>
      </c>
      <c r="G156" s="12">
        <v>2</v>
      </c>
      <c r="H156" s="12">
        <v>2</v>
      </c>
      <c r="I156" s="12">
        <v>256</v>
      </c>
      <c r="J156" s="12">
        <v>30</v>
      </c>
      <c r="K156" s="14">
        <f t="shared" si="55"/>
        <v>1</v>
      </c>
      <c r="L156">
        <f>4096</f>
        <v>4096</v>
      </c>
      <c r="M156" s="12">
        <v>128</v>
      </c>
      <c r="N156" s="15">
        <f t="shared" si="50"/>
        <v>431.15789473684208</v>
      </c>
      <c r="O156" s="15">
        <f t="shared" si="51"/>
        <v>34952.533333333333</v>
      </c>
      <c r="P156" s="15">
        <f t="shared" si="52"/>
        <v>4096</v>
      </c>
      <c r="Q156" s="15">
        <f t="shared" si="53"/>
        <v>35383.691228070173</v>
      </c>
      <c r="R156" s="15">
        <f t="shared" si="45"/>
        <v>2048</v>
      </c>
      <c r="S156" s="15">
        <f t="shared" si="46"/>
        <v>34952.533333333333</v>
      </c>
      <c r="T156" s="15">
        <f t="shared" si="47"/>
        <v>4096</v>
      </c>
      <c r="U156" s="15">
        <f t="shared" si="41"/>
        <v>37000.533333333333</v>
      </c>
      <c r="V156" s="15">
        <f t="shared" si="48"/>
        <v>341.33333333333331</v>
      </c>
      <c r="W156" s="12">
        <f t="shared" si="42"/>
        <v>12611</v>
      </c>
      <c r="X156" s="12">
        <v>20000</v>
      </c>
      <c r="Y156" s="16">
        <f t="shared" si="54"/>
        <v>85336.557894736834</v>
      </c>
      <c r="Z156" s="11">
        <f t="shared" si="49"/>
        <v>8.5336557894736834E-2</v>
      </c>
      <c r="AB156">
        <v>0.26584200000000002</v>
      </c>
      <c r="AC156">
        <v>0.20036300000000001</v>
      </c>
      <c r="AD156" s="18">
        <f t="shared" si="43"/>
        <v>0.32100479944755467</v>
      </c>
      <c r="AE156" s="18">
        <f t="shared" si="44"/>
        <v>0.42590976325337926</v>
      </c>
    </row>
    <row r="157" spans="3:31" x14ac:dyDescent="0.25">
      <c r="C157">
        <v>32</v>
      </c>
      <c r="D157">
        <v>16</v>
      </c>
      <c r="E157">
        <v>1</v>
      </c>
      <c r="F157" s="12">
        <v>16</v>
      </c>
      <c r="G157" s="12">
        <v>2</v>
      </c>
      <c r="H157" s="12">
        <v>2</v>
      </c>
      <c r="I157" s="12">
        <v>256</v>
      </c>
      <c r="J157" s="12">
        <v>30</v>
      </c>
      <c r="K157" s="14">
        <f t="shared" si="55"/>
        <v>2</v>
      </c>
      <c r="L157">
        <f>4096</f>
        <v>4096</v>
      </c>
      <c r="M157" s="12">
        <v>128</v>
      </c>
      <c r="N157" s="15">
        <f t="shared" si="50"/>
        <v>862.31578947368416</v>
      </c>
      <c r="O157" s="15">
        <f t="shared" si="51"/>
        <v>69905.066666666666</v>
      </c>
      <c r="P157" s="15">
        <f t="shared" si="52"/>
        <v>8192</v>
      </c>
      <c r="Q157" s="15">
        <f t="shared" si="53"/>
        <v>70767.382456140345</v>
      </c>
      <c r="R157" s="15">
        <f t="shared" si="45"/>
        <v>4096</v>
      </c>
      <c r="S157" s="15">
        <f t="shared" si="46"/>
        <v>69905.066666666666</v>
      </c>
      <c r="T157" s="15">
        <f t="shared" si="47"/>
        <v>8192</v>
      </c>
      <c r="U157" s="15">
        <f t="shared" si="41"/>
        <v>74001.066666666666</v>
      </c>
      <c r="V157" s="15">
        <f t="shared" si="48"/>
        <v>682.66666666666663</v>
      </c>
      <c r="W157" s="12">
        <f t="shared" si="42"/>
        <v>25222</v>
      </c>
      <c r="X157" s="12">
        <v>20000</v>
      </c>
      <c r="Y157" s="16">
        <f t="shared" si="54"/>
        <v>170673.11578947367</v>
      </c>
      <c r="Z157" s="11">
        <f t="shared" si="49"/>
        <v>0.17067311578947367</v>
      </c>
      <c r="AB157">
        <v>0.39705400000000002</v>
      </c>
      <c r="AC157">
        <v>0.32887499999999997</v>
      </c>
      <c r="AD157" s="18">
        <f t="shared" si="43"/>
        <v>0.42984862459381762</v>
      </c>
      <c r="AE157" s="18">
        <f t="shared" si="44"/>
        <v>0.51896044329752544</v>
      </c>
    </row>
    <row r="158" spans="3:31" x14ac:dyDescent="0.25">
      <c r="C158">
        <v>64</v>
      </c>
      <c r="D158">
        <v>16</v>
      </c>
      <c r="E158">
        <v>1</v>
      </c>
      <c r="F158" s="12">
        <v>16</v>
      </c>
      <c r="G158" s="12">
        <v>2</v>
      </c>
      <c r="H158" s="12">
        <v>2</v>
      </c>
      <c r="I158" s="12">
        <v>256</v>
      </c>
      <c r="J158" s="12">
        <v>30</v>
      </c>
      <c r="K158" s="14">
        <f t="shared" si="55"/>
        <v>4</v>
      </c>
      <c r="L158">
        <f>4096</f>
        <v>4096</v>
      </c>
      <c r="M158" s="12">
        <v>128</v>
      </c>
      <c r="N158" s="15">
        <f t="shared" si="50"/>
        <v>1724.6315789473683</v>
      </c>
      <c r="O158" s="15">
        <f t="shared" si="51"/>
        <v>139810.13333333333</v>
      </c>
      <c r="P158" s="15">
        <f t="shared" si="52"/>
        <v>16384</v>
      </c>
      <c r="Q158" s="15">
        <f t="shared" si="53"/>
        <v>141534.76491228069</v>
      </c>
      <c r="R158" s="15">
        <f t="shared" si="45"/>
        <v>8192</v>
      </c>
      <c r="S158" s="15">
        <f t="shared" si="46"/>
        <v>139810.13333333333</v>
      </c>
      <c r="T158" s="15">
        <f t="shared" si="47"/>
        <v>16384</v>
      </c>
      <c r="U158" s="15">
        <f t="shared" si="41"/>
        <v>148002.13333333333</v>
      </c>
      <c r="V158" s="15">
        <f t="shared" si="48"/>
        <v>1365.3333333333333</v>
      </c>
      <c r="W158" s="12">
        <f t="shared" si="42"/>
        <v>50444</v>
      </c>
      <c r="X158" s="12">
        <v>20000</v>
      </c>
      <c r="Y158" s="16">
        <f t="shared" si="54"/>
        <v>341346.23157894734</v>
      </c>
      <c r="Z158" s="11">
        <f t="shared" si="49"/>
        <v>0.34134623157894733</v>
      </c>
      <c r="AB158">
        <v>0.63829100000000005</v>
      </c>
      <c r="AC158">
        <v>0.57359800000000005</v>
      </c>
      <c r="AD158" s="18">
        <f t="shared" si="43"/>
        <v>0.53478152062138951</v>
      </c>
      <c r="AE158" s="18">
        <f t="shared" si="44"/>
        <v>0.59509662094175242</v>
      </c>
    </row>
    <row r="159" spans="3:31" x14ac:dyDescent="0.25">
      <c r="C159">
        <v>128</v>
      </c>
      <c r="D159">
        <v>16</v>
      </c>
      <c r="E159">
        <v>1</v>
      </c>
      <c r="F159" s="12">
        <v>16</v>
      </c>
      <c r="G159" s="12">
        <v>2</v>
      </c>
      <c r="H159" s="12">
        <v>2</v>
      </c>
      <c r="I159" s="12">
        <v>256</v>
      </c>
      <c r="J159" s="12">
        <v>30</v>
      </c>
      <c r="K159" s="14">
        <f t="shared" si="55"/>
        <v>8</v>
      </c>
      <c r="L159">
        <f>4096</f>
        <v>4096</v>
      </c>
      <c r="M159" s="12">
        <v>128</v>
      </c>
      <c r="N159" s="15">
        <f t="shared" si="50"/>
        <v>3449.2631578947367</v>
      </c>
      <c r="O159" s="15">
        <f t="shared" si="51"/>
        <v>279620.26666666666</v>
      </c>
      <c r="P159" s="15">
        <f t="shared" si="52"/>
        <v>32768</v>
      </c>
      <c r="Q159" s="15">
        <f t="shared" si="53"/>
        <v>283069.52982456138</v>
      </c>
      <c r="R159" s="15">
        <f t="shared" si="45"/>
        <v>16384</v>
      </c>
      <c r="S159" s="15">
        <f t="shared" si="46"/>
        <v>279620.26666666666</v>
      </c>
      <c r="T159" s="15">
        <f t="shared" si="47"/>
        <v>32768</v>
      </c>
      <c r="U159" s="15">
        <f t="shared" si="41"/>
        <v>296004.26666666666</v>
      </c>
      <c r="V159" s="15">
        <f t="shared" si="48"/>
        <v>2730.6666666666665</v>
      </c>
      <c r="W159" s="12">
        <f t="shared" si="42"/>
        <v>100888</v>
      </c>
      <c r="X159" s="12">
        <v>20000</v>
      </c>
      <c r="Y159" s="16">
        <f t="shared" si="54"/>
        <v>682692.46315789467</v>
      </c>
      <c r="Z159" s="11">
        <f t="shared" si="49"/>
        <v>0.68269246315789467</v>
      </c>
      <c r="AB159">
        <v>1.133548</v>
      </c>
      <c r="AC159">
        <v>1.030902</v>
      </c>
      <c r="AD159" s="18">
        <f t="shared" si="43"/>
        <v>0.6022616273487269</v>
      </c>
      <c r="AE159" s="18">
        <f t="shared" si="44"/>
        <v>0.66222828470397255</v>
      </c>
    </row>
    <row r="160" spans="3:31" x14ac:dyDescent="0.25">
      <c r="C160">
        <v>256</v>
      </c>
      <c r="D160">
        <v>16</v>
      </c>
      <c r="E160">
        <v>1</v>
      </c>
      <c r="F160" s="12">
        <v>16</v>
      </c>
      <c r="G160" s="12">
        <v>2</v>
      </c>
      <c r="H160" s="12">
        <v>2</v>
      </c>
      <c r="I160" s="12">
        <v>256</v>
      </c>
      <c r="J160" s="12">
        <v>30</v>
      </c>
      <c r="K160" s="14">
        <f t="shared" si="55"/>
        <v>16</v>
      </c>
      <c r="L160">
        <f>4096</f>
        <v>4096</v>
      </c>
      <c r="M160" s="12">
        <v>128</v>
      </c>
      <c r="N160" s="15">
        <f t="shared" si="50"/>
        <v>6898.5263157894733</v>
      </c>
      <c r="O160" s="15">
        <f t="shared" si="51"/>
        <v>559240.53333333333</v>
      </c>
      <c r="P160" s="15">
        <f t="shared" si="52"/>
        <v>65536</v>
      </c>
      <c r="Q160" s="15">
        <f t="shared" si="53"/>
        <v>566139.05964912276</v>
      </c>
      <c r="R160" s="15">
        <f t="shared" si="45"/>
        <v>32768</v>
      </c>
      <c r="S160" s="15">
        <f t="shared" si="46"/>
        <v>559240.53333333333</v>
      </c>
      <c r="T160" s="15">
        <f t="shared" si="47"/>
        <v>65536</v>
      </c>
      <c r="U160" s="15">
        <f t="shared" si="41"/>
        <v>592008.53333333333</v>
      </c>
      <c r="V160" s="15">
        <f t="shared" si="48"/>
        <v>5461.333333333333</v>
      </c>
      <c r="W160" s="12">
        <f t="shared" si="42"/>
        <v>201776</v>
      </c>
      <c r="X160" s="12">
        <v>20000</v>
      </c>
      <c r="Y160" s="16">
        <f t="shared" si="54"/>
        <v>1365384.9263157893</v>
      </c>
      <c r="Z160" s="11">
        <f t="shared" si="49"/>
        <v>1.3653849263157893</v>
      </c>
      <c r="AB160">
        <v>2.1151870000000002</v>
      </c>
      <c r="AC160">
        <v>1.9249510000000001</v>
      </c>
      <c r="AD160" s="18">
        <f t="shared" si="43"/>
        <v>0.64551499527738643</v>
      </c>
      <c r="AE160" s="18">
        <f t="shared" si="44"/>
        <v>0.70930892594969397</v>
      </c>
    </row>
    <row r="161" spans="3:31" x14ac:dyDescent="0.25">
      <c r="C161">
        <v>512</v>
      </c>
      <c r="D161">
        <v>16</v>
      </c>
      <c r="E161">
        <v>1</v>
      </c>
      <c r="F161" s="12">
        <v>16</v>
      </c>
      <c r="G161" s="12">
        <v>2</v>
      </c>
      <c r="H161" s="12">
        <v>2</v>
      </c>
      <c r="I161" s="12">
        <v>256</v>
      </c>
      <c r="J161" s="12">
        <v>30</v>
      </c>
      <c r="K161" s="14">
        <f t="shared" si="55"/>
        <v>32</v>
      </c>
      <c r="L161">
        <f>4096</f>
        <v>4096</v>
      </c>
      <c r="M161" s="12">
        <v>128</v>
      </c>
      <c r="N161" s="15">
        <f t="shared" si="50"/>
        <v>13797.052631578947</v>
      </c>
      <c r="O161" s="15">
        <f t="shared" si="51"/>
        <v>1118481.0666666667</v>
      </c>
      <c r="P161" s="15">
        <f t="shared" si="52"/>
        <v>131072</v>
      </c>
      <c r="Q161" s="15">
        <f t="shared" si="53"/>
        <v>1132278.1192982455</v>
      </c>
      <c r="R161" s="15">
        <f t="shared" si="45"/>
        <v>65536</v>
      </c>
      <c r="S161" s="15">
        <f t="shared" si="46"/>
        <v>1118481.0666666667</v>
      </c>
      <c r="T161" s="15">
        <f t="shared" si="47"/>
        <v>131072</v>
      </c>
      <c r="U161" s="15">
        <f t="shared" si="41"/>
        <v>1184017.0666666667</v>
      </c>
      <c r="V161" s="15">
        <f t="shared" si="48"/>
        <v>10922.666666666666</v>
      </c>
      <c r="W161" s="12">
        <f t="shared" si="42"/>
        <v>403552</v>
      </c>
      <c r="X161" s="12">
        <v>20000</v>
      </c>
      <c r="Y161" s="16">
        <f t="shared" si="54"/>
        <v>2730769.8526315787</v>
      </c>
      <c r="Z161" s="11">
        <f t="shared" si="49"/>
        <v>2.7307698526315787</v>
      </c>
      <c r="AB161">
        <v>4.0663809999999998</v>
      </c>
      <c r="AC161">
        <v>3.6757610000000001</v>
      </c>
      <c r="AD161" s="18">
        <f t="shared" si="43"/>
        <v>0.67154795692572311</v>
      </c>
      <c r="AE161" s="18">
        <f t="shared" si="44"/>
        <v>0.74291278802718097</v>
      </c>
    </row>
    <row r="162" spans="3:31" x14ac:dyDescent="0.25">
      <c r="C162" s="8">
        <v>1</v>
      </c>
      <c r="D162" s="8">
        <v>16</v>
      </c>
      <c r="E162" s="8">
        <v>1</v>
      </c>
      <c r="F162" s="12">
        <v>16</v>
      </c>
      <c r="G162" s="12">
        <v>2</v>
      </c>
      <c r="H162" s="12">
        <v>2</v>
      </c>
      <c r="I162" s="12">
        <v>256</v>
      </c>
      <c r="J162" s="12">
        <v>30</v>
      </c>
      <c r="K162" s="14">
        <f t="shared" si="55"/>
        <v>1</v>
      </c>
      <c r="L162" s="8">
        <f>8192</f>
        <v>8192</v>
      </c>
      <c r="M162" s="12">
        <v>128</v>
      </c>
      <c r="N162" s="15">
        <f t="shared" si="50"/>
        <v>431.15789473684208</v>
      </c>
      <c r="O162" s="15">
        <f t="shared" si="51"/>
        <v>69905.066666666666</v>
      </c>
      <c r="P162" s="15">
        <f t="shared" si="52"/>
        <v>8192</v>
      </c>
      <c r="Q162" s="15">
        <f t="shared" si="53"/>
        <v>70336.224561403506</v>
      </c>
      <c r="R162" s="15">
        <f t="shared" si="45"/>
        <v>4096</v>
      </c>
      <c r="S162" s="15">
        <f t="shared" si="46"/>
        <v>69905.066666666666</v>
      </c>
      <c r="T162" s="15">
        <f t="shared" si="47"/>
        <v>8192</v>
      </c>
      <c r="U162" s="15">
        <f t="shared" si="41"/>
        <v>74001.066666666666</v>
      </c>
      <c r="V162" s="15">
        <f t="shared" si="48"/>
        <v>341.33333333333331</v>
      </c>
      <c r="W162" s="12">
        <f t="shared" si="42"/>
        <v>25027</v>
      </c>
      <c r="X162" s="12">
        <v>20000</v>
      </c>
      <c r="Y162" s="16">
        <f t="shared" si="54"/>
        <v>169705.6245614035</v>
      </c>
      <c r="Z162" s="11">
        <f t="shared" si="49"/>
        <v>0.16970562456140351</v>
      </c>
      <c r="AB162" s="8">
        <v>0.33755600000000002</v>
      </c>
      <c r="AC162">
        <v>0.21532799999999999</v>
      </c>
      <c r="AD162" s="18">
        <f t="shared" si="43"/>
        <v>0.50274806124436688</v>
      </c>
      <c r="AE162" s="18">
        <f t="shared" si="44"/>
        <v>0.78812613576220236</v>
      </c>
    </row>
    <row r="163" spans="3:31" x14ac:dyDescent="0.25">
      <c r="C163" s="8">
        <v>2</v>
      </c>
      <c r="D163" s="8">
        <v>16</v>
      </c>
      <c r="E163" s="8">
        <v>1</v>
      </c>
      <c r="F163" s="12">
        <v>16</v>
      </c>
      <c r="G163" s="12">
        <v>2</v>
      </c>
      <c r="H163" s="12">
        <v>2</v>
      </c>
      <c r="I163" s="12">
        <v>256</v>
      </c>
      <c r="J163" s="12">
        <v>30</v>
      </c>
      <c r="K163" s="14">
        <f t="shared" si="55"/>
        <v>1</v>
      </c>
      <c r="L163" s="8">
        <f>8192</f>
        <v>8192</v>
      </c>
      <c r="M163" s="12">
        <v>128</v>
      </c>
      <c r="N163" s="15">
        <f t="shared" si="50"/>
        <v>431.15789473684208</v>
      </c>
      <c r="O163" s="15">
        <f t="shared" si="51"/>
        <v>69905.066666666666</v>
      </c>
      <c r="P163" s="15">
        <f t="shared" si="52"/>
        <v>8192</v>
      </c>
      <c r="Q163" s="15">
        <f t="shared" si="53"/>
        <v>70336.224561403506</v>
      </c>
      <c r="R163" s="15">
        <f t="shared" si="45"/>
        <v>4096</v>
      </c>
      <c r="S163" s="15">
        <f t="shared" si="46"/>
        <v>69905.066666666666</v>
      </c>
      <c r="T163" s="15">
        <f t="shared" si="47"/>
        <v>8192</v>
      </c>
      <c r="U163" s="15">
        <f t="shared" si="41"/>
        <v>74001.066666666666</v>
      </c>
      <c r="V163" s="15">
        <f t="shared" si="48"/>
        <v>341.33333333333331</v>
      </c>
      <c r="W163" s="12">
        <f t="shared" si="42"/>
        <v>25027</v>
      </c>
      <c r="X163" s="12">
        <v>20000</v>
      </c>
      <c r="Y163" s="16">
        <f t="shared" si="54"/>
        <v>169705.6245614035</v>
      </c>
      <c r="Z163" s="11">
        <f t="shared" si="49"/>
        <v>0.16970562456140351</v>
      </c>
      <c r="AB163" s="8">
        <v>0.372778</v>
      </c>
      <c r="AC163">
        <v>0.246532</v>
      </c>
      <c r="AD163" s="18">
        <f t="shared" si="43"/>
        <v>0.45524581536840564</v>
      </c>
      <c r="AE163" s="18">
        <f t="shared" si="44"/>
        <v>0.68837158892721229</v>
      </c>
    </row>
    <row r="164" spans="3:31" x14ac:dyDescent="0.25">
      <c r="C164">
        <v>4</v>
      </c>
      <c r="D164">
        <v>16</v>
      </c>
      <c r="E164">
        <v>1</v>
      </c>
      <c r="F164" s="12">
        <v>16</v>
      </c>
      <c r="G164" s="12">
        <v>2</v>
      </c>
      <c r="H164" s="12">
        <v>2</v>
      </c>
      <c r="I164" s="12">
        <v>256</v>
      </c>
      <c r="J164" s="12">
        <v>30</v>
      </c>
      <c r="K164" s="14">
        <f t="shared" si="55"/>
        <v>1</v>
      </c>
      <c r="L164">
        <f>8192</f>
        <v>8192</v>
      </c>
      <c r="M164" s="12">
        <v>128</v>
      </c>
      <c r="N164" s="15">
        <f t="shared" si="50"/>
        <v>431.15789473684208</v>
      </c>
      <c r="O164" s="15">
        <f t="shared" si="51"/>
        <v>69905.066666666666</v>
      </c>
      <c r="P164" s="15">
        <f t="shared" si="52"/>
        <v>8192</v>
      </c>
      <c r="Q164" s="15">
        <f t="shared" si="53"/>
        <v>70336.224561403506</v>
      </c>
      <c r="R164" s="15">
        <f t="shared" si="45"/>
        <v>4096</v>
      </c>
      <c r="S164" s="15">
        <f t="shared" si="46"/>
        <v>69905.066666666666</v>
      </c>
      <c r="T164" s="15">
        <f t="shared" si="47"/>
        <v>8192</v>
      </c>
      <c r="U164" s="15">
        <f t="shared" si="41"/>
        <v>74001.066666666666</v>
      </c>
      <c r="V164" s="15">
        <f t="shared" si="48"/>
        <v>341.33333333333331</v>
      </c>
      <c r="W164" s="12">
        <f t="shared" si="42"/>
        <v>25027</v>
      </c>
      <c r="X164" s="12">
        <v>20000</v>
      </c>
      <c r="Y164" s="16">
        <f t="shared" si="54"/>
        <v>169705.6245614035</v>
      </c>
      <c r="Z164" s="11">
        <f t="shared" si="49"/>
        <v>0.16970562456140351</v>
      </c>
      <c r="AB164">
        <v>0.37964799999999999</v>
      </c>
      <c r="AC164">
        <v>0.25464799999999999</v>
      </c>
      <c r="AD164" s="18">
        <f t="shared" si="43"/>
        <v>0.44700781924678523</v>
      </c>
      <c r="AE164" s="18">
        <f t="shared" si="44"/>
        <v>0.66643219095144479</v>
      </c>
    </row>
    <row r="165" spans="3:31" x14ac:dyDescent="0.25">
      <c r="C165">
        <v>8</v>
      </c>
      <c r="D165">
        <v>16</v>
      </c>
      <c r="E165">
        <v>1</v>
      </c>
      <c r="F165" s="12">
        <v>16</v>
      </c>
      <c r="G165" s="12">
        <v>2</v>
      </c>
      <c r="H165" s="12">
        <v>2</v>
      </c>
      <c r="I165" s="12">
        <v>256</v>
      </c>
      <c r="J165" s="12">
        <v>30</v>
      </c>
      <c r="K165" s="14">
        <f t="shared" si="55"/>
        <v>1</v>
      </c>
      <c r="L165">
        <f>8192</f>
        <v>8192</v>
      </c>
      <c r="M165" s="12">
        <v>128</v>
      </c>
      <c r="N165" s="15">
        <f t="shared" si="50"/>
        <v>431.15789473684208</v>
      </c>
      <c r="O165" s="15">
        <f t="shared" si="51"/>
        <v>69905.066666666666</v>
      </c>
      <c r="P165" s="15">
        <f t="shared" si="52"/>
        <v>8192</v>
      </c>
      <c r="Q165" s="15">
        <f t="shared" si="53"/>
        <v>70336.224561403506</v>
      </c>
      <c r="R165" s="15">
        <f t="shared" si="45"/>
        <v>4096</v>
      </c>
      <c r="S165" s="15">
        <f t="shared" si="46"/>
        <v>69905.066666666666</v>
      </c>
      <c r="T165" s="15">
        <f t="shared" si="47"/>
        <v>8192</v>
      </c>
      <c r="U165" s="15">
        <f t="shared" si="41"/>
        <v>74001.066666666666</v>
      </c>
      <c r="V165" s="15">
        <f t="shared" si="48"/>
        <v>341.33333333333331</v>
      </c>
      <c r="W165" s="12">
        <f t="shared" si="42"/>
        <v>25027</v>
      </c>
      <c r="X165" s="12">
        <v>20000</v>
      </c>
      <c r="Y165" s="16">
        <f t="shared" si="54"/>
        <v>169705.6245614035</v>
      </c>
      <c r="Z165" s="11">
        <f t="shared" si="49"/>
        <v>0.16970562456140351</v>
      </c>
      <c r="AB165">
        <v>0.42774600000000002</v>
      </c>
      <c r="AC165">
        <v>0.29363499999999998</v>
      </c>
      <c r="AD165" s="18">
        <f t="shared" si="43"/>
        <v>0.39674391943210108</v>
      </c>
      <c r="AE165" s="18">
        <f t="shared" si="44"/>
        <v>0.57794753541438693</v>
      </c>
    </row>
    <row r="166" spans="3:31" x14ac:dyDescent="0.25">
      <c r="C166">
        <v>16</v>
      </c>
      <c r="D166">
        <v>16</v>
      </c>
      <c r="E166">
        <v>1</v>
      </c>
      <c r="F166" s="12">
        <v>16</v>
      </c>
      <c r="G166" s="12">
        <v>2</v>
      </c>
      <c r="H166" s="12">
        <v>2</v>
      </c>
      <c r="I166" s="12">
        <v>256</v>
      </c>
      <c r="J166" s="12">
        <v>30</v>
      </c>
      <c r="K166" s="14">
        <f t="shared" si="55"/>
        <v>1</v>
      </c>
      <c r="L166">
        <f>8192</f>
        <v>8192</v>
      </c>
      <c r="M166" s="12">
        <v>128</v>
      </c>
      <c r="N166" s="15">
        <f t="shared" si="50"/>
        <v>431.15789473684208</v>
      </c>
      <c r="O166" s="15">
        <f t="shared" si="51"/>
        <v>69905.066666666666</v>
      </c>
      <c r="P166" s="15">
        <f t="shared" si="52"/>
        <v>8192</v>
      </c>
      <c r="Q166" s="15">
        <f t="shared" si="53"/>
        <v>70336.224561403506</v>
      </c>
      <c r="R166" s="15">
        <f t="shared" si="45"/>
        <v>4096</v>
      </c>
      <c r="S166" s="15">
        <f t="shared" si="46"/>
        <v>69905.066666666666</v>
      </c>
      <c r="T166" s="15">
        <f t="shared" si="47"/>
        <v>8192</v>
      </c>
      <c r="U166" s="15">
        <f t="shared" si="41"/>
        <v>74001.066666666666</v>
      </c>
      <c r="V166" s="15">
        <f t="shared" si="48"/>
        <v>341.33333333333331</v>
      </c>
      <c r="W166" s="12">
        <f t="shared" si="42"/>
        <v>25027</v>
      </c>
      <c r="X166" s="12">
        <v>20000</v>
      </c>
      <c r="Y166" s="16">
        <f t="shared" si="54"/>
        <v>169705.6245614035</v>
      </c>
      <c r="Z166" s="11">
        <f t="shared" si="49"/>
        <v>0.16970562456140351</v>
      </c>
      <c r="AB166">
        <v>0.47697000000000001</v>
      </c>
      <c r="AC166">
        <v>0.32696900000000001</v>
      </c>
      <c r="AD166" s="18">
        <f t="shared" si="43"/>
        <v>0.35579936801350925</v>
      </c>
      <c r="AE166" s="18">
        <f t="shared" si="44"/>
        <v>0.51902664950317456</v>
      </c>
    </row>
    <row r="167" spans="3:31" x14ac:dyDescent="0.25">
      <c r="C167">
        <v>32</v>
      </c>
      <c r="D167">
        <v>16</v>
      </c>
      <c r="E167">
        <v>1</v>
      </c>
      <c r="F167" s="12">
        <v>16</v>
      </c>
      <c r="G167" s="12">
        <v>2</v>
      </c>
      <c r="H167" s="12">
        <v>2</v>
      </c>
      <c r="I167" s="12">
        <v>256</v>
      </c>
      <c r="J167" s="12">
        <v>30</v>
      </c>
      <c r="K167" s="14">
        <f t="shared" si="55"/>
        <v>2</v>
      </c>
      <c r="L167">
        <f>8192</f>
        <v>8192</v>
      </c>
      <c r="M167" s="12">
        <v>128</v>
      </c>
      <c r="N167" s="15">
        <f t="shared" si="50"/>
        <v>862.31578947368416</v>
      </c>
      <c r="O167" s="15">
        <f t="shared" si="51"/>
        <v>139810.13333333333</v>
      </c>
      <c r="P167" s="15">
        <f t="shared" si="52"/>
        <v>16384</v>
      </c>
      <c r="Q167" s="15">
        <f t="shared" si="53"/>
        <v>140672.44912280701</v>
      </c>
      <c r="R167" s="15">
        <f t="shared" si="45"/>
        <v>8192</v>
      </c>
      <c r="S167" s="15">
        <f t="shared" si="46"/>
        <v>139810.13333333333</v>
      </c>
      <c r="T167" s="15">
        <f t="shared" si="47"/>
        <v>16384</v>
      </c>
      <c r="U167" s="15">
        <f t="shared" si="41"/>
        <v>148002.13333333333</v>
      </c>
      <c r="V167" s="15">
        <f t="shared" si="48"/>
        <v>682.66666666666663</v>
      </c>
      <c r="W167" s="12">
        <f t="shared" si="42"/>
        <v>50054</v>
      </c>
      <c r="X167" s="12">
        <v>20000</v>
      </c>
      <c r="Y167" s="16">
        <f t="shared" si="54"/>
        <v>339411.249122807</v>
      </c>
      <c r="Z167" s="11">
        <f t="shared" si="49"/>
        <v>0.33941124912280701</v>
      </c>
      <c r="AB167">
        <v>0.75192400000000004</v>
      </c>
      <c r="AC167">
        <v>0.56736299999999995</v>
      </c>
      <c r="AD167" s="18">
        <f t="shared" si="43"/>
        <v>0.45139036541300315</v>
      </c>
      <c r="AE167" s="18">
        <f t="shared" si="44"/>
        <v>0.59822591378501422</v>
      </c>
    </row>
    <row r="168" spans="3:31" x14ac:dyDescent="0.25">
      <c r="C168">
        <v>64</v>
      </c>
      <c r="D168">
        <v>16</v>
      </c>
      <c r="E168">
        <v>1</v>
      </c>
      <c r="F168" s="12">
        <v>16</v>
      </c>
      <c r="G168" s="12">
        <v>2</v>
      </c>
      <c r="H168" s="12">
        <v>2</v>
      </c>
      <c r="I168" s="12">
        <v>256</v>
      </c>
      <c r="J168" s="12">
        <v>30</v>
      </c>
      <c r="K168" s="14">
        <f t="shared" si="55"/>
        <v>4</v>
      </c>
      <c r="L168">
        <f>8192</f>
        <v>8192</v>
      </c>
      <c r="M168" s="12">
        <v>128</v>
      </c>
      <c r="N168" s="15">
        <f t="shared" si="50"/>
        <v>1724.6315789473683</v>
      </c>
      <c r="O168" s="15">
        <f t="shared" si="51"/>
        <v>279620.26666666666</v>
      </c>
      <c r="P168" s="15">
        <f t="shared" si="52"/>
        <v>32768</v>
      </c>
      <c r="Q168" s="15">
        <f t="shared" si="53"/>
        <v>281344.89824561402</v>
      </c>
      <c r="R168" s="15">
        <f t="shared" si="45"/>
        <v>16384</v>
      </c>
      <c r="S168" s="15">
        <f t="shared" si="46"/>
        <v>279620.26666666666</v>
      </c>
      <c r="T168" s="15">
        <f t="shared" si="47"/>
        <v>32768</v>
      </c>
      <c r="U168" s="15">
        <f t="shared" si="41"/>
        <v>296004.26666666666</v>
      </c>
      <c r="V168" s="15">
        <f t="shared" si="48"/>
        <v>1365.3333333333333</v>
      </c>
      <c r="W168" s="12">
        <f t="shared" si="42"/>
        <v>100108</v>
      </c>
      <c r="X168" s="12">
        <v>20000</v>
      </c>
      <c r="Y168" s="16">
        <f t="shared" si="54"/>
        <v>678822.498245614</v>
      </c>
      <c r="Z168" s="11">
        <f t="shared" si="49"/>
        <v>0.67882249824561403</v>
      </c>
      <c r="AB168">
        <v>1.2333890000000001</v>
      </c>
      <c r="AC168">
        <v>1.019587</v>
      </c>
      <c r="AD168" s="18">
        <f t="shared" si="43"/>
        <v>0.55037177909452251</v>
      </c>
      <c r="AE168" s="18">
        <f t="shared" si="44"/>
        <v>0.66578182955021392</v>
      </c>
    </row>
    <row r="169" spans="3:31" x14ac:dyDescent="0.25">
      <c r="C169">
        <v>128</v>
      </c>
      <c r="D169">
        <v>16</v>
      </c>
      <c r="E169">
        <v>1</v>
      </c>
      <c r="F169" s="12">
        <v>16</v>
      </c>
      <c r="G169" s="12">
        <v>2</v>
      </c>
      <c r="H169" s="12">
        <v>2</v>
      </c>
      <c r="I169" s="12">
        <v>256</v>
      </c>
      <c r="J169" s="12">
        <v>30</v>
      </c>
      <c r="K169" s="14">
        <f t="shared" si="55"/>
        <v>8</v>
      </c>
      <c r="L169">
        <f>8192</f>
        <v>8192</v>
      </c>
      <c r="M169" s="12">
        <v>128</v>
      </c>
      <c r="N169" s="15">
        <f t="shared" si="50"/>
        <v>3449.2631578947367</v>
      </c>
      <c r="O169" s="15">
        <f t="shared" si="51"/>
        <v>559240.53333333333</v>
      </c>
      <c r="P169" s="15">
        <f t="shared" si="52"/>
        <v>65536</v>
      </c>
      <c r="Q169" s="15">
        <f t="shared" si="53"/>
        <v>562689.79649122804</v>
      </c>
      <c r="R169" s="15">
        <f t="shared" si="45"/>
        <v>32768</v>
      </c>
      <c r="S169" s="15">
        <f t="shared" si="46"/>
        <v>559240.53333333333</v>
      </c>
      <c r="T169" s="15">
        <f t="shared" si="47"/>
        <v>65536</v>
      </c>
      <c r="U169" s="15">
        <f t="shared" si="41"/>
        <v>592008.53333333333</v>
      </c>
      <c r="V169" s="15">
        <f t="shared" si="48"/>
        <v>2730.6666666666665</v>
      </c>
      <c r="W169" s="12">
        <f t="shared" si="42"/>
        <v>200216</v>
      </c>
      <c r="X169" s="12">
        <v>20000</v>
      </c>
      <c r="Y169" s="16">
        <f t="shared" si="54"/>
        <v>1357644.996491228</v>
      </c>
      <c r="Z169" s="11">
        <f t="shared" si="49"/>
        <v>1.3576449964912281</v>
      </c>
      <c r="AB169">
        <v>2.2064629999999998</v>
      </c>
      <c r="AC169">
        <v>1.900582</v>
      </c>
      <c r="AD169" s="18">
        <f t="shared" si="43"/>
        <v>0.6153037673830144</v>
      </c>
      <c r="AE169" s="18">
        <f t="shared" si="44"/>
        <v>0.7143311872317154</v>
      </c>
    </row>
    <row r="170" spans="3:31" x14ac:dyDescent="0.25">
      <c r="C170">
        <v>256</v>
      </c>
      <c r="D170">
        <v>16</v>
      </c>
      <c r="E170">
        <v>1</v>
      </c>
      <c r="F170" s="12">
        <v>16</v>
      </c>
      <c r="G170" s="12">
        <v>2</v>
      </c>
      <c r="H170" s="12">
        <v>2</v>
      </c>
      <c r="I170" s="12">
        <v>256</v>
      </c>
      <c r="J170" s="12">
        <v>30</v>
      </c>
      <c r="K170" s="14">
        <f t="shared" si="55"/>
        <v>16</v>
      </c>
      <c r="L170">
        <f>8192</f>
        <v>8192</v>
      </c>
      <c r="M170" s="12">
        <v>128</v>
      </c>
      <c r="N170" s="15">
        <f t="shared" si="50"/>
        <v>6898.5263157894733</v>
      </c>
      <c r="O170" s="15">
        <f t="shared" si="51"/>
        <v>1118481.0666666667</v>
      </c>
      <c r="P170" s="15">
        <f t="shared" si="52"/>
        <v>131072</v>
      </c>
      <c r="Q170" s="15">
        <f t="shared" si="53"/>
        <v>1125379.5929824561</v>
      </c>
      <c r="R170" s="15">
        <f t="shared" si="45"/>
        <v>65536</v>
      </c>
      <c r="S170" s="15">
        <f t="shared" si="46"/>
        <v>1118481.0666666667</v>
      </c>
      <c r="T170" s="15">
        <f t="shared" si="47"/>
        <v>131072</v>
      </c>
      <c r="U170" s="15">
        <f t="shared" si="41"/>
        <v>1184017.0666666667</v>
      </c>
      <c r="V170" s="15">
        <f t="shared" si="48"/>
        <v>5461.333333333333</v>
      </c>
      <c r="W170" s="12">
        <f t="shared" si="42"/>
        <v>400432</v>
      </c>
      <c r="X170" s="12">
        <v>20000</v>
      </c>
      <c r="Y170" s="16">
        <f t="shared" si="54"/>
        <v>2715289.992982456</v>
      </c>
      <c r="Z170" s="11">
        <f t="shared" si="49"/>
        <v>2.7152899929824561</v>
      </c>
      <c r="AB170">
        <v>4.1428050000000001</v>
      </c>
      <c r="AC170">
        <v>3.6111629999999999</v>
      </c>
      <c r="AD170" s="18">
        <f t="shared" si="43"/>
        <v>0.65542307518274601</v>
      </c>
      <c r="AE170" s="18">
        <f t="shared" si="44"/>
        <v>0.7519156551455739</v>
      </c>
    </row>
    <row r="171" spans="3:31" x14ac:dyDescent="0.25">
      <c r="C171">
        <v>512</v>
      </c>
      <c r="D171">
        <v>16</v>
      </c>
      <c r="E171">
        <v>1</v>
      </c>
      <c r="F171" s="12">
        <v>16</v>
      </c>
      <c r="G171" s="12">
        <v>2</v>
      </c>
      <c r="H171" s="12">
        <v>2</v>
      </c>
      <c r="I171" s="12">
        <v>256</v>
      </c>
      <c r="J171" s="12">
        <v>30</v>
      </c>
      <c r="K171" s="14">
        <f t="shared" si="55"/>
        <v>32</v>
      </c>
      <c r="L171">
        <f>8192</f>
        <v>8192</v>
      </c>
      <c r="M171" s="12">
        <v>128</v>
      </c>
      <c r="N171" s="15">
        <f t="shared" si="50"/>
        <v>13797.052631578947</v>
      </c>
      <c r="O171" s="15">
        <f t="shared" si="51"/>
        <v>2236962.1333333333</v>
      </c>
      <c r="P171" s="15">
        <f t="shared" si="52"/>
        <v>262144</v>
      </c>
      <c r="Q171" s="15">
        <f t="shared" si="53"/>
        <v>2250759.1859649122</v>
      </c>
      <c r="R171" s="15">
        <f t="shared" si="45"/>
        <v>131072</v>
      </c>
      <c r="S171" s="15">
        <f t="shared" si="46"/>
        <v>2236962.1333333333</v>
      </c>
      <c r="T171" s="15">
        <f t="shared" si="47"/>
        <v>262144</v>
      </c>
      <c r="U171" s="15">
        <f t="shared" si="41"/>
        <v>2368034.1333333333</v>
      </c>
      <c r="V171" s="15">
        <f t="shared" si="48"/>
        <v>10922.666666666666</v>
      </c>
      <c r="W171" s="12">
        <f t="shared" si="42"/>
        <v>800864</v>
      </c>
      <c r="X171" s="12">
        <v>20000</v>
      </c>
      <c r="Y171" s="16">
        <f t="shared" si="54"/>
        <v>5430579.985964912</v>
      </c>
      <c r="Z171" s="11">
        <f t="shared" si="49"/>
        <v>5.4305799859649122</v>
      </c>
      <c r="AB171">
        <v>7.9971370000000004</v>
      </c>
      <c r="AC171">
        <v>7.0099590000000003</v>
      </c>
      <c r="AD171" s="18">
        <f t="shared" si="43"/>
        <v>0.67906551881816102</v>
      </c>
      <c r="AE171" s="18">
        <f t="shared" si="44"/>
        <v>0.77469497124946263</v>
      </c>
    </row>
    <row r="172" spans="3:31" x14ac:dyDescent="0.25">
      <c r="C172" s="8">
        <v>1</v>
      </c>
      <c r="D172" s="8">
        <v>16</v>
      </c>
      <c r="E172" s="8">
        <v>1</v>
      </c>
      <c r="F172" s="12">
        <v>16</v>
      </c>
      <c r="G172" s="12">
        <v>2</v>
      </c>
      <c r="H172" s="12">
        <v>2</v>
      </c>
      <c r="I172" s="12">
        <v>256</v>
      </c>
      <c r="J172" s="12">
        <v>30</v>
      </c>
      <c r="K172" s="14">
        <f t="shared" si="55"/>
        <v>1</v>
      </c>
      <c r="L172" s="8">
        <f>16384</f>
        <v>16384</v>
      </c>
      <c r="M172" s="12">
        <v>128</v>
      </c>
      <c r="N172" s="15">
        <f t="shared" si="50"/>
        <v>431.15789473684208</v>
      </c>
      <c r="O172" s="15">
        <f t="shared" si="51"/>
        <v>139810.13333333333</v>
      </c>
      <c r="P172" s="15">
        <f t="shared" si="52"/>
        <v>16384</v>
      </c>
      <c r="Q172" s="15">
        <f t="shared" si="53"/>
        <v>140241.29122807019</v>
      </c>
      <c r="R172" s="15">
        <f t="shared" si="45"/>
        <v>8192</v>
      </c>
      <c r="S172" s="15">
        <f t="shared" si="46"/>
        <v>139810.13333333333</v>
      </c>
      <c r="T172" s="15">
        <f t="shared" si="47"/>
        <v>16384</v>
      </c>
      <c r="U172" s="15">
        <f t="shared" si="41"/>
        <v>148002.13333333333</v>
      </c>
      <c r="V172" s="15">
        <f t="shared" si="48"/>
        <v>341.33333333333331</v>
      </c>
      <c r="W172" s="12">
        <f t="shared" si="42"/>
        <v>49859</v>
      </c>
      <c r="X172" s="12">
        <v>20000</v>
      </c>
      <c r="Y172" s="16">
        <f t="shared" si="54"/>
        <v>338443.75789473683</v>
      </c>
      <c r="Z172" s="11">
        <f t="shared" si="49"/>
        <v>0.33844375789473685</v>
      </c>
      <c r="AB172" s="8">
        <v>0.61861500000000003</v>
      </c>
      <c r="AC172">
        <v>0.37170599999999998</v>
      </c>
      <c r="AD172" s="18">
        <f t="shared" si="43"/>
        <v>0.54709917783231388</v>
      </c>
      <c r="AE172" s="18">
        <f t="shared" si="44"/>
        <v>0.91051464839076279</v>
      </c>
    </row>
    <row r="173" spans="3:31" x14ac:dyDescent="0.25">
      <c r="C173" s="8">
        <v>2</v>
      </c>
      <c r="D173" s="8">
        <v>16</v>
      </c>
      <c r="E173" s="8">
        <v>1</v>
      </c>
      <c r="F173" s="12">
        <v>16</v>
      </c>
      <c r="G173" s="12">
        <v>2</v>
      </c>
      <c r="H173" s="12">
        <v>2</v>
      </c>
      <c r="I173" s="12">
        <v>256</v>
      </c>
      <c r="J173" s="12">
        <v>30</v>
      </c>
      <c r="K173" s="14">
        <f t="shared" si="55"/>
        <v>1</v>
      </c>
      <c r="L173" s="8">
        <f>16384</f>
        <v>16384</v>
      </c>
      <c r="M173" s="12">
        <v>128</v>
      </c>
      <c r="N173" s="15">
        <f t="shared" si="50"/>
        <v>431.15789473684208</v>
      </c>
      <c r="O173" s="15">
        <f t="shared" si="51"/>
        <v>139810.13333333333</v>
      </c>
      <c r="P173" s="15">
        <f t="shared" si="52"/>
        <v>16384</v>
      </c>
      <c r="Q173" s="15">
        <f t="shared" si="53"/>
        <v>140241.29122807019</v>
      </c>
      <c r="R173" s="15">
        <f t="shared" si="45"/>
        <v>8192</v>
      </c>
      <c r="S173" s="15">
        <f t="shared" si="46"/>
        <v>139810.13333333333</v>
      </c>
      <c r="T173" s="15">
        <f t="shared" si="47"/>
        <v>16384</v>
      </c>
      <c r="U173" s="15">
        <f t="shared" si="41"/>
        <v>148002.13333333333</v>
      </c>
      <c r="V173" s="15">
        <f t="shared" si="48"/>
        <v>341.33333333333331</v>
      </c>
      <c r="W173" s="12">
        <f t="shared" si="42"/>
        <v>49859</v>
      </c>
      <c r="X173" s="12">
        <v>20000</v>
      </c>
      <c r="Y173" s="16">
        <f t="shared" si="54"/>
        <v>338443.75789473683</v>
      </c>
      <c r="Z173" s="11">
        <f t="shared" si="49"/>
        <v>0.33844375789473685</v>
      </c>
      <c r="AB173" s="8">
        <v>0.68911999999999995</v>
      </c>
      <c r="AC173">
        <v>0.424929</v>
      </c>
      <c r="AD173" s="18">
        <f t="shared" si="43"/>
        <v>0.49112456160717566</v>
      </c>
      <c r="AE173" s="18">
        <f t="shared" si="44"/>
        <v>0.79647131143023153</v>
      </c>
    </row>
    <row r="174" spans="3:31" x14ac:dyDescent="0.25">
      <c r="C174">
        <v>4</v>
      </c>
      <c r="D174">
        <v>16</v>
      </c>
      <c r="E174">
        <v>1</v>
      </c>
      <c r="F174" s="12">
        <v>16</v>
      </c>
      <c r="G174" s="12">
        <v>2</v>
      </c>
      <c r="H174" s="12">
        <v>2</v>
      </c>
      <c r="I174" s="12">
        <v>256</v>
      </c>
      <c r="J174" s="12">
        <v>30</v>
      </c>
      <c r="K174" s="14">
        <f t="shared" si="55"/>
        <v>1</v>
      </c>
      <c r="L174">
        <f>16384</f>
        <v>16384</v>
      </c>
      <c r="M174" s="12">
        <v>128</v>
      </c>
      <c r="N174" s="15">
        <f t="shared" si="50"/>
        <v>431.15789473684208</v>
      </c>
      <c r="O174" s="15">
        <f t="shared" si="51"/>
        <v>139810.13333333333</v>
      </c>
      <c r="P174" s="15">
        <f t="shared" si="52"/>
        <v>16384</v>
      </c>
      <c r="Q174" s="15">
        <f t="shared" si="53"/>
        <v>140241.29122807019</v>
      </c>
      <c r="R174" s="15">
        <f t="shared" si="45"/>
        <v>8192</v>
      </c>
      <c r="S174" s="15">
        <f t="shared" si="46"/>
        <v>139810.13333333333</v>
      </c>
      <c r="T174" s="15">
        <f t="shared" si="47"/>
        <v>16384</v>
      </c>
      <c r="U174" s="15">
        <f t="shared" si="41"/>
        <v>148002.13333333333</v>
      </c>
      <c r="V174" s="15">
        <f t="shared" si="48"/>
        <v>341.33333333333331</v>
      </c>
      <c r="W174" s="12">
        <f t="shared" si="42"/>
        <v>49859</v>
      </c>
      <c r="X174" s="12">
        <v>20000</v>
      </c>
      <c r="Y174" s="16">
        <f t="shared" si="54"/>
        <v>338443.75789473683</v>
      </c>
      <c r="Z174" s="11">
        <f t="shared" si="49"/>
        <v>0.33844375789473685</v>
      </c>
      <c r="AB174">
        <v>0.70306599999999997</v>
      </c>
      <c r="AC174">
        <v>0.442131</v>
      </c>
      <c r="AD174" s="18">
        <f t="shared" si="43"/>
        <v>0.48138262680137694</v>
      </c>
      <c r="AE174" s="18">
        <f t="shared" si="44"/>
        <v>0.765482985573816</v>
      </c>
    </row>
    <row r="175" spans="3:31" x14ac:dyDescent="0.25">
      <c r="C175">
        <v>8</v>
      </c>
      <c r="D175">
        <v>16</v>
      </c>
      <c r="E175">
        <v>1</v>
      </c>
      <c r="F175" s="12">
        <v>16</v>
      </c>
      <c r="G175" s="12">
        <v>2</v>
      </c>
      <c r="H175" s="12">
        <v>2</v>
      </c>
      <c r="I175" s="12">
        <v>256</v>
      </c>
      <c r="J175" s="12">
        <v>30</v>
      </c>
      <c r="K175" s="14">
        <f t="shared" si="55"/>
        <v>1</v>
      </c>
      <c r="L175">
        <f>16384</f>
        <v>16384</v>
      </c>
      <c r="M175" s="12">
        <v>128</v>
      </c>
      <c r="N175" s="15">
        <f t="shared" si="50"/>
        <v>431.15789473684208</v>
      </c>
      <c r="O175" s="15">
        <f t="shared" si="51"/>
        <v>139810.13333333333</v>
      </c>
      <c r="P175" s="15">
        <f t="shared" si="52"/>
        <v>16384</v>
      </c>
      <c r="Q175" s="15">
        <f t="shared" si="53"/>
        <v>140241.29122807019</v>
      </c>
      <c r="R175" s="15">
        <f t="shared" si="45"/>
        <v>8192</v>
      </c>
      <c r="S175" s="15">
        <f t="shared" si="46"/>
        <v>139810.13333333333</v>
      </c>
      <c r="T175" s="15">
        <f t="shared" si="47"/>
        <v>16384</v>
      </c>
      <c r="U175" s="15">
        <f t="shared" si="41"/>
        <v>148002.13333333333</v>
      </c>
      <c r="V175" s="15">
        <f t="shared" si="48"/>
        <v>341.33333333333331</v>
      </c>
      <c r="W175" s="12">
        <f t="shared" si="42"/>
        <v>49859</v>
      </c>
      <c r="X175" s="12">
        <v>20000</v>
      </c>
      <c r="Y175" s="16">
        <f t="shared" si="54"/>
        <v>338443.75789473683</v>
      </c>
      <c r="Z175" s="11">
        <f t="shared" si="49"/>
        <v>0.33844375789473685</v>
      </c>
      <c r="AB175">
        <v>0.80169400000000002</v>
      </c>
      <c r="AC175">
        <v>0.50981600000000005</v>
      </c>
      <c r="AD175" s="18">
        <f t="shared" si="43"/>
        <v>0.42216077193385115</v>
      </c>
      <c r="AE175" s="18">
        <f t="shared" si="44"/>
        <v>0.66385471992785006</v>
      </c>
    </row>
    <row r="176" spans="3:31" x14ac:dyDescent="0.25">
      <c r="C176">
        <v>16</v>
      </c>
      <c r="D176">
        <v>16</v>
      </c>
      <c r="E176">
        <v>1</v>
      </c>
      <c r="F176" s="12">
        <v>16</v>
      </c>
      <c r="G176" s="12">
        <v>2</v>
      </c>
      <c r="H176" s="12">
        <v>2</v>
      </c>
      <c r="I176" s="12">
        <v>256</v>
      </c>
      <c r="J176" s="12">
        <v>30</v>
      </c>
      <c r="K176" s="14">
        <f t="shared" si="55"/>
        <v>1</v>
      </c>
      <c r="L176">
        <f>16384</f>
        <v>16384</v>
      </c>
      <c r="M176" s="12">
        <v>128</v>
      </c>
      <c r="N176" s="15">
        <f t="shared" si="50"/>
        <v>431.15789473684208</v>
      </c>
      <c r="O176" s="15">
        <f t="shared" si="51"/>
        <v>139810.13333333333</v>
      </c>
      <c r="P176" s="15">
        <f t="shared" si="52"/>
        <v>16384</v>
      </c>
      <c r="Q176" s="15">
        <f t="shared" si="53"/>
        <v>140241.29122807019</v>
      </c>
      <c r="R176" s="15">
        <f t="shared" si="45"/>
        <v>8192</v>
      </c>
      <c r="S176" s="15">
        <f t="shared" si="46"/>
        <v>139810.13333333333</v>
      </c>
      <c r="T176" s="15">
        <f t="shared" si="47"/>
        <v>16384</v>
      </c>
      <c r="U176" s="15">
        <f t="shared" si="41"/>
        <v>148002.13333333333</v>
      </c>
      <c r="V176" s="15">
        <f t="shared" si="48"/>
        <v>341.33333333333331</v>
      </c>
      <c r="W176" s="12">
        <f t="shared" si="42"/>
        <v>49859</v>
      </c>
      <c r="X176" s="12">
        <v>20000</v>
      </c>
      <c r="Y176" s="16">
        <f t="shared" si="54"/>
        <v>338443.75789473683</v>
      </c>
      <c r="Z176" s="11">
        <f t="shared" si="49"/>
        <v>0.33844375789473685</v>
      </c>
      <c r="AB176">
        <v>0.902223</v>
      </c>
      <c r="AC176">
        <v>0.56533199999999995</v>
      </c>
      <c r="AD176" s="18">
        <f t="shared" si="43"/>
        <v>0.37512206837415679</v>
      </c>
      <c r="AE176" s="18">
        <f t="shared" si="44"/>
        <v>0.5986637195395571</v>
      </c>
    </row>
    <row r="177" spans="3:31" x14ac:dyDescent="0.25">
      <c r="C177">
        <v>32</v>
      </c>
      <c r="D177">
        <v>16</v>
      </c>
      <c r="E177">
        <v>1</v>
      </c>
      <c r="F177" s="12">
        <v>16</v>
      </c>
      <c r="G177" s="12">
        <v>2</v>
      </c>
      <c r="H177" s="12">
        <v>2</v>
      </c>
      <c r="I177" s="12">
        <v>256</v>
      </c>
      <c r="J177" s="12">
        <v>30</v>
      </c>
      <c r="K177" s="14">
        <f t="shared" si="55"/>
        <v>2</v>
      </c>
      <c r="L177">
        <f>16384</f>
        <v>16384</v>
      </c>
      <c r="M177" s="12">
        <v>128</v>
      </c>
      <c r="N177" s="15">
        <f t="shared" si="50"/>
        <v>862.31578947368416</v>
      </c>
      <c r="O177" s="15">
        <f t="shared" si="51"/>
        <v>279620.26666666666</v>
      </c>
      <c r="P177" s="15">
        <f t="shared" si="52"/>
        <v>32768</v>
      </c>
      <c r="Q177" s="15">
        <f t="shared" si="53"/>
        <v>280482.58245614037</v>
      </c>
      <c r="R177" s="15">
        <f t="shared" si="45"/>
        <v>16384</v>
      </c>
      <c r="S177" s="15">
        <f t="shared" si="46"/>
        <v>279620.26666666666</v>
      </c>
      <c r="T177" s="15">
        <f t="shared" si="47"/>
        <v>32768</v>
      </c>
      <c r="U177" s="15">
        <f t="shared" si="41"/>
        <v>296004.26666666666</v>
      </c>
      <c r="V177" s="15">
        <f t="shared" si="48"/>
        <v>682.66666666666663</v>
      </c>
      <c r="W177" s="12">
        <f t="shared" si="42"/>
        <v>99718</v>
      </c>
      <c r="X177" s="12">
        <v>20000</v>
      </c>
      <c r="Y177" s="16">
        <f t="shared" si="54"/>
        <v>676887.51578947366</v>
      </c>
      <c r="Z177" s="11">
        <f t="shared" si="49"/>
        <v>0.6768875157894737</v>
      </c>
      <c r="AB177">
        <v>1.455519</v>
      </c>
      <c r="AC177">
        <v>1.0184200000000001</v>
      </c>
      <c r="AD177" s="18">
        <f t="shared" si="43"/>
        <v>0.46504890406066407</v>
      </c>
      <c r="AE177" s="18">
        <f t="shared" si="44"/>
        <v>0.66464475932274858</v>
      </c>
    </row>
    <row r="178" spans="3:31" x14ac:dyDescent="0.25">
      <c r="C178">
        <v>64</v>
      </c>
      <c r="D178">
        <v>16</v>
      </c>
      <c r="E178">
        <v>1</v>
      </c>
      <c r="F178" s="12">
        <v>16</v>
      </c>
      <c r="G178" s="12">
        <v>2</v>
      </c>
      <c r="H178" s="12">
        <v>2</v>
      </c>
      <c r="I178" s="12">
        <v>256</v>
      </c>
      <c r="J178" s="12">
        <v>30</v>
      </c>
      <c r="K178" s="14">
        <f t="shared" si="55"/>
        <v>4</v>
      </c>
      <c r="L178">
        <f>16384</f>
        <v>16384</v>
      </c>
      <c r="M178" s="12">
        <v>128</v>
      </c>
      <c r="N178" s="15">
        <f t="shared" si="50"/>
        <v>1724.6315789473683</v>
      </c>
      <c r="O178" s="15">
        <f t="shared" si="51"/>
        <v>559240.53333333333</v>
      </c>
      <c r="P178" s="15">
        <f t="shared" si="52"/>
        <v>65536</v>
      </c>
      <c r="Q178" s="15">
        <f t="shared" si="53"/>
        <v>560965.16491228074</v>
      </c>
      <c r="R178" s="15">
        <f t="shared" si="45"/>
        <v>32768</v>
      </c>
      <c r="S178" s="15">
        <f t="shared" si="46"/>
        <v>559240.53333333333</v>
      </c>
      <c r="T178" s="15">
        <f t="shared" si="47"/>
        <v>65536</v>
      </c>
      <c r="U178" s="15">
        <f t="shared" si="41"/>
        <v>592008.53333333333</v>
      </c>
      <c r="V178" s="15">
        <f t="shared" si="48"/>
        <v>1365.3333333333333</v>
      </c>
      <c r="W178" s="12">
        <f t="shared" si="42"/>
        <v>199436</v>
      </c>
      <c r="X178" s="12">
        <v>20000</v>
      </c>
      <c r="Y178" s="16">
        <f t="shared" si="54"/>
        <v>1353775.0315789473</v>
      </c>
      <c r="Z178" s="11">
        <f t="shared" si="49"/>
        <v>1.3537750315789474</v>
      </c>
      <c r="AB178">
        <v>2.411397</v>
      </c>
      <c r="AC178">
        <v>1.8884669999999999</v>
      </c>
      <c r="AD178" s="18">
        <f t="shared" si="43"/>
        <v>0.56140694857750395</v>
      </c>
      <c r="AE178" s="18">
        <f t="shared" si="44"/>
        <v>0.71686454228691709</v>
      </c>
    </row>
    <row r="179" spans="3:31" x14ac:dyDescent="0.25">
      <c r="C179">
        <v>128</v>
      </c>
      <c r="D179">
        <v>16</v>
      </c>
      <c r="E179">
        <v>1</v>
      </c>
      <c r="F179" s="12">
        <v>16</v>
      </c>
      <c r="G179" s="12">
        <v>2</v>
      </c>
      <c r="H179" s="12">
        <v>2</v>
      </c>
      <c r="I179" s="12">
        <v>256</v>
      </c>
      <c r="J179" s="12">
        <v>30</v>
      </c>
      <c r="K179" s="14">
        <f t="shared" si="55"/>
        <v>8</v>
      </c>
      <c r="L179">
        <f>16384</f>
        <v>16384</v>
      </c>
      <c r="M179" s="12">
        <v>128</v>
      </c>
      <c r="N179" s="15">
        <f t="shared" si="50"/>
        <v>3449.2631578947367</v>
      </c>
      <c r="O179" s="15">
        <f t="shared" si="51"/>
        <v>1118481.0666666667</v>
      </c>
      <c r="P179" s="15">
        <f t="shared" si="52"/>
        <v>131072</v>
      </c>
      <c r="Q179" s="15">
        <f t="shared" si="53"/>
        <v>1121930.3298245615</v>
      </c>
      <c r="R179" s="15">
        <f t="shared" si="45"/>
        <v>65536</v>
      </c>
      <c r="S179" s="15">
        <f t="shared" si="46"/>
        <v>1118481.0666666667</v>
      </c>
      <c r="T179" s="15">
        <f t="shared" si="47"/>
        <v>131072</v>
      </c>
      <c r="U179" s="15">
        <f t="shared" si="41"/>
        <v>1184017.0666666667</v>
      </c>
      <c r="V179" s="15">
        <f t="shared" si="48"/>
        <v>2730.6666666666665</v>
      </c>
      <c r="W179" s="12">
        <f t="shared" si="42"/>
        <v>398872</v>
      </c>
      <c r="X179" s="12">
        <v>20000</v>
      </c>
      <c r="Y179" s="16">
        <f t="shared" si="54"/>
        <v>2707550.0631578946</v>
      </c>
      <c r="Z179" s="11">
        <f t="shared" si="49"/>
        <v>2.7075500631578948</v>
      </c>
      <c r="AB179">
        <v>4.3425989999999999</v>
      </c>
      <c r="AC179">
        <v>3.5855410000000001</v>
      </c>
      <c r="AD179" s="18">
        <f t="shared" si="43"/>
        <v>0.62348608820613993</v>
      </c>
      <c r="AE179" s="18">
        <f t="shared" si="44"/>
        <v>0.7551301360541951</v>
      </c>
    </row>
    <row r="180" spans="3:31" x14ac:dyDescent="0.25">
      <c r="C180">
        <v>256</v>
      </c>
      <c r="D180">
        <v>16</v>
      </c>
      <c r="E180">
        <v>1</v>
      </c>
      <c r="F180" s="12">
        <v>16</v>
      </c>
      <c r="G180" s="12">
        <v>2</v>
      </c>
      <c r="H180" s="12">
        <v>2</v>
      </c>
      <c r="I180" s="12">
        <v>256</v>
      </c>
      <c r="J180" s="12">
        <v>30</v>
      </c>
      <c r="K180" s="14">
        <f t="shared" si="55"/>
        <v>16</v>
      </c>
      <c r="L180">
        <f>16384</f>
        <v>16384</v>
      </c>
      <c r="M180" s="12">
        <v>128</v>
      </c>
      <c r="N180" s="15">
        <f t="shared" si="50"/>
        <v>6898.5263157894733</v>
      </c>
      <c r="O180" s="15">
        <f t="shared" si="51"/>
        <v>2236962.1333333333</v>
      </c>
      <c r="P180" s="15">
        <f t="shared" si="52"/>
        <v>262144</v>
      </c>
      <c r="Q180" s="15">
        <f t="shared" si="53"/>
        <v>2243860.659649123</v>
      </c>
      <c r="R180" s="15">
        <f t="shared" si="45"/>
        <v>131072</v>
      </c>
      <c r="S180" s="15">
        <f t="shared" si="46"/>
        <v>2236962.1333333333</v>
      </c>
      <c r="T180" s="15">
        <f t="shared" si="47"/>
        <v>262144</v>
      </c>
      <c r="U180" s="15">
        <f t="shared" si="41"/>
        <v>2368034.1333333333</v>
      </c>
      <c r="V180" s="15">
        <f t="shared" si="48"/>
        <v>5461.333333333333</v>
      </c>
      <c r="W180" s="12">
        <f t="shared" si="42"/>
        <v>797744</v>
      </c>
      <c r="X180" s="12">
        <v>20000</v>
      </c>
      <c r="Y180" s="16">
        <f t="shared" si="54"/>
        <v>5415100.1263157893</v>
      </c>
      <c r="Z180" s="11">
        <f t="shared" si="49"/>
        <v>5.4151001263157896</v>
      </c>
      <c r="AB180">
        <v>8.1776940000000007</v>
      </c>
      <c r="AC180">
        <v>6.9129670000000001</v>
      </c>
      <c r="AD180" s="18">
        <f t="shared" si="43"/>
        <v>0.66217935353362323</v>
      </c>
      <c r="AE180" s="18">
        <f t="shared" si="44"/>
        <v>0.78332503631447825</v>
      </c>
    </row>
    <row r="181" spans="3:31" x14ac:dyDescent="0.25">
      <c r="C181">
        <v>512</v>
      </c>
      <c r="D181">
        <v>16</v>
      </c>
      <c r="E181">
        <v>1</v>
      </c>
      <c r="F181" s="12">
        <v>16</v>
      </c>
      <c r="G181" s="12">
        <v>2</v>
      </c>
      <c r="H181" s="12">
        <v>2</v>
      </c>
      <c r="I181" s="12">
        <v>256</v>
      </c>
      <c r="J181" s="12">
        <v>30</v>
      </c>
      <c r="K181" s="14">
        <f t="shared" si="55"/>
        <v>32</v>
      </c>
      <c r="L181">
        <f>16384</f>
        <v>16384</v>
      </c>
      <c r="M181" s="12">
        <v>128</v>
      </c>
      <c r="N181" s="15">
        <f t="shared" si="50"/>
        <v>13797.052631578947</v>
      </c>
      <c r="O181" s="15">
        <f t="shared" si="51"/>
        <v>4473924.2666666666</v>
      </c>
      <c r="P181" s="15">
        <f t="shared" si="52"/>
        <v>524288</v>
      </c>
      <c r="Q181" s="15">
        <f t="shared" si="53"/>
        <v>4487721.3192982459</v>
      </c>
      <c r="R181" s="15">
        <f t="shared" si="45"/>
        <v>262144</v>
      </c>
      <c r="S181" s="15">
        <f t="shared" si="46"/>
        <v>4473924.2666666666</v>
      </c>
      <c r="T181" s="15">
        <f t="shared" si="47"/>
        <v>524288</v>
      </c>
      <c r="U181" s="15">
        <f t="shared" si="41"/>
        <v>4736068.2666666666</v>
      </c>
      <c r="V181" s="15">
        <f t="shared" si="48"/>
        <v>10922.666666666666</v>
      </c>
      <c r="W181" s="12">
        <f t="shared" si="42"/>
        <v>1595488</v>
      </c>
      <c r="X181" s="12">
        <v>20000</v>
      </c>
      <c r="Y181" s="16">
        <f t="shared" si="54"/>
        <v>10830200.252631579</v>
      </c>
      <c r="Z181" s="11">
        <f t="shared" si="49"/>
        <v>10.830200252631579</v>
      </c>
      <c r="AB181">
        <v>15.844125</v>
      </c>
      <c r="AC181">
        <v>13.520142999999999</v>
      </c>
      <c r="AD181" s="18">
        <f t="shared" si="43"/>
        <v>0.68354675645588381</v>
      </c>
      <c r="AE181" s="18">
        <f t="shared" si="44"/>
        <v>0.80104184198581185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1"/>
  <sheetViews>
    <sheetView workbookViewId="0">
      <pane ySplit="1" topLeftCell="A29" activePane="bottomLeft" state="frozen"/>
      <selection activeCell="C1" sqref="C1"/>
      <selection pane="bottomLeft" activeCell="A66" sqref="A66:XFD66"/>
    </sheetView>
  </sheetViews>
  <sheetFormatPr defaultRowHeight="13.8" x14ac:dyDescent="0.25"/>
  <cols>
    <col min="5" max="9" width="0" hidden="1" customWidth="1"/>
    <col min="10" max="10" width="12.44140625" hidden="1" customWidth="1"/>
    <col min="12" max="12" width="9.77734375" bestFit="1" customWidth="1"/>
    <col min="13" max="13" width="11.5546875" customWidth="1"/>
    <col min="14" max="14" width="11.5546875" style="49" customWidth="1"/>
    <col min="15" max="15" width="7.5546875" bestFit="1" customWidth="1"/>
    <col min="16" max="16" width="10.109375" bestFit="1" customWidth="1"/>
    <col min="18" max="18" width="10.109375" bestFit="1" customWidth="1"/>
    <col min="19" max="19" width="8.109375" bestFit="1" customWidth="1"/>
    <col min="20" max="20" width="10.109375" bestFit="1" customWidth="1"/>
    <col min="22" max="22" width="9.109375" bestFit="1" customWidth="1"/>
    <col min="23" max="23" width="11.5546875" customWidth="1"/>
    <col min="24" max="24" width="9.109375" bestFit="1" customWidth="1"/>
    <col min="25" max="25" width="9.109375" customWidth="1"/>
    <col min="26" max="26" width="10.109375" bestFit="1" customWidth="1"/>
    <col min="29" max="29" width="12.44140625" customWidth="1"/>
    <col min="30" max="30" width="8.88671875" customWidth="1"/>
  </cols>
  <sheetData>
    <row r="1" spans="1:30" s="19" customFormat="1" x14ac:dyDescent="0.25">
      <c r="A1" s="19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20" t="s">
        <v>256</v>
      </c>
      <c r="K1" s="20" t="s">
        <v>49</v>
      </c>
      <c r="L1" s="20" t="s">
        <v>62</v>
      </c>
      <c r="M1" s="20" t="s">
        <v>63</v>
      </c>
      <c r="N1" s="57" t="s">
        <v>246</v>
      </c>
      <c r="O1" s="20" t="s">
        <v>51</v>
      </c>
      <c r="P1" s="20" t="s">
        <v>52</v>
      </c>
      <c r="Q1" s="20" t="s">
        <v>53</v>
      </c>
      <c r="R1" s="21" t="s">
        <v>54</v>
      </c>
      <c r="S1" s="22" t="s">
        <v>55</v>
      </c>
      <c r="T1" s="22" t="s">
        <v>56</v>
      </c>
      <c r="U1" s="20" t="s">
        <v>53</v>
      </c>
      <c r="V1" s="21" t="s">
        <v>57</v>
      </c>
      <c r="W1" s="22" t="s">
        <v>254</v>
      </c>
      <c r="X1" s="20" t="s">
        <v>59</v>
      </c>
      <c r="Y1" s="20" t="s">
        <v>257</v>
      </c>
      <c r="Z1" s="20" t="s">
        <v>61</v>
      </c>
      <c r="AA1" s="19" t="s">
        <v>255</v>
      </c>
    </row>
    <row r="2" spans="1:30" s="11" customFormat="1" x14ac:dyDescent="0.25">
      <c r="B2">
        <v>1</v>
      </c>
      <c r="C2">
        <v>8</v>
      </c>
      <c r="D2">
        <v>1</v>
      </c>
      <c r="E2" s="12">
        <v>16</v>
      </c>
      <c r="F2" s="12">
        <v>2</v>
      </c>
      <c r="G2" s="12">
        <v>2</v>
      </c>
      <c r="H2" s="12">
        <v>256</v>
      </c>
      <c r="I2" s="12">
        <v>38</v>
      </c>
      <c r="J2" s="14">
        <f>_xlfn.CEILING.MATH(B2*D2/E2)</f>
        <v>1</v>
      </c>
      <c r="K2">
        <v>64</v>
      </c>
      <c r="L2" s="12">
        <v>576</v>
      </c>
      <c r="M2" s="12">
        <v>512</v>
      </c>
      <c r="N2" s="55">
        <v>0</v>
      </c>
      <c r="O2" s="15">
        <f>F2*J2*64*_xlfn.CEILING.MATH(L2/128)*128/38</f>
        <v>2155.7894736842104</v>
      </c>
      <c r="P2" s="15">
        <f>G2*J2*K2*_xlfn.CEILING.MATH(L2/128)*128/I2</f>
        <v>2155.7894736842104</v>
      </c>
      <c r="Q2" s="15">
        <f>64*L2*K2*J2/8192</f>
        <v>288</v>
      </c>
      <c r="R2" s="15">
        <f>O2+P2</f>
        <v>4311.5789473684208</v>
      </c>
      <c r="S2" s="15">
        <f>F2*J2*64*K2/H2</f>
        <v>32</v>
      </c>
      <c r="T2" s="15">
        <f>G2*J2*_xlfn.CEILING.MATH(K2/128)*128*M2/I2</f>
        <v>3449.2631578947367</v>
      </c>
      <c r="U2" s="15">
        <f t="shared" ref="U2:U50" si="0">64*K2*M2*J2/8192</f>
        <v>256</v>
      </c>
      <c r="V2" s="15">
        <f>T2</f>
        <v>3449.2631578947367</v>
      </c>
      <c r="W2" s="54">
        <f>C2*M2*_xlfn.CEILING.MATH(B2/128)*128*6/30/E2</f>
        <v>6553.6</v>
      </c>
      <c r="X2" s="12">
        <f>J2*(_xlfn.CEILING.MATH(K2/32)*97+195)</f>
        <v>389</v>
      </c>
      <c r="Y2" s="12">
        <v>30000</v>
      </c>
      <c r="Z2" s="51">
        <f>(N2+R2+V2+X2+W2+Y2)/1000000</f>
        <v>4.4703442105263155E-2</v>
      </c>
      <c r="AA2">
        <v>4.7295999999999998E-2</v>
      </c>
      <c r="AB2" s="4">
        <f>Z2/AA2</f>
        <v>0.9451844152838117</v>
      </c>
      <c r="AC2" s="64"/>
      <c r="AD2" s="18"/>
    </row>
    <row r="3" spans="1:30" s="11" customFormat="1" x14ac:dyDescent="0.25">
      <c r="B3">
        <v>2</v>
      </c>
      <c r="C3">
        <v>8</v>
      </c>
      <c r="D3">
        <v>1</v>
      </c>
      <c r="E3" s="12">
        <v>16</v>
      </c>
      <c r="F3" s="12">
        <v>2</v>
      </c>
      <c r="G3" s="12">
        <v>2</v>
      </c>
      <c r="H3" s="12">
        <v>256</v>
      </c>
      <c r="I3" s="12">
        <v>38</v>
      </c>
      <c r="J3" s="14">
        <f>_xlfn.CEILING.MATH(B3*D3/E3)</f>
        <v>1</v>
      </c>
      <c r="K3">
        <v>64</v>
      </c>
      <c r="L3" s="12">
        <v>576</v>
      </c>
      <c r="M3" s="12">
        <v>512</v>
      </c>
      <c r="N3" s="55">
        <v>0</v>
      </c>
      <c r="O3" s="15">
        <f t="shared" ref="O3:O41" si="1">F3*J3*64*_xlfn.CEILING.MATH(L3/128)*128/38</f>
        <v>2155.7894736842104</v>
      </c>
      <c r="P3" s="15">
        <f t="shared" ref="P3:P41" si="2">G3*J3*K3*_xlfn.CEILING.MATH(L3/128)*128/I3</f>
        <v>2155.7894736842104</v>
      </c>
      <c r="Q3" s="15">
        <f t="shared" ref="Q3:Q41" si="3">64*L3*K3*J3/8192</f>
        <v>288</v>
      </c>
      <c r="R3" s="15">
        <f t="shared" ref="R3:R41" si="4">O3+P3</f>
        <v>4311.5789473684208</v>
      </c>
      <c r="S3" s="15">
        <f t="shared" ref="S3:S41" si="5">F3*J3*64*K3/H3</f>
        <v>32</v>
      </c>
      <c r="T3" s="15">
        <f t="shared" ref="T3:T41" si="6">G3*J3*_xlfn.CEILING.MATH(K3/128)*128*M3/I3</f>
        <v>3449.2631578947367</v>
      </c>
      <c r="U3" s="15">
        <f t="shared" ref="U3:U41" si="7">64*K3*M3*J3/8192</f>
        <v>256</v>
      </c>
      <c r="V3" s="15">
        <f t="shared" ref="V3:V41" si="8">T3</f>
        <v>3449.2631578947367</v>
      </c>
      <c r="W3" s="54">
        <f t="shared" ref="W3:W66" si="9">C3*M3*_xlfn.CEILING.MATH(B3/128)*128*6/30/E3</f>
        <v>6553.6</v>
      </c>
      <c r="X3" s="12">
        <f t="shared" ref="X3:X41" si="10">J3*(_xlfn.CEILING.MATH(K3/32)*97+195)</f>
        <v>389</v>
      </c>
      <c r="Y3" s="12">
        <v>30000</v>
      </c>
      <c r="Z3" s="51">
        <f t="shared" ref="Z3:Z66" si="11">(N3+R3+V3+X3+W3+Y3)/1000000</f>
        <v>4.4703442105263155E-2</v>
      </c>
      <c r="AA3">
        <v>4.7994000000000002E-2</v>
      </c>
      <c r="AB3" s="4">
        <f t="shared" ref="AB3:AB66" si="12">Z3/AA3</f>
        <v>0.93143814029385241</v>
      </c>
      <c r="AC3" s="18"/>
      <c r="AD3" s="18"/>
    </row>
    <row r="4" spans="1:30" s="11" customFormat="1" x14ac:dyDescent="0.25">
      <c r="B4">
        <v>4</v>
      </c>
      <c r="C4">
        <v>8</v>
      </c>
      <c r="D4">
        <v>1</v>
      </c>
      <c r="E4" s="12">
        <v>16</v>
      </c>
      <c r="F4" s="12">
        <v>2</v>
      </c>
      <c r="G4" s="12">
        <v>2</v>
      </c>
      <c r="H4" s="12">
        <v>256</v>
      </c>
      <c r="I4" s="12">
        <v>38</v>
      </c>
      <c r="J4" s="14">
        <f>_xlfn.CEILING.MATH(B4*D4/E4)</f>
        <v>1</v>
      </c>
      <c r="K4">
        <v>64</v>
      </c>
      <c r="L4" s="12">
        <v>576</v>
      </c>
      <c r="M4" s="12">
        <v>512</v>
      </c>
      <c r="N4" s="55">
        <v>0</v>
      </c>
      <c r="O4" s="15">
        <f t="shared" si="1"/>
        <v>2155.7894736842104</v>
      </c>
      <c r="P4" s="15">
        <f t="shared" si="2"/>
        <v>2155.7894736842104</v>
      </c>
      <c r="Q4" s="15">
        <f t="shared" si="3"/>
        <v>288</v>
      </c>
      <c r="R4" s="15">
        <f t="shared" si="4"/>
        <v>4311.5789473684208</v>
      </c>
      <c r="S4" s="15">
        <f t="shared" si="5"/>
        <v>32</v>
      </c>
      <c r="T4" s="15">
        <f t="shared" si="6"/>
        <v>3449.2631578947367</v>
      </c>
      <c r="U4" s="15">
        <f t="shared" si="7"/>
        <v>256</v>
      </c>
      <c r="V4" s="15">
        <f t="shared" si="8"/>
        <v>3449.2631578947367</v>
      </c>
      <c r="W4" s="54">
        <f t="shared" si="9"/>
        <v>6553.6</v>
      </c>
      <c r="X4" s="12">
        <f t="shared" si="10"/>
        <v>389</v>
      </c>
      <c r="Y4" s="12">
        <v>30000</v>
      </c>
      <c r="Z4" s="51">
        <f t="shared" si="11"/>
        <v>4.4703442105263155E-2</v>
      </c>
      <c r="AA4">
        <v>4.8730000000000002E-2</v>
      </c>
      <c r="AB4" s="4">
        <f t="shared" si="12"/>
        <v>0.91737004115048537</v>
      </c>
      <c r="AC4" s="18"/>
      <c r="AD4" s="18"/>
    </row>
    <row r="5" spans="1:30" s="11" customFormat="1" x14ac:dyDescent="0.25">
      <c r="B5">
        <v>8</v>
      </c>
      <c r="C5">
        <v>8</v>
      </c>
      <c r="D5">
        <v>1</v>
      </c>
      <c r="E5" s="12">
        <v>16</v>
      </c>
      <c r="F5" s="12">
        <v>2</v>
      </c>
      <c r="G5" s="12">
        <v>2</v>
      </c>
      <c r="H5" s="12">
        <v>256</v>
      </c>
      <c r="I5" s="12">
        <v>38</v>
      </c>
      <c r="J5" s="14">
        <f>_xlfn.CEILING.MATH(B5*D5/E5)</f>
        <v>1</v>
      </c>
      <c r="K5">
        <v>64</v>
      </c>
      <c r="L5" s="12">
        <v>576</v>
      </c>
      <c r="M5" s="12">
        <v>512</v>
      </c>
      <c r="N5" s="55">
        <v>0</v>
      </c>
      <c r="O5" s="15">
        <f t="shared" si="1"/>
        <v>2155.7894736842104</v>
      </c>
      <c r="P5" s="15">
        <f t="shared" si="2"/>
        <v>2155.7894736842104</v>
      </c>
      <c r="Q5" s="15">
        <f t="shared" si="3"/>
        <v>288</v>
      </c>
      <c r="R5" s="15">
        <f t="shared" si="4"/>
        <v>4311.5789473684208</v>
      </c>
      <c r="S5" s="15">
        <f t="shared" si="5"/>
        <v>32</v>
      </c>
      <c r="T5" s="15">
        <f t="shared" si="6"/>
        <v>3449.2631578947367</v>
      </c>
      <c r="U5" s="15">
        <f t="shared" si="7"/>
        <v>256</v>
      </c>
      <c r="V5" s="15">
        <f t="shared" si="8"/>
        <v>3449.2631578947367</v>
      </c>
      <c r="W5" s="54">
        <f t="shared" si="9"/>
        <v>6553.6</v>
      </c>
      <c r="X5" s="12">
        <f t="shared" si="10"/>
        <v>389</v>
      </c>
      <c r="Y5" s="12">
        <v>30000</v>
      </c>
      <c r="Z5" s="51">
        <f t="shared" si="11"/>
        <v>4.4703442105263155E-2</v>
      </c>
      <c r="AA5">
        <v>4.9177999999999999E-2</v>
      </c>
      <c r="AB5" s="4">
        <f t="shared" si="12"/>
        <v>0.90901301608977914</v>
      </c>
      <c r="AC5" s="18"/>
      <c r="AD5" s="18"/>
    </row>
    <row r="6" spans="1:30" x14ac:dyDescent="0.25">
      <c r="B6">
        <v>16</v>
      </c>
      <c r="C6">
        <v>8</v>
      </c>
      <c r="D6">
        <v>1</v>
      </c>
      <c r="E6" s="12">
        <v>16</v>
      </c>
      <c r="F6" s="12">
        <v>2</v>
      </c>
      <c r="G6" s="12">
        <v>2</v>
      </c>
      <c r="H6" s="12">
        <v>256</v>
      </c>
      <c r="I6" s="12">
        <v>38</v>
      </c>
      <c r="J6" s="14">
        <f t="shared" ref="J6:J69" si="13">_xlfn.CEILING.MATH(B6*D6/E6)</f>
        <v>1</v>
      </c>
      <c r="K6">
        <v>64</v>
      </c>
      <c r="L6" s="12">
        <v>576</v>
      </c>
      <c r="M6" s="12">
        <v>512</v>
      </c>
      <c r="N6" s="55">
        <v>0</v>
      </c>
      <c r="O6" s="15">
        <f t="shared" si="1"/>
        <v>2155.7894736842104</v>
      </c>
      <c r="P6" s="15">
        <f t="shared" si="2"/>
        <v>2155.7894736842104</v>
      </c>
      <c r="Q6" s="15">
        <f t="shared" si="3"/>
        <v>288</v>
      </c>
      <c r="R6" s="15">
        <f t="shared" si="4"/>
        <v>4311.5789473684208</v>
      </c>
      <c r="S6" s="15">
        <f t="shared" si="5"/>
        <v>32</v>
      </c>
      <c r="T6" s="15">
        <f t="shared" si="6"/>
        <v>3449.2631578947367</v>
      </c>
      <c r="U6" s="15">
        <f t="shared" si="7"/>
        <v>256</v>
      </c>
      <c r="V6" s="15">
        <f t="shared" si="8"/>
        <v>3449.2631578947367</v>
      </c>
      <c r="W6" s="54">
        <f t="shared" si="9"/>
        <v>6553.6</v>
      </c>
      <c r="X6" s="12">
        <f t="shared" si="10"/>
        <v>389</v>
      </c>
      <c r="Y6" s="12">
        <v>30000</v>
      </c>
      <c r="Z6" s="51">
        <f t="shared" si="11"/>
        <v>4.4703442105263155E-2</v>
      </c>
      <c r="AA6">
        <v>5.0821999999999999E-2</v>
      </c>
      <c r="AB6" s="4">
        <f t="shared" si="12"/>
        <v>0.87960808518482458</v>
      </c>
      <c r="AC6" s="18"/>
      <c r="AD6" s="18"/>
    </row>
    <row r="7" spans="1:30" x14ac:dyDescent="0.25">
      <c r="B7">
        <v>32</v>
      </c>
      <c r="C7">
        <v>8</v>
      </c>
      <c r="D7">
        <v>1</v>
      </c>
      <c r="E7" s="12">
        <v>16</v>
      </c>
      <c r="F7" s="12">
        <v>2</v>
      </c>
      <c r="G7" s="12">
        <v>2</v>
      </c>
      <c r="H7" s="12">
        <v>256</v>
      </c>
      <c r="I7" s="12">
        <v>38</v>
      </c>
      <c r="J7" s="14">
        <f t="shared" si="13"/>
        <v>2</v>
      </c>
      <c r="K7">
        <v>64</v>
      </c>
      <c r="L7" s="12">
        <v>576</v>
      </c>
      <c r="M7" s="12">
        <v>512</v>
      </c>
      <c r="N7" s="55">
        <v>0</v>
      </c>
      <c r="O7" s="15">
        <f t="shared" si="1"/>
        <v>4311.5789473684208</v>
      </c>
      <c r="P7" s="15">
        <f t="shared" si="2"/>
        <v>4311.5789473684208</v>
      </c>
      <c r="Q7" s="15">
        <f t="shared" si="3"/>
        <v>576</v>
      </c>
      <c r="R7" s="15">
        <f t="shared" si="4"/>
        <v>8623.1578947368416</v>
      </c>
      <c r="S7" s="15">
        <f t="shared" si="5"/>
        <v>64</v>
      </c>
      <c r="T7" s="15">
        <f t="shared" si="6"/>
        <v>6898.5263157894733</v>
      </c>
      <c r="U7" s="15">
        <f t="shared" si="7"/>
        <v>512</v>
      </c>
      <c r="V7" s="15">
        <f t="shared" si="8"/>
        <v>6898.5263157894733</v>
      </c>
      <c r="W7" s="54">
        <f t="shared" si="9"/>
        <v>6553.6</v>
      </c>
      <c r="X7" s="12">
        <f t="shared" si="10"/>
        <v>778</v>
      </c>
      <c r="Y7" s="12">
        <v>30000</v>
      </c>
      <c r="Z7" s="51">
        <f t="shared" si="11"/>
        <v>5.2853284210526312E-2</v>
      </c>
      <c r="AA7">
        <v>5.8624000000000002E-2</v>
      </c>
      <c r="AB7" s="4">
        <f t="shared" si="12"/>
        <v>0.90156393645139044</v>
      </c>
      <c r="AC7" s="18"/>
      <c r="AD7" s="18"/>
    </row>
    <row r="8" spans="1:30" x14ac:dyDescent="0.25">
      <c r="B8">
        <v>64</v>
      </c>
      <c r="C8">
        <v>8</v>
      </c>
      <c r="D8">
        <v>1</v>
      </c>
      <c r="E8" s="12">
        <v>16</v>
      </c>
      <c r="F8" s="12">
        <v>2</v>
      </c>
      <c r="G8" s="12">
        <v>2</v>
      </c>
      <c r="H8" s="12">
        <v>256</v>
      </c>
      <c r="I8" s="12">
        <v>38</v>
      </c>
      <c r="J8" s="14">
        <f t="shared" si="13"/>
        <v>4</v>
      </c>
      <c r="K8">
        <v>64</v>
      </c>
      <c r="L8" s="12">
        <v>576</v>
      </c>
      <c r="M8" s="12">
        <v>512</v>
      </c>
      <c r="N8" s="55">
        <v>0</v>
      </c>
      <c r="O8" s="15">
        <f t="shared" si="1"/>
        <v>8623.1578947368416</v>
      </c>
      <c r="P8" s="15">
        <f t="shared" si="2"/>
        <v>8623.1578947368416</v>
      </c>
      <c r="Q8" s="15">
        <f t="shared" si="3"/>
        <v>1152</v>
      </c>
      <c r="R8" s="15">
        <f t="shared" si="4"/>
        <v>17246.315789473683</v>
      </c>
      <c r="S8" s="15">
        <f t="shared" si="5"/>
        <v>128</v>
      </c>
      <c r="T8" s="15">
        <f t="shared" si="6"/>
        <v>13797.052631578947</v>
      </c>
      <c r="U8" s="15">
        <f t="shared" si="7"/>
        <v>1024</v>
      </c>
      <c r="V8" s="15">
        <f t="shared" si="8"/>
        <v>13797.052631578947</v>
      </c>
      <c r="W8" s="54">
        <f t="shared" si="9"/>
        <v>6553.6</v>
      </c>
      <c r="X8" s="12">
        <f t="shared" si="10"/>
        <v>1556</v>
      </c>
      <c r="Y8" s="12">
        <v>30000</v>
      </c>
      <c r="Z8" s="51">
        <f t="shared" si="11"/>
        <v>6.9152968421052632E-2</v>
      </c>
      <c r="AA8">
        <v>8.2099000000000005E-2</v>
      </c>
      <c r="AB8" s="4">
        <f t="shared" si="12"/>
        <v>0.84231194559072131</v>
      </c>
      <c r="AC8" s="18"/>
      <c r="AD8" s="18"/>
    </row>
    <row r="9" spans="1:30" x14ac:dyDescent="0.25">
      <c r="B9">
        <v>128</v>
      </c>
      <c r="C9">
        <v>8</v>
      </c>
      <c r="D9">
        <v>1</v>
      </c>
      <c r="E9" s="12">
        <v>16</v>
      </c>
      <c r="F9" s="12">
        <v>2</v>
      </c>
      <c r="G9" s="12">
        <v>2</v>
      </c>
      <c r="H9" s="12">
        <v>256</v>
      </c>
      <c r="I9" s="12">
        <v>38</v>
      </c>
      <c r="J9" s="14">
        <f t="shared" si="13"/>
        <v>8</v>
      </c>
      <c r="K9">
        <v>64</v>
      </c>
      <c r="L9" s="12">
        <v>576</v>
      </c>
      <c r="M9" s="12">
        <v>512</v>
      </c>
      <c r="N9" s="55">
        <v>0</v>
      </c>
      <c r="O9" s="15">
        <f t="shared" si="1"/>
        <v>17246.315789473683</v>
      </c>
      <c r="P9" s="15">
        <f t="shared" si="2"/>
        <v>17246.315789473683</v>
      </c>
      <c r="Q9" s="15">
        <f t="shared" si="3"/>
        <v>2304</v>
      </c>
      <c r="R9" s="15">
        <f t="shared" si="4"/>
        <v>34492.631578947367</v>
      </c>
      <c r="S9" s="15">
        <f t="shared" si="5"/>
        <v>256</v>
      </c>
      <c r="T9" s="15">
        <f t="shared" si="6"/>
        <v>27594.105263157893</v>
      </c>
      <c r="U9" s="15">
        <f t="shared" si="7"/>
        <v>2048</v>
      </c>
      <c r="V9" s="15">
        <f t="shared" si="8"/>
        <v>27594.105263157893</v>
      </c>
      <c r="W9" s="54">
        <f t="shared" si="9"/>
        <v>6553.6</v>
      </c>
      <c r="X9" s="12">
        <f t="shared" si="10"/>
        <v>3112</v>
      </c>
      <c r="Y9" s="12">
        <v>30000</v>
      </c>
      <c r="Z9" s="51">
        <f t="shared" si="11"/>
        <v>0.10175233684210526</v>
      </c>
      <c r="AA9">
        <v>0.14538899999999999</v>
      </c>
      <c r="AB9" s="4">
        <f t="shared" si="12"/>
        <v>0.69986269141479251</v>
      </c>
      <c r="AC9" s="18"/>
      <c r="AD9" s="18"/>
    </row>
    <row r="10" spans="1:30" x14ac:dyDescent="0.25">
      <c r="B10">
        <v>256</v>
      </c>
      <c r="C10">
        <v>8</v>
      </c>
      <c r="D10">
        <v>1</v>
      </c>
      <c r="E10" s="12">
        <v>16</v>
      </c>
      <c r="F10" s="12">
        <v>2</v>
      </c>
      <c r="G10" s="12">
        <v>2</v>
      </c>
      <c r="H10" s="12">
        <v>256</v>
      </c>
      <c r="I10" s="12">
        <v>38</v>
      </c>
      <c r="J10" s="14">
        <f t="shared" si="13"/>
        <v>16</v>
      </c>
      <c r="K10">
        <v>64</v>
      </c>
      <c r="L10" s="12">
        <v>576</v>
      </c>
      <c r="M10" s="12">
        <v>512</v>
      </c>
      <c r="N10" s="55">
        <v>0</v>
      </c>
      <c r="O10" s="15">
        <f t="shared" si="1"/>
        <v>34492.631578947367</v>
      </c>
      <c r="P10" s="15">
        <f t="shared" si="2"/>
        <v>34492.631578947367</v>
      </c>
      <c r="Q10" s="15">
        <f t="shared" si="3"/>
        <v>4608</v>
      </c>
      <c r="R10" s="15">
        <f t="shared" si="4"/>
        <v>68985.263157894733</v>
      </c>
      <c r="S10" s="15">
        <f t="shared" si="5"/>
        <v>512</v>
      </c>
      <c r="T10" s="15">
        <f t="shared" si="6"/>
        <v>55188.210526315786</v>
      </c>
      <c r="U10" s="15">
        <f t="shared" si="7"/>
        <v>4096</v>
      </c>
      <c r="V10" s="15">
        <f t="shared" si="8"/>
        <v>55188.210526315786</v>
      </c>
      <c r="W10" s="54">
        <f t="shared" si="9"/>
        <v>13107.2</v>
      </c>
      <c r="X10" s="12">
        <f t="shared" si="10"/>
        <v>6224</v>
      </c>
      <c r="Y10" s="12">
        <v>30000</v>
      </c>
      <c r="Z10" s="51">
        <f t="shared" si="11"/>
        <v>0.17350467368421052</v>
      </c>
      <c r="AA10">
        <v>0.262714</v>
      </c>
      <c r="AB10" s="4">
        <f t="shared" si="12"/>
        <v>0.66043177632029704</v>
      </c>
      <c r="AC10" s="18"/>
      <c r="AD10" s="18"/>
    </row>
    <row r="11" spans="1:30" x14ac:dyDescent="0.25">
      <c r="B11">
        <v>512</v>
      </c>
      <c r="C11">
        <v>8</v>
      </c>
      <c r="D11">
        <v>1</v>
      </c>
      <c r="E11" s="12">
        <v>16</v>
      </c>
      <c r="F11" s="12">
        <v>2</v>
      </c>
      <c r="G11" s="12">
        <v>2</v>
      </c>
      <c r="H11" s="12">
        <v>256</v>
      </c>
      <c r="I11" s="12">
        <v>38</v>
      </c>
      <c r="J11" s="14">
        <f t="shared" si="13"/>
        <v>32</v>
      </c>
      <c r="K11">
        <v>64</v>
      </c>
      <c r="L11" s="12">
        <v>576</v>
      </c>
      <c r="M11" s="12">
        <v>512</v>
      </c>
      <c r="N11" s="55">
        <v>0</v>
      </c>
      <c r="O11" s="15">
        <f t="shared" si="1"/>
        <v>68985.263157894733</v>
      </c>
      <c r="P11" s="15">
        <f t="shared" si="2"/>
        <v>68985.263157894733</v>
      </c>
      <c r="Q11" s="15">
        <f t="shared" si="3"/>
        <v>9216</v>
      </c>
      <c r="R11" s="15">
        <f t="shared" si="4"/>
        <v>137970.52631578947</v>
      </c>
      <c r="S11" s="15">
        <f t="shared" si="5"/>
        <v>1024</v>
      </c>
      <c r="T11" s="15">
        <f t="shared" si="6"/>
        <v>110376.42105263157</v>
      </c>
      <c r="U11" s="15">
        <f t="shared" si="7"/>
        <v>8192</v>
      </c>
      <c r="V11" s="15">
        <f t="shared" si="8"/>
        <v>110376.42105263157</v>
      </c>
      <c r="W11" s="54">
        <f t="shared" si="9"/>
        <v>26214.400000000001</v>
      </c>
      <c r="X11" s="12">
        <f t="shared" si="10"/>
        <v>12448</v>
      </c>
      <c r="Y11" s="12">
        <v>30000</v>
      </c>
      <c r="Z11" s="51">
        <f t="shared" si="11"/>
        <v>0.31700934736842101</v>
      </c>
      <c r="AA11">
        <v>0.56534399999999996</v>
      </c>
      <c r="AB11" s="4">
        <f t="shared" si="12"/>
        <v>0.56073708639062414</v>
      </c>
      <c r="AC11" s="18"/>
      <c r="AD11" s="18"/>
    </row>
    <row r="12" spans="1:30" x14ac:dyDescent="0.25">
      <c r="B12" s="8">
        <v>1</v>
      </c>
      <c r="C12" s="8">
        <v>8</v>
      </c>
      <c r="D12" s="8">
        <v>1</v>
      </c>
      <c r="E12" s="12">
        <v>16</v>
      </c>
      <c r="F12" s="12">
        <v>2</v>
      </c>
      <c r="G12" s="12">
        <v>2</v>
      </c>
      <c r="H12" s="12">
        <v>256</v>
      </c>
      <c r="I12" s="12">
        <v>38</v>
      </c>
      <c r="J12" s="14">
        <f t="shared" si="13"/>
        <v>1</v>
      </c>
      <c r="K12" s="8">
        <v>128</v>
      </c>
      <c r="L12" s="12">
        <v>576</v>
      </c>
      <c r="M12" s="12">
        <v>512</v>
      </c>
      <c r="N12" s="55">
        <v>0</v>
      </c>
      <c r="O12" s="15">
        <f t="shared" si="1"/>
        <v>2155.7894736842104</v>
      </c>
      <c r="P12" s="15">
        <f t="shared" si="2"/>
        <v>4311.5789473684208</v>
      </c>
      <c r="Q12" s="15">
        <f t="shared" si="3"/>
        <v>576</v>
      </c>
      <c r="R12" s="15">
        <f t="shared" si="4"/>
        <v>6467.3684210526317</v>
      </c>
      <c r="S12" s="15">
        <f t="shared" si="5"/>
        <v>64</v>
      </c>
      <c r="T12" s="15">
        <f t="shared" si="6"/>
        <v>3449.2631578947367</v>
      </c>
      <c r="U12" s="15">
        <f t="shared" si="7"/>
        <v>512</v>
      </c>
      <c r="V12" s="15">
        <f t="shared" si="8"/>
        <v>3449.2631578947367</v>
      </c>
      <c r="W12" s="54">
        <f t="shared" si="9"/>
        <v>6553.6</v>
      </c>
      <c r="X12" s="12">
        <f t="shared" si="10"/>
        <v>583</v>
      </c>
      <c r="Y12" s="12">
        <v>30000</v>
      </c>
      <c r="Z12" s="51">
        <f t="shared" si="11"/>
        <v>4.7053231578947363E-2</v>
      </c>
      <c r="AA12">
        <v>4.8953999999999998E-2</v>
      </c>
      <c r="AB12" s="4">
        <f t="shared" si="12"/>
        <v>0.9611723572935279</v>
      </c>
      <c r="AC12" s="18"/>
      <c r="AD12" s="18"/>
    </row>
    <row r="13" spans="1:30" x14ac:dyDescent="0.25">
      <c r="B13">
        <v>2</v>
      </c>
      <c r="C13">
        <v>8</v>
      </c>
      <c r="D13">
        <v>1</v>
      </c>
      <c r="E13" s="12">
        <v>16</v>
      </c>
      <c r="F13" s="12">
        <v>2</v>
      </c>
      <c r="G13" s="12">
        <v>2</v>
      </c>
      <c r="H13" s="12">
        <v>256</v>
      </c>
      <c r="I13" s="12">
        <v>38</v>
      </c>
      <c r="J13" s="14">
        <f t="shared" si="13"/>
        <v>1</v>
      </c>
      <c r="K13">
        <v>128</v>
      </c>
      <c r="L13" s="12">
        <v>576</v>
      </c>
      <c r="M13" s="12">
        <v>512</v>
      </c>
      <c r="N13" s="55">
        <v>0</v>
      </c>
      <c r="O13" s="15">
        <f t="shared" si="1"/>
        <v>2155.7894736842104</v>
      </c>
      <c r="P13" s="15">
        <f t="shared" si="2"/>
        <v>4311.5789473684208</v>
      </c>
      <c r="Q13" s="15">
        <f t="shared" si="3"/>
        <v>576</v>
      </c>
      <c r="R13" s="15">
        <f t="shared" si="4"/>
        <v>6467.3684210526317</v>
      </c>
      <c r="S13" s="15">
        <f t="shared" si="5"/>
        <v>64</v>
      </c>
      <c r="T13" s="15">
        <f t="shared" si="6"/>
        <v>3449.2631578947367</v>
      </c>
      <c r="U13" s="15">
        <f t="shared" si="7"/>
        <v>512</v>
      </c>
      <c r="V13" s="15">
        <f t="shared" si="8"/>
        <v>3449.2631578947367</v>
      </c>
      <c r="W13" s="54">
        <f t="shared" si="9"/>
        <v>6553.6</v>
      </c>
      <c r="X13" s="12">
        <f t="shared" si="10"/>
        <v>583</v>
      </c>
      <c r="Y13" s="12">
        <v>30000</v>
      </c>
      <c r="Z13" s="51">
        <f t="shared" si="11"/>
        <v>4.7053231578947363E-2</v>
      </c>
      <c r="AA13">
        <v>4.9658000000000001E-2</v>
      </c>
      <c r="AB13" s="4">
        <f t="shared" si="12"/>
        <v>0.94754584515984053</v>
      </c>
      <c r="AC13" s="18"/>
      <c r="AD13" s="18"/>
    </row>
    <row r="14" spans="1:30" x14ac:dyDescent="0.25">
      <c r="B14">
        <v>4</v>
      </c>
      <c r="C14">
        <v>8</v>
      </c>
      <c r="D14">
        <v>1</v>
      </c>
      <c r="E14" s="12">
        <v>16</v>
      </c>
      <c r="F14" s="12">
        <v>2</v>
      </c>
      <c r="G14" s="12">
        <v>2</v>
      </c>
      <c r="H14" s="12">
        <v>256</v>
      </c>
      <c r="I14" s="12">
        <v>38</v>
      </c>
      <c r="J14" s="14">
        <f t="shared" si="13"/>
        <v>1</v>
      </c>
      <c r="K14">
        <v>128</v>
      </c>
      <c r="L14" s="12">
        <v>576</v>
      </c>
      <c r="M14" s="12">
        <v>512</v>
      </c>
      <c r="N14" s="55">
        <v>0</v>
      </c>
      <c r="O14" s="15">
        <f t="shared" si="1"/>
        <v>2155.7894736842104</v>
      </c>
      <c r="P14" s="15">
        <f t="shared" si="2"/>
        <v>4311.5789473684208</v>
      </c>
      <c r="Q14" s="15">
        <f t="shared" si="3"/>
        <v>576</v>
      </c>
      <c r="R14" s="15">
        <f t="shared" si="4"/>
        <v>6467.3684210526317</v>
      </c>
      <c r="S14" s="15">
        <f t="shared" si="5"/>
        <v>64</v>
      </c>
      <c r="T14" s="15">
        <f t="shared" si="6"/>
        <v>3449.2631578947367</v>
      </c>
      <c r="U14" s="15">
        <f t="shared" si="7"/>
        <v>512</v>
      </c>
      <c r="V14" s="15">
        <f t="shared" si="8"/>
        <v>3449.2631578947367</v>
      </c>
      <c r="W14" s="54">
        <f t="shared" si="9"/>
        <v>6553.6</v>
      </c>
      <c r="X14" s="12">
        <f t="shared" si="10"/>
        <v>583</v>
      </c>
      <c r="Y14" s="12">
        <v>30000</v>
      </c>
      <c r="Z14" s="51">
        <f t="shared" si="11"/>
        <v>4.7053231578947363E-2</v>
      </c>
      <c r="AA14">
        <v>5.1642E-2</v>
      </c>
      <c r="AB14" s="4">
        <f t="shared" si="12"/>
        <v>0.91114270514208129</v>
      </c>
      <c r="AC14" s="18"/>
      <c r="AD14" s="18"/>
    </row>
    <row r="15" spans="1:30" x14ac:dyDescent="0.25">
      <c r="B15">
        <v>8</v>
      </c>
      <c r="C15">
        <v>8</v>
      </c>
      <c r="D15">
        <v>1</v>
      </c>
      <c r="E15" s="12">
        <v>16</v>
      </c>
      <c r="F15" s="12">
        <v>2</v>
      </c>
      <c r="G15" s="12">
        <v>2</v>
      </c>
      <c r="H15" s="12">
        <v>256</v>
      </c>
      <c r="I15" s="12">
        <v>38</v>
      </c>
      <c r="J15" s="14">
        <f t="shared" si="13"/>
        <v>1</v>
      </c>
      <c r="K15">
        <v>128</v>
      </c>
      <c r="L15" s="12">
        <v>576</v>
      </c>
      <c r="M15" s="12">
        <v>512</v>
      </c>
      <c r="N15" s="55">
        <v>0</v>
      </c>
      <c r="O15" s="15">
        <f t="shared" si="1"/>
        <v>2155.7894736842104</v>
      </c>
      <c r="P15" s="15">
        <f t="shared" si="2"/>
        <v>4311.5789473684208</v>
      </c>
      <c r="Q15" s="15">
        <f t="shared" si="3"/>
        <v>576</v>
      </c>
      <c r="R15" s="15">
        <f t="shared" si="4"/>
        <v>6467.3684210526317</v>
      </c>
      <c r="S15" s="15">
        <f t="shared" si="5"/>
        <v>64</v>
      </c>
      <c r="T15" s="15">
        <f t="shared" si="6"/>
        <v>3449.2631578947367</v>
      </c>
      <c r="U15" s="15">
        <f t="shared" si="7"/>
        <v>512</v>
      </c>
      <c r="V15" s="15">
        <f t="shared" si="8"/>
        <v>3449.2631578947367</v>
      </c>
      <c r="W15" s="54">
        <f t="shared" si="9"/>
        <v>6553.6</v>
      </c>
      <c r="X15" s="12">
        <f t="shared" si="10"/>
        <v>583</v>
      </c>
      <c r="Y15" s="12">
        <v>30000</v>
      </c>
      <c r="Z15" s="51">
        <f t="shared" si="11"/>
        <v>4.7053231578947363E-2</v>
      </c>
      <c r="AA15">
        <v>5.1046000000000001E-2</v>
      </c>
      <c r="AB15" s="4">
        <f t="shared" si="12"/>
        <v>0.92178097361100497</v>
      </c>
      <c r="AC15" s="18"/>
      <c r="AD15" s="18"/>
    </row>
    <row r="16" spans="1:30" x14ac:dyDescent="0.25">
      <c r="B16">
        <v>16</v>
      </c>
      <c r="C16">
        <v>8</v>
      </c>
      <c r="D16">
        <v>1</v>
      </c>
      <c r="E16" s="12">
        <v>16</v>
      </c>
      <c r="F16" s="12">
        <v>2</v>
      </c>
      <c r="G16" s="12">
        <v>2</v>
      </c>
      <c r="H16" s="12">
        <v>256</v>
      </c>
      <c r="I16" s="12">
        <v>38</v>
      </c>
      <c r="J16" s="14">
        <f t="shared" si="13"/>
        <v>1</v>
      </c>
      <c r="K16">
        <v>128</v>
      </c>
      <c r="L16" s="12">
        <v>576</v>
      </c>
      <c r="M16" s="12">
        <v>512</v>
      </c>
      <c r="N16" s="55">
        <v>0</v>
      </c>
      <c r="O16" s="15">
        <f t="shared" si="1"/>
        <v>2155.7894736842104</v>
      </c>
      <c r="P16" s="15">
        <f t="shared" si="2"/>
        <v>4311.5789473684208</v>
      </c>
      <c r="Q16" s="15">
        <f t="shared" si="3"/>
        <v>576</v>
      </c>
      <c r="R16" s="15">
        <f t="shared" si="4"/>
        <v>6467.3684210526317</v>
      </c>
      <c r="S16" s="15">
        <f t="shared" si="5"/>
        <v>64</v>
      </c>
      <c r="T16" s="15">
        <f t="shared" si="6"/>
        <v>3449.2631578947367</v>
      </c>
      <c r="U16" s="15">
        <f t="shared" si="7"/>
        <v>512</v>
      </c>
      <c r="V16" s="15">
        <f t="shared" si="8"/>
        <v>3449.2631578947367</v>
      </c>
      <c r="W16" s="54">
        <f t="shared" si="9"/>
        <v>6553.6</v>
      </c>
      <c r="X16" s="12">
        <f t="shared" si="10"/>
        <v>583</v>
      </c>
      <c r="Y16" s="12">
        <v>30000</v>
      </c>
      <c r="Z16" s="51">
        <f t="shared" si="11"/>
        <v>4.7053231578947363E-2</v>
      </c>
      <c r="AA16">
        <v>5.2076999999999998E-2</v>
      </c>
      <c r="AB16" s="4">
        <f t="shared" si="12"/>
        <v>0.9035319157967503</v>
      </c>
      <c r="AC16" s="18"/>
      <c r="AD16" s="18"/>
    </row>
    <row r="17" spans="2:30" x14ac:dyDescent="0.25">
      <c r="B17">
        <v>32</v>
      </c>
      <c r="C17">
        <v>8</v>
      </c>
      <c r="D17">
        <v>1</v>
      </c>
      <c r="E17" s="12">
        <v>16</v>
      </c>
      <c r="F17" s="12">
        <v>2</v>
      </c>
      <c r="G17" s="12">
        <v>2</v>
      </c>
      <c r="H17" s="12">
        <v>256</v>
      </c>
      <c r="I17" s="12">
        <v>38</v>
      </c>
      <c r="J17" s="14">
        <f t="shared" si="13"/>
        <v>2</v>
      </c>
      <c r="K17">
        <v>128</v>
      </c>
      <c r="L17" s="12">
        <v>576</v>
      </c>
      <c r="M17" s="12">
        <v>512</v>
      </c>
      <c r="N17" s="55">
        <v>0</v>
      </c>
      <c r="O17" s="15">
        <f t="shared" si="1"/>
        <v>4311.5789473684208</v>
      </c>
      <c r="P17" s="15">
        <f t="shared" si="2"/>
        <v>8623.1578947368416</v>
      </c>
      <c r="Q17" s="15">
        <f t="shared" si="3"/>
        <v>1152</v>
      </c>
      <c r="R17" s="15">
        <f t="shared" si="4"/>
        <v>12934.736842105263</v>
      </c>
      <c r="S17" s="15">
        <f t="shared" si="5"/>
        <v>128</v>
      </c>
      <c r="T17" s="15">
        <f t="shared" si="6"/>
        <v>6898.5263157894733</v>
      </c>
      <c r="U17" s="15">
        <f t="shared" si="7"/>
        <v>1024</v>
      </c>
      <c r="V17" s="15">
        <f t="shared" si="8"/>
        <v>6898.5263157894733</v>
      </c>
      <c r="W17" s="54">
        <f t="shared" si="9"/>
        <v>6553.6</v>
      </c>
      <c r="X17" s="12">
        <f t="shared" si="10"/>
        <v>1166</v>
      </c>
      <c r="Y17" s="12">
        <v>30000</v>
      </c>
      <c r="Z17" s="51">
        <f t="shared" si="11"/>
        <v>5.7552863157894742E-2</v>
      </c>
      <c r="AA17">
        <v>6.1810999999999998E-2</v>
      </c>
      <c r="AB17" s="4">
        <f t="shared" si="12"/>
        <v>0.93111037125907592</v>
      </c>
      <c r="AC17" s="18"/>
      <c r="AD17" s="18"/>
    </row>
    <row r="18" spans="2:30" x14ac:dyDescent="0.25">
      <c r="B18">
        <v>64</v>
      </c>
      <c r="C18">
        <v>8</v>
      </c>
      <c r="D18">
        <v>1</v>
      </c>
      <c r="E18" s="12">
        <v>16</v>
      </c>
      <c r="F18" s="12">
        <v>2</v>
      </c>
      <c r="G18" s="12">
        <v>2</v>
      </c>
      <c r="H18" s="12">
        <v>256</v>
      </c>
      <c r="I18" s="12">
        <v>38</v>
      </c>
      <c r="J18" s="14">
        <f t="shared" si="13"/>
        <v>4</v>
      </c>
      <c r="K18">
        <v>128</v>
      </c>
      <c r="L18" s="12">
        <v>576</v>
      </c>
      <c r="M18" s="12">
        <v>512</v>
      </c>
      <c r="N18" s="55">
        <v>0</v>
      </c>
      <c r="O18" s="15">
        <f t="shared" si="1"/>
        <v>8623.1578947368416</v>
      </c>
      <c r="P18" s="15">
        <f t="shared" si="2"/>
        <v>17246.315789473683</v>
      </c>
      <c r="Q18" s="15">
        <f t="shared" si="3"/>
        <v>2304</v>
      </c>
      <c r="R18" s="15">
        <f t="shared" si="4"/>
        <v>25869.473684210527</v>
      </c>
      <c r="S18" s="15">
        <f t="shared" si="5"/>
        <v>256</v>
      </c>
      <c r="T18" s="15">
        <f t="shared" si="6"/>
        <v>13797.052631578947</v>
      </c>
      <c r="U18" s="15">
        <f t="shared" si="7"/>
        <v>2048</v>
      </c>
      <c r="V18" s="15">
        <f t="shared" si="8"/>
        <v>13797.052631578947</v>
      </c>
      <c r="W18" s="54">
        <f t="shared" si="9"/>
        <v>6553.6</v>
      </c>
      <c r="X18" s="12">
        <f t="shared" si="10"/>
        <v>2332</v>
      </c>
      <c r="Y18" s="12">
        <v>30000</v>
      </c>
      <c r="Z18" s="51">
        <f t="shared" si="11"/>
        <v>7.8552126315789478E-2</v>
      </c>
      <c r="AA18">
        <v>8.6150000000000004E-2</v>
      </c>
      <c r="AB18" s="4">
        <f t="shared" si="12"/>
        <v>0.91180645752512446</v>
      </c>
      <c r="AC18" s="18"/>
      <c r="AD18" s="18"/>
    </row>
    <row r="19" spans="2:30" x14ac:dyDescent="0.25">
      <c r="B19">
        <v>128</v>
      </c>
      <c r="C19">
        <v>8</v>
      </c>
      <c r="D19">
        <v>1</v>
      </c>
      <c r="E19" s="12">
        <v>16</v>
      </c>
      <c r="F19" s="12">
        <v>2</v>
      </c>
      <c r="G19" s="12">
        <v>2</v>
      </c>
      <c r="H19" s="12">
        <v>256</v>
      </c>
      <c r="I19" s="12">
        <v>38</v>
      </c>
      <c r="J19" s="14">
        <f t="shared" si="13"/>
        <v>8</v>
      </c>
      <c r="K19">
        <v>128</v>
      </c>
      <c r="L19" s="12">
        <v>576</v>
      </c>
      <c r="M19" s="12">
        <v>512</v>
      </c>
      <c r="N19" s="55">
        <v>0</v>
      </c>
      <c r="O19" s="15">
        <f t="shared" si="1"/>
        <v>17246.315789473683</v>
      </c>
      <c r="P19" s="15">
        <f t="shared" si="2"/>
        <v>34492.631578947367</v>
      </c>
      <c r="Q19" s="15">
        <f t="shared" si="3"/>
        <v>4608</v>
      </c>
      <c r="R19" s="15">
        <f t="shared" si="4"/>
        <v>51738.947368421053</v>
      </c>
      <c r="S19" s="15">
        <f t="shared" si="5"/>
        <v>512</v>
      </c>
      <c r="T19" s="15">
        <f t="shared" si="6"/>
        <v>27594.105263157893</v>
      </c>
      <c r="U19" s="15">
        <f t="shared" si="7"/>
        <v>4096</v>
      </c>
      <c r="V19" s="15">
        <f t="shared" si="8"/>
        <v>27594.105263157893</v>
      </c>
      <c r="W19" s="54">
        <f t="shared" si="9"/>
        <v>6553.6</v>
      </c>
      <c r="X19" s="12">
        <f t="shared" si="10"/>
        <v>4664</v>
      </c>
      <c r="Y19" s="12">
        <v>30000</v>
      </c>
      <c r="Z19" s="51">
        <f t="shared" si="11"/>
        <v>0.12055065263157895</v>
      </c>
      <c r="AA19">
        <v>0.152339</v>
      </c>
      <c r="AB19" s="4">
        <f t="shared" si="12"/>
        <v>0.7913315213542097</v>
      </c>
      <c r="AC19" s="18"/>
      <c r="AD19" s="18"/>
    </row>
    <row r="20" spans="2:30" x14ac:dyDescent="0.25">
      <c r="B20">
        <v>256</v>
      </c>
      <c r="C20">
        <v>8</v>
      </c>
      <c r="D20">
        <v>1</v>
      </c>
      <c r="E20" s="12">
        <v>16</v>
      </c>
      <c r="F20" s="12">
        <v>2</v>
      </c>
      <c r="G20" s="12">
        <v>2</v>
      </c>
      <c r="H20" s="12">
        <v>256</v>
      </c>
      <c r="I20" s="12">
        <v>38</v>
      </c>
      <c r="J20" s="14">
        <f t="shared" si="13"/>
        <v>16</v>
      </c>
      <c r="K20">
        <v>128</v>
      </c>
      <c r="L20" s="12">
        <v>576</v>
      </c>
      <c r="M20" s="12">
        <v>512</v>
      </c>
      <c r="N20" s="55">
        <v>0</v>
      </c>
      <c r="O20" s="15">
        <f t="shared" si="1"/>
        <v>34492.631578947367</v>
      </c>
      <c r="P20" s="15">
        <f t="shared" si="2"/>
        <v>68985.263157894733</v>
      </c>
      <c r="Q20" s="15">
        <f t="shared" si="3"/>
        <v>9216</v>
      </c>
      <c r="R20" s="15">
        <f t="shared" si="4"/>
        <v>103477.89473684211</v>
      </c>
      <c r="S20" s="15">
        <f t="shared" si="5"/>
        <v>1024</v>
      </c>
      <c r="T20" s="15">
        <f t="shared" si="6"/>
        <v>55188.210526315786</v>
      </c>
      <c r="U20" s="15">
        <f t="shared" si="7"/>
        <v>8192</v>
      </c>
      <c r="V20" s="15">
        <f t="shared" si="8"/>
        <v>55188.210526315786</v>
      </c>
      <c r="W20" s="54">
        <f t="shared" si="9"/>
        <v>13107.2</v>
      </c>
      <c r="X20" s="12">
        <f t="shared" si="10"/>
        <v>9328</v>
      </c>
      <c r="Y20" s="12">
        <v>30000</v>
      </c>
      <c r="Z20" s="51">
        <f t="shared" si="11"/>
        <v>0.2111013052631579</v>
      </c>
      <c r="AA20">
        <v>0.27393899999999999</v>
      </c>
      <c r="AB20" s="4">
        <f t="shared" si="12"/>
        <v>0.77061428005197474</v>
      </c>
      <c r="AC20" s="18"/>
      <c r="AD20" s="18"/>
    </row>
    <row r="21" spans="2:30" x14ac:dyDescent="0.25">
      <c r="B21">
        <v>512</v>
      </c>
      <c r="C21">
        <v>8</v>
      </c>
      <c r="D21">
        <v>1</v>
      </c>
      <c r="E21" s="12">
        <v>16</v>
      </c>
      <c r="F21" s="12">
        <v>2</v>
      </c>
      <c r="G21" s="12">
        <v>2</v>
      </c>
      <c r="H21" s="12">
        <v>256</v>
      </c>
      <c r="I21" s="12">
        <v>38</v>
      </c>
      <c r="J21" s="14">
        <f t="shared" si="13"/>
        <v>32</v>
      </c>
      <c r="K21">
        <v>128</v>
      </c>
      <c r="L21" s="12">
        <v>576</v>
      </c>
      <c r="M21" s="12">
        <v>512</v>
      </c>
      <c r="N21" s="55">
        <v>0</v>
      </c>
      <c r="O21" s="15">
        <f t="shared" si="1"/>
        <v>68985.263157894733</v>
      </c>
      <c r="P21" s="15">
        <f t="shared" si="2"/>
        <v>137970.52631578947</v>
      </c>
      <c r="Q21" s="15">
        <f t="shared" si="3"/>
        <v>18432</v>
      </c>
      <c r="R21" s="15">
        <f t="shared" si="4"/>
        <v>206955.78947368421</v>
      </c>
      <c r="S21" s="15">
        <f t="shared" si="5"/>
        <v>2048</v>
      </c>
      <c r="T21" s="15">
        <f t="shared" si="6"/>
        <v>110376.42105263157</v>
      </c>
      <c r="U21" s="15">
        <f t="shared" si="7"/>
        <v>16384</v>
      </c>
      <c r="V21" s="15">
        <f t="shared" si="8"/>
        <v>110376.42105263157</v>
      </c>
      <c r="W21" s="54">
        <f t="shared" si="9"/>
        <v>26214.400000000001</v>
      </c>
      <c r="X21" s="12">
        <f t="shared" si="10"/>
        <v>18656</v>
      </c>
      <c r="Y21" s="12">
        <v>30000</v>
      </c>
      <c r="Z21" s="51">
        <f t="shared" si="11"/>
        <v>0.39220261052631583</v>
      </c>
      <c r="AA21">
        <v>0.62892800000000004</v>
      </c>
      <c r="AB21" s="4">
        <f t="shared" si="12"/>
        <v>0.62360494448699344</v>
      </c>
      <c r="AC21" s="18"/>
      <c r="AD21" s="18"/>
    </row>
    <row r="22" spans="2:30" x14ac:dyDescent="0.25">
      <c r="B22" s="8">
        <v>1</v>
      </c>
      <c r="C22" s="8">
        <v>8</v>
      </c>
      <c r="D22" s="8">
        <v>1</v>
      </c>
      <c r="E22" s="12">
        <v>16</v>
      </c>
      <c r="F22" s="12">
        <v>2</v>
      </c>
      <c r="G22" s="12">
        <v>2</v>
      </c>
      <c r="H22" s="12">
        <v>256</v>
      </c>
      <c r="I22" s="12">
        <v>38</v>
      </c>
      <c r="J22" s="14">
        <f t="shared" si="13"/>
        <v>1</v>
      </c>
      <c r="K22" s="8">
        <v>256</v>
      </c>
      <c r="L22" s="12">
        <v>576</v>
      </c>
      <c r="M22" s="12">
        <v>512</v>
      </c>
      <c r="N22" s="55">
        <v>0</v>
      </c>
      <c r="O22" s="15">
        <f t="shared" si="1"/>
        <v>2155.7894736842104</v>
      </c>
      <c r="P22" s="15">
        <f t="shared" si="2"/>
        <v>8623.1578947368416</v>
      </c>
      <c r="Q22" s="15">
        <f t="shared" si="3"/>
        <v>1152</v>
      </c>
      <c r="R22" s="15">
        <f t="shared" si="4"/>
        <v>10778.947368421052</v>
      </c>
      <c r="S22" s="15">
        <f t="shared" si="5"/>
        <v>128</v>
      </c>
      <c r="T22" s="15">
        <f t="shared" si="6"/>
        <v>6898.5263157894733</v>
      </c>
      <c r="U22" s="15">
        <f t="shared" si="7"/>
        <v>1024</v>
      </c>
      <c r="V22" s="15">
        <f t="shared" si="8"/>
        <v>6898.5263157894733</v>
      </c>
      <c r="W22" s="54">
        <f t="shared" si="9"/>
        <v>6553.6</v>
      </c>
      <c r="X22" s="12">
        <f t="shared" si="10"/>
        <v>971</v>
      </c>
      <c r="Y22" s="12">
        <v>30000</v>
      </c>
      <c r="Z22" s="51">
        <f t="shared" si="11"/>
        <v>5.5202073684210526E-2</v>
      </c>
      <c r="AA22">
        <v>5.4669000000000002E-2</v>
      </c>
      <c r="AB22" s="4">
        <f t="shared" si="12"/>
        <v>1.0097509316835962</v>
      </c>
      <c r="AC22" s="18"/>
      <c r="AD22" s="18"/>
    </row>
    <row r="23" spans="2:30" x14ac:dyDescent="0.25">
      <c r="B23" s="8">
        <v>2</v>
      </c>
      <c r="C23" s="8">
        <v>8</v>
      </c>
      <c r="D23" s="8">
        <v>1</v>
      </c>
      <c r="E23" s="12">
        <v>16</v>
      </c>
      <c r="F23" s="12">
        <v>2</v>
      </c>
      <c r="G23" s="12">
        <v>2</v>
      </c>
      <c r="H23" s="12">
        <v>256</v>
      </c>
      <c r="I23" s="12">
        <v>38</v>
      </c>
      <c r="J23" s="14">
        <f t="shared" si="13"/>
        <v>1</v>
      </c>
      <c r="K23" s="8">
        <v>256</v>
      </c>
      <c r="L23" s="12">
        <v>576</v>
      </c>
      <c r="M23" s="12">
        <v>512</v>
      </c>
      <c r="N23" s="55">
        <v>0</v>
      </c>
      <c r="O23" s="15">
        <f t="shared" si="1"/>
        <v>2155.7894736842104</v>
      </c>
      <c r="P23" s="15">
        <f t="shared" si="2"/>
        <v>8623.1578947368416</v>
      </c>
      <c r="Q23" s="15">
        <f t="shared" si="3"/>
        <v>1152</v>
      </c>
      <c r="R23" s="15">
        <f t="shared" si="4"/>
        <v>10778.947368421052</v>
      </c>
      <c r="S23" s="15">
        <f t="shared" si="5"/>
        <v>128</v>
      </c>
      <c r="T23" s="15">
        <f t="shared" si="6"/>
        <v>6898.5263157894733</v>
      </c>
      <c r="U23" s="15">
        <f t="shared" si="7"/>
        <v>1024</v>
      </c>
      <c r="V23" s="15">
        <f t="shared" si="8"/>
        <v>6898.5263157894733</v>
      </c>
      <c r="W23" s="54">
        <f t="shared" si="9"/>
        <v>6553.6</v>
      </c>
      <c r="X23" s="12">
        <f t="shared" si="10"/>
        <v>971</v>
      </c>
      <c r="Y23" s="12">
        <v>30000</v>
      </c>
      <c r="Z23" s="51">
        <f t="shared" si="11"/>
        <v>5.5202073684210526E-2</v>
      </c>
      <c r="AA23">
        <v>5.6383999999999997E-2</v>
      </c>
      <c r="AB23" s="4">
        <f t="shared" si="12"/>
        <v>0.97903791295776332</v>
      </c>
      <c r="AC23" s="18"/>
      <c r="AD23" s="18"/>
    </row>
    <row r="24" spans="2:30" x14ac:dyDescent="0.25">
      <c r="B24">
        <v>4</v>
      </c>
      <c r="C24">
        <v>8</v>
      </c>
      <c r="D24">
        <v>1</v>
      </c>
      <c r="E24" s="12">
        <v>16</v>
      </c>
      <c r="F24" s="12">
        <v>2</v>
      </c>
      <c r="G24" s="12">
        <v>2</v>
      </c>
      <c r="H24" s="12">
        <v>256</v>
      </c>
      <c r="I24" s="12">
        <v>38</v>
      </c>
      <c r="J24" s="14">
        <f t="shared" si="13"/>
        <v>1</v>
      </c>
      <c r="K24">
        <v>256</v>
      </c>
      <c r="L24" s="12">
        <v>576</v>
      </c>
      <c r="M24" s="12">
        <v>512</v>
      </c>
      <c r="N24" s="55">
        <v>0</v>
      </c>
      <c r="O24" s="15">
        <f t="shared" si="1"/>
        <v>2155.7894736842104</v>
      </c>
      <c r="P24" s="15">
        <f t="shared" si="2"/>
        <v>8623.1578947368416</v>
      </c>
      <c r="Q24" s="15">
        <f t="shared" si="3"/>
        <v>1152</v>
      </c>
      <c r="R24" s="15">
        <f t="shared" si="4"/>
        <v>10778.947368421052</v>
      </c>
      <c r="S24" s="15">
        <f t="shared" si="5"/>
        <v>128</v>
      </c>
      <c r="T24" s="15">
        <f t="shared" si="6"/>
        <v>6898.5263157894733</v>
      </c>
      <c r="U24" s="15">
        <f t="shared" si="7"/>
        <v>1024</v>
      </c>
      <c r="V24" s="15">
        <f t="shared" si="8"/>
        <v>6898.5263157894733</v>
      </c>
      <c r="W24" s="54">
        <f t="shared" si="9"/>
        <v>6553.6</v>
      </c>
      <c r="X24" s="12">
        <f t="shared" si="10"/>
        <v>971</v>
      </c>
      <c r="Y24" s="12">
        <v>30000</v>
      </c>
      <c r="Z24" s="51">
        <f t="shared" si="11"/>
        <v>5.5202073684210526E-2</v>
      </c>
      <c r="AA24">
        <v>6.0012999999999997E-2</v>
      </c>
      <c r="AB24" s="4">
        <f t="shared" si="12"/>
        <v>0.91983526376302682</v>
      </c>
      <c r="AC24" s="18"/>
      <c r="AD24" s="18"/>
    </row>
    <row r="25" spans="2:30" x14ac:dyDescent="0.25">
      <c r="B25">
        <v>8</v>
      </c>
      <c r="C25">
        <v>8</v>
      </c>
      <c r="D25">
        <v>1</v>
      </c>
      <c r="E25" s="12">
        <v>16</v>
      </c>
      <c r="F25" s="12">
        <v>2</v>
      </c>
      <c r="G25" s="12">
        <v>2</v>
      </c>
      <c r="H25" s="12">
        <v>256</v>
      </c>
      <c r="I25" s="12">
        <v>38</v>
      </c>
      <c r="J25" s="14">
        <f t="shared" si="13"/>
        <v>1</v>
      </c>
      <c r="K25">
        <v>256</v>
      </c>
      <c r="L25" s="12">
        <v>576</v>
      </c>
      <c r="M25" s="12">
        <v>512</v>
      </c>
      <c r="N25" s="55">
        <v>0</v>
      </c>
      <c r="O25" s="15">
        <f t="shared" si="1"/>
        <v>2155.7894736842104</v>
      </c>
      <c r="P25" s="15">
        <f t="shared" si="2"/>
        <v>8623.1578947368416</v>
      </c>
      <c r="Q25" s="15">
        <f t="shared" si="3"/>
        <v>1152</v>
      </c>
      <c r="R25" s="15">
        <f t="shared" si="4"/>
        <v>10778.947368421052</v>
      </c>
      <c r="S25" s="15">
        <f t="shared" si="5"/>
        <v>128</v>
      </c>
      <c r="T25" s="15">
        <f t="shared" si="6"/>
        <v>6898.5263157894733</v>
      </c>
      <c r="U25" s="15">
        <f t="shared" si="7"/>
        <v>1024</v>
      </c>
      <c r="V25" s="15">
        <f t="shared" si="8"/>
        <v>6898.5263157894733</v>
      </c>
      <c r="W25" s="54">
        <f t="shared" si="9"/>
        <v>6553.6</v>
      </c>
      <c r="X25" s="12">
        <f t="shared" si="10"/>
        <v>971</v>
      </c>
      <c r="Y25" s="12">
        <v>30000</v>
      </c>
      <c r="Z25" s="51">
        <f t="shared" si="11"/>
        <v>5.5202073684210526E-2</v>
      </c>
      <c r="AA25">
        <v>5.9263999999999997E-2</v>
      </c>
      <c r="AB25" s="4">
        <f t="shared" si="12"/>
        <v>0.93146047658292608</v>
      </c>
      <c r="AC25" s="18"/>
      <c r="AD25" s="18"/>
    </row>
    <row r="26" spans="2:30" x14ac:dyDescent="0.25">
      <c r="B26">
        <v>16</v>
      </c>
      <c r="C26">
        <v>8</v>
      </c>
      <c r="D26">
        <v>1</v>
      </c>
      <c r="E26" s="12">
        <v>16</v>
      </c>
      <c r="F26" s="12">
        <v>2</v>
      </c>
      <c r="G26" s="12">
        <v>2</v>
      </c>
      <c r="H26" s="12">
        <v>256</v>
      </c>
      <c r="I26" s="12">
        <v>38</v>
      </c>
      <c r="J26" s="14">
        <f t="shared" si="13"/>
        <v>1</v>
      </c>
      <c r="K26">
        <v>256</v>
      </c>
      <c r="L26" s="12">
        <v>576</v>
      </c>
      <c r="M26" s="12">
        <v>512</v>
      </c>
      <c r="N26" s="55">
        <v>0</v>
      </c>
      <c r="O26" s="15">
        <f t="shared" si="1"/>
        <v>2155.7894736842104</v>
      </c>
      <c r="P26" s="15">
        <f t="shared" si="2"/>
        <v>8623.1578947368416</v>
      </c>
      <c r="Q26" s="15">
        <f t="shared" si="3"/>
        <v>1152</v>
      </c>
      <c r="R26" s="15">
        <f t="shared" si="4"/>
        <v>10778.947368421052</v>
      </c>
      <c r="S26" s="15">
        <f t="shared" si="5"/>
        <v>128</v>
      </c>
      <c r="T26" s="15">
        <f t="shared" si="6"/>
        <v>6898.5263157894733</v>
      </c>
      <c r="U26" s="15">
        <f t="shared" si="7"/>
        <v>1024</v>
      </c>
      <c r="V26" s="15">
        <f t="shared" si="8"/>
        <v>6898.5263157894733</v>
      </c>
      <c r="W26" s="54">
        <f t="shared" si="9"/>
        <v>6553.6</v>
      </c>
      <c r="X26" s="12">
        <f t="shared" si="10"/>
        <v>971</v>
      </c>
      <c r="Y26" s="12">
        <v>30000</v>
      </c>
      <c r="Z26" s="51">
        <f t="shared" si="11"/>
        <v>5.5202073684210526E-2</v>
      </c>
      <c r="AA26">
        <v>6.0051E-2</v>
      </c>
      <c r="AB26" s="4">
        <f t="shared" si="12"/>
        <v>0.91925319618675005</v>
      </c>
      <c r="AC26" s="18"/>
      <c r="AD26" s="18"/>
    </row>
    <row r="27" spans="2:30" x14ac:dyDescent="0.25">
      <c r="B27">
        <v>32</v>
      </c>
      <c r="C27">
        <v>8</v>
      </c>
      <c r="D27">
        <v>1</v>
      </c>
      <c r="E27" s="12">
        <v>16</v>
      </c>
      <c r="F27" s="12">
        <v>2</v>
      </c>
      <c r="G27" s="12">
        <v>2</v>
      </c>
      <c r="H27" s="12">
        <v>256</v>
      </c>
      <c r="I27" s="12">
        <v>38</v>
      </c>
      <c r="J27" s="14">
        <f t="shared" si="13"/>
        <v>2</v>
      </c>
      <c r="K27">
        <v>256</v>
      </c>
      <c r="L27" s="12">
        <v>576</v>
      </c>
      <c r="M27" s="12">
        <v>512</v>
      </c>
      <c r="N27" s="55">
        <v>0</v>
      </c>
      <c r="O27" s="15">
        <f t="shared" si="1"/>
        <v>4311.5789473684208</v>
      </c>
      <c r="P27" s="15">
        <f t="shared" si="2"/>
        <v>17246.315789473683</v>
      </c>
      <c r="Q27" s="15">
        <f t="shared" si="3"/>
        <v>2304</v>
      </c>
      <c r="R27" s="15">
        <f t="shared" si="4"/>
        <v>21557.894736842103</v>
      </c>
      <c r="S27" s="15">
        <f t="shared" si="5"/>
        <v>256</v>
      </c>
      <c r="T27" s="15">
        <f t="shared" si="6"/>
        <v>13797.052631578947</v>
      </c>
      <c r="U27" s="15">
        <f t="shared" si="7"/>
        <v>2048</v>
      </c>
      <c r="V27" s="15">
        <f t="shared" si="8"/>
        <v>13797.052631578947</v>
      </c>
      <c r="W27" s="54">
        <f t="shared" si="9"/>
        <v>6553.6</v>
      </c>
      <c r="X27" s="12">
        <f t="shared" si="10"/>
        <v>1942</v>
      </c>
      <c r="Y27" s="12">
        <v>30000</v>
      </c>
      <c r="Z27" s="51">
        <f t="shared" si="11"/>
        <v>7.3850547368421046E-2</v>
      </c>
      <c r="AA27">
        <v>7.4989E-2</v>
      </c>
      <c r="AB27" s="4">
        <f t="shared" si="12"/>
        <v>0.98481840494500583</v>
      </c>
      <c r="AC27" s="18"/>
      <c r="AD27" s="18"/>
    </row>
    <row r="28" spans="2:30" x14ac:dyDescent="0.25">
      <c r="B28">
        <v>64</v>
      </c>
      <c r="C28">
        <v>8</v>
      </c>
      <c r="D28">
        <v>1</v>
      </c>
      <c r="E28" s="12">
        <v>16</v>
      </c>
      <c r="F28" s="12">
        <v>2</v>
      </c>
      <c r="G28" s="12">
        <v>2</v>
      </c>
      <c r="H28" s="12">
        <v>256</v>
      </c>
      <c r="I28" s="12">
        <v>38</v>
      </c>
      <c r="J28" s="14">
        <f t="shared" si="13"/>
        <v>4</v>
      </c>
      <c r="K28">
        <v>256</v>
      </c>
      <c r="L28" s="12">
        <v>576</v>
      </c>
      <c r="M28" s="12">
        <v>512</v>
      </c>
      <c r="N28" s="55">
        <v>0</v>
      </c>
      <c r="O28" s="15">
        <f t="shared" si="1"/>
        <v>8623.1578947368416</v>
      </c>
      <c r="P28" s="15">
        <f t="shared" si="2"/>
        <v>34492.631578947367</v>
      </c>
      <c r="Q28" s="15">
        <f t="shared" si="3"/>
        <v>4608</v>
      </c>
      <c r="R28" s="15">
        <f t="shared" si="4"/>
        <v>43115.789473684206</v>
      </c>
      <c r="S28" s="15">
        <f t="shared" si="5"/>
        <v>512</v>
      </c>
      <c r="T28" s="15">
        <f t="shared" si="6"/>
        <v>27594.105263157893</v>
      </c>
      <c r="U28" s="15">
        <f t="shared" si="7"/>
        <v>4096</v>
      </c>
      <c r="V28" s="15">
        <f t="shared" si="8"/>
        <v>27594.105263157893</v>
      </c>
      <c r="W28" s="54">
        <f t="shared" si="9"/>
        <v>6553.6</v>
      </c>
      <c r="X28" s="12">
        <f t="shared" si="10"/>
        <v>3884</v>
      </c>
      <c r="Y28" s="12">
        <v>30000</v>
      </c>
      <c r="Z28" s="51">
        <f t="shared" si="11"/>
        <v>0.11114749473684211</v>
      </c>
      <c r="AA28">
        <v>0.116685</v>
      </c>
      <c r="AB28" s="4">
        <f t="shared" si="12"/>
        <v>0.9525431266815968</v>
      </c>
      <c r="AC28" s="18"/>
      <c r="AD28" s="18"/>
    </row>
    <row r="29" spans="2:30" x14ac:dyDescent="0.25">
      <c r="B29">
        <v>128</v>
      </c>
      <c r="C29">
        <v>8</v>
      </c>
      <c r="D29">
        <v>1</v>
      </c>
      <c r="E29" s="12">
        <v>16</v>
      </c>
      <c r="F29" s="12">
        <v>2</v>
      </c>
      <c r="G29" s="12">
        <v>2</v>
      </c>
      <c r="H29" s="12">
        <v>256</v>
      </c>
      <c r="I29" s="12">
        <v>38</v>
      </c>
      <c r="J29" s="14">
        <f t="shared" si="13"/>
        <v>8</v>
      </c>
      <c r="K29">
        <v>256</v>
      </c>
      <c r="L29" s="12">
        <v>576</v>
      </c>
      <c r="M29" s="12">
        <v>512</v>
      </c>
      <c r="N29" s="55">
        <v>0</v>
      </c>
      <c r="O29" s="15">
        <f t="shared" si="1"/>
        <v>17246.315789473683</v>
      </c>
      <c r="P29" s="15">
        <f t="shared" si="2"/>
        <v>68985.263157894733</v>
      </c>
      <c r="Q29" s="15">
        <f t="shared" si="3"/>
        <v>9216</v>
      </c>
      <c r="R29" s="15">
        <f t="shared" si="4"/>
        <v>86231.578947368413</v>
      </c>
      <c r="S29" s="15">
        <f t="shared" si="5"/>
        <v>1024</v>
      </c>
      <c r="T29" s="15">
        <f t="shared" si="6"/>
        <v>55188.210526315786</v>
      </c>
      <c r="U29" s="15">
        <f t="shared" si="7"/>
        <v>8192</v>
      </c>
      <c r="V29" s="15">
        <f t="shared" si="8"/>
        <v>55188.210526315786</v>
      </c>
      <c r="W29" s="54">
        <f t="shared" si="9"/>
        <v>6553.6</v>
      </c>
      <c r="X29" s="12">
        <f t="shared" si="10"/>
        <v>7768</v>
      </c>
      <c r="Y29" s="12">
        <v>30000</v>
      </c>
      <c r="Z29" s="51">
        <f t="shared" si="11"/>
        <v>0.18574138947368421</v>
      </c>
      <c r="AA29">
        <v>0.189549</v>
      </c>
      <c r="AB29" s="4">
        <f t="shared" si="12"/>
        <v>0.97991226265337306</v>
      </c>
      <c r="AC29" s="18"/>
      <c r="AD29" s="18"/>
    </row>
    <row r="30" spans="2:30" x14ac:dyDescent="0.25">
      <c r="B30">
        <v>256</v>
      </c>
      <c r="C30">
        <v>8</v>
      </c>
      <c r="D30">
        <v>1</v>
      </c>
      <c r="E30" s="12">
        <v>16</v>
      </c>
      <c r="F30" s="12">
        <v>2</v>
      </c>
      <c r="G30" s="12">
        <v>2</v>
      </c>
      <c r="H30" s="12">
        <v>256</v>
      </c>
      <c r="I30" s="12">
        <v>38</v>
      </c>
      <c r="J30" s="14">
        <f t="shared" si="13"/>
        <v>16</v>
      </c>
      <c r="K30">
        <v>256</v>
      </c>
      <c r="L30" s="12">
        <v>576</v>
      </c>
      <c r="M30" s="12">
        <v>512</v>
      </c>
      <c r="N30" s="55">
        <v>0</v>
      </c>
      <c r="O30" s="15">
        <f t="shared" si="1"/>
        <v>34492.631578947367</v>
      </c>
      <c r="P30" s="15">
        <f t="shared" si="2"/>
        <v>137970.52631578947</v>
      </c>
      <c r="Q30" s="15">
        <f t="shared" si="3"/>
        <v>18432</v>
      </c>
      <c r="R30" s="15">
        <f t="shared" si="4"/>
        <v>172463.15789473683</v>
      </c>
      <c r="S30" s="15">
        <f t="shared" si="5"/>
        <v>2048</v>
      </c>
      <c r="T30" s="15">
        <f t="shared" si="6"/>
        <v>110376.42105263157</v>
      </c>
      <c r="U30" s="15">
        <f t="shared" si="7"/>
        <v>16384</v>
      </c>
      <c r="V30" s="15">
        <f t="shared" si="8"/>
        <v>110376.42105263157</v>
      </c>
      <c r="W30" s="54">
        <f t="shared" si="9"/>
        <v>13107.2</v>
      </c>
      <c r="X30" s="12">
        <f t="shared" si="10"/>
        <v>15536</v>
      </c>
      <c r="Y30" s="12">
        <v>30000</v>
      </c>
      <c r="Z30" s="51">
        <f t="shared" si="11"/>
        <v>0.34148277894736845</v>
      </c>
      <c r="AA30">
        <v>0.39211499999999999</v>
      </c>
      <c r="AB30" s="4">
        <f t="shared" si="12"/>
        <v>0.87087405212085345</v>
      </c>
      <c r="AC30" s="18"/>
      <c r="AD30" s="18"/>
    </row>
    <row r="31" spans="2:30" x14ac:dyDescent="0.25">
      <c r="B31">
        <v>512</v>
      </c>
      <c r="C31">
        <v>8</v>
      </c>
      <c r="D31">
        <v>1</v>
      </c>
      <c r="E31" s="12">
        <v>16</v>
      </c>
      <c r="F31" s="12">
        <v>2</v>
      </c>
      <c r="G31" s="12">
        <v>2</v>
      </c>
      <c r="H31" s="12">
        <v>256</v>
      </c>
      <c r="I31" s="12">
        <v>38</v>
      </c>
      <c r="J31" s="14">
        <f t="shared" si="13"/>
        <v>32</v>
      </c>
      <c r="K31">
        <v>256</v>
      </c>
      <c r="L31" s="12">
        <v>576</v>
      </c>
      <c r="M31" s="12">
        <v>512</v>
      </c>
      <c r="N31" s="55">
        <v>0</v>
      </c>
      <c r="O31" s="15">
        <f t="shared" si="1"/>
        <v>68985.263157894733</v>
      </c>
      <c r="P31" s="15">
        <f t="shared" si="2"/>
        <v>275941.05263157893</v>
      </c>
      <c r="Q31" s="15">
        <f t="shared" si="3"/>
        <v>36864</v>
      </c>
      <c r="R31" s="15">
        <f t="shared" si="4"/>
        <v>344926.31578947365</v>
      </c>
      <c r="S31" s="15">
        <f t="shared" si="5"/>
        <v>4096</v>
      </c>
      <c r="T31" s="15">
        <f t="shared" si="6"/>
        <v>220752.84210526315</v>
      </c>
      <c r="U31" s="15">
        <f t="shared" si="7"/>
        <v>32768</v>
      </c>
      <c r="V31" s="15">
        <f t="shared" si="8"/>
        <v>220752.84210526315</v>
      </c>
      <c r="W31" s="54">
        <f t="shared" si="9"/>
        <v>26214.400000000001</v>
      </c>
      <c r="X31" s="12">
        <f t="shared" si="10"/>
        <v>31072</v>
      </c>
      <c r="Y31" s="12">
        <v>30000</v>
      </c>
      <c r="Z31" s="51">
        <f t="shared" si="11"/>
        <v>0.65296555789473687</v>
      </c>
      <c r="AA31">
        <v>0.84127399999999997</v>
      </c>
      <c r="AB31" s="4">
        <f t="shared" si="12"/>
        <v>0.77616276967401454</v>
      </c>
      <c r="AC31" s="18"/>
      <c r="AD31" s="18"/>
    </row>
    <row r="32" spans="2:30" x14ac:dyDescent="0.25">
      <c r="B32" s="8">
        <v>1</v>
      </c>
      <c r="C32" s="8">
        <v>8</v>
      </c>
      <c r="D32" s="8">
        <v>1</v>
      </c>
      <c r="E32" s="12">
        <v>16</v>
      </c>
      <c r="F32" s="12">
        <v>2</v>
      </c>
      <c r="G32" s="12">
        <v>2</v>
      </c>
      <c r="H32" s="12">
        <v>256</v>
      </c>
      <c r="I32" s="12">
        <v>38</v>
      </c>
      <c r="J32" s="14">
        <f t="shared" si="13"/>
        <v>1</v>
      </c>
      <c r="K32" s="8">
        <v>512</v>
      </c>
      <c r="L32" s="12">
        <v>576</v>
      </c>
      <c r="M32" s="12">
        <v>512</v>
      </c>
      <c r="N32" s="55">
        <v>0</v>
      </c>
      <c r="O32" s="15">
        <f t="shared" si="1"/>
        <v>2155.7894736842104</v>
      </c>
      <c r="P32" s="15">
        <f t="shared" si="2"/>
        <v>17246.315789473683</v>
      </c>
      <c r="Q32" s="15">
        <f t="shared" si="3"/>
        <v>2304</v>
      </c>
      <c r="R32" s="15">
        <f t="shared" si="4"/>
        <v>19402.105263157893</v>
      </c>
      <c r="S32" s="15">
        <f t="shared" si="5"/>
        <v>256</v>
      </c>
      <c r="T32" s="15">
        <f t="shared" si="6"/>
        <v>13797.052631578947</v>
      </c>
      <c r="U32" s="15">
        <f t="shared" si="7"/>
        <v>2048</v>
      </c>
      <c r="V32" s="15">
        <f t="shared" si="8"/>
        <v>13797.052631578947</v>
      </c>
      <c r="W32" s="54">
        <f t="shared" si="9"/>
        <v>6553.6</v>
      </c>
      <c r="X32" s="12">
        <f t="shared" si="10"/>
        <v>1747</v>
      </c>
      <c r="Y32" s="12">
        <v>30000</v>
      </c>
      <c r="Z32" s="51">
        <f t="shared" si="11"/>
        <v>7.1499757894736837E-2</v>
      </c>
      <c r="AA32">
        <v>6.7558000000000007E-2</v>
      </c>
      <c r="AB32" s="4">
        <f t="shared" si="12"/>
        <v>1.0583462786751654</v>
      </c>
      <c r="AC32" s="18"/>
      <c r="AD32" s="18"/>
    </row>
    <row r="33" spans="2:30" x14ac:dyDescent="0.25">
      <c r="B33" s="8">
        <v>2</v>
      </c>
      <c r="C33" s="8">
        <v>8</v>
      </c>
      <c r="D33" s="8">
        <v>1</v>
      </c>
      <c r="E33" s="12">
        <v>16</v>
      </c>
      <c r="F33" s="12">
        <v>2</v>
      </c>
      <c r="G33" s="12">
        <v>2</v>
      </c>
      <c r="H33" s="12">
        <v>256</v>
      </c>
      <c r="I33" s="12">
        <v>38</v>
      </c>
      <c r="J33" s="14">
        <f t="shared" si="13"/>
        <v>1</v>
      </c>
      <c r="K33" s="8">
        <v>512</v>
      </c>
      <c r="L33" s="12">
        <v>576</v>
      </c>
      <c r="M33" s="12">
        <v>512</v>
      </c>
      <c r="N33" s="55">
        <v>0</v>
      </c>
      <c r="O33" s="15">
        <f t="shared" si="1"/>
        <v>2155.7894736842104</v>
      </c>
      <c r="P33" s="15">
        <f t="shared" si="2"/>
        <v>17246.315789473683</v>
      </c>
      <c r="Q33" s="15">
        <f t="shared" si="3"/>
        <v>2304</v>
      </c>
      <c r="R33" s="15">
        <f t="shared" si="4"/>
        <v>19402.105263157893</v>
      </c>
      <c r="S33" s="15">
        <f t="shared" si="5"/>
        <v>256</v>
      </c>
      <c r="T33" s="15">
        <f t="shared" si="6"/>
        <v>13797.052631578947</v>
      </c>
      <c r="U33" s="15">
        <f t="shared" si="7"/>
        <v>2048</v>
      </c>
      <c r="V33" s="15">
        <f t="shared" si="8"/>
        <v>13797.052631578947</v>
      </c>
      <c r="W33" s="54">
        <f t="shared" si="9"/>
        <v>6553.6</v>
      </c>
      <c r="X33" s="12">
        <f t="shared" si="10"/>
        <v>1747</v>
      </c>
      <c r="Y33" s="12">
        <v>30000</v>
      </c>
      <c r="Z33" s="51">
        <f t="shared" si="11"/>
        <v>7.1499757894736837E-2</v>
      </c>
      <c r="AA33">
        <v>7.0342000000000002E-2</v>
      </c>
      <c r="AB33" s="4">
        <f t="shared" si="12"/>
        <v>1.0164589846000516</v>
      </c>
      <c r="AC33" s="18"/>
      <c r="AD33" s="18"/>
    </row>
    <row r="34" spans="2:30" x14ac:dyDescent="0.25">
      <c r="B34">
        <v>4</v>
      </c>
      <c r="C34">
        <v>8</v>
      </c>
      <c r="D34">
        <v>1</v>
      </c>
      <c r="E34" s="12">
        <v>16</v>
      </c>
      <c r="F34" s="12">
        <v>2</v>
      </c>
      <c r="G34" s="12">
        <v>2</v>
      </c>
      <c r="H34" s="12">
        <v>256</v>
      </c>
      <c r="I34" s="12">
        <v>38</v>
      </c>
      <c r="J34" s="14">
        <f t="shared" si="13"/>
        <v>1</v>
      </c>
      <c r="K34">
        <v>512</v>
      </c>
      <c r="L34" s="12">
        <v>576</v>
      </c>
      <c r="M34" s="12">
        <v>512</v>
      </c>
      <c r="N34" s="55">
        <v>0</v>
      </c>
      <c r="O34" s="15">
        <f t="shared" si="1"/>
        <v>2155.7894736842104</v>
      </c>
      <c r="P34" s="15">
        <f t="shared" si="2"/>
        <v>17246.315789473683</v>
      </c>
      <c r="Q34" s="15">
        <f t="shared" si="3"/>
        <v>2304</v>
      </c>
      <c r="R34" s="15">
        <f t="shared" si="4"/>
        <v>19402.105263157893</v>
      </c>
      <c r="S34" s="15">
        <f t="shared" si="5"/>
        <v>256</v>
      </c>
      <c r="T34" s="15">
        <f t="shared" si="6"/>
        <v>13797.052631578947</v>
      </c>
      <c r="U34" s="15">
        <f t="shared" si="7"/>
        <v>2048</v>
      </c>
      <c r="V34" s="15">
        <f t="shared" si="8"/>
        <v>13797.052631578947</v>
      </c>
      <c r="W34" s="54">
        <f t="shared" si="9"/>
        <v>6553.6</v>
      </c>
      <c r="X34" s="12">
        <f t="shared" si="10"/>
        <v>1747</v>
      </c>
      <c r="Y34" s="12">
        <v>30000</v>
      </c>
      <c r="Z34" s="51">
        <f t="shared" si="11"/>
        <v>7.1499757894736837E-2</v>
      </c>
      <c r="AA34">
        <v>8.2400000000000001E-2</v>
      </c>
      <c r="AB34" s="4">
        <f t="shared" si="12"/>
        <v>0.86771550843127232</v>
      </c>
      <c r="AC34" s="18"/>
      <c r="AD34" s="18"/>
    </row>
    <row r="35" spans="2:30" x14ac:dyDescent="0.25">
      <c r="B35">
        <v>8</v>
      </c>
      <c r="C35">
        <v>8</v>
      </c>
      <c r="D35">
        <v>1</v>
      </c>
      <c r="E35" s="12">
        <v>16</v>
      </c>
      <c r="F35" s="12">
        <v>2</v>
      </c>
      <c r="G35" s="12">
        <v>2</v>
      </c>
      <c r="H35" s="12">
        <v>256</v>
      </c>
      <c r="I35" s="12">
        <v>38</v>
      </c>
      <c r="J35" s="14">
        <f t="shared" si="13"/>
        <v>1</v>
      </c>
      <c r="K35">
        <v>512</v>
      </c>
      <c r="L35" s="12">
        <v>576</v>
      </c>
      <c r="M35" s="12">
        <v>512</v>
      </c>
      <c r="N35" s="55">
        <v>0</v>
      </c>
      <c r="O35" s="15">
        <f t="shared" si="1"/>
        <v>2155.7894736842104</v>
      </c>
      <c r="P35" s="15">
        <f t="shared" si="2"/>
        <v>17246.315789473683</v>
      </c>
      <c r="Q35" s="15">
        <f t="shared" si="3"/>
        <v>2304</v>
      </c>
      <c r="R35" s="15">
        <f t="shared" si="4"/>
        <v>19402.105263157893</v>
      </c>
      <c r="S35" s="15">
        <f t="shared" si="5"/>
        <v>256</v>
      </c>
      <c r="T35" s="15">
        <f t="shared" si="6"/>
        <v>13797.052631578947</v>
      </c>
      <c r="U35" s="15">
        <f t="shared" si="7"/>
        <v>2048</v>
      </c>
      <c r="V35" s="15">
        <f t="shared" si="8"/>
        <v>13797.052631578947</v>
      </c>
      <c r="W35" s="54">
        <f t="shared" si="9"/>
        <v>6553.6</v>
      </c>
      <c r="X35" s="12">
        <f t="shared" si="10"/>
        <v>1747</v>
      </c>
      <c r="Y35" s="12">
        <v>30000</v>
      </c>
      <c r="Z35" s="51">
        <f t="shared" si="11"/>
        <v>7.1499757894736837E-2</v>
      </c>
      <c r="AA35">
        <v>7.8137999999999999E-2</v>
      </c>
      <c r="AB35" s="4">
        <f t="shared" si="12"/>
        <v>0.91504463762493071</v>
      </c>
      <c r="AC35" s="18"/>
      <c r="AD35" s="18"/>
    </row>
    <row r="36" spans="2:30" x14ac:dyDescent="0.25">
      <c r="B36">
        <v>16</v>
      </c>
      <c r="C36">
        <v>8</v>
      </c>
      <c r="D36">
        <v>1</v>
      </c>
      <c r="E36" s="12">
        <v>16</v>
      </c>
      <c r="F36" s="12">
        <v>2</v>
      </c>
      <c r="G36" s="12">
        <v>2</v>
      </c>
      <c r="H36" s="12">
        <v>256</v>
      </c>
      <c r="I36" s="12">
        <v>38</v>
      </c>
      <c r="J36" s="14">
        <f t="shared" si="13"/>
        <v>1</v>
      </c>
      <c r="K36">
        <v>512</v>
      </c>
      <c r="L36" s="12">
        <v>576</v>
      </c>
      <c r="M36" s="12">
        <v>512</v>
      </c>
      <c r="N36" s="55">
        <v>0</v>
      </c>
      <c r="O36" s="15">
        <f t="shared" si="1"/>
        <v>2155.7894736842104</v>
      </c>
      <c r="P36" s="15">
        <f t="shared" si="2"/>
        <v>17246.315789473683</v>
      </c>
      <c r="Q36" s="15">
        <f t="shared" si="3"/>
        <v>2304</v>
      </c>
      <c r="R36" s="15">
        <f t="shared" si="4"/>
        <v>19402.105263157893</v>
      </c>
      <c r="S36" s="15">
        <f t="shared" si="5"/>
        <v>256</v>
      </c>
      <c r="T36" s="15">
        <f t="shared" si="6"/>
        <v>13797.052631578947</v>
      </c>
      <c r="U36" s="15">
        <f t="shared" si="7"/>
        <v>2048</v>
      </c>
      <c r="V36" s="15">
        <f t="shared" si="8"/>
        <v>13797.052631578947</v>
      </c>
      <c r="W36" s="54">
        <f t="shared" si="9"/>
        <v>6553.6</v>
      </c>
      <c r="X36" s="12">
        <f t="shared" si="10"/>
        <v>1747</v>
      </c>
      <c r="Y36" s="12">
        <v>30000</v>
      </c>
      <c r="Z36" s="51">
        <f t="shared" si="11"/>
        <v>7.1499757894736837E-2</v>
      </c>
      <c r="AA36">
        <v>7.8495999999999996E-2</v>
      </c>
      <c r="AB36" s="4">
        <f t="shared" si="12"/>
        <v>0.91087135516124185</v>
      </c>
      <c r="AC36" s="18"/>
      <c r="AD36" s="18"/>
    </row>
    <row r="37" spans="2:30" x14ac:dyDescent="0.25">
      <c r="B37">
        <v>32</v>
      </c>
      <c r="C37">
        <v>8</v>
      </c>
      <c r="D37">
        <v>1</v>
      </c>
      <c r="E37" s="12">
        <v>16</v>
      </c>
      <c r="F37" s="12">
        <v>2</v>
      </c>
      <c r="G37" s="12">
        <v>2</v>
      </c>
      <c r="H37" s="12">
        <v>256</v>
      </c>
      <c r="I37" s="12">
        <v>38</v>
      </c>
      <c r="J37" s="14">
        <f t="shared" si="13"/>
        <v>2</v>
      </c>
      <c r="K37">
        <v>512</v>
      </c>
      <c r="L37" s="12">
        <v>576</v>
      </c>
      <c r="M37" s="12">
        <v>512</v>
      </c>
      <c r="N37" s="55">
        <v>0</v>
      </c>
      <c r="O37" s="15">
        <f t="shared" si="1"/>
        <v>4311.5789473684208</v>
      </c>
      <c r="P37" s="15">
        <f t="shared" si="2"/>
        <v>34492.631578947367</v>
      </c>
      <c r="Q37" s="15">
        <f t="shared" si="3"/>
        <v>4608</v>
      </c>
      <c r="R37" s="15">
        <f t="shared" si="4"/>
        <v>38804.210526315786</v>
      </c>
      <c r="S37" s="15">
        <f t="shared" si="5"/>
        <v>512</v>
      </c>
      <c r="T37" s="15">
        <f t="shared" si="6"/>
        <v>27594.105263157893</v>
      </c>
      <c r="U37" s="15">
        <f t="shared" si="7"/>
        <v>4096</v>
      </c>
      <c r="V37" s="15">
        <f t="shared" si="8"/>
        <v>27594.105263157893</v>
      </c>
      <c r="W37" s="54">
        <f t="shared" si="9"/>
        <v>6553.6</v>
      </c>
      <c r="X37" s="12">
        <f t="shared" si="10"/>
        <v>3494</v>
      </c>
      <c r="Y37" s="12">
        <v>30000</v>
      </c>
      <c r="Z37" s="51">
        <f t="shared" si="11"/>
        <v>0.10644591578947368</v>
      </c>
      <c r="AA37">
        <v>0.106694</v>
      </c>
      <c r="AB37" s="4">
        <f t="shared" si="12"/>
        <v>0.99767480635718675</v>
      </c>
      <c r="AC37" s="18"/>
      <c r="AD37" s="18"/>
    </row>
    <row r="38" spans="2:30" x14ac:dyDescent="0.25">
      <c r="B38">
        <v>64</v>
      </c>
      <c r="C38">
        <v>8</v>
      </c>
      <c r="D38">
        <v>1</v>
      </c>
      <c r="E38" s="12">
        <v>16</v>
      </c>
      <c r="F38" s="12">
        <v>2</v>
      </c>
      <c r="G38" s="12">
        <v>2</v>
      </c>
      <c r="H38" s="12">
        <v>256</v>
      </c>
      <c r="I38" s="12">
        <v>38</v>
      </c>
      <c r="J38" s="14">
        <f t="shared" si="13"/>
        <v>4</v>
      </c>
      <c r="K38">
        <v>512</v>
      </c>
      <c r="L38" s="12">
        <v>576</v>
      </c>
      <c r="M38" s="12">
        <v>512</v>
      </c>
      <c r="N38" s="55">
        <v>0</v>
      </c>
      <c r="O38" s="15">
        <f t="shared" si="1"/>
        <v>8623.1578947368416</v>
      </c>
      <c r="P38" s="15">
        <f t="shared" si="2"/>
        <v>68985.263157894733</v>
      </c>
      <c r="Q38" s="15">
        <f t="shared" si="3"/>
        <v>9216</v>
      </c>
      <c r="R38" s="15">
        <f t="shared" si="4"/>
        <v>77608.421052631573</v>
      </c>
      <c r="S38" s="15">
        <f t="shared" si="5"/>
        <v>1024</v>
      </c>
      <c r="T38" s="15">
        <f t="shared" si="6"/>
        <v>55188.210526315786</v>
      </c>
      <c r="U38" s="15">
        <f t="shared" si="7"/>
        <v>8192</v>
      </c>
      <c r="V38" s="15">
        <f t="shared" si="8"/>
        <v>55188.210526315786</v>
      </c>
      <c r="W38" s="54">
        <f t="shared" si="9"/>
        <v>6553.6</v>
      </c>
      <c r="X38" s="12">
        <f t="shared" si="10"/>
        <v>6988</v>
      </c>
      <c r="Y38" s="12">
        <v>30000</v>
      </c>
      <c r="Z38" s="51">
        <f t="shared" si="11"/>
        <v>0.17633823157894737</v>
      </c>
      <c r="AA38">
        <v>0.17865</v>
      </c>
      <c r="AB38" s="4">
        <f t="shared" si="12"/>
        <v>0.98705979053427018</v>
      </c>
      <c r="AC38" s="18"/>
      <c r="AD38" s="18"/>
    </row>
    <row r="39" spans="2:30" x14ac:dyDescent="0.25">
      <c r="B39">
        <v>128</v>
      </c>
      <c r="C39">
        <v>8</v>
      </c>
      <c r="D39">
        <v>1</v>
      </c>
      <c r="E39" s="12">
        <v>16</v>
      </c>
      <c r="F39" s="12">
        <v>2</v>
      </c>
      <c r="G39" s="12">
        <v>2</v>
      </c>
      <c r="H39" s="12">
        <v>256</v>
      </c>
      <c r="I39" s="12">
        <v>38</v>
      </c>
      <c r="J39" s="14">
        <f t="shared" si="13"/>
        <v>8</v>
      </c>
      <c r="K39">
        <v>512</v>
      </c>
      <c r="L39" s="12">
        <v>576</v>
      </c>
      <c r="M39" s="12">
        <v>512</v>
      </c>
      <c r="N39" s="55">
        <v>0</v>
      </c>
      <c r="O39" s="15">
        <f t="shared" si="1"/>
        <v>17246.315789473683</v>
      </c>
      <c r="P39" s="15">
        <f t="shared" si="2"/>
        <v>137970.52631578947</v>
      </c>
      <c r="Q39" s="15">
        <f t="shared" si="3"/>
        <v>18432</v>
      </c>
      <c r="R39" s="15">
        <f t="shared" si="4"/>
        <v>155216.84210526315</v>
      </c>
      <c r="S39" s="15">
        <f t="shared" si="5"/>
        <v>2048</v>
      </c>
      <c r="T39" s="15">
        <f t="shared" si="6"/>
        <v>110376.42105263157</v>
      </c>
      <c r="U39" s="15">
        <f t="shared" si="7"/>
        <v>16384</v>
      </c>
      <c r="V39" s="15">
        <f t="shared" si="8"/>
        <v>110376.42105263157</v>
      </c>
      <c r="W39" s="54">
        <f t="shared" si="9"/>
        <v>6553.6</v>
      </c>
      <c r="X39" s="12">
        <f t="shared" si="10"/>
        <v>13976</v>
      </c>
      <c r="Y39" s="12">
        <v>30000</v>
      </c>
      <c r="Z39" s="51">
        <f t="shared" si="11"/>
        <v>0.31612286315789467</v>
      </c>
      <c r="AA39">
        <v>0.30991999999999997</v>
      </c>
      <c r="AB39" s="4">
        <f t="shared" si="12"/>
        <v>1.0200144009999184</v>
      </c>
      <c r="AC39" s="18"/>
      <c r="AD39" s="18"/>
    </row>
    <row r="40" spans="2:30" x14ac:dyDescent="0.25">
      <c r="B40">
        <v>256</v>
      </c>
      <c r="C40">
        <v>8</v>
      </c>
      <c r="D40">
        <v>1</v>
      </c>
      <c r="E40" s="12">
        <v>16</v>
      </c>
      <c r="F40" s="12">
        <v>2</v>
      </c>
      <c r="G40" s="12">
        <v>2</v>
      </c>
      <c r="H40" s="12">
        <v>256</v>
      </c>
      <c r="I40" s="12">
        <v>38</v>
      </c>
      <c r="J40" s="14">
        <f t="shared" si="13"/>
        <v>16</v>
      </c>
      <c r="K40">
        <v>512</v>
      </c>
      <c r="L40" s="12">
        <v>576</v>
      </c>
      <c r="M40" s="12">
        <v>512</v>
      </c>
      <c r="N40" s="55">
        <v>0</v>
      </c>
      <c r="O40" s="15">
        <f t="shared" si="1"/>
        <v>34492.631578947367</v>
      </c>
      <c r="P40" s="15">
        <f t="shared" si="2"/>
        <v>275941.05263157893</v>
      </c>
      <c r="Q40" s="15">
        <f t="shared" si="3"/>
        <v>36864</v>
      </c>
      <c r="R40" s="15">
        <f t="shared" si="4"/>
        <v>310433.68421052629</v>
      </c>
      <c r="S40" s="15">
        <f t="shared" si="5"/>
        <v>4096</v>
      </c>
      <c r="T40" s="15">
        <f t="shared" si="6"/>
        <v>220752.84210526315</v>
      </c>
      <c r="U40" s="15">
        <f t="shared" si="7"/>
        <v>32768</v>
      </c>
      <c r="V40" s="15">
        <f t="shared" si="8"/>
        <v>220752.84210526315</v>
      </c>
      <c r="W40" s="54">
        <f t="shared" si="9"/>
        <v>13107.2</v>
      </c>
      <c r="X40" s="12">
        <f t="shared" si="10"/>
        <v>27952</v>
      </c>
      <c r="Y40" s="12">
        <v>30000</v>
      </c>
      <c r="Z40" s="51">
        <f t="shared" si="11"/>
        <v>0.60224572631578943</v>
      </c>
      <c r="AA40">
        <v>0.676736</v>
      </c>
      <c r="AB40" s="4">
        <f t="shared" si="12"/>
        <v>0.88992713010064406</v>
      </c>
      <c r="AC40" s="18"/>
      <c r="AD40" s="18"/>
    </row>
    <row r="41" spans="2:30" x14ac:dyDescent="0.25">
      <c r="B41">
        <v>512</v>
      </c>
      <c r="C41">
        <v>8</v>
      </c>
      <c r="D41">
        <v>1</v>
      </c>
      <c r="E41" s="12">
        <v>16</v>
      </c>
      <c r="F41" s="12">
        <v>2</v>
      </c>
      <c r="G41" s="12">
        <v>2</v>
      </c>
      <c r="H41" s="12">
        <v>256</v>
      </c>
      <c r="I41" s="12">
        <v>38</v>
      </c>
      <c r="J41" s="14">
        <f t="shared" si="13"/>
        <v>32</v>
      </c>
      <c r="K41">
        <v>512</v>
      </c>
      <c r="L41" s="12">
        <v>576</v>
      </c>
      <c r="M41" s="12">
        <v>512</v>
      </c>
      <c r="N41" s="55">
        <v>0</v>
      </c>
      <c r="O41" s="15">
        <f t="shared" si="1"/>
        <v>68985.263157894733</v>
      </c>
      <c r="P41" s="15">
        <f t="shared" si="2"/>
        <v>551882.10526315786</v>
      </c>
      <c r="Q41" s="15">
        <f t="shared" si="3"/>
        <v>73728</v>
      </c>
      <c r="R41" s="15">
        <f t="shared" si="4"/>
        <v>620867.36842105258</v>
      </c>
      <c r="S41" s="15">
        <f t="shared" si="5"/>
        <v>8192</v>
      </c>
      <c r="T41" s="15">
        <f t="shared" si="6"/>
        <v>441505.68421052629</v>
      </c>
      <c r="U41" s="15">
        <f t="shared" si="7"/>
        <v>65536</v>
      </c>
      <c r="V41" s="15">
        <f t="shared" si="8"/>
        <v>441505.68421052629</v>
      </c>
      <c r="W41" s="54">
        <f t="shared" si="9"/>
        <v>26214.400000000001</v>
      </c>
      <c r="X41" s="12">
        <f t="shared" si="10"/>
        <v>55904</v>
      </c>
      <c r="Y41" s="12">
        <v>30000</v>
      </c>
      <c r="Z41" s="51">
        <f t="shared" si="11"/>
        <v>1.1744914526315788</v>
      </c>
      <c r="AA41">
        <v>1.3448899999999999</v>
      </c>
      <c r="AB41" s="4">
        <f t="shared" si="12"/>
        <v>0.8732992680677073</v>
      </c>
      <c r="AC41" s="18"/>
      <c r="AD41" s="18"/>
    </row>
    <row r="42" spans="2:30" x14ac:dyDescent="0.25">
      <c r="B42" s="8">
        <v>1</v>
      </c>
      <c r="C42" s="8">
        <v>8</v>
      </c>
      <c r="D42" s="8">
        <v>1</v>
      </c>
      <c r="E42" s="12">
        <v>16</v>
      </c>
      <c r="F42" s="12">
        <v>2</v>
      </c>
      <c r="G42" s="12">
        <v>2</v>
      </c>
      <c r="H42" s="12">
        <v>256</v>
      </c>
      <c r="I42" s="12">
        <v>38</v>
      </c>
      <c r="J42" s="14">
        <f t="shared" si="13"/>
        <v>1</v>
      </c>
      <c r="K42" s="8">
        <f>1024</f>
        <v>1024</v>
      </c>
      <c r="L42" s="12">
        <v>576</v>
      </c>
      <c r="M42" s="12">
        <v>512</v>
      </c>
      <c r="N42" s="55">
        <f t="shared" ref="N42:N73" si="14">G42*J42*K42*L42/38</f>
        <v>31043.36842105263</v>
      </c>
      <c r="O42" s="15">
        <f t="shared" ref="O42:O73" si="15">F42*J42*64*L42/38</f>
        <v>1940.2105263157894</v>
      </c>
      <c r="P42" s="15">
        <f t="shared" ref="P42:P73" si="16">G42*J42*K42*L42/H42</f>
        <v>4608</v>
      </c>
      <c r="Q42" s="15">
        <f t="shared" ref="Q42:Q73" si="17">J42*64*K42*L42/8192</f>
        <v>4608</v>
      </c>
      <c r="R42" s="15">
        <f t="shared" ref="R42:R65" si="18">P42</f>
        <v>4608</v>
      </c>
      <c r="S42" s="15">
        <f t="shared" ref="S42:S73" si="19">F42*J42*64*K42/H42</f>
        <v>512</v>
      </c>
      <c r="T42" s="15">
        <f t="shared" ref="T42:T73" si="20">G42*J42*K42*M42/H42</f>
        <v>4096</v>
      </c>
      <c r="U42" s="15">
        <f t="shared" si="0"/>
        <v>4096</v>
      </c>
      <c r="V42" s="15">
        <f t="shared" ref="V42:V65" si="21">T42</f>
        <v>4096</v>
      </c>
      <c r="W42" s="54">
        <f t="shared" si="9"/>
        <v>6553.6</v>
      </c>
      <c r="X42" s="12">
        <f>J42*64*K42*4*4/H42</f>
        <v>4096</v>
      </c>
      <c r="Y42" s="12">
        <v>30000</v>
      </c>
      <c r="Z42" s="51">
        <f t="shared" si="11"/>
        <v>8.0396968421052623E-2</v>
      </c>
      <c r="AA42">
        <v>9.7925999999999999E-2</v>
      </c>
      <c r="AB42" s="4">
        <f t="shared" si="12"/>
        <v>0.82099716542136536</v>
      </c>
      <c r="AC42" s="18"/>
      <c r="AD42" s="18"/>
    </row>
    <row r="43" spans="2:30" x14ac:dyDescent="0.25">
      <c r="B43" s="8">
        <v>2</v>
      </c>
      <c r="C43" s="8">
        <v>8</v>
      </c>
      <c r="D43" s="8">
        <v>1</v>
      </c>
      <c r="E43" s="12">
        <v>16</v>
      </c>
      <c r="F43" s="12">
        <v>2</v>
      </c>
      <c r="G43" s="12">
        <v>2</v>
      </c>
      <c r="H43" s="12">
        <v>256</v>
      </c>
      <c r="I43" s="12">
        <v>38</v>
      </c>
      <c r="J43" s="14">
        <f t="shared" si="13"/>
        <v>1</v>
      </c>
      <c r="K43" s="8">
        <f>1024</f>
        <v>1024</v>
      </c>
      <c r="L43" s="12">
        <v>576</v>
      </c>
      <c r="M43" s="12">
        <v>512</v>
      </c>
      <c r="N43" s="55">
        <f t="shared" si="14"/>
        <v>31043.36842105263</v>
      </c>
      <c r="O43" s="15">
        <f t="shared" si="15"/>
        <v>1940.2105263157894</v>
      </c>
      <c r="P43" s="15">
        <f t="shared" si="16"/>
        <v>4608</v>
      </c>
      <c r="Q43" s="15">
        <f t="shared" si="17"/>
        <v>4608</v>
      </c>
      <c r="R43" s="15">
        <f t="shared" si="18"/>
        <v>4608</v>
      </c>
      <c r="S43" s="15">
        <f t="shared" si="19"/>
        <v>512</v>
      </c>
      <c r="T43" s="15">
        <f t="shared" si="20"/>
        <v>4096</v>
      </c>
      <c r="U43" s="15">
        <f t="shared" si="0"/>
        <v>4096</v>
      </c>
      <c r="V43" s="15">
        <f t="shared" si="21"/>
        <v>4096</v>
      </c>
      <c r="W43" s="54">
        <f t="shared" si="9"/>
        <v>6553.6</v>
      </c>
      <c r="X43" s="12">
        <f>J43*64*K43*4*4/H43</f>
        <v>4096</v>
      </c>
      <c r="Y43" s="12">
        <v>30000</v>
      </c>
      <c r="Z43" s="51">
        <f t="shared" si="11"/>
        <v>8.0396968421052623E-2</v>
      </c>
      <c r="AA43">
        <v>0.10426199999999999</v>
      </c>
      <c r="AB43" s="4">
        <f t="shared" si="12"/>
        <v>0.7711051813801062</v>
      </c>
      <c r="AC43" s="18"/>
      <c r="AD43" s="18"/>
    </row>
    <row r="44" spans="2:30" x14ac:dyDescent="0.25">
      <c r="B44" s="8">
        <v>4</v>
      </c>
      <c r="C44" s="8">
        <v>8</v>
      </c>
      <c r="D44" s="8">
        <v>1</v>
      </c>
      <c r="E44" s="12">
        <v>16</v>
      </c>
      <c r="F44" s="12">
        <v>2</v>
      </c>
      <c r="G44" s="12">
        <v>2</v>
      </c>
      <c r="H44" s="12">
        <v>256</v>
      </c>
      <c r="I44" s="12">
        <v>38</v>
      </c>
      <c r="J44" s="14">
        <f t="shared" si="13"/>
        <v>1</v>
      </c>
      <c r="K44" s="8">
        <f>1024</f>
        <v>1024</v>
      </c>
      <c r="L44" s="12">
        <v>576</v>
      </c>
      <c r="M44" s="12">
        <v>512</v>
      </c>
      <c r="N44" s="55">
        <f t="shared" si="14"/>
        <v>31043.36842105263</v>
      </c>
      <c r="O44" s="15">
        <f t="shared" si="15"/>
        <v>1940.2105263157894</v>
      </c>
      <c r="P44" s="15">
        <f t="shared" si="16"/>
        <v>4608</v>
      </c>
      <c r="Q44" s="15">
        <f t="shared" si="17"/>
        <v>4608</v>
      </c>
      <c r="R44" s="15">
        <f t="shared" si="18"/>
        <v>4608</v>
      </c>
      <c r="S44" s="15">
        <f t="shared" si="19"/>
        <v>512</v>
      </c>
      <c r="T44" s="15">
        <f t="shared" si="20"/>
        <v>4096</v>
      </c>
      <c r="U44" s="15">
        <f t="shared" si="0"/>
        <v>4096</v>
      </c>
      <c r="V44" s="15">
        <f t="shared" si="21"/>
        <v>4096</v>
      </c>
      <c r="W44" s="54">
        <f t="shared" si="9"/>
        <v>6553.6</v>
      </c>
      <c r="X44" s="12">
        <f>J44*64*K44*4*4/H44</f>
        <v>4096</v>
      </c>
      <c r="Y44" s="12">
        <v>30000</v>
      </c>
      <c r="Z44" s="51">
        <f t="shared" si="11"/>
        <v>8.0396968421052623E-2</v>
      </c>
      <c r="AA44">
        <v>0.138515</v>
      </c>
      <c r="AB44" s="4">
        <f t="shared" si="12"/>
        <v>0.58042066506192558</v>
      </c>
      <c r="AC44" s="18"/>
      <c r="AD44" s="18"/>
    </row>
    <row r="45" spans="2:30" x14ac:dyDescent="0.25">
      <c r="B45">
        <v>8</v>
      </c>
      <c r="C45">
        <v>8</v>
      </c>
      <c r="D45">
        <v>1</v>
      </c>
      <c r="E45" s="12">
        <v>16</v>
      </c>
      <c r="F45" s="12">
        <v>2</v>
      </c>
      <c r="G45" s="12">
        <v>2</v>
      </c>
      <c r="H45" s="12">
        <v>256</v>
      </c>
      <c r="I45" s="12">
        <v>38</v>
      </c>
      <c r="J45" s="14">
        <f t="shared" si="13"/>
        <v>1</v>
      </c>
      <c r="K45">
        <f>1024</f>
        <v>1024</v>
      </c>
      <c r="L45" s="12">
        <v>576</v>
      </c>
      <c r="M45" s="12">
        <v>512</v>
      </c>
      <c r="N45" s="55">
        <f t="shared" si="14"/>
        <v>31043.36842105263</v>
      </c>
      <c r="O45" s="15">
        <f t="shared" si="15"/>
        <v>1940.2105263157894</v>
      </c>
      <c r="P45" s="15">
        <f t="shared" si="16"/>
        <v>4608</v>
      </c>
      <c r="Q45" s="15">
        <f t="shared" si="17"/>
        <v>4608</v>
      </c>
      <c r="R45" s="15">
        <f t="shared" si="18"/>
        <v>4608</v>
      </c>
      <c r="S45" s="15">
        <f t="shared" si="19"/>
        <v>512</v>
      </c>
      <c r="T45" s="15">
        <f t="shared" si="20"/>
        <v>4096</v>
      </c>
      <c r="U45" s="15">
        <f t="shared" si="0"/>
        <v>4096</v>
      </c>
      <c r="V45" s="15">
        <f t="shared" si="21"/>
        <v>4096</v>
      </c>
      <c r="W45" s="54">
        <f t="shared" si="9"/>
        <v>6553.6</v>
      </c>
      <c r="X45" s="12">
        <f>J45*64*K45*4*4/H45</f>
        <v>4096</v>
      </c>
      <c r="Y45" s="12">
        <v>30000</v>
      </c>
      <c r="Z45" s="51">
        <f t="shared" si="11"/>
        <v>8.0396968421052623E-2</v>
      </c>
      <c r="AA45">
        <v>0.12931200000000001</v>
      </c>
      <c r="AB45" s="4">
        <f t="shared" si="12"/>
        <v>0.62172859766342348</v>
      </c>
      <c r="AC45" s="18"/>
      <c r="AD45" s="18"/>
    </row>
    <row r="46" spans="2:30" s="58" customFormat="1" x14ac:dyDescent="0.25">
      <c r="B46" s="58">
        <v>16</v>
      </c>
      <c r="C46" s="58">
        <v>8</v>
      </c>
      <c r="D46" s="58">
        <v>1</v>
      </c>
      <c r="E46" s="59">
        <v>16</v>
      </c>
      <c r="F46" s="59">
        <v>2</v>
      </c>
      <c r="G46" s="59">
        <v>2</v>
      </c>
      <c r="H46" s="59">
        <v>256</v>
      </c>
      <c r="I46" s="59">
        <v>38</v>
      </c>
      <c r="J46" s="60">
        <f t="shared" si="13"/>
        <v>1</v>
      </c>
      <c r="K46" s="58">
        <f>1024</f>
        <v>1024</v>
      </c>
      <c r="L46" s="59">
        <v>576</v>
      </c>
      <c r="M46" s="59">
        <v>512</v>
      </c>
      <c r="N46" s="51">
        <f t="shared" si="14"/>
        <v>31043.36842105263</v>
      </c>
      <c r="O46" s="61">
        <f t="shared" si="15"/>
        <v>1940.2105263157894</v>
      </c>
      <c r="P46" s="61">
        <f t="shared" si="16"/>
        <v>4608</v>
      </c>
      <c r="Q46" s="61">
        <f t="shared" si="17"/>
        <v>4608</v>
      </c>
      <c r="R46" s="15">
        <f t="shared" si="18"/>
        <v>4608</v>
      </c>
      <c r="S46" s="61">
        <f t="shared" si="19"/>
        <v>512</v>
      </c>
      <c r="T46" s="61">
        <f t="shared" si="20"/>
        <v>4096</v>
      </c>
      <c r="U46" s="15">
        <f t="shared" si="0"/>
        <v>4096</v>
      </c>
      <c r="V46" s="15">
        <f t="shared" si="21"/>
        <v>4096</v>
      </c>
      <c r="W46" s="54">
        <f t="shared" si="9"/>
        <v>6553.6</v>
      </c>
      <c r="X46" s="23">
        <f>J46*64*K46*6*4/H46</f>
        <v>6144</v>
      </c>
      <c r="Y46" s="12">
        <v>30000</v>
      </c>
      <c r="Z46" s="51">
        <f t="shared" si="11"/>
        <v>8.2444968421052617E-2</v>
      </c>
      <c r="AA46" s="58">
        <v>0.128083</v>
      </c>
      <c r="AB46" s="62">
        <f t="shared" si="12"/>
        <v>0.64368392699306398</v>
      </c>
      <c r="AC46" s="63"/>
      <c r="AD46" s="63"/>
    </row>
    <row r="47" spans="2:30" x14ac:dyDescent="0.25">
      <c r="B47">
        <v>32</v>
      </c>
      <c r="C47">
        <v>8</v>
      </c>
      <c r="D47">
        <v>1</v>
      </c>
      <c r="E47" s="12">
        <v>16</v>
      </c>
      <c r="F47" s="12">
        <v>2</v>
      </c>
      <c r="G47" s="12">
        <v>2</v>
      </c>
      <c r="H47" s="12">
        <v>256</v>
      </c>
      <c r="I47" s="12">
        <v>38</v>
      </c>
      <c r="J47" s="14">
        <f t="shared" si="13"/>
        <v>2</v>
      </c>
      <c r="K47">
        <f>1024</f>
        <v>1024</v>
      </c>
      <c r="L47" s="12">
        <v>576</v>
      </c>
      <c r="M47" s="12">
        <v>512</v>
      </c>
      <c r="N47" s="55">
        <f t="shared" si="14"/>
        <v>62086.73684210526</v>
      </c>
      <c r="O47" s="15">
        <f t="shared" si="15"/>
        <v>3880.4210526315787</v>
      </c>
      <c r="P47" s="15">
        <f t="shared" si="16"/>
        <v>9216</v>
      </c>
      <c r="Q47" s="15">
        <f t="shared" si="17"/>
        <v>9216</v>
      </c>
      <c r="R47" s="15">
        <f t="shared" si="18"/>
        <v>9216</v>
      </c>
      <c r="S47" s="15">
        <f t="shared" si="19"/>
        <v>1024</v>
      </c>
      <c r="T47" s="15">
        <f t="shared" si="20"/>
        <v>8192</v>
      </c>
      <c r="U47" s="15">
        <f t="shared" si="0"/>
        <v>8192</v>
      </c>
      <c r="V47" s="15">
        <f t="shared" si="21"/>
        <v>8192</v>
      </c>
      <c r="W47" s="54">
        <f t="shared" si="9"/>
        <v>6553.6</v>
      </c>
      <c r="X47" s="12">
        <f t="shared" ref="X47:X91" si="22">J47*64*K47*4*4/H47</f>
        <v>8192</v>
      </c>
      <c r="Y47" s="12">
        <v>30000</v>
      </c>
      <c r="Z47" s="51">
        <f t="shared" si="11"/>
        <v>0.12424033684210525</v>
      </c>
      <c r="AA47">
        <v>0.169658</v>
      </c>
      <c r="AB47" s="4">
        <f t="shared" si="12"/>
        <v>0.73229872356213821</v>
      </c>
      <c r="AC47" s="18"/>
      <c r="AD47" s="18"/>
    </row>
    <row r="48" spans="2:30" x14ac:dyDescent="0.25">
      <c r="B48">
        <v>64</v>
      </c>
      <c r="C48">
        <v>8</v>
      </c>
      <c r="D48">
        <v>1</v>
      </c>
      <c r="E48" s="12">
        <v>16</v>
      </c>
      <c r="F48" s="12">
        <v>2</v>
      </c>
      <c r="G48" s="12">
        <v>2</v>
      </c>
      <c r="H48" s="12">
        <v>256</v>
      </c>
      <c r="I48" s="12">
        <v>38</v>
      </c>
      <c r="J48" s="14">
        <f t="shared" si="13"/>
        <v>4</v>
      </c>
      <c r="K48">
        <f>1024</f>
        <v>1024</v>
      </c>
      <c r="L48" s="12">
        <v>576</v>
      </c>
      <c r="M48" s="12">
        <v>512</v>
      </c>
      <c r="N48" s="55">
        <f t="shared" si="14"/>
        <v>124173.47368421052</v>
      </c>
      <c r="O48" s="15">
        <f t="shared" si="15"/>
        <v>7760.8421052631575</v>
      </c>
      <c r="P48" s="15">
        <f t="shared" si="16"/>
        <v>18432</v>
      </c>
      <c r="Q48" s="15">
        <f t="shared" si="17"/>
        <v>18432</v>
      </c>
      <c r="R48" s="15">
        <f t="shared" si="18"/>
        <v>18432</v>
      </c>
      <c r="S48" s="15">
        <f t="shared" si="19"/>
        <v>2048</v>
      </c>
      <c r="T48" s="15">
        <f t="shared" si="20"/>
        <v>16384</v>
      </c>
      <c r="U48" s="15">
        <f t="shared" si="0"/>
        <v>16384</v>
      </c>
      <c r="V48" s="15">
        <f t="shared" si="21"/>
        <v>16384</v>
      </c>
      <c r="W48" s="54">
        <f t="shared" si="9"/>
        <v>6553.6</v>
      </c>
      <c r="X48" s="12">
        <f t="shared" si="22"/>
        <v>16384</v>
      </c>
      <c r="Y48" s="12">
        <v>30000</v>
      </c>
      <c r="Z48" s="51">
        <f t="shared" si="11"/>
        <v>0.21192707368421052</v>
      </c>
      <c r="AA48">
        <v>0.29776599999999998</v>
      </c>
      <c r="AB48" s="4">
        <f t="shared" si="12"/>
        <v>0.71172354696040019</v>
      </c>
      <c r="AC48" s="18"/>
      <c r="AD48" s="18"/>
    </row>
    <row r="49" spans="1:30" x14ac:dyDescent="0.25">
      <c r="B49">
        <v>128</v>
      </c>
      <c r="C49">
        <v>8</v>
      </c>
      <c r="D49">
        <v>1</v>
      </c>
      <c r="E49" s="12">
        <v>16</v>
      </c>
      <c r="F49" s="12">
        <v>2</v>
      </c>
      <c r="G49" s="12">
        <v>2</v>
      </c>
      <c r="H49" s="12">
        <v>256</v>
      </c>
      <c r="I49" s="12">
        <v>38</v>
      </c>
      <c r="J49" s="14">
        <f t="shared" si="13"/>
        <v>8</v>
      </c>
      <c r="K49">
        <f>1024</f>
        <v>1024</v>
      </c>
      <c r="L49" s="12">
        <v>576</v>
      </c>
      <c r="M49" s="12">
        <v>512</v>
      </c>
      <c r="N49" s="55">
        <f t="shared" si="14"/>
        <v>248346.94736842104</v>
      </c>
      <c r="O49" s="15">
        <f t="shared" si="15"/>
        <v>15521.684210526315</v>
      </c>
      <c r="P49" s="15">
        <f t="shared" si="16"/>
        <v>36864</v>
      </c>
      <c r="Q49" s="15">
        <f t="shared" si="17"/>
        <v>36864</v>
      </c>
      <c r="R49" s="15">
        <f t="shared" si="18"/>
        <v>36864</v>
      </c>
      <c r="S49" s="15">
        <f t="shared" si="19"/>
        <v>4096</v>
      </c>
      <c r="T49" s="15">
        <f t="shared" si="20"/>
        <v>32768</v>
      </c>
      <c r="U49" s="15">
        <f t="shared" si="0"/>
        <v>32768</v>
      </c>
      <c r="V49" s="15">
        <f t="shared" si="21"/>
        <v>32768</v>
      </c>
      <c r="W49" s="54">
        <f t="shared" si="9"/>
        <v>6553.6</v>
      </c>
      <c r="X49" s="12">
        <f t="shared" si="22"/>
        <v>32768</v>
      </c>
      <c r="Y49" s="12">
        <v>30000</v>
      </c>
      <c r="Z49" s="51">
        <f t="shared" si="11"/>
        <v>0.38730054736842101</v>
      </c>
      <c r="AA49">
        <v>0.64832699999999999</v>
      </c>
      <c r="AB49" s="4">
        <f t="shared" si="12"/>
        <v>0.59738457193425698</v>
      </c>
      <c r="AC49" s="18"/>
      <c r="AD49" s="18"/>
    </row>
    <row r="50" spans="1:30" x14ac:dyDescent="0.25">
      <c r="B50">
        <v>256</v>
      </c>
      <c r="C50">
        <v>8</v>
      </c>
      <c r="D50">
        <v>1</v>
      </c>
      <c r="E50" s="12">
        <v>16</v>
      </c>
      <c r="F50" s="12">
        <v>2</v>
      </c>
      <c r="G50" s="12">
        <v>2</v>
      </c>
      <c r="H50" s="12">
        <v>256</v>
      </c>
      <c r="I50" s="12">
        <v>38</v>
      </c>
      <c r="J50" s="14">
        <f t="shared" si="13"/>
        <v>16</v>
      </c>
      <c r="K50">
        <f>1024</f>
        <v>1024</v>
      </c>
      <c r="L50" s="12">
        <v>576</v>
      </c>
      <c r="M50" s="12">
        <v>512</v>
      </c>
      <c r="N50" s="55">
        <f t="shared" si="14"/>
        <v>496693.89473684208</v>
      </c>
      <c r="O50" s="15">
        <f t="shared" si="15"/>
        <v>31043.36842105263</v>
      </c>
      <c r="P50" s="15">
        <f t="shared" si="16"/>
        <v>73728</v>
      </c>
      <c r="Q50" s="15">
        <f t="shared" si="17"/>
        <v>73728</v>
      </c>
      <c r="R50" s="15">
        <f t="shared" si="18"/>
        <v>73728</v>
      </c>
      <c r="S50" s="15">
        <f t="shared" si="19"/>
        <v>8192</v>
      </c>
      <c r="T50" s="15">
        <f t="shared" si="20"/>
        <v>65536</v>
      </c>
      <c r="U50" s="15">
        <f t="shared" si="0"/>
        <v>65536</v>
      </c>
      <c r="V50" s="15">
        <f t="shared" si="21"/>
        <v>65536</v>
      </c>
      <c r="W50" s="54">
        <f t="shared" si="9"/>
        <v>13107.2</v>
      </c>
      <c r="X50" s="12">
        <f t="shared" si="22"/>
        <v>65536</v>
      </c>
      <c r="Y50" s="12">
        <v>30000</v>
      </c>
      <c r="Z50" s="51">
        <f t="shared" si="11"/>
        <v>0.744601094736842</v>
      </c>
      <c r="AA50">
        <v>1.221152</v>
      </c>
      <c r="AB50" s="4">
        <f t="shared" si="12"/>
        <v>0.6097529994110823</v>
      </c>
      <c r="AC50" s="18"/>
      <c r="AD50" s="18"/>
    </row>
    <row r="51" spans="1:30" x14ac:dyDescent="0.25">
      <c r="B51">
        <v>512</v>
      </c>
      <c r="C51">
        <v>8</v>
      </c>
      <c r="D51">
        <v>1</v>
      </c>
      <c r="E51" s="12">
        <v>16</v>
      </c>
      <c r="F51" s="12">
        <v>2</v>
      </c>
      <c r="G51" s="12">
        <v>2</v>
      </c>
      <c r="H51" s="12">
        <v>256</v>
      </c>
      <c r="I51" s="12">
        <v>38</v>
      </c>
      <c r="J51" s="14">
        <f t="shared" si="13"/>
        <v>32</v>
      </c>
      <c r="K51">
        <f>1024</f>
        <v>1024</v>
      </c>
      <c r="L51" s="12">
        <v>576</v>
      </c>
      <c r="M51" s="12">
        <v>512</v>
      </c>
      <c r="N51" s="55">
        <f t="shared" si="14"/>
        <v>993387.78947368416</v>
      </c>
      <c r="O51" s="15">
        <f t="shared" si="15"/>
        <v>62086.73684210526</v>
      </c>
      <c r="P51" s="15">
        <f t="shared" si="16"/>
        <v>147456</v>
      </c>
      <c r="Q51" s="15">
        <f t="shared" si="17"/>
        <v>147456</v>
      </c>
      <c r="R51" s="15">
        <f t="shared" si="18"/>
        <v>147456</v>
      </c>
      <c r="S51" s="15">
        <f t="shared" si="19"/>
        <v>16384</v>
      </c>
      <c r="T51" s="15">
        <f t="shared" si="20"/>
        <v>131072</v>
      </c>
      <c r="U51" s="15">
        <f t="shared" ref="U51:U61" si="23">64*K51*M51*J51/8192</f>
        <v>131072</v>
      </c>
      <c r="V51" s="15">
        <f t="shared" si="21"/>
        <v>131072</v>
      </c>
      <c r="W51" s="54">
        <f t="shared" si="9"/>
        <v>26214.400000000001</v>
      </c>
      <c r="X51" s="12">
        <f t="shared" si="22"/>
        <v>131072</v>
      </c>
      <c r="Y51" s="12">
        <v>30000</v>
      </c>
      <c r="Z51" s="51">
        <f t="shared" si="11"/>
        <v>1.459202189473684</v>
      </c>
      <c r="AA51">
        <v>2.4040319999999999</v>
      </c>
      <c r="AB51" s="4">
        <f t="shared" si="12"/>
        <v>0.60698118389176348</v>
      </c>
      <c r="AC51" s="18"/>
      <c r="AD51" s="18"/>
    </row>
    <row r="52" spans="1:30" x14ac:dyDescent="0.25">
      <c r="B52" s="8">
        <v>1</v>
      </c>
      <c r="C52" s="8">
        <v>8</v>
      </c>
      <c r="D52" s="8">
        <v>1</v>
      </c>
      <c r="E52" s="12">
        <v>16</v>
      </c>
      <c r="F52" s="12">
        <v>2</v>
      </c>
      <c r="G52" s="12">
        <v>2</v>
      </c>
      <c r="H52" s="12">
        <v>256</v>
      </c>
      <c r="I52" s="12">
        <v>38</v>
      </c>
      <c r="J52" s="14">
        <f t="shared" si="13"/>
        <v>1</v>
      </c>
      <c r="K52" s="8">
        <f>2048</f>
        <v>2048</v>
      </c>
      <c r="L52" s="12">
        <v>576</v>
      </c>
      <c r="M52" s="12">
        <v>512</v>
      </c>
      <c r="N52" s="55">
        <f t="shared" si="14"/>
        <v>62086.73684210526</v>
      </c>
      <c r="O52" s="15">
        <f t="shared" si="15"/>
        <v>1940.2105263157894</v>
      </c>
      <c r="P52" s="15">
        <f t="shared" si="16"/>
        <v>9216</v>
      </c>
      <c r="Q52" s="15">
        <f t="shared" si="17"/>
        <v>9216</v>
      </c>
      <c r="R52" s="15">
        <f t="shared" si="18"/>
        <v>9216</v>
      </c>
      <c r="S52" s="15">
        <f t="shared" si="19"/>
        <v>1024</v>
      </c>
      <c r="T52" s="15">
        <f t="shared" si="20"/>
        <v>8192</v>
      </c>
      <c r="U52" s="15">
        <f t="shared" si="23"/>
        <v>8192</v>
      </c>
      <c r="V52" s="15">
        <f t="shared" si="21"/>
        <v>8192</v>
      </c>
      <c r="W52" s="54">
        <f t="shared" si="9"/>
        <v>6553.6</v>
      </c>
      <c r="X52" s="12">
        <f t="shared" si="22"/>
        <v>8192</v>
      </c>
      <c r="Y52" s="12">
        <v>30000</v>
      </c>
      <c r="Z52" s="51">
        <f t="shared" si="11"/>
        <v>0.12424033684210525</v>
      </c>
      <c r="AA52">
        <v>0.13863700000000001</v>
      </c>
      <c r="AB52" s="4">
        <f t="shared" si="12"/>
        <v>0.89615569322839683</v>
      </c>
      <c r="AC52" s="18"/>
      <c r="AD52" s="18"/>
    </row>
    <row r="53" spans="1:30" x14ac:dyDescent="0.25">
      <c r="B53" s="8">
        <v>2</v>
      </c>
      <c r="C53" s="8">
        <v>8</v>
      </c>
      <c r="D53" s="8">
        <v>1</v>
      </c>
      <c r="E53" s="12">
        <v>16</v>
      </c>
      <c r="F53" s="12">
        <v>2</v>
      </c>
      <c r="G53" s="12">
        <v>2</v>
      </c>
      <c r="H53" s="12">
        <v>256</v>
      </c>
      <c r="I53" s="12">
        <v>38</v>
      </c>
      <c r="J53" s="14">
        <f t="shared" si="13"/>
        <v>1</v>
      </c>
      <c r="K53" s="8">
        <f>2048</f>
        <v>2048</v>
      </c>
      <c r="L53" s="12">
        <v>576</v>
      </c>
      <c r="M53" s="12">
        <v>512</v>
      </c>
      <c r="N53" s="55">
        <f t="shared" si="14"/>
        <v>62086.73684210526</v>
      </c>
      <c r="O53" s="15">
        <f t="shared" si="15"/>
        <v>1940.2105263157894</v>
      </c>
      <c r="P53" s="15">
        <f t="shared" si="16"/>
        <v>9216</v>
      </c>
      <c r="Q53" s="15">
        <f t="shared" si="17"/>
        <v>9216</v>
      </c>
      <c r="R53" s="15">
        <f t="shared" si="18"/>
        <v>9216</v>
      </c>
      <c r="S53" s="15">
        <f t="shared" si="19"/>
        <v>1024</v>
      </c>
      <c r="T53" s="15">
        <f t="shared" si="20"/>
        <v>8192</v>
      </c>
      <c r="U53" s="15">
        <f t="shared" si="23"/>
        <v>8192</v>
      </c>
      <c r="V53" s="15">
        <f t="shared" si="21"/>
        <v>8192</v>
      </c>
      <c r="W53" s="54">
        <f t="shared" si="9"/>
        <v>6553.6</v>
      </c>
      <c r="X53" s="12">
        <f t="shared" si="22"/>
        <v>8192</v>
      </c>
      <c r="Y53" s="12">
        <v>30000</v>
      </c>
      <c r="Z53" s="51">
        <f t="shared" si="11"/>
        <v>0.12424033684210525</v>
      </c>
      <c r="AA53">
        <v>0.14028199999999999</v>
      </c>
      <c r="AB53" s="4">
        <f t="shared" si="12"/>
        <v>0.88564703128060096</v>
      </c>
      <c r="AC53" s="18"/>
      <c r="AD53" s="18"/>
    </row>
    <row r="54" spans="1:30" x14ac:dyDescent="0.25">
      <c r="B54" s="8">
        <v>4</v>
      </c>
      <c r="C54" s="8">
        <v>8</v>
      </c>
      <c r="D54" s="8">
        <v>1</v>
      </c>
      <c r="E54" s="12">
        <v>16</v>
      </c>
      <c r="F54" s="12">
        <v>2</v>
      </c>
      <c r="G54" s="12">
        <v>2</v>
      </c>
      <c r="H54" s="12">
        <v>256</v>
      </c>
      <c r="I54" s="12">
        <v>38</v>
      </c>
      <c r="J54" s="14">
        <f t="shared" si="13"/>
        <v>1</v>
      </c>
      <c r="K54" s="8">
        <f>2048</f>
        <v>2048</v>
      </c>
      <c r="L54" s="12">
        <v>576</v>
      </c>
      <c r="M54" s="12">
        <v>512</v>
      </c>
      <c r="N54" s="55">
        <f t="shared" si="14"/>
        <v>62086.73684210526</v>
      </c>
      <c r="O54" s="15">
        <f t="shared" si="15"/>
        <v>1940.2105263157894</v>
      </c>
      <c r="P54" s="15">
        <f t="shared" si="16"/>
        <v>9216</v>
      </c>
      <c r="Q54" s="15">
        <f t="shared" si="17"/>
        <v>9216</v>
      </c>
      <c r="R54" s="15">
        <f t="shared" si="18"/>
        <v>9216</v>
      </c>
      <c r="S54" s="15">
        <f t="shared" si="19"/>
        <v>1024</v>
      </c>
      <c r="T54" s="15">
        <f t="shared" si="20"/>
        <v>8192</v>
      </c>
      <c r="U54" s="15">
        <f t="shared" si="23"/>
        <v>8192</v>
      </c>
      <c r="V54" s="15">
        <f t="shared" si="21"/>
        <v>8192</v>
      </c>
      <c r="W54" s="54">
        <f t="shared" si="9"/>
        <v>6553.6</v>
      </c>
      <c r="X54" s="12">
        <f t="shared" si="22"/>
        <v>8192</v>
      </c>
      <c r="Y54" s="12">
        <v>30000</v>
      </c>
      <c r="Z54" s="51">
        <f t="shared" si="11"/>
        <v>0.12424033684210525</v>
      </c>
      <c r="AA54">
        <v>0.161357</v>
      </c>
      <c r="AB54" s="4">
        <f t="shared" si="12"/>
        <v>0.7699717820863381</v>
      </c>
      <c r="AC54" s="18"/>
      <c r="AD54" s="18"/>
    </row>
    <row r="55" spans="1:30" x14ac:dyDescent="0.25">
      <c r="B55">
        <v>8</v>
      </c>
      <c r="C55">
        <v>8</v>
      </c>
      <c r="D55">
        <v>1</v>
      </c>
      <c r="E55" s="12">
        <v>16</v>
      </c>
      <c r="F55" s="12">
        <v>2</v>
      </c>
      <c r="G55" s="12">
        <v>2</v>
      </c>
      <c r="H55" s="12">
        <v>256</v>
      </c>
      <c r="I55" s="12">
        <v>38</v>
      </c>
      <c r="J55" s="14">
        <f t="shared" si="13"/>
        <v>1</v>
      </c>
      <c r="K55">
        <f>2048</f>
        <v>2048</v>
      </c>
      <c r="L55" s="12">
        <v>576</v>
      </c>
      <c r="M55" s="12">
        <v>512</v>
      </c>
      <c r="N55" s="55">
        <f t="shared" si="14"/>
        <v>62086.73684210526</v>
      </c>
      <c r="O55" s="15">
        <f t="shared" si="15"/>
        <v>1940.2105263157894</v>
      </c>
      <c r="P55" s="15">
        <f t="shared" si="16"/>
        <v>9216</v>
      </c>
      <c r="Q55" s="15">
        <f t="shared" si="17"/>
        <v>9216</v>
      </c>
      <c r="R55" s="15">
        <f t="shared" si="18"/>
        <v>9216</v>
      </c>
      <c r="S55" s="15">
        <f t="shared" si="19"/>
        <v>1024</v>
      </c>
      <c r="T55" s="15">
        <f t="shared" si="20"/>
        <v>8192</v>
      </c>
      <c r="U55" s="15">
        <f t="shared" si="23"/>
        <v>8192</v>
      </c>
      <c r="V55" s="15">
        <f t="shared" si="21"/>
        <v>8192</v>
      </c>
      <c r="W55" s="54">
        <f t="shared" si="9"/>
        <v>6553.6</v>
      </c>
      <c r="X55" s="12">
        <f t="shared" si="22"/>
        <v>8192</v>
      </c>
      <c r="Y55" s="12">
        <v>30000</v>
      </c>
      <c r="Z55" s="51">
        <f t="shared" si="11"/>
        <v>0.12424033684210525</v>
      </c>
      <c r="AA55">
        <v>0.16229099999999999</v>
      </c>
      <c r="AB55" s="4">
        <f t="shared" si="12"/>
        <v>0.76554052191498767</v>
      </c>
      <c r="AC55" s="18"/>
      <c r="AD55" s="18"/>
    </row>
    <row r="56" spans="1:30" x14ac:dyDescent="0.25">
      <c r="B56">
        <v>16</v>
      </c>
      <c r="C56">
        <v>8</v>
      </c>
      <c r="D56">
        <v>1</v>
      </c>
      <c r="E56" s="12">
        <v>16</v>
      </c>
      <c r="F56" s="12">
        <v>2</v>
      </c>
      <c r="G56" s="12">
        <v>2</v>
      </c>
      <c r="H56" s="12">
        <v>256</v>
      </c>
      <c r="I56" s="12">
        <v>38</v>
      </c>
      <c r="J56" s="14">
        <f t="shared" si="13"/>
        <v>1</v>
      </c>
      <c r="K56">
        <f>2048</f>
        <v>2048</v>
      </c>
      <c r="L56" s="12">
        <v>576</v>
      </c>
      <c r="M56" s="12">
        <v>512</v>
      </c>
      <c r="N56" s="55">
        <f t="shared" si="14"/>
        <v>62086.73684210526</v>
      </c>
      <c r="O56" s="15">
        <f t="shared" si="15"/>
        <v>1940.2105263157894</v>
      </c>
      <c r="P56" s="15">
        <f t="shared" si="16"/>
        <v>9216</v>
      </c>
      <c r="Q56" s="15">
        <f t="shared" si="17"/>
        <v>9216</v>
      </c>
      <c r="R56" s="15">
        <f t="shared" si="18"/>
        <v>9216</v>
      </c>
      <c r="S56" s="15">
        <f t="shared" si="19"/>
        <v>1024</v>
      </c>
      <c r="T56" s="15">
        <f t="shared" si="20"/>
        <v>8192</v>
      </c>
      <c r="U56" s="15">
        <f t="shared" si="23"/>
        <v>8192</v>
      </c>
      <c r="V56" s="15">
        <f t="shared" si="21"/>
        <v>8192</v>
      </c>
      <c r="W56" s="54">
        <f t="shared" si="9"/>
        <v>6553.6</v>
      </c>
      <c r="X56" s="12">
        <f t="shared" si="22"/>
        <v>8192</v>
      </c>
      <c r="Y56" s="12">
        <v>30000</v>
      </c>
      <c r="Z56" s="51">
        <f t="shared" si="11"/>
        <v>0.12424033684210525</v>
      </c>
      <c r="AA56">
        <v>0.170989</v>
      </c>
      <c r="AB56" s="4">
        <f t="shared" si="12"/>
        <v>0.72659841768830302</v>
      </c>
      <c r="AC56" s="18"/>
      <c r="AD56" s="18"/>
    </row>
    <row r="57" spans="1:30" x14ac:dyDescent="0.25">
      <c r="B57">
        <v>32</v>
      </c>
      <c r="C57">
        <v>8</v>
      </c>
      <c r="D57">
        <v>1</v>
      </c>
      <c r="E57" s="12">
        <v>16</v>
      </c>
      <c r="F57" s="12">
        <v>2</v>
      </c>
      <c r="G57" s="12">
        <v>2</v>
      </c>
      <c r="H57" s="12">
        <v>256</v>
      </c>
      <c r="I57" s="12">
        <v>38</v>
      </c>
      <c r="J57" s="14">
        <f t="shared" si="13"/>
        <v>2</v>
      </c>
      <c r="K57">
        <f>2048</f>
        <v>2048</v>
      </c>
      <c r="L57" s="12">
        <v>576</v>
      </c>
      <c r="M57" s="12">
        <v>512</v>
      </c>
      <c r="N57" s="55">
        <f t="shared" si="14"/>
        <v>124173.47368421052</v>
      </c>
      <c r="O57" s="15">
        <f t="shared" si="15"/>
        <v>3880.4210526315787</v>
      </c>
      <c r="P57" s="15">
        <f t="shared" si="16"/>
        <v>18432</v>
      </c>
      <c r="Q57" s="15">
        <f t="shared" si="17"/>
        <v>18432</v>
      </c>
      <c r="R57" s="15">
        <f t="shared" si="18"/>
        <v>18432</v>
      </c>
      <c r="S57" s="15">
        <f t="shared" si="19"/>
        <v>2048</v>
      </c>
      <c r="T57" s="15">
        <f t="shared" si="20"/>
        <v>16384</v>
      </c>
      <c r="U57" s="15">
        <f t="shared" si="23"/>
        <v>16384</v>
      </c>
      <c r="V57" s="15">
        <f t="shared" si="21"/>
        <v>16384</v>
      </c>
      <c r="W57" s="54">
        <f t="shared" si="9"/>
        <v>6553.6</v>
      </c>
      <c r="X57" s="12">
        <f t="shared" si="22"/>
        <v>16384</v>
      </c>
      <c r="Y57" s="12">
        <v>30000</v>
      </c>
      <c r="Z57" s="51">
        <f t="shared" si="11"/>
        <v>0.21192707368421052</v>
      </c>
      <c r="AA57">
        <v>0.26561899999999999</v>
      </c>
      <c r="AB57" s="4">
        <f t="shared" si="12"/>
        <v>0.7978611232035755</v>
      </c>
      <c r="AC57" s="18"/>
      <c r="AD57" s="18"/>
    </row>
    <row r="58" spans="1:30" x14ac:dyDescent="0.25">
      <c r="A58" s="2"/>
      <c r="B58">
        <v>64</v>
      </c>
      <c r="C58">
        <v>8</v>
      </c>
      <c r="D58">
        <v>1</v>
      </c>
      <c r="E58" s="12">
        <v>16</v>
      </c>
      <c r="F58" s="12">
        <v>2</v>
      </c>
      <c r="G58" s="12">
        <v>2</v>
      </c>
      <c r="H58" s="12">
        <v>256</v>
      </c>
      <c r="I58" s="12">
        <v>38</v>
      </c>
      <c r="J58" s="14">
        <f t="shared" si="13"/>
        <v>4</v>
      </c>
      <c r="K58">
        <f>2048</f>
        <v>2048</v>
      </c>
      <c r="L58" s="12">
        <v>576</v>
      </c>
      <c r="M58" s="12">
        <v>512</v>
      </c>
      <c r="N58" s="55">
        <f t="shared" si="14"/>
        <v>248346.94736842104</v>
      </c>
      <c r="O58" s="15">
        <f t="shared" si="15"/>
        <v>7760.8421052631575</v>
      </c>
      <c r="P58" s="15">
        <f t="shared" si="16"/>
        <v>36864</v>
      </c>
      <c r="Q58" s="15">
        <f t="shared" si="17"/>
        <v>36864</v>
      </c>
      <c r="R58" s="15">
        <f t="shared" si="18"/>
        <v>36864</v>
      </c>
      <c r="S58" s="15">
        <f t="shared" si="19"/>
        <v>4096</v>
      </c>
      <c r="T58" s="15">
        <f t="shared" si="20"/>
        <v>32768</v>
      </c>
      <c r="U58" s="15">
        <f t="shared" si="23"/>
        <v>32768</v>
      </c>
      <c r="V58" s="15">
        <f t="shared" si="21"/>
        <v>32768</v>
      </c>
      <c r="W58" s="54">
        <f t="shared" si="9"/>
        <v>6553.6</v>
      </c>
      <c r="X58" s="12">
        <f t="shared" si="22"/>
        <v>32768</v>
      </c>
      <c r="Y58" s="12">
        <v>30000</v>
      </c>
      <c r="Z58" s="51">
        <f t="shared" si="11"/>
        <v>0.38730054736842101</v>
      </c>
      <c r="AA58">
        <v>0.458509</v>
      </c>
      <c r="AB58" s="4">
        <f t="shared" si="12"/>
        <v>0.8446956272797721</v>
      </c>
      <c r="AC58" s="18"/>
      <c r="AD58" s="18"/>
    </row>
    <row r="59" spans="1:30" x14ac:dyDescent="0.25">
      <c r="B59">
        <v>128</v>
      </c>
      <c r="C59">
        <v>8</v>
      </c>
      <c r="D59">
        <v>1</v>
      </c>
      <c r="E59" s="12">
        <v>16</v>
      </c>
      <c r="F59" s="12">
        <v>2</v>
      </c>
      <c r="G59" s="12">
        <v>2</v>
      </c>
      <c r="H59" s="12">
        <v>256</v>
      </c>
      <c r="I59" s="12">
        <v>38</v>
      </c>
      <c r="J59" s="14">
        <f t="shared" si="13"/>
        <v>8</v>
      </c>
      <c r="K59">
        <f>2048</f>
        <v>2048</v>
      </c>
      <c r="L59" s="12">
        <v>576</v>
      </c>
      <c r="M59" s="12">
        <v>512</v>
      </c>
      <c r="N59" s="55">
        <f t="shared" si="14"/>
        <v>496693.89473684208</v>
      </c>
      <c r="O59" s="15">
        <f t="shared" si="15"/>
        <v>15521.684210526315</v>
      </c>
      <c r="P59" s="15">
        <f t="shared" si="16"/>
        <v>73728</v>
      </c>
      <c r="Q59" s="15">
        <f t="shared" si="17"/>
        <v>73728</v>
      </c>
      <c r="R59" s="15">
        <f t="shared" si="18"/>
        <v>73728</v>
      </c>
      <c r="S59" s="15">
        <f t="shared" si="19"/>
        <v>8192</v>
      </c>
      <c r="T59" s="15">
        <f t="shared" si="20"/>
        <v>65536</v>
      </c>
      <c r="U59" s="15">
        <f t="shared" si="23"/>
        <v>65536</v>
      </c>
      <c r="V59" s="15">
        <f t="shared" si="21"/>
        <v>65536</v>
      </c>
      <c r="W59" s="54">
        <f t="shared" si="9"/>
        <v>6553.6</v>
      </c>
      <c r="X59" s="12">
        <f t="shared" si="22"/>
        <v>65536</v>
      </c>
      <c r="Y59" s="12">
        <v>30000</v>
      </c>
      <c r="Z59" s="51">
        <f t="shared" si="11"/>
        <v>0.73804749473684195</v>
      </c>
      <c r="AA59">
        <v>0.78149800000000003</v>
      </c>
      <c r="AB59" s="4">
        <f t="shared" si="12"/>
        <v>0.94440100260888948</v>
      </c>
      <c r="AC59" s="18"/>
      <c r="AD59" s="18"/>
    </row>
    <row r="60" spans="1:30" x14ac:dyDescent="0.25">
      <c r="B60">
        <v>256</v>
      </c>
      <c r="C60">
        <v>8</v>
      </c>
      <c r="D60">
        <v>1</v>
      </c>
      <c r="E60" s="12">
        <v>16</v>
      </c>
      <c r="F60" s="12">
        <v>2</v>
      </c>
      <c r="G60" s="12">
        <v>2</v>
      </c>
      <c r="H60" s="12">
        <v>256</v>
      </c>
      <c r="I60" s="12">
        <v>38</v>
      </c>
      <c r="J60" s="14">
        <f t="shared" si="13"/>
        <v>16</v>
      </c>
      <c r="K60">
        <f>2048</f>
        <v>2048</v>
      </c>
      <c r="L60" s="12">
        <v>576</v>
      </c>
      <c r="M60" s="12">
        <v>512</v>
      </c>
      <c r="N60" s="55">
        <f t="shared" si="14"/>
        <v>993387.78947368416</v>
      </c>
      <c r="O60" s="15">
        <f t="shared" si="15"/>
        <v>31043.36842105263</v>
      </c>
      <c r="P60" s="15">
        <f t="shared" si="16"/>
        <v>147456</v>
      </c>
      <c r="Q60" s="15">
        <f t="shared" si="17"/>
        <v>147456</v>
      </c>
      <c r="R60" s="15">
        <f t="shared" si="18"/>
        <v>147456</v>
      </c>
      <c r="S60" s="15">
        <f t="shared" si="19"/>
        <v>16384</v>
      </c>
      <c r="T60" s="15">
        <f t="shared" si="20"/>
        <v>131072</v>
      </c>
      <c r="U60" s="15">
        <f t="shared" si="23"/>
        <v>131072</v>
      </c>
      <c r="V60" s="15">
        <f t="shared" si="21"/>
        <v>131072</v>
      </c>
      <c r="W60" s="54">
        <f t="shared" si="9"/>
        <v>13107.2</v>
      </c>
      <c r="X60" s="12">
        <f t="shared" si="22"/>
        <v>131072</v>
      </c>
      <c r="Y60" s="12">
        <v>30000</v>
      </c>
      <c r="Z60" s="51">
        <f t="shared" si="11"/>
        <v>1.4460949894736841</v>
      </c>
      <c r="AA60">
        <v>1.454285</v>
      </c>
      <c r="AB60" s="4">
        <f t="shared" si="12"/>
        <v>0.99436835934750345</v>
      </c>
      <c r="AC60" s="18"/>
      <c r="AD60" s="18"/>
    </row>
    <row r="61" spans="1:30" x14ac:dyDescent="0.25">
      <c r="B61">
        <v>512</v>
      </c>
      <c r="C61">
        <v>8</v>
      </c>
      <c r="D61">
        <v>1</v>
      </c>
      <c r="E61" s="12">
        <v>16</v>
      </c>
      <c r="F61" s="12">
        <v>2</v>
      </c>
      <c r="G61" s="12">
        <v>2</v>
      </c>
      <c r="H61" s="12">
        <v>256</v>
      </c>
      <c r="I61" s="12">
        <v>38</v>
      </c>
      <c r="J61" s="14">
        <f t="shared" si="13"/>
        <v>32</v>
      </c>
      <c r="K61">
        <f>2048</f>
        <v>2048</v>
      </c>
      <c r="L61" s="12">
        <v>576</v>
      </c>
      <c r="M61" s="12">
        <v>512</v>
      </c>
      <c r="N61" s="55">
        <f t="shared" si="14"/>
        <v>1986775.5789473683</v>
      </c>
      <c r="O61" s="15">
        <f t="shared" si="15"/>
        <v>62086.73684210526</v>
      </c>
      <c r="P61" s="15">
        <f t="shared" si="16"/>
        <v>294912</v>
      </c>
      <c r="Q61" s="15">
        <f t="shared" si="17"/>
        <v>294912</v>
      </c>
      <c r="R61" s="15">
        <f t="shared" si="18"/>
        <v>294912</v>
      </c>
      <c r="S61" s="15">
        <f t="shared" si="19"/>
        <v>32768</v>
      </c>
      <c r="T61" s="15">
        <f t="shared" si="20"/>
        <v>262144</v>
      </c>
      <c r="U61" s="15">
        <f t="shared" si="23"/>
        <v>262144</v>
      </c>
      <c r="V61" s="15">
        <f t="shared" si="21"/>
        <v>262144</v>
      </c>
      <c r="W61" s="54">
        <f t="shared" si="9"/>
        <v>26214.400000000001</v>
      </c>
      <c r="X61" s="12">
        <f t="shared" si="22"/>
        <v>262144</v>
      </c>
      <c r="Y61" s="12">
        <v>30000</v>
      </c>
      <c r="Z61" s="51">
        <f t="shared" si="11"/>
        <v>2.8621899789473679</v>
      </c>
      <c r="AA61">
        <v>2.8482940000000001</v>
      </c>
      <c r="AB61" s="4">
        <f t="shared" si="12"/>
        <v>1.0048787024609707</v>
      </c>
      <c r="AC61" s="18"/>
      <c r="AD61" s="18"/>
    </row>
    <row r="62" spans="1:30" x14ac:dyDescent="0.25">
      <c r="B62" s="8">
        <v>1</v>
      </c>
      <c r="C62" s="8">
        <v>8</v>
      </c>
      <c r="D62" s="8">
        <v>1</v>
      </c>
      <c r="E62" s="12">
        <v>16</v>
      </c>
      <c r="F62" s="12">
        <v>2</v>
      </c>
      <c r="G62" s="12">
        <v>2</v>
      </c>
      <c r="H62" s="12">
        <v>256</v>
      </c>
      <c r="I62" s="12">
        <v>38</v>
      </c>
      <c r="J62" s="14">
        <f t="shared" si="13"/>
        <v>1</v>
      </c>
      <c r="K62" s="8">
        <f>4096</f>
        <v>4096</v>
      </c>
      <c r="L62" s="12">
        <v>576</v>
      </c>
      <c r="M62" s="12">
        <v>512</v>
      </c>
      <c r="N62" s="55">
        <f t="shared" si="14"/>
        <v>124173.47368421052</v>
      </c>
      <c r="O62" s="15">
        <f t="shared" si="15"/>
        <v>1940.2105263157894</v>
      </c>
      <c r="P62" s="15">
        <f t="shared" si="16"/>
        <v>18432</v>
      </c>
      <c r="Q62" s="15">
        <f t="shared" si="17"/>
        <v>18432</v>
      </c>
      <c r="R62" s="15">
        <f t="shared" si="18"/>
        <v>18432</v>
      </c>
      <c r="S62" s="15">
        <f t="shared" si="19"/>
        <v>2048</v>
      </c>
      <c r="T62" s="15">
        <f t="shared" si="20"/>
        <v>16384</v>
      </c>
      <c r="U62" s="15">
        <f>64*K62*M62*J62/8192</f>
        <v>16384</v>
      </c>
      <c r="V62" s="15">
        <f t="shared" si="21"/>
        <v>16384</v>
      </c>
      <c r="W62" s="54">
        <f t="shared" si="9"/>
        <v>6553.6</v>
      </c>
      <c r="X62" s="12">
        <f t="shared" si="22"/>
        <v>16384</v>
      </c>
      <c r="Y62" s="12">
        <v>30000</v>
      </c>
      <c r="Z62" s="51">
        <f t="shared" si="11"/>
        <v>0.21192707368421052</v>
      </c>
      <c r="AA62">
        <v>0.20541400000000001</v>
      </c>
      <c r="AB62" s="4">
        <f t="shared" si="12"/>
        <v>1.031707058351478</v>
      </c>
      <c r="AC62" s="18"/>
      <c r="AD62" s="18"/>
    </row>
    <row r="63" spans="1:30" x14ac:dyDescent="0.25">
      <c r="B63" s="8">
        <v>2</v>
      </c>
      <c r="C63" s="8">
        <v>8</v>
      </c>
      <c r="D63" s="8">
        <v>1</v>
      </c>
      <c r="E63" s="12">
        <v>16</v>
      </c>
      <c r="F63" s="12">
        <v>2</v>
      </c>
      <c r="G63" s="12">
        <v>2</v>
      </c>
      <c r="H63" s="12">
        <v>256</v>
      </c>
      <c r="I63" s="12">
        <v>38</v>
      </c>
      <c r="J63" s="14">
        <f t="shared" si="13"/>
        <v>1</v>
      </c>
      <c r="K63" s="8">
        <f>4096</f>
        <v>4096</v>
      </c>
      <c r="L63" s="12">
        <v>576</v>
      </c>
      <c r="M63" s="12">
        <v>512</v>
      </c>
      <c r="N63" s="55">
        <f t="shared" si="14"/>
        <v>124173.47368421052</v>
      </c>
      <c r="O63" s="15">
        <f t="shared" si="15"/>
        <v>1940.2105263157894</v>
      </c>
      <c r="P63" s="15">
        <f t="shared" si="16"/>
        <v>18432</v>
      </c>
      <c r="Q63" s="15">
        <f t="shared" si="17"/>
        <v>18432</v>
      </c>
      <c r="R63" s="15">
        <f t="shared" si="18"/>
        <v>18432</v>
      </c>
      <c r="S63" s="15">
        <f t="shared" si="19"/>
        <v>2048</v>
      </c>
      <c r="T63" s="15">
        <f t="shared" si="20"/>
        <v>16384</v>
      </c>
      <c r="U63" s="15">
        <f t="shared" ref="U63:U91" si="24">64*K63*M63*J63/8192</f>
        <v>16384</v>
      </c>
      <c r="V63" s="15">
        <f t="shared" si="21"/>
        <v>16384</v>
      </c>
      <c r="W63" s="54">
        <f t="shared" si="9"/>
        <v>6553.6</v>
      </c>
      <c r="X63" s="12">
        <f t="shared" si="22"/>
        <v>16384</v>
      </c>
      <c r="Y63" s="12">
        <v>30000</v>
      </c>
      <c r="Z63" s="51">
        <f t="shared" si="11"/>
        <v>0.21192707368421052</v>
      </c>
      <c r="AA63">
        <v>0.20632300000000001</v>
      </c>
      <c r="AB63" s="4">
        <f t="shared" si="12"/>
        <v>1.0271616527687679</v>
      </c>
      <c r="AC63" s="18"/>
      <c r="AD63" s="18"/>
    </row>
    <row r="64" spans="1:30" x14ac:dyDescent="0.25">
      <c r="B64" s="8">
        <v>4</v>
      </c>
      <c r="C64" s="8">
        <v>8</v>
      </c>
      <c r="D64" s="8">
        <v>1</v>
      </c>
      <c r="E64" s="12">
        <v>16</v>
      </c>
      <c r="F64" s="12">
        <v>2</v>
      </c>
      <c r="G64" s="12">
        <v>2</v>
      </c>
      <c r="H64" s="12">
        <v>256</v>
      </c>
      <c r="I64" s="12">
        <v>38</v>
      </c>
      <c r="J64" s="14">
        <f t="shared" si="13"/>
        <v>1</v>
      </c>
      <c r="K64" s="8">
        <f>4096</f>
        <v>4096</v>
      </c>
      <c r="L64" s="12">
        <v>576</v>
      </c>
      <c r="M64" s="12">
        <v>512</v>
      </c>
      <c r="N64" s="55">
        <f t="shared" si="14"/>
        <v>124173.47368421052</v>
      </c>
      <c r="O64" s="15">
        <f t="shared" si="15"/>
        <v>1940.2105263157894</v>
      </c>
      <c r="P64" s="15">
        <f t="shared" si="16"/>
        <v>18432</v>
      </c>
      <c r="Q64" s="15">
        <f t="shared" si="17"/>
        <v>18432</v>
      </c>
      <c r="R64" s="15">
        <f t="shared" si="18"/>
        <v>18432</v>
      </c>
      <c r="S64" s="15">
        <f t="shared" si="19"/>
        <v>2048</v>
      </c>
      <c r="T64" s="15">
        <f t="shared" si="20"/>
        <v>16384</v>
      </c>
      <c r="U64" s="15">
        <f t="shared" si="24"/>
        <v>16384</v>
      </c>
      <c r="V64" s="15">
        <f t="shared" si="21"/>
        <v>16384</v>
      </c>
      <c r="W64" s="54">
        <f t="shared" si="9"/>
        <v>6553.6</v>
      </c>
      <c r="X64" s="12">
        <f t="shared" si="22"/>
        <v>16384</v>
      </c>
      <c r="Y64" s="12">
        <v>30000</v>
      </c>
      <c r="Z64" s="51">
        <f t="shared" si="11"/>
        <v>0.21192707368421052</v>
      </c>
      <c r="AA64">
        <v>0.24026900000000001</v>
      </c>
      <c r="AB64" s="4">
        <f t="shared" si="12"/>
        <v>0.88204085289492407</v>
      </c>
      <c r="AC64" s="18"/>
      <c r="AD64" s="18"/>
    </row>
    <row r="65" spans="2:30" x14ac:dyDescent="0.25">
      <c r="B65">
        <v>8</v>
      </c>
      <c r="C65">
        <v>8</v>
      </c>
      <c r="D65">
        <v>1</v>
      </c>
      <c r="E65" s="12">
        <v>16</v>
      </c>
      <c r="F65" s="12">
        <v>2</v>
      </c>
      <c r="G65" s="12">
        <v>2</v>
      </c>
      <c r="H65" s="12">
        <v>256</v>
      </c>
      <c r="I65" s="12">
        <v>38</v>
      </c>
      <c r="J65" s="14">
        <f t="shared" si="13"/>
        <v>1</v>
      </c>
      <c r="K65">
        <f>4096</f>
        <v>4096</v>
      </c>
      <c r="L65" s="12">
        <v>576</v>
      </c>
      <c r="M65" s="12">
        <v>512</v>
      </c>
      <c r="N65" s="55">
        <f t="shared" si="14"/>
        <v>124173.47368421052</v>
      </c>
      <c r="O65" s="15">
        <f t="shared" si="15"/>
        <v>1940.2105263157894</v>
      </c>
      <c r="P65" s="15">
        <f t="shared" si="16"/>
        <v>18432</v>
      </c>
      <c r="Q65" s="15">
        <f t="shared" si="17"/>
        <v>18432</v>
      </c>
      <c r="R65" s="15">
        <f t="shared" si="18"/>
        <v>18432</v>
      </c>
      <c r="S65" s="15">
        <f t="shared" si="19"/>
        <v>2048</v>
      </c>
      <c r="T65" s="15">
        <f t="shared" si="20"/>
        <v>16384</v>
      </c>
      <c r="U65" s="15">
        <f t="shared" si="24"/>
        <v>16384</v>
      </c>
      <c r="V65" s="15">
        <f t="shared" si="21"/>
        <v>16384</v>
      </c>
      <c r="W65" s="54">
        <f t="shared" si="9"/>
        <v>6553.6</v>
      </c>
      <c r="X65" s="12">
        <f t="shared" si="22"/>
        <v>16384</v>
      </c>
      <c r="Y65" s="12">
        <v>30000</v>
      </c>
      <c r="Z65" s="51">
        <f t="shared" si="11"/>
        <v>0.21192707368421052</v>
      </c>
      <c r="AA65">
        <v>0.25900800000000002</v>
      </c>
      <c r="AB65" s="4">
        <f t="shared" si="12"/>
        <v>0.81822597635675542</v>
      </c>
      <c r="AC65" s="18"/>
      <c r="AD65" s="18"/>
    </row>
    <row r="66" spans="2:30" x14ac:dyDescent="0.25">
      <c r="B66">
        <v>16</v>
      </c>
      <c r="C66">
        <v>8</v>
      </c>
      <c r="D66">
        <v>1</v>
      </c>
      <c r="E66" s="12">
        <v>16</v>
      </c>
      <c r="F66" s="12">
        <v>2</v>
      </c>
      <c r="G66" s="12">
        <v>2</v>
      </c>
      <c r="H66" s="12">
        <v>256</v>
      </c>
      <c r="I66" s="12">
        <v>38</v>
      </c>
      <c r="J66" s="14">
        <f t="shared" si="13"/>
        <v>1</v>
      </c>
      <c r="K66">
        <f>4096</f>
        <v>4096</v>
      </c>
      <c r="L66" s="12">
        <v>576</v>
      </c>
      <c r="M66" s="12">
        <v>512</v>
      </c>
      <c r="N66" s="55">
        <f t="shared" si="14"/>
        <v>124173.47368421052</v>
      </c>
      <c r="O66" s="15">
        <f t="shared" si="15"/>
        <v>1940.2105263157894</v>
      </c>
      <c r="P66" s="15">
        <f t="shared" si="16"/>
        <v>18432</v>
      </c>
      <c r="Q66" s="15">
        <f t="shared" si="17"/>
        <v>18432</v>
      </c>
      <c r="R66" s="15">
        <f t="shared" ref="R66:R91" si="25">P66</f>
        <v>18432</v>
      </c>
      <c r="S66" s="15">
        <f t="shared" si="19"/>
        <v>2048</v>
      </c>
      <c r="T66" s="15">
        <f t="shared" si="20"/>
        <v>16384</v>
      </c>
      <c r="U66" s="15">
        <f t="shared" si="24"/>
        <v>16384</v>
      </c>
      <c r="V66" s="15">
        <f t="shared" ref="V66:V75" si="26">T66</f>
        <v>16384</v>
      </c>
      <c r="W66" s="54">
        <f t="shared" si="9"/>
        <v>6553.6</v>
      </c>
      <c r="X66" s="12">
        <f t="shared" si="22"/>
        <v>16384</v>
      </c>
      <c r="Y66" s="12">
        <v>30000</v>
      </c>
      <c r="Z66" s="51">
        <f t="shared" si="11"/>
        <v>0.21192707368421052</v>
      </c>
      <c r="AA66">
        <v>0.26222099999999998</v>
      </c>
      <c r="AB66" s="4">
        <f t="shared" si="12"/>
        <v>0.80820023447477707</v>
      </c>
      <c r="AC66" s="18"/>
      <c r="AD66" s="18"/>
    </row>
    <row r="67" spans="2:30" s="2" customFormat="1" x14ac:dyDescent="0.25">
      <c r="B67" s="2">
        <v>32</v>
      </c>
      <c r="C67" s="2">
        <v>8</v>
      </c>
      <c r="D67" s="2">
        <v>1</v>
      </c>
      <c r="E67" s="52">
        <v>16</v>
      </c>
      <c r="F67" s="52">
        <v>2</v>
      </c>
      <c r="G67" s="52">
        <v>2</v>
      </c>
      <c r="H67" s="52">
        <v>256</v>
      </c>
      <c r="I67" s="12">
        <v>38</v>
      </c>
      <c r="J67" s="53">
        <f t="shared" si="13"/>
        <v>2</v>
      </c>
      <c r="K67" s="2">
        <f>4096</f>
        <v>4096</v>
      </c>
      <c r="L67" s="52">
        <v>576</v>
      </c>
      <c r="M67" s="52">
        <v>512</v>
      </c>
      <c r="N67" s="55">
        <f t="shared" si="14"/>
        <v>248346.94736842104</v>
      </c>
      <c r="O67" s="15">
        <f t="shared" si="15"/>
        <v>3880.4210526315787</v>
      </c>
      <c r="P67" s="15">
        <f t="shared" si="16"/>
        <v>36864</v>
      </c>
      <c r="Q67" s="15">
        <f t="shared" si="17"/>
        <v>36864</v>
      </c>
      <c r="R67" s="15">
        <f t="shared" si="25"/>
        <v>36864</v>
      </c>
      <c r="S67" s="15">
        <f t="shared" si="19"/>
        <v>4096</v>
      </c>
      <c r="T67" s="15">
        <f t="shared" si="20"/>
        <v>32768</v>
      </c>
      <c r="U67" s="15">
        <f t="shared" si="24"/>
        <v>32768</v>
      </c>
      <c r="V67" s="15">
        <f t="shared" si="26"/>
        <v>32768</v>
      </c>
      <c r="W67" s="54">
        <f t="shared" ref="W67:W91" si="27">C67*M67*_xlfn.CEILING.MATH(B67/128)*128*6/30/E67</f>
        <v>6553.6</v>
      </c>
      <c r="X67" s="12">
        <f t="shared" si="22"/>
        <v>32768</v>
      </c>
      <c r="Y67" s="12">
        <v>30000</v>
      </c>
      <c r="Z67" s="51">
        <f t="shared" ref="Z67:Z91" si="28">(N67+R67+V67+X67+W67+Y67)/1000000</f>
        <v>0.38730054736842101</v>
      </c>
      <c r="AA67" s="2">
        <v>0.43641000000000002</v>
      </c>
      <c r="AB67" s="5">
        <f t="shared" ref="AB67:AB91" si="29">Z67/AA67</f>
        <v>0.8874694607557595</v>
      </c>
      <c r="AC67" s="56"/>
      <c r="AD67" s="56"/>
    </row>
    <row r="68" spans="2:30" x14ac:dyDescent="0.25">
      <c r="B68">
        <v>64</v>
      </c>
      <c r="C68">
        <v>8</v>
      </c>
      <c r="D68">
        <v>1</v>
      </c>
      <c r="E68" s="12">
        <v>16</v>
      </c>
      <c r="F68" s="12">
        <v>2</v>
      </c>
      <c r="G68" s="12">
        <v>2</v>
      </c>
      <c r="H68" s="12">
        <v>256</v>
      </c>
      <c r="I68" s="12">
        <v>38</v>
      </c>
      <c r="J68" s="14">
        <f t="shared" si="13"/>
        <v>4</v>
      </c>
      <c r="K68">
        <f>4096</f>
        <v>4096</v>
      </c>
      <c r="L68" s="12">
        <v>576</v>
      </c>
      <c r="M68" s="12">
        <v>512</v>
      </c>
      <c r="N68" s="55">
        <f t="shared" si="14"/>
        <v>496693.89473684208</v>
      </c>
      <c r="O68" s="15">
        <f t="shared" si="15"/>
        <v>7760.8421052631575</v>
      </c>
      <c r="P68" s="15">
        <f t="shared" si="16"/>
        <v>73728</v>
      </c>
      <c r="Q68" s="15">
        <f t="shared" si="17"/>
        <v>73728</v>
      </c>
      <c r="R68" s="15">
        <f t="shared" si="25"/>
        <v>73728</v>
      </c>
      <c r="S68" s="15">
        <f t="shared" si="19"/>
        <v>8192</v>
      </c>
      <c r="T68" s="15">
        <f t="shared" si="20"/>
        <v>65536</v>
      </c>
      <c r="U68" s="15">
        <f t="shared" si="24"/>
        <v>65536</v>
      </c>
      <c r="V68" s="15">
        <f t="shared" si="26"/>
        <v>65536</v>
      </c>
      <c r="W68" s="54">
        <f t="shared" si="27"/>
        <v>6553.6</v>
      </c>
      <c r="X68" s="12">
        <f t="shared" si="22"/>
        <v>65536</v>
      </c>
      <c r="Y68" s="12">
        <v>30000</v>
      </c>
      <c r="Z68" s="51">
        <f t="shared" si="28"/>
        <v>0.73804749473684195</v>
      </c>
      <c r="AA68">
        <v>0.76058300000000001</v>
      </c>
      <c r="AB68" s="4">
        <f t="shared" si="29"/>
        <v>0.97037074814562241</v>
      </c>
      <c r="AC68" s="18"/>
      <c r="AD68" s="18"/>
    </row>
    <row r="69" spans="2:30" x14ac:dyDescent="0.25">
      <c r="B69">
        <v>128</v>
      </c>
      <c r="C69">
        <v>8</v>
      </c>
      <c r="D69">
        <v>1</v>
      </c>
      <c r="E69" s="12">
        <v>16</v>
      </c>
      <c r="F69" s="12">
        <v>2</v>
      </c>
      <c r="G69" s="12">
        <v>2</v>
      </c>
      <c r="H69" s="12">
        <v>256</v>
      </c>
      <c r="I69" s="12">
        <v>38</v>
      </c>
      <c r="J69" s="14">
        <f t="shared" si="13"/>
        <v>8</v>
      </c>
      <c r="K69">
        <f>4096</f>
        <v>4096</v>
      </c>
      <c r="L69" s="12">
        <v>576</v>
      </c>
      <c r="M69" s="12">
        <v>512</v>
      </c>
      <c r="N69" s="55">
        <f t="shared" si="14"/>
        <v>993387.78947368416</v>
      </c>
      <c r="O69" s="15">
        <f t="shared" si="15"/>
        <v>15521.684210526315</v>
      </c>
      <c r="P69" s="15">
        <f t="shared" si="16"/>
        <v>147456</v>
      </c>
      <c r="Q69" s="15">
        <f t="shared" si="17"/>
        <v>147456</v>
      </c>
      <c r="R69" s="15">
        <f t="shared" si="25"/>
        <v>147456</v>
      </c>
      <c r="S69" s="15">
        <f t="shared" si="19"/>
        <v>16384</v>
      </c>
      <c r="T69" s="15">
        <f t="shared" si="20"/>
        <v>131072</v>
      </c>
      <c r="U69" s="15">
        <f t="shared" si="24"/>
        <v>131072</v>
      </c>
      <c r="V69" s="15">
        <f t="shared" si="26"/>
        <v>131072</v>
      </c>
      <c r="W69" s="54">
        <f t="shared" si="27"/>
        <v>6553.6</v>
      </c>
      <c r="X69" s="12">
        <f t="shared" si="22"/>
        <v>131072</v>
      </c>
      <c r="Y69" s="12">
        <v>30000</v>
      </c>
      <c r="Z69" s="51">
        <f t="shared" si="28"/>
        <v>1.4395413894736842</v>
      </c>
      <c r="AA69">
        <v>1.3998660000000001</v>
      </c>
      <c r="AB69" s="4">
        <f t="shared" si="29"/>
        <v>1.0283422766705415</v>
      </c>
      <c r="AC69" s="18"/>
      <c r="AD69" s="18"/>
    </row>
    <row r="70" spans="2:30" x14ac:dyDescent="0.25">
      <c r="B70">
        <v>256</v>
      </c>
      <c r="C70">
        <v>8</v>
      </c>
      <c r="D70">
        <v>1</v>
      </c>
      <c r="E70" s="12">
        <v>16</v>
      </c>
      <c r="F70" s="12">
        <v>2</v>
      </c>
      <c r="G70" s="12">
        <v>2</v>
      </c>
      <c r="H70" s="12">
        <v>256</v>
      </c>
      <c r="I70" s="12">
        <v>38</v>
      </c>
      <c r="J70" s="14">
        <f t="shared" ref="J70:J91" si="30">_xlfn.CEILING.MATH(B70*D70/E70)</f>
        <v>16</v>
      </c>
      <c r="K70">
        <f>4096</f>
        <v>4096</v>
      </c>
      <c r="L70" s="12">
        <v>576</v>
      </c>
      <c r="M70" s="12">
        <v>512</v>
      </c>
      <c r="N70" s="55">
        <f t="shared" si="14"/>
        <v>1986775.5789473683</v>
      </c>
      <c r="O70" s="15">
        <f t="shared" si="15"/>
        <v>31043.36842105263</v>
      </c>
      <c r="P70" s="15">
        <f t="shared" si="16"/>
        <v>294912</v>
      </c>
      <c r="Q70" s="15">
        <f t="shared" si="17"/>
        <v>294912</v>
      </c>
      <c r="R70" s="15">
        <f t="shared" si="25"/>
        <v>294912</v>
      </c>
      <c r="S70" s="15">
        <f t="shared" si="19"/>
        <v>32768</v>
      </c>
      <c r="T70" s="15">
        <f t="shared" si="20"/>
        <v>262144</v>
      </c>
      <c r="U70" s="15">
        <f t="shared" si="24"/>
        <v>262144</v>
      </c>
      <c r="V70" s="15">
        <f t="shared" si="26"/>
        <v>262144</v>
      </c>
      <c r="W70" s="54">
        <f t="shared" si="27"/>
        <v>13107.2</v>
      </c>
      <c r="X70" s="12">
        <f t="shared" si="22"/>
        <v>262144</v>
      </c>
      <c r="Y70" s="12">
        <v>30000</v>
      </c>
      <c r="Z70" s="51">
        <f t="shared" si="28"/>
        <v>2.8490827789473681</v>
      </c>
      <c r="AA70">
        <v>2.6876159999999998</v>
      </c>
      <c r="AB70" s="4">
        <f t="shared" si="29"/>
        <v>1.0600780687967954</v>
      </c>
      <c r="AC70" s="18"/>
      <c r="AD70" s="18"/>
    </row>
    <row r="71" spans="2:30" x14ac:dyDescent="0.25">
      <c r="B71">
        <v>512</v>
      </c>
      <c r="C71">
        <v>8</v>
      </c>
      <c r="D71">
        <v>1</v>
      </c>
      <c r="E71" s="12">
        <v>16</v>
      </c>
      <c r="F71" s="12">
        <v>2</v>
      </c>
      <c r="G71" s="12">
        <v>2</v>
      </c>
      <c r="H71" s="12">
        <v>256</v>
      </c>
      <c r="I71" s="12">
        <v>38</v>
      </c>
      <c r="J71" s="14">
        <f t="shared" si="30"/>
        <v>32</v>
      </c>
      <c r="K71">
        <f>4096</f>
        <v>4096</v>
      </c>
      <c r="L71" s="12">
        <v>576</v>
      </c>
      <c r="M71" s="12">
        <v>512</v>
      </c>
      <c r="N71" s="55">
        <f t="shared" si="14"/>
        <v>3973551.1578947366</v>
      </c>
      <c r="O71" s="15">
        <f t="shared" si="15"/>
        <v>62086.73684210526</v>
      </c>
      <c r="P71" s="15">
        <f t="shared" si="16"/>
        <v>589824</v>
      </c>
      <c r="Q71" s="15">
        <f t="shared" si="17"/>
        <v>589824</v>
      </c>
      <c r="R71" s="15">
        <f t="shared" si="25"/>
        <v>589824</v>
      </c>
      <c r="S71" s="15">
        <f t="shared" si="19"/>
        <v>65536</v>
      </c>
      <c r="T71" s="15">
        <f t="shared" si="20"/>
        <v>524288</v>
      </c>
      <c r="U71" s="15">
        <f t="shared" si="24"/>
        <v>524288</v>
      </c>
      <c r="V71" s="15">
        <f t="shared" si="26"/>
        <v>524288</v>
      </c>
      <c r="W71" s="54">
        <f t="shared" si="27"/>
        <v>26214.400000000001</v>
      </c>
      <c r="X71" s="12">
        <f t="shared" si="22"/>
        <v>524288</v>
      </c>
      <c r="Y71" s="12">
        <v>30000</v>
      </c>
      <c r="Z71" s="51">
        <f t="shared" si="28"/>
        <v>5.6681655578947368</v>
      </c>
      <c r="AA71">
        <v>5.3051919999999999</v>
      </c>
      <c r="AB71" s="4">
        <f t="shared" si="29"/>
        <v>1.0684185525980467</v>
      </c>
      <c r="AC71" s="18"/>
      <c r="AD71" s="18"/>
    </row>
    <row r="72" spans="2:30" x14ac:dyDescent="0.25">
      <c r="B72" s="8">
        <v>1</v>
      </c>
      <c r="C72" s="8">
        <v>8</v>
      </c>
      <c r="D72" s="8">
        <v>1</v>
      </c>
      <c r="E72" s="12">
        <v>16</v>
      </c>
      <c r="F72" s="12">
        <v>2</v>
      </c>
      <c r="G72" s="12">
        <v>2</v>
      </c>
      <c r="H72" s="12">
        <v>256</v>
      </c>
      <c r="I72" s="12">
        <v>38</v>
      </c>
      <c r="J72" s="14">
        <f>_xlfn.CEILING.MATH(B72*D72/E72)</f>
        <v>1</v>
      </c>
      <c r="K72" s="8">
        <f>8192</f>
        <v>8192</v>
      </c>
      <c r="L72" s="12">
        <v>576</v>
      </c>
      <c r="M72" s="12">
        <v>512</v>
      </c>
      <c r="N72" s="55">
        <f t="shared" si="14"/>
        <v>248346.94736842104</v>
      </c>
      <c r="O72" s="15">
        <f t="shared" si="15"/>
        <v>1940.2105263157894</v>
      </c>
      <c r="P72" s="15">
        <f t="shared" si="16"/>
        <v>36864</v>
      </c>
      <c r="Q72" s="15">
        <f t="shared" si="17"/>
        <v>36864</v>
      </c>
      <c r="R72" s="15">
        <f t="shared" si="25"/>
        <v>36864</v>
      </c>
      <c r="S72" s="15">
        <f t="shared" si="19"/>
        <v>4096</v>
      </c>
      <c r="T72" s="15">
        <f t="shared" si="20"/>
        <v>32768</v>
      </c>
      <c r="U72" s="15">
        <f t="shared" si="24"/>
        <v>32768</v>
      </c>
      <c r="V72" s="15">
        <f t="shared" si="26"/>
        <v>32768</v>
      </c>
      <c r="W72" s="54">
        <f t="shared" si="27"/>
        <v>6553.6</v>
      </c>
      <c r="X72" s="12">
        <f t="shared" si="22"/>
        <v>32768</v>
      </c>
      <c r="Y72" s="12">
        <v>30000</v>
      </c>
      <c r="Z72" s="51">
        <f t="shared" si="28"/>
        <v>0.38730054736842101</v>
      </c>
      <c r="AA72">
        <v>0.338362</v>
      </c>
      <c r="AB72" s="4">
        <f t="shared" si="29"/>
        <v>1.1446336981351954</v>
      </c>
      <c r="AC72" s="18"/>
      <c r="AD72" s="18"/>
    </row>
    <row r="73" spans="2:30" x14ac:dyDescent="0.25">
      <c r="B73" s="8">
        <v>2</v>
      </c>
      <c r="C73" s="8">
        <v>8</v>
      </c>
      <c r="D73" s="8">
        <v>1</v>
      </c>
      <c r="E73" s="12">
        <v>16</v>
      </c>
      <c r="F73" s="12">
        <v>2</v>
      </c>
      <c r="G73" s="12">
        <v>2</v>
      </c>
      <c r="H73" s="12">
        <v>256</v>
      </c>
      <c r="I73" s="12">
        <v>38</v>
      </c>
      <c r="J73" s="14">
        <f t="shared" si="30"/>
        <v>1</v>
      </c>
      <c r="K73" s="8">
        <f>8192</f>
        <v>8192</v>
      </c>
      <c r="L73" s="12">
        <v>576</v>
      </c>
      <c r="M73" s="12">
        <v>512</v>
      </c>
      <c r="N73" s="55">
        <f t="shared" si="14"/>
        <v>248346.94736842104</v>
      </c>
      <c r="O73" s="15">
        <f t="shared" si="15"/>
        <v>1940.2105263157894</v>
      </c>
      <c r="P73" s="15">
        <f t="shared" si="16"/>
        <v>36864</v>
      </c>
      <c r="Q73" s="15">
        <f t="shared" si="17"/>
        <v>36864</v>
      </c>
      <c r="R73" s="15">
        <f t="shared" si="25"/>
        <v>36864</v>
      </c>
      <c r="S73" s="15">
        <f t="shared" si="19"/>
        <v>4096</v>
      </c>
      <c r="T73" s="15">
        <f t="shared" si="20"/>
        <v>32768</v>
      </c>
      <c r="U73" s="15">
        <f t="shared" si="24"/>
        <v>32768</v>
      </c>
      <c r="V73" s="15">
        <f t="shared" si="26"/>
        <v>32768</v>
      </c>
      <c r="W73" s="54">
        <f t="shared" si="27"/>
        <v>6553.6</v>
      </c>
      <c r="X73" s="12">
        <f t="shared" si="22"/>
        <v>32768</v>
      </c>
      <c r="Y73" s="12">
        <v>30000</v>
      </c>
      <c r="Z73" s="51">
        <f t="shared" si="28"/>
        <v>0.38730054736842101</v>
      </c>
      <c r="AA73">
        <v>0.33856599999999998</v>
      </c>
      <c r="AB73" s="4">
        <f t="shared" si="29"/>
        <v>1.1439440090511777</v>
      </c>
      <c r="AC73" s="18"/>
      <c r="AD73" s="18"/>
    </row>
    <row r="74" spans="2:30" x14ac:dyDescent="0.25">
      <c r="B74" s="8">
        <v>4</v>
      </c>
      <c r="C74" s="8">
        <v>8</v>
      </c>
      <c r="D74" s="8">
        <v>1</v>
      </c>
      <c r="E74" s="12">
        <v>16</v>
      </c>
      <c r="F74" s="12">
        <v>2</v>
      </c>
      <c r="G74" s="12">
        <v>2</v>
      </c>
      <c r="H74" s="12">
        <v>256</v>
      </c>
      <c r="I74" s="12">
        <v>38</v>
      </c>
      <c r="J74" s="14">
        <f t="shared" si="30"/>
        <v>1</v>
      </c>
      <c r="K74" s="8">
        <f>8192</f>
        <v>8192</v>
      </c>
      <c r="L74" s="12">
        <v>576</v>
      </c>
      <c r="M74" s="12">
        <v>512</v>
      </c>
      <c r="N74" s="55">
        <f t="shared" ref="N74:N91" si="31">G74*J74*K74*L74/38</f>
        <v>248346.94736842104</v>
      </c>
      <c r="O74" s="15">
        <f t="shared" ref="O74:O91" si="32">F74*J74*64*L74/38</f>
        <v>1940.2105263157894</v>
      </c>
      <c r="P74" s="15">
        <f t="shared" ref="P74:P91" si="33">G74*J74*K74*L74/H74</f>
        <v>36864</v>
      </c>
      <c r="Q74" s="15">
        <f t="shared" ref="Q74:Q91" si="34">J74*64*K74*L74/8192</f>
        <v>36864</v>
      </c>
      <c r="R74" s="15">
        <f t="shared" si="25"/>
        <v>36864</v>
      </c>
      <c r="S74" s="15">
        <f t="shared" ref="S74:S91" si="35">F74*J74*64*K74/H74</f>
        <v>4096</v>
      </c>
      <c r="T74" s="15">
        <f t="shared" ref="T74:T91" si="36">G74*J74*K74*M74/H74</f>
        <v>32768</v>
      </c>
      <c r="U74" s="15">
        <f t="shared" si="24"/>
        <v>32768</v>
      </c>
      <c r="V74" s="15">
        <f t="shared" si="26"/>
        <v>32768</v>
      </c>
      <c r="W74" s="54">
        <f t="shared" si="27"/>
        <v>6553.6</v>
      </c>
      <c r="X74" s="12">
        <f t="shared" si="22"/>
        <v>32768</v>
      </c>
      <c r="Y74" s="12">
        <v>30000</v>
      </c>
      <c r="Z74" s="51">
        <f t="shared" si="28"/>
        <v>0.38730054736842101</v>
      </c>
      <c r="AA74">
        <v>0.40597100000000003</v>
      </c>
      <c r="AB74" s="4">
        <f t="shared" si="29"/>
        <v>0.95401037849605264</v>
      </c>
      <c r="AC74" s="18"/>
      <c r="AD74" s="18"/>
    </row>
    <row r="75" spans="2:30" x14ac:dyDescent="0.25">
      <c r="B75">
        <v>8</v>
      </c>
      <c r="C75">
        <v>8</v>
      </c>
      <c r="D75">
        <v>1</v>
      </c>
      <c r="E75" s="12">
        <v>16</v>
      </c>
      <c r="F75" s="12">
        <v>2</v>
      </c>
      <c r="G75" s="12">
        <v>2</v>
      </c>
      <c r="H75" s="12">
        <v>256</v>
      </c>
      <c r="I75" s="12">
        <v>38</v>
      </c>
      <c r="J75" s="14">
        <f t="shared" si="30"/>
        <v>1</v>
      </c>
      <c r="K75">
        <f>8192</f>
        <v>8192</v>
      </c>
      <c r="L75" s="12">
        <v>576</v>
      </c>
      <c r="M75" s="12">
        <v>512</v>
      </c>
      <c r="N75" s="55">
        <f t="shared" si="31"/>
        <v>248346.94736842104</v>
      </c>
      <c r="O75" s="15">
        <f t="shared" si="32"/>
        <v>1940.2105263157894</v>
      </c>
      <c r="P75" s="15">
        <f t="shared" si="33"/>
        <v>36864</v>
      </c>
      <c r="Q75" s="15">
        <f t="shared" si="34"/>
        <v>36864</v>
      </c>
      <c r="R75" s="15">
        <f t="shared" si="25"/>
        <v>36864</v>
      </c>
      <c r="S75" s="15">
        <f t="shared" si="35"/>
        <v>4096</v>
      </c>
      <c r="T75" s="15">
        <f t="shared" si="36"/>
        <v>32768</v>
      </c>
      <c r="U75" s="15">
        <f t="shared" si="24"/>
        <v>32768</v>
      </c>
      <c r="V75" s="15">
        <f t="shared" si="26"/>
        <v>32768</v>
      </c>
      <c r="W75" s="54">
        <f t="shared" si="27"/>
        <v>6553.6</v>
      </c>
      <c r="X75" s="12">
        <f t="shared" si="22"/>
        <v>32768</v>
      </c>
      <c r="Y75" s="12">
        <v>30000</v>
      </c>
      <c r="Z75" s="51">
        <f t="shared" si="28"/>
        <v>0.38730054736842101</v>
      </c>
      <c r="AA75">
        <v>0.40878700000000001</v>
      </c>
      <c r="AB75" s="4">
        <f t="shared" si="29"/>
        <v>0.94743851288915992</v>
      </c>
      <c r="AC75" s="18"/>
      <c r="AD75" s="18"/>
    </row>
    <row r="76" spans="2:30" s="9" customFormat="1" x14ac:dyDescent="0.25">
      <c r="B76" s="9">
        <v>16</v>
      </c>
      <c r="C76" s="9">
        <v>8</v>
      </c>
      <c r="D76" s="9">
        <v>1</v>
      </c>
      <c r="E76" s="23">
        <v>16</v>
      </c>
      <c r="F76" s="23">
        <v>2</v>
      </c>
      <c r="G76" s="23">
        <v>2</v>
      </c>
      <c r="H76" s="23">
        <v>256</v>
      </c>
      <c r="I76" s="12">
        <v>38</v>
      </c>
      <c r="J76" s="24">
        <f>_xlfn.CEILING.MATH(B76*D76/E76)</f>
        <v>1</v>
      </c>
      <c r="K76" s="9">
        <f>8192</f>
        <v>8192</v>
      </c>
      <c r="L76" s="23">
        <v>576</v>
      </c>
      <c r="M76" s="23">
        <v>512</v>
      </c>
      <c r="N76" s="51">
        <f t="shared" si="31"/>
        <v>248346.94736842104</v>
      </c>
      <c r="O76" s="16">
        <f t="shared" si="32"/>
        <v>1940.2105263157894</v>
      </c>
      <c r="P76" s="16">
        <f t="shared" si="33"/>
        <v>36864</v>
      </c>
      <c r="Q76" s="16">
        <f t="shared" si="34"/>
        <v>36864</v>
      </c>
      <c r="R76" s="15">
        <f t="shared" si="25"/>
        <v>36864</v>
      </c>
      <c r="S76" s="16">
        <f t="shared" si="35"/>
        <v>4096</v>
      </c>
      <c r="T76" s="16">
        <f t="shared" si="36"/>
        <v>32768</v>
      </c>
      <c r="U76" s="15">
        <f t="shared" si="24"/>
        <v>32768</v>
      </c>
      <c r="V76" s="15">
        <f t="shared" ref="V76:V91" si="37">T76</f>
        <v>32768</v>
      </c>
      <c r="W76" s="54">
        <f t="shared" si="27"/>
        <v>6553.6</v>
      </c>
      <c r="X76" s="12">
        <f t="shared" si="22"/>
        <v>32768</v>
      </c>
      <c r="Y76" s="12">
        <v>30000</v>
      </c>
      <c r="Z76" s="51">
        <f t="shared" si="28"/>
        <v>0.38730054736842101</v>
      </c>
      <c r="AA76" s="9">
        <v>0.41649900000000001</v>
      </c>
      <c r="AB76" s="47">
        <f t="shared" si="29"/>
        <v>0.92989550363487306</v>
      </c>
      <c r="AC76" s="26"/>
      <c r="AD76" s="26"/>
    </row>
    <row r="77" spans="2:30" x14ac:dyDescent="0.25">
      <c r="B77">
        <v>32</v>
      </c>
      <c r="C77">
        <v>8</v>
      </c>
      <c r="D77">
        <v>1</v>
      </c>
      <c r="E77" s="12">
        <v>16</v>
      </c>
      <c r="F77" s="12">
        <v>2</v>
      </c>
      <c r="G77" s="12">
        <v>2</v>
      </c>
      <c r="H77" s="12">
        <v>256</v>
      </c>
      <c r="I77" s="12">
        <v>38</v>
      </c>
      <c r="J77" s="14">
        <f t="shared" si="30"/>
        <v>2</v>
      </c>
      <c r="K77">
        <f>8192</f>
        <v>8192</v>
      </c>
      <c r="L77" s="12">
        <v>576</v>
      </c>
      <c r="M77" s="12">
        <v>512</v>
      </c>
      <c r="N77" s="55">
        <f t="shared" si="31"/>
        <v>496693.89473684208</v>
      </c>
      <c r="O77" s="15">
        <f t="shared" si="32"/>
        <v>3880.4210526315787</v>
      </c>
      <c r="P77" s="15">
        <f t="shared" si="33"/>
        <v>73728</v>
      </c>
      <c r="Q77" s="15">
        <f t="shared" si="34"/>
        <v>73728</v>
      </c>
      <c r="R77" s="15">
        <f t="shared" si="25"/>
        <v>73728</v>
      </c>
      <c r="S77" s="15">
        <f t="shared" si="35"/>
        <v>8192</v>
      </c>
      <c r="T77" s="15">
        <f t="shared" si="36"/>
        <v>65536</v>
      </c>
      <c r="U77" s="15">
        <f t="shared" si="24"/>
        <v>65536</v>
      </c>
      <c r="V77" s="15">
        <f t="shared" si="37"/>
        <v>65536</v>
      </c>
      <c r="W77" s="54">
        <f t="shared" si="27"/>
        <v>6553.6</v>
      </c>
      <c r="X77" s="12">
        <f t="shared" si="22"/>
        <v>65536</v>
      </c>
      <c r="Y77" s="12">
        <v>30000</v>
      </c>
      <c r="Z77" s="51">
        <f t="shared" si="28"/>
        <v>0.73804749473684195</v>
      </c>
      <c r="AA77">
        <v>0.73700500000000002</v>
      </c>
      <c r="AB77" s="4">
        <f t="shared" si="29"/>
        <v>1.001414501579829</v>
      </c>
      <c r="AC77" s="18"/>
      <c r="AD77" s="18"/>
    </row>
    <row r="78" spans="2:30" x14ac:dyDescent="0.25">
      <c r="B78">
        <v>64</v>
      </c>
      <c r="C78">
        <v>8</v>
      </c>
      <c r="D78">
        <v>1</v>
      </c>
      <c r="E78" s="12">
        <v>16</v>
      </c>
      <c r="F78" s="12">
        <v>2</v>
      </c>
      <c r="G78" s="12">
        <v>2</v>
      </c>
      <c r="H78" s="12">
        <v>256</v>
      </c>
      <c r="I78" s="12">
        <v>38</v>
      </c>
      <c r="J78" s="14">
        <f t="shared" si="30"/>
        <v>4</v>
      </c>
      <c r="K78">
        <f>8192</f>
        <v>8192</v>
      </c>
      <c r="L78" s="12">
        <v>576</v>
      </c>
      <c r="M78" s="12">
        <v>512</v>
      </c>
      <c r="N78" s="55">
        <f t="shared" si="31"/>
        <v>993387.78947368416</v>
      </c>
      <c r="O78" s="15">
        <f t="shared" si="32"/>
        <v>7760.8421052631575</v>
      </c>
      <c r="P78" s="15">
        <f t="shared" si="33"/>
        <v>147456</v>
      </c>
      <c r="Q78" s="15">
        <f t="shared" si="34"/>
        <v>147456</v>
      </c>
      <c r="R78" s="15">
        <f t="shared" si="25"/>
        <v>147456</v>
      </c>
      <c r="S78" s="15">
        <f t="shared" si="35"/>
        <v>16384</v>
      </c>
      <c r="T78" s="15">
        <f t="shared" si="36"/>
        <v>131072</v>
      </c>
      <c r="U78" s="15">
        <f t="shared" si="24"/>
        <v>131072</v>
      </c>
      <c r="V78" s="15">
        <f t="shared" si="37"/>
        <v>131072</v>
      </c>
      <c r="W78" s="54">
        <f t="shared" si="27"/>
        <v>6553.6</v>
      </c>
      <c r="X78" s="12">
        <f t="shared" si="22"/>
        <v>131072</v>
      </c>
      <c r="Y78" s="12">
        <v>30000</v>
      </c>
      <c r="Z78" s="51">
        <f t="shared" si="28"/>
        <v>1.4395413894736842</v>
      </c>
      <c r="AA78">
        <v>1.357145</v>
      </c>
      <c r="AB78" s="4">
        <f t="shared" si="29"/>
        <v>1.0607130332231884</v>
      </c>
      <c r="AC78" s="18"/>
      <c r="AD78" s="18"/>
    </row>
    <row r="79" spans="2:30" x14ac:dyDescent="0.25">
      <c r="B79">
        <v>128</v>
      </c>
      <c r="C79">
        <v>8</v>
      </c>
      <c r="D79">
        <v>1</v>
      </c>
      <c r="E79" s="12">
        <v>16</v>
      </c>
      <c r="F79" s="12">
        <v>2</v>
      </c>
      <c r="G79" s="12">
        <v>2</v>
      </c>
      <c r="H79" s="12">
        <v>256</v>
      </c>
      <c r="I79" s="12">
        <v>38</v>
      </c>
      <c r="J79" s="14">
        <f t="shared" si="30"/>
        <v>8</v>
      </c>
      <c r="K79">
        <f>8192</f>
        <v>8192</v>
      </c>
      <c r="L79" s="12">
        <v>576</v>
      </c>
      <c r="M79" s="12">
        <v>512</v>
      </c>
      <c r="N79" s="55">
        <f t="shared" si="31"/>
        <v>1986775.5789473683</v>
      </c>
      <c r="O79" s="15">
        <f t="shared" si="32"/>
        <v>15521.684210526315</v>
      </c>
      <c r="P79" s="15">
        <f t="shared" si="33"/>
        <v>294912</v>
      </c>
      <c r="Q79" s="15">
        <f t="shared" si="34"/>
        <v>294912</v>
      </c>
      <c r="R79" s="15">
        <f t="shared" si="25"/>
        <v>294912</v>
      </c>
      <c r="S79" s="15">
        <f t="shared" si="35"/>
        <v>32768</v>
      </c>
      <c r="T79" s="15">
        <f t="shared" si="36"/>
        <v>262144</v>
      </c>
      <c r="U79" s="15">
        <f t="shared" si="24"/>
        <v>262144</v>
      </c>
      <c r="V79" s="15">
        <f t="shared" si="37"/>
        <v>262144</v>
      </c>
      <c r="W79" s="54">
        <f t="shared" si="27"/>
        <v>6553.6</v>
      </c>
      <c r="X79" s="12">
        <f t="shared" si="22"/>
        <v>262144</v>
      </c>
      <c r="Y79" s="12">
        <v>30000</v>
      </c>
      <c r="Z79" s="51">
        <f t="shared" si="28"/>
        <v>2.8425291789473683</v>
      </c>
      <c r="AA79">
        <v>2.6054650000000001</v>
      </c>
      <c r="AB79" s="4">
        <f t="shared" si="29"/>
        <v>1.0909872820964275</v>
      </c>
      <c r="AC79" s="18"/>
      <c r="AD79" s="18"/>
    </row>
    <row r="80" spans="2:30" x14ac:dyDescent="0.25">
      <c r="B80">
        <v>256</v>
      </c>
      <c r="C80">
        <v>8</v>
      </c>
      <c r="D80">
        <v>1</v>
      </c>
      <c r="E80" s="12">
        <v>16</v>
      </c>
      <c r="F80" s="12">
        <v>2</v>
      </c>
      <c r="G80" s="12">
        <v>2</v>
      </c>
      <c r="H80" s="12">
        <v>256</v>
      </c>
      <c r="I80" s="12">
        <v>38</v>
      </c>
      <c r="J80" s="14">
        <f t="shared" si="30"/>
        <v>16</v>
      </c>
      <c r="K80">
        <f>8192</f>
        <v>8192</v>
      </c>
      <c r="L80" s="12">
        <v>576</v>
      </c>
      <c r="M80" s="12">
        <v>512</v>
      </c>
      <c r="N80" s="55">
        <f t="shared" si="31"/>
        <v>3973551.1578947366</v>
      </c>
      <c r="O80" s="15">
        <f t="shared" si="32"/>
        <v>31043.36842105263</v>
      </c>
      <c r="P80" s="15">
        <f t="shared" si="33"/>
        <v>589824</v>
      </c>
      <c r="Q80" s="15">
        <f t="shared" si="34"/>
        <v>589824</v>
      </c>
      <c r="R80" s="15">
        <f t="shared" si="25"/>
        <v>589824</v>
      </c>
      <c r="S80" s="15">
        <f t="shared" si="35"/>
        <v>65536</v>
      </c>
      <c r="T80" s="15">
        <f t="shared" si="36"/>
        <v>524288</v>
      </c>
      <c r="U80" s="15">
        <f t="shared" si="24"/>
        <v>524288</v>
      </c>
      <c r="V80" s="15">
        <f t="shared" si="37"/>
        <v>524288</v>
      </c>
      <c r="W80" s="54">
        <f t="shared" si="27"/>
        <v>13107.2</v>
      </c>
      <c r="X80" s="12">
        <f t="shared" si="22"/>
        <v>524288</v>
      </c>
      <c r="Y80" s="12">
        <v>30000</v>
      </c>
      <c r="Z80" s="51">
        <f t="shared" si="28"/>
        <v>5.6550583578947364</v>
      </c>
      <c r="AA80">
        <v>5.0972809999999997</v>
      </c>
      <c r="AB80" s="4">
        <f t="shared" si="29"/>
        <v>1.1094264487076024</v>
      </c>
      <c r="AC80" s="18"/>
      <c r="AD80" s="18"/>
    </row>
    <row r="81" spans="2:30" x14ac:dyDescent="0.25">
      <c r="B81">
        <v>512</v>
      </c>
      <c r="C81">
        <v>8</v>
      </c>
      <c r="D81">
        <v>1</v>
      </c>
      <c r="E81" s="12">
        <v>16</v>
      </c>
      <c r="F81" s="12">
        <v>2</v>
      </c>
      <c r="G81" s="12">
        <v>2</v>
      </c>
      <c r="H81" s="12">
        <v>256</v>
      </c>
      <c r="I81" s="12">
        <v>38</v>
      </c>
      <c r="J81" s="14">
        <f t="shared" si="30"/>
        <v>32</v>
      </c>
      <c r="K81">
        <f>8192</f>
        <v>8192</v>
      </c>
      <c r="L81" s="12">
        <v>576</v>
      </c>
      <c r="M81" s="12">
        <v>512</v>
      </c>
      <c r="N81" s="55">
        <f t="shared" si="31"/>
        <v>7947102.3157894732</v>
      </c>
      <c r="O81" s="15">
        <f t="shared" si="32"/>
        <v>62086.73684210526</v>
      </c>
      <c r="P81" s="15">
        <f t="shared" si="33"/>
        <v>1179648</v>
      </c>
      <c r="Q81" s="15">
        <f t="shared" si="34"/>
        <v>1179648</v>
      </c>
      <c r="R81" s="15">
        <f t="shared" si="25"/>
        <v>1179648</v>
      </c>
      <c r="S81" s="15">
        <f t="shared" si="35"/>
        <v>131072</v>
      </c>
      <c r="T81" s="15">
        <f t="shared" si="36"/>
        <v>1048576</v>
      </c>
      <c r="U81" s="15">
        <f t="shared" si="24"/>
        <v>1048576</v>
      </c>
      <c r="V81" s="15">
        <f t="shared" si="37"/>
        <v>1048576</v>
      </c>
      <c r="W81" s="54">
        <f t="shared" si="27"/>
        <v>26214.400000000001</v>
      </c>
      <c r="X81" s="12">
        <f t="shared" si="22"/>
        <v>1048576</v>
      </c>
      <c r="Y81" s="12">
        <v>30000</v>
      </c>
      <c r="Z81" s="51">
        <f t="shared" si="28"/>
        <v>11.280116715789474</v>
      </c>
      <c r="AA81">
        <v>10.219123</v>
      </c>
      <c r="AB81" s="4">
        <f t="shared" si="29"/>
        <v>1.1038243414615396</v>
      </c>
      <c r="AC81" s="18"/>
      <c r="AD81" s="18"/>
    </row>
    <row r="82" spans="2:30" x14ac:dyDescent="0.25">
      <c r="B82" s="8">
        <v>1</v>
      </c>
      <c r="C82" s="8">
        <v>8</v>
      </c>
      <c r="D82" s="8">
        <v>1</v>
      </c>
      <c r="E82" s="12">
        <v>16</v>
      </c>
      <c r="F82" s="12">
        <v>2</v>
      </c>
      <c r="G82" s="12">
        <v>2</v>
      </c>
      <c r="H82" s="12">
        <v>256</v>
      </c>
      <c r="I82" s="12">
        <v>38</v>
      </c>
      <c r="J82" s="14">
        <f t="shared" si="30"/>
        <v>1</v>
      </c>
      <c r="K82" s="8">
        <f>16384</f>
        <v>16384</v>
      </c>
      <c r="L82" s="12">
        <v>576</v>
      </c>
      <c r="M82" s="12">
        <v>512</v>
      </c>
      <c r="N82" s="55">
        <f t="shared" si="31"/>
        <v>496693.89473684208</v>
      </c>
      <c r="O82" s="15">
        <f t="shared" si="32"/>
        <v>1940.2105263157894</v>
      </c>
      <c r="P82" s="15">
        <f t="shared" si="33"/>
        <v>73728</v>
      </c>
      <c r="Q82" s="15">
        <f t="shared" si="34"/>
        <v>73728</v>
      </c>
      <c r="R82" s="15">
        <f t="shared" si="25"/>
        <v>73728</v>
      </c>
      <c r="S82" s="15">
        <f t="shared" si="35"/>
        <v>8192</v>
      </c>
      <c r="T82" s="15">
        <f t="shared" si="36"/>
        <v>65536</v>
      </c>
      <c r="U82" s="15">
        <f t="shared" si="24"/>
        <v>65536</v>
      </c>
      <c r="V82" s="15">
        <f t="shared" si="37"/>
        <v>65536</v>
      </c>
      <c r="W82" s="54">
        <f t="shared" si="27"/>
        <v>6553.6</v>
      </c>
      <c r="X82" s="12">
        <f t="shared" si="22"/>
        <v>65536</v>
      </c>
      <c r="Y82" s="12">
        <v>30000</v>
      </c>
      <c r="Z82" s="51">
        <f t="shared" si="28"/>
        <v>0.73804749473684195</v>
      </c>
      <c r="AA82">
        <v>0.59659499999999999</v>
      </c>
      <c r="AB82" s="4">
        <f t="shared" si="29"/>
        <v>1.2370996986847727</v>
      </c>
      <c r="AC82" s="18"/>
      <c r="AD82" s="18"/>
    </row>
    <row r="83" spans="2:30" x14ac:dyDescent="0.25">
      <c r="B83" s="8">
        <v>2</v>
      </c>
      <c r="C83" s="8">
        <v>8</v>
      </c>
      <c r="D83" s="8">
        <v>1</v>
      </c>
      <c r="E83" s="12">
        <v>16</v>
      </c>
      <c r="F83" s="12">
        <v>2</v>
      </c>
      <c r="G83" s="12">
        <v>2</v>
      </c>
      <c r="H83" s="12">
        <v>256</v>
      </c>
      <c r="I83" s="12">
        <v>38</v>
      </c>
      <c r="J83" s="14">
        <f t="shared" si="30"/>
        <v>1</v>
      </c>
      <c r="K83" s="8">
        <f>16384</f>
        <v>16384</v>
      </c>
      <c r="L83" s="12">
        <v>576</v>
      </c>
      <c r="M83" s="12">
        <v>512</v>
      </c>
      <c r="N83" s="55">
        <f t="shared" si="31"/>
        <v>496693.89473684208</v>
      </c>
      <c r="O83" s="15">
        <f t="shared" si="32"/>
        <v>1940.2105263157894</v>
      </c>
      <c r="P83" s="15">
        <f t="shared" si="33"/>
        <v>73728</v>
      </c>
      <c r="Q83" s="15">
        <f t="shared" si="34"/>
        <v>73728</v>
      </c>
      <c r="R83" s="15">
        <f t="shared" si="25"/>
        <v>73728</v>
      </c>
      <c r="S83" s="15">
        <f t="shared" si="35"/>
        <v>8192</v>
      </c>
      <c r="T83" s="15">
        <f t="shared" si="36"/>
        <v>65536</v>
      </c>
      <c r="U83" s="15">
        <f t="shared" si="24"/>
        <v>65536</v>
      </c>
      <c r="V83" s="15">
        <f t="shared" si="37"/>
        <v>65536</v>
      </c>
      <c r="W83" s="54">
        <f t="shared" si="27"/>
        <v>6553.6</v>
      </c>
      <c r="X83" s="12">
        <f t="shared" si="22"/>
        <v>65536</v>
      </c>
      <c r="Y83" s="12">
        <v>30000</v>
      </c>
      <c r="Z83" s="51">
        <f t="shared" si="28"/>
        <v>0.73804749473684195</v>
      </c>
      <c r="AA83">
        <v>0.59289000000000003</v>
      </c>
      <c r="AB83" s="4">
        <f t="shared" si="29"/>
        <v>1.2448303981123681</v>
      </c>
      <c r="AC83" s="18"/>
      <c r="AD83" s="18"/>
    </row>
    <row r="84" spans="2:30" x14ac:dyDescent="0.25">
      <c r="B84" s="8">
        <v>4</v>
      </c>
      <c r="C84" s="8">
        <v>8</v>
      </c>
      <c r="D84" s="8">
        <v>1</v>
      </c>
      <c r="E84" s="12">
        <v>16</v>
      </c>
      <c r="F84" s="12">
        <v>2</v>
      </c>
      <c r="G84" s="12">
        <v>2</v>
      </c>
      <c r="H84" s="12">
        <v>256</v>
      </c>
      <c r="I84" s="12">
        <v>38</v>
      </c>
      <c r="J84" s="14">
        <f t="shared" si="30"/>
        <v>1</v>
      </c>
      <c r="K84" s="8">
        <f>16384</f>
        <v>16384</v>
      </c>
      <c r="L84" s="12">
        <v>576</v>
      </c>
      <c r="M84" s="12">
        <v>512</v>
      </c>
      <c r="N84" s="55">
        <f t="shared" si="31"/>
        <v>496693.89473684208</v>
      </c>
      <c r="O84" s="15">
        <f t="shared" si="32"/>
        <v>1940.2105263157894</v>
      </c>
      <c r="P84" s="15">
        <f t="shared" si="33"/>
        <v>73728</v>
      </c>
      <c r="Q84" s="15">
        <f t="shared" si="34"/>
        <v>73728</v>
      </c>
      <c r="R84" s="15">
        <f t="shared" si="25"/>
        <v>73728</v>
      </c>
      <c r="S84" s="15">
        <f t="shared" si="35"/>
        <v>8192</v>
      </c>
      <c r="T84" s="15">
        <f t="shared" si="36"/>
        <v>65536</v>
      </c>
      <c r="U84" s="15">
        <f t="shared" si="24"/>
        <v>65536</v>
      </c>
      <c r="V84" s="15">
        <f t="shared" si="37"/>
        <v>65536</v>
      </c>
      <c r="W84" s="54">
        <f t="shared" si="27"/>
        <v>6553.6</v>
      </c>
      <c r="X84" s="12">
        <f t="shared" si="22"/>
        <v>65536</v>
      </c>
      <c r="Y84" s="12">
        <v>30000</v>
      </c>
      <c r="Z84" s="51">
        <f t="shared" si="28"/>
        <v>0.73804749473684195</v>
      </c>
      <c r="AA84">
        <v>0.71840599999999999</v>
      </c>
      <c r="AB84" s="4">
        <f t="shared" si="29"/>
        <v>1.0273403823699161</v>
      </c>
      <c r="AC84" s="18"/>
      <c r="AD84" s="18"/>
    </row>
    <row r="85" spans="2:30" x14ac:dyDescent="0.25">
      <c r="B85">
        <v>8</v>
      </c>
      <c r="C85">
        <v>8</v>
      </c>
      <c r="D85">
        <v>1</v>
      </c>
      <c r="E85" s="12">
        <v>16</v>
      </c>
      <c r="F85" s="12">
        <v>2</v>
      </c>
      <c r="G85" s="12">
        <v>2</v>
      </c>
      <c r="H85" s="12">
        <v>256</v>
      </c>
      <c r="I85" s="12">
        <v>38</v>
      </c>
      <c r="J85" s="14">
        <f t="shared" si="30"/>
        <v>1</v>
      </c>
      <c r="K85">
        <f>16384</f>
        <v>16384</v>
      </c>
      <c r="L85" s="12">
        <v>576</v>
      </c>
      <c r="M85" s="12">
        <v>512</v>
      </c>
      <c r="N85" s="55">
        <f t="shared" si="31"/>
        <v>496693.89473684208</v>
      </c>
      <c r="O85" s="15">
        <f t="shared" si="32"/>
        <v>1940.2105263157894</v>
      </c>
      <c r="P85" s="15">
        <f t="shared" si="33"/>
        <v>73728</v>
      </c>
      <c r="Q85" s="15">
        <f t="shared" si="34"/>
        <v>73728</v>
      </c>
      <c r="R85" s="15">
        <f t="shared" si="25"/>
        <v>73728</v>
      </c>
      <c r="S85" s="15">
        <f t="shared" si="35"/>
        <v>8192</v>
      </c>
      <c r="T85" s="15">
        <f t="shared" si="36"/>
        <v>65536</v>
      </c>
      <c r="U85" s="15">
        <f t="shared" si="24"/>
        <v>65536</v>
      </c>
      <c r="V85" s="15">
        <f t="shared" si="37"/>
        <v>65536</v>
      </c>
      <c r="W85" s="54">
        <f t="shared" si="27"/>
        <v>6553.6</v>
      </c>
      <c r="X85" s="12">
        <f t="shared" si="22"/>
        <v>65536</v>
      </c>
      <c r="Y85" s="12">
        <v>30000</v>
      </c>
      <c r="Z85" s="51">
        <f t="shared" si="28"/>
        <v>0.73804749473684195</v>
      </c>
      <c r="AA85">
        <v>0.73077800000000004</v>
      </c>
      <c r="AB85" s="4">
        <f t="shared" si="29"/>
        <v>1.0099476102685656</v>
      </c>
      <c r="AC85" s="18"/>
      <c r="AD85" s="18"/>
    </row>
    <row r="86" spans="2:30" x14ac:dyDescent="0.25">
      <c r="B86">
        <v>16</v>
      </c>
      <c r="C86">
        <v>8</v>
      </c>
      <c r="D86">
        <v>1</v>
      </c>
      <c r="E86" s="12">
        <v>16</v>
      </c>
      <c r="F86" s="12">
        <v>2</v>
      </c>
      <c r="G86" s="12">
        <v>2</v>
      </c>
      <c r="H86" s="12">
        <v>256</v>
      </c>
      <c r="I86" s="12">
        <v>38</v>
      </c>
      <c r="J86" s="14">
        <f t="shared" si="30"/>
        <v>1</v>
      </c>
      <c r="K86">
        <f>16384</f>
        <v>16384</v>
      </c>
      <c r="L86" s="12">
        <v>576</v>
      </c>
      <c r="M86" s="12">
        <v>512</v>
      </c>
      <c r="N86" s="55">
        <f t="shared" si="31"/>
        <v>496693.89473684208</v>
      </c>
      <c r="O86" s="15">
        <f t="shared" si="32"/>
        <v>1940.2105263157894</v>
      </c>
      <c r="P86" s="15">
        <f t="shared" si="33"/>
        <v>73728</v>
      </c>
      <c r="Q86" s="15">
        <f t="shared" si="34"/>
        <v>73728</v>
      </c>
      <c r="R86" s="15">
        <f t="shared" si="25"/>
        <v>73728</v>
      </c>
      <c r="S86" s="15">
        <f t="shared" si="35"/>
        <v>8192</v>
      </c>
      <c r="T86" s="15">
        <f t="shared" si="36"/>
        <v>65536</v>
      </c>
      <c r="U86" s="15">
        <f t="shared" si="24"/>
        <v>65536</v>
      </c>
      <c r="V86" s="15">
        <f t="shared" si="37"/>
        <v>65536</v>
      </c>
      <c r="W86" s="54">
        <f t="shared" si="27"/>
        <v>6553.6</v>
      </c>
      <c r="X86" s="12">
        <f t="shared" si="22"/>
        <v>65536</v>
      </c>
      <c r="Y86" s="12">
        <v>30000</v>
      </c>
      <c r="Z86" s="51">
        <f t="shared" si="28"/>
        <v>0.73804749473684195</v>
      </c>
      <c r="AA86">
        <v>0.74792999999999998</v>
      </c>
      <c r="AB86" s="4">
        <f t="shared" si="29"/>
        <v>0.98678685804399069</v>
      </c>
      <c r="AC86" s="18"/>
      <c r="AD86" s="18"/>
    </row>
    <row r="87" spans="2:30" x14ac:dyDescent="0.25">
      <c r="B87">
        <v>32</v>
      </c>
      <c r="C87">
        <v>8</v>
      </c>
      <c r="D87">
        <v>1</v>
      </c>
      <c r="E87" s="12">
        <v>16</v>
      </c>
      <c r="F87" s="12">
        <v>2</v>
      </c>
      <c r="G87" s="12">
        <v>2</v>
      </c>
      <c r="H87" s="12">
        <v>256</v>
      </c>
      <c r="I87" s="12">
        <v>38</v>
      </c>
      <c r="J87" s="14">
        <f t="shared" si="30"/>
        <v>2</v>
      </c>
      <c r="K87">
        <f>16384</f>
        <v>16384</v>
      </c>
      <c r="L87" s="12">
        <v>576</v>
      </c>
      <c r="M87" s="12">
        <v>512</v>
      </c>
      <c r="N87" s="55">
        <f t="shared" si="31"/>
        <v>993387.78947368416</v>
      </c>
      <c r="O87" s="15">
        <f t="shared" si="32"/>
        <v>3880.4210526315787</v>
      </c>
      <c r="P87" s="15">
        <f t="shared" si="33"/>
        <v>147456</v>
      </c>
      <c r="Q87" s="15">
        <f t="shared" si="34"/>
        <v>147456</v>
      </c>
      <c r="R87" s="15">
        <f t="shared" si="25"/>
        <v>147456</v>
      </c>
      <c r="S87" s="15">
        <f t="shared" si="35"/>
        <v>16384</v>
      </c>
      <c r="T87" s="15">
        <f t="shared" si="36"/>
        <v>131072</v>
      </c>
      <c r="U87" s="15">
        <f t="shared" si="24"/>
        <v>131072</v>
      </c>
      <c r="V87" s="15">
        <f t="shared" si="37"/>
        <v>131072</v>
      </c>
      <c r="W87" s="54">
        <f t="shared" si="27"/>
        <v>6553.6</v>
      </c>
      <c r="X87" s="12">
        <f t="shared" si="22"/>
        <v>131072</v>
      </c>
      <c r="Y87" s="12">
        <v>30000</v>
      </c>
      <c r="Z87" s="51">
        <f t="shared" si="28"/>
        <v>1.4395413894736842</v>
      </c>
      <c r="AA87">
        <v>1.3673850000000001</v>
      </c>
      <c r="AB87" s="4">
        <f t="shared" si="29"/>
        <v>1.0527696219233678</v>
      </c>
      <c r="AC87" s="18"/>
      <c r="AD87" s="18"/>
    </row>
    <row r="88" spans="2:30" x14ac:dyDescent="0.25">
      <c r="B88">
        <v>64</v>
      </c>
      <c r="C88">
        <v>8</v>
      </c>
      <c r="D88">
        <v>1</v>
      </c>
      <c r="E88" s="12">
        <v>16</v>
      </c>
      <c r="F88" s="12">
        <v>2</v>
      </c>
      <c r="G88" s="12">
        <v>2</v>
      </c>
      <c r="H88" s="12">
        <v>256</v>
      </c>
      <c r="I88" s="12">
        <v>38</v>
      </c>
      <c r="J88" s="14">
        <f t="shared" si="30"/>
        <v>4</v>
      </c>
      <c r="K88">
        <f>16384</f>
        <v>16384</v>
      </c>
      <c r="L88" s="12">
        <v>576</v>
      </c>
      <c r="M88" s="12">
        <v>512</v>
      </c>
      <c r="N88" s="55">
        <f t="shared" si="31"/>
        <v>1986775.5789473683</v>
      </c>
      <c r="O88" s="15">
        <f t="shared" si="32"/>
        <v>7760.8421052631575</v>
      </c>
      <c r="P88" s="15">
        <f t="shared" si="33"/>
        <v>294912</v>
      </c>
      <c r="Q88" s="15">
        <f t="shared" si="34"/>
        <v>294912</v>
      </c>
      <c r="R88" s="15">
        <f t="shared" si="25"/>
        <v>294912</v>
      </c>
      <c r="S88" s="15">
        <f t="shared" si="35"/>
        <v>32768</v>
      </c>
      <c r="T88" s="15">
        <f t="shared" si="36"/>
        <v>262144</v>
      </c>
      <c r="U88" s="15">
        <f t="shared" si="24"/>
        <v>262144</v>
      </c>
      <c r="V88" s="15">
        <f t="shared" si="37"/>
        <v>262144</v>
      </c>
      <c r="W88" s="54">
        <f t="shared" si="27"/>
        <v>6553.6</v>
      </c>
      <c r="X88" s="12">
        <f t="shared" si="22"/>
        <v>262144</v>
      </c>
      <c r="Y88" s="12">
        <v>30000</v>
      </c>
      <c r="Z88" s="51">
        <f t="shared" si="28"/>
        <v>2.8425291789473683</v>
      </c>
      <c r="AA88">
        <v>2.5753279999999998</v>
      </c>
      <c r="AB88" s="4">
        <f t="shared" si="29"/>
        <v>1.1037542320618454</v>
      </c>
      <c r="AC88" s="18"/>
      <c r="AD88" s="18"/>
    </row>
    <row r="89" spans="2:30" x14ac:dyDescent="0.25">
      <c r="B89">
        <v>128</v>
      </c>
      <c r="C89">
        <v>8</v>
      </c>
      <c r="D89">
        <v>1</v>
      </c>
      <c r="E89" s="12">
        <v>16</v>
      </c>
      <c r="F89" s="12">
        <v>2</v>
      </c>
      <c r="G89" s="12">
        <v>2</v>
      </c>
      <c r="H89" s="12">
        <v>256</v>
      </c>
      <c r="I89" s="12">
        <v>38</v>
      </c>
      <c r="J89" s="14">
        <f t="shared" si="30"/>
        <v>8</v>
      </c>
      <c r="K89">
        <f>16384</f>
        <v>16384</v>
      </c>
      <c r="L89" s="12">
        <v>576</v>
      </c>
      <c r="M89" s="12">
        <v>512</v>
      </c>
      <c r="N89" s="55">
        <f t="shared" si="31"/>
        <v>3973551.1578947366</v>
      </c>
      <c r="O89" s="15">
        <f t="shared" si="32"/>
        <v>15521.684210526315</v>
      </c>
      <c r="P89" s="15">
        <f t="shared" si="33"/>
        <v>589824</v>
      </c>
      <c r="Q89" s="15">
        <f t="shared" si="34"/>
        <v>589824</v>
      </c>
      <c r="R89" s="15">
        <f t="shared" si="25"/>
        <v>589824</v>
      </c>
      <c r="S89" s="15">
        <f t="shared" si="35"/>
        <v>65536</v>
      </c>
      <c r="T89" s="15">
        <f t="shared" si="36"/>
        <v>524288</v>
      </c>
      <c r="U89" s="15">
        <f t="shared" si="24"/>
        <v>524288</v>
      </c>
      <c r="V89" s="15">
        <f t="shared" si="37"/>
        <v>524288</v>
      </c>
      <c r="W89" s="54">
        <f t="shared" si="27"/>
        <v>6553.6</v>
      </c>
      <c r="X89" s="12">
        <f t="shared" si="22"/>
        <v>524288</v>
      </c>
      <c r="Y89" s="12">
        <v>30000</v>
      </c>
      <c r="Z89" s="51">
        <f t="shared" si="28"/>
        <v>5.6485047578947354</v>
      </c>
      <c r="AA89">
        <v>5.0078339999999999</v>
      </c>
      <c r="AB89" s="4">
        <f t="shared" si="29"/>
        <v>1.127933705049875</v>
      </c>
      <c r="AC89" s="18"/>
      <c r="AD89" s="18"/>
    </row>
    <row r="90" spans="2:30" x14ac:dyDescent="0.25">
      <c r="B90">
        <v>256</v>
      </c>
      <c r="C90">
        <v>8</v>
      </c>
      <c r="D90">
        <v>1</v>
      </c>
      <c r="E90" s="12">
        <v>16</v>
      </c>
      <c r="F90" s="12">
        <v>2</v>
      </c>
      <c r="G90" s="12">
        <v>2</v>
      </c>
      <c r="H90" s="12">
        <v>256</v>
      </c>
      <c r="I90" s="12">
        <v>38</v>
      </c>
      <c r="J90" s="14">
        <f t="shared" si="30"/>
        <v>16</v>
      </c>
      <c r="K90">
        <f>16384</f>
        <v>16384</v>
      </c>
      <c r="L90" s="12">
        <v>576</v>
      </c>
      <c r="M90" s="12">
        <v>512</v>
      </c>
      <c r="N90" s="55">
        <f t="shared" si="31"/>
        <v>7947102.3157894732</v>
      </c>
      <c r="O90" s="15">
        <f t="shared" si="32"/>
        <v>31043.36842105263</v>
      </c>
      <c r="P90" s="15">
        <f t="shared" si="33"/>
        <v>1179648</v>
      </c>
      <c r="Q90" s="15">
        <f t="shared" si="34"/>
        <v>1179648</v>
      </c>
      <c r="R90" s="15">
        <f t="shared" si="25"/>
        <v>1179648</v>
      </c>
      <c r="S90" s="15">
        <f t="shared" si="35"/>
        <v>131072</v>
      </c>
      <c r="T90" s="15">
        <f t="shared" si="36"/>
        <v>1048576</v>
      </c>
      <c r="U90" s="15">
        <f t="shared" si="24"/>
        <v>1048576</v>
      </c>
      <c r="V90" s="15">
        <f t="shared" si="37"/>
        <v>1048576</v>
      </c>
      <c r="W90" s="54">
        <f t="shared" si="27"/>
        <v>13107.2</v>
      </c>
      <c r="X90" s="12">
        <f t="shared" si="22"/>
        <v>1048576</v>
      </c>
      <c r="Y90" s="12">
        <v>30000</v>
      </c>
      <c r="Z90" s="51">
        <f t="shared" si="28"/>
        <v>11.267009515789471</v>
      </c>
      <c r="AA90">
        <v>9.9186940000000003</v>
      </c>
      <c r="AB90" s="4">
        <f t="shared" si="29"/>
        <v>1.1359367993194942</v>
      </c>
      <c r="AC90" s="18"/>
      <c r="AD90" s="18"/>
    </row>
    <row r="91" spans="2:30" x14ac:dyDescent="0.25">
      <c r="B91">
        <v>512</v>
      </c>
      <c r="C91">
        <v>8</v>
      </c>
      <c r="D91">
        <v>1</v>
      </c>
      <c r="E91" s="12">
        <v>16</v>
      </c>
      <c r="F91" s="12">
        <v>2</v>
      </c>
      <c r="G91" s="12">
        <v>2</v>
      </c>
      <c r="H91" s="12">
        <v>256</v>
      </c>
      <c r="I91" s="12">
        <v>38</v>
      </c>
      <c r="J91" s="14">
        <f t="shared" si="30"/>
        <v>32</v>
      </c>
      <c r="K91">
        <f>16384</f>
        <v>16384</v>
      </c>
      <c r="L91" s="12">
        <v>576</v>
      </c>
      <c r="M91" s="12">
        <v>512</v>
      </c>
      <c r="N91" s="55">
        <f t="shared" si="31"/>
        <v>15894204.631578946</v>
      </c>
      <c r="O91" s="15">
        <f t="shared" si="32"/>
        <v>62086.73684210526</v>
      </c>
      <c r="P91" s="15">
        <f t="shared" si="33"/>
        <v>2359296</v>
      </c>
      <c r="Q91" s="15">
        <f t="shared" si="34"/>
        <v>2359296</v>
      </c>
      <c r="R91" s="15">
        <f t="shared" si="25"/>
        <v>2359296</v>
      </c>
      <c r="S91" s="15">
        <f t="shared" si="35"/>
        <v>262144</v>
      </c>
      <c r="T91" s="15">
        <f t="shared" si="36"/>
        <v>2097152</v>
      </c>
      <c r="U91" s="15">
        <f t="shared" si="24"/>
        <v>2097152</v>
      </c>
      <c r="V91" s="15">
        <f t="shared" si="37"/>
        <v>2097152</v>
      </c>
      <c r="W91" s="54">
        <f t="shared" si="27"/>
        <v>26214.400000000001</v>
      </c>
      <c r="X91" s="12">
        <f t="shared" si="22"/>
        <v>2097152</v>
      </c>
      <c r="Y91" s="12">
        <v>30000</v>
      </c>
      <c r="Z91" s="51">
        <f t="shared" si="28"/>
        <v>22.504019031578942</v>
      </c>
      <c r="AA91" s="2">
        <v>20.054672</v>
      </c>
      <c r="AB91" s="4">
        <f t="shared" si="29"/>
        <v>1.1221334874775784</v>
      </c>
      <c r="AC91" s="18"/>
      <c r="AD91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"/>
  <sheetViews>
    <sheetView workbookViewId="0">
      <pane ySplit="1" topLeftCell="A2" activePane="bottomLeft" state="frozen"/>
      <selection activeCell="C1" sqref="C1"/>
      <selection pane="bottomLeft" activeCell="X3" sqref="X3"/>
    </sheetView>
  </sheetViews>
  <sheetFormatPr defaultRowHeight="13.8" x14ac:dyDescent="0.25"/>
  <cols>
    <col min="3" max="9" width="8.88671875" hidden="1" customWidth="1"/>
    <col min="10" max="10" width="12.44140625" hidden="1" customWidth="1"/>
    <col min="12" max="12" width="9.77734375" customWidth="1"/>
    <col min="13" max="13" width="11.5546875" customWidth="1"/>
    <col min="14" max="14" width="11.5546875" style="49" customWidth="1"/>
    <col min="15" max="15" width="7.5546875" bestFit="1" customWidth="1"/>
    <col min="16" max="16" width="10.109375" bestFit="1" customWidth="1"/>
    <col min="18" max="18" width="10.109375" bestFit="1" customWidth="1"/>
    <col min="19" max="19" width="8.109375" bestFit="1" customWidth="1"/>
    <col min="20" max="20" width="10.109375" bestFit="1" customWidth="1"/>
    <col min="22" max="22" width="9.109375" bestFit="1" customWidth="1"/>
    <col min="23" max="23" width="11.5546875" customWidth="1"/>
    <col min="24" max="24" width="9.109375" bestFit="1" customWidth="1"/>
    <col min="25" max="25" width="9.109375" customWidth="1"/>
    <col min="26" max="26" width="10.109375" bestFit="1" customWidth="1"/>
    <col min="29" max="29" width="12.88671875" bestFit="1" customWidth="1"/>
    <col min="30" max="30" width="14.44140625" bestFit="1" customWidth="1"/>
    <col min="31" max="31" width="10.5546875" bestFit="1" customWidth="1"/>
    <col min="32" max="32" width="10.109375" bestFit="1" customWidth="1"/>
  </cols>
  <sheetData>
    <row r="1" spans="1:38" s="19" customFormat="1" x14ac:dyDescent="0.25">
      <c r="A1" s="19" t="s">
        <v>39</v>
      </c>
      <c r="B1" s="20" t="s">
        <v>40</v>
      </c>
      <c r="C1" s="20" t="s">
        <v>41</v>
      </c>
      <c r="D1" s="20" t="s">
        <v>42</v>
      </c>
      <c r="E1" s="20" t="s">
        <v>43</v>
      </c>
      <c r="F1" s="20" t="s">
        <v>44</v>
      </c>
      <c r="G1" s="20" t="s">
        <v>45</v>
      </c>
      <c r="H1" s="20" t="s">
        <v>46</v>
      </c>
      <c r="I1" s="20" t="s">
        <v>47</v>
      </c>
      <c r="J1" s="20" t="s">
        <v>256</v>
      </c>
      <c r="K1" s="20" t="s">
        <v>49</v>
      </c>
      <c r="L1" s="20" t="s">
        <v>62</v>
      </c>
      <c r="M1" s="20" t="s">
        <v>63</v>
      </c>
      <c r="N1" s="57" t="s">
        <v>246</v>
      </c>
      <c r="O1" s="20" t="s">
        <v>51</v>
      </c>
      <c r="P1" s="20" t="s">
        <v>52</v>
      </c>
      <c r="Q1" s="20" t="s">
        <v>53</v>
      </c>
      <c r="R1" s="21" t="s">
        <v>54</v>
      </c>
      <c r="S1" s="22" t="s">
        <v>55</v>
      </c>
      <c r="T1" s="22" t="s">
        <v>56</v>
      </c>
      <c r="U1" s="20" t="s">
        <v>53</v>
      </c>
      <c r="V1" s="21" t="s">
        <v>57</v>
      </c>
      <c r="W1" s="22" t="s">
        <v>254</v>
      </c>
      <c r="X1" s="20" t="s">
        <v>59</v>
      </c>
      <c r="Y1" s="20" t="s">
        <v>257</v>
      </c>
      <c r="Z1" s="20" t="s">
        <v>61</v>
      </c>
      <c r="AA1" s="19" t="s">
        <v>255</v>
      </c>
      <c r="AC1" s="19" t="s">
        <v>258</v>
      </c>
      <c r="AD1" s="19" t="s">
        <v>259</v>
      </c>
      <c r="AE1" s="19" t="s">
        <v>260</v>
      </c>
      <c r="AF1" s="19" t="s">
        <v>261</v>
      </c>
      <c r="AG1" s="19" t="s">
        <v>262</v>
      </c>
      <c r="AI1" s="19" t="s">
        <v>263</v>
      </c>
    </row>
    <row r="2" spans="1:38" s="11" customFormat="1" x14ac:dyDescent="0.25">
      <c r="B2">
        <v>1</v>
      </c>
      <c r="C2">
        <v>8</v>
      </c>
      <c r="D2">
        <v>1</v>
      </c>
      <c r="E2" s="12">
        <v>16</v>
      </c>
      <c r="F2" s="12">
        <v>2</v>
      </c>
      <c r="G2" s="12">
        <v>2</v>
      </c>
      <c r="H2" s="12">
        <v>256</v>
      </c>
      <c r="I2" s="12">
        <v>38</v>
      </c>
      <c r="J2" s="14">
        <f>_xlfn.CEILING.MATH(B2*D2/E2)</f>
        <v>1</v>
      </c>
      <c r="K2">
        <v>64</v>
      </c>
      <c r="L2" s="12">
        <v>576</v>
      </c>
      <c r="M2" s="12">
        <v>512</v>
      </c>
      <c r="N2" s="55">
        <v>0</v>
      </c>
      <c r="O2" s="15">
        <f>F2*J2*64*_xlfn.CEILING.MATH(L2/128)*128/38</f>
        <v>2155.7894736842104</v>
      </c>
      <c r="P2" s="15">
        <f>G2*J2*K2*_xlfn.CEILING.MATH(L2/128)*128/I2</f>
        <v>2155.7894736842104</v>
      </c>
      <c r="Q2" s="15">
        <f>64*L2*K2*J2/8192</f>
        <v>288</v>
      </c>
      <c r="R2" s="15">
        <f>O2+P2</f>
        <v>4311.5789473684208</v>
      </c>
      <c r="S2" s="15">
        <f>F2*J2*64*K2/H2</f>
        <v>32</v>
      </c>
      <c r="T2" s="15">
        <f>G2*J2*_xlfn.CEILING.MATH(K2/128)*128*M2/I2</f>
        <v>3449.2631578947367</v>
      </c>
      <c r="U2" s="15">
        <f t="shared" ref="U2:U41" si="0">64*K2*M2*J2/8192</f>
        <v>256</v>
      </c>
      <c r="V2" s="15">
        <f>T2</f>
        <v>3449.2631578947367</v>
      </c>
      <c r="W2" s="54">
        <f>C2*_xlfn.CEILING.MATH(B2/128)*128*M2*6/30/E2</f>
        <v>6553.6</v>
      </c>
      <c r="X2" s="12">
        <f>J2*(_xlfn.CEILING.MATH(K2/32)*97+195)</f>
        <v>389</v>
      </c>
      <c r="Y2" s="12">
        <v>30000</v>
      </c>
      <c r="Z2" s="51">
        <f>(N2+R2+V2+X2+W2+Y2)/1000000</f>
        <v>4.4703442105263155E-2</v>
      </c>
      <c r="AA2">
        <v>4.6656000000000003E-2</v>
      </c>
      <c r="AB2" s="4">
        <f>Z2/AA2</f>
        <v>0.95814990794888444</v>
      </c>
      <c r="AC2" s="64">
        <v>2.7514E-2</v>
      </c>
      <c r="AD2" s="64">
        <v>7.0079999999999969E-3</v>
      </c>
      <c r="AE2">
        <v>-1.9900000000000126E-4</v>
      </c>
      <c r="AF2" s="11">
        <v>5.3690000000000022E-3</v>
      </c>
      <c r="AG2" s="11">
        <v>-1.2200000000000058E-4</v>
      </c>
      <c r="AH2"/>
      <c r="AI2" s="11">
        <f>SUM(AC2:AG2)</f>
        <v>3.9569999999999994E-2</v>
      </c>
    </row>
    <row r="3" spans="1:38" s="11" customFormat="1" x14ac:dyDescent="0.25">
      <c r="B3">
        <v>2</v>
      </c>
      <c r="C3">
        <v>8</v>
      </c>
      <c r="D3">
        <v>1</v>
      </c>
      <c r="E3" s="12">
        <v>16</v>
      </c>
      <c r="F3" s="12">
        <v>2</v>
      </c>
      <c r="G3" s="12">
        <v>2</v>
      </c>
      <c r="H3" s="12">
        <v>256</v>
      </c>
      <c r="I3" s="12">
        <v>38</v>
      </c>
      <c r="J3" s="14">
        <f>_xlfn.CEILING.MATH(B3*D3/E3)</f>
        <v>1</v>
      </c>
      <c r="K3">
        <v>64</v>
      </c>
      <c r="L3" s="12">
        <v>576</v>
      </c>
      <c r="M3" s="12">
        <v>512</v>
      </c>
      <c r="N3" s="55">
        <v>0</v>
      </c>
      <c r="O3" s="15">
        <f t="shared" ref="O3:O41" si="1">F3*J3*64*_xlfn.CEILING.MATH(L3/128)*128/38</f>
        <v>2155.7894736842104</v>
      </c>
      <c r="P3" s="15">
        <f t="shared" ref="P3:P41" si="2">G3*J3*K3*_xlfn.CEILING.MATH(L3/128)*128/I3</f>
        <v>2155.7894736842104</v>
      </c>
      <c r="Q3" s="15">
        <f t="shared" ref="Q3:Q41" si="3">64*L3*K3*J3/8192</f>
        <v>288</v>
      </c>
      <c r="R3" s="15">
        <f t="shared" ref="R3:R41" si="4">O3+P3</f>
        <v>4311.5789473684208</v>
      </c>
      <c r="S3" s="15">
        <f t="shared" ref="S3:S41" si="5">F3*J3*64*K3/H3</f>
        <v>32</v>
      </c>
      <c r="T3" s="15">
        <f t="shared" ref="T3:T41" si="6">G3*J3*_xlfn.CEILING.MATH(K3/128)*128*M3/I3</f>
        <v>3449.2631578947367</v>
      </c>
      <c r="U3" s="15">
        <f t="shared" si="0"/>
        <v>256</v>
      </c>
      <c r="V3" s="15">
        <f t="shared" ref="V3:V41" si="7">T3</f>
        <v>3449.2631578947367</v>
      </c>
      <c r="W3" s="54">
        <f>C3*_xlfn.CEILING.MATH(B3/128)*128*M3*6/30/E3</f>
        <v>6553.6</v>
      </c>
      <c r="X3" s="12">
        <f t="shared" ref="X3:X40" si="8">J3*(_xlfn.CEILING.MATH(K3/32)*97+195)</f>
        <v>389</v>
      </c>
      <c r="Y3" s="12">
        <v>30000</v>
      </c>
      <c r="Z3" s="51">
        <f t="shared" ref="Z3:Z41" si="9">(N3+R3+V3+X3+W3+Y3)/1000000</f>
        <v>4.4703442105263155E-2</v>
      </c>
      <c r="AA3">
        <v>4.7232000000000003E-2</v>
      </c>
      <c r="AB3" s="4">
        <f t="shared" ref="AB3:AB41" si="10">Z3/AA3</f>
        <v>0.94646515297389799</v>
      </c>
      <c r="AC3" s="64">
        <v>2.7514E-2</v>
      </c>
      <c r="AD3" s="64">
        <v>7.1160000000000008E-3</v>
      </c>
      <c r="AE3">
        <v>-6.4000000000001556E-5</v>
      </c>
      <c r="AF3" s="11">
        <v>5.0360000000000023E-3</v>
      </c>
      <c r="AG3" s="11">
        <v>-7.7000000000000679E-5</v>
      </c>
      <c r="AH3"/>
      <c r="AI3" s="11">
        <f t="shared" ref="AI3:AI41" si="11">SUM(AC3:AG3)</f>
        <v>3.9524999999999998E-2</v>
      </c>
    </row>
    <row r="4" spans="1:38" s="11" customFormat="1" x14ac:dyDescent="0.25">
      <c r="B4">
        <v>4</v>
      </c>
      <c r="C4">
        <v>8</v>
      </c>
      <c r="D4">
        <v>1</v>
      </c>
      <c r="E4" s="12">
        <v>16</v>
      </c>
      <c r="F4" s="12">
        <v>2</v>
      </c>
      <c r="G4" s="12">
        <v>2</v>
      </c>
      <c r="H4" s="12">
        <v>256</v>
      </c>
      <c r="I4" s="12">
        <v>38</v>
      </c>
      <c r="J4" s="14">
        <f>_xlfn.CEILING.MATH(B4*D4/E4)</f>
        <v>1</v>
      </c>
      <c r="K4">
        <v>64</v>
      </c>
      <c r="L4" s="12">
        <v>576</v>
      </c>
      <c r="M4" s="12">
        <v>512</v>
      </c>
      <c r="N4" s="55">
        <v>0</v>
      </c>
      <c r="O4" s="15">
        <f t="shared" si="1"/>
        <v>2155.7894736842104</v>
      </c>
      <c r="P4" s="15">
        <f t="shared" si="2"/>
        <v>2155.7894736842104</v>
      </c>
      <c r="Q4" s="15">
        <f t="shared" si="3"/>
        <v>288</v>
      </c>
      <c r="R4" s="15">
        <f t="shared" si="4"/>
        <v>4311.5789473684208</v>
      </c>
      <c r="S4" s="15">
        <f t="shared" si="5"/>
        <v>32</v>
      </c>
      <c r="T4" s="15">
        <f t="shared" si="6"/>
        <v>3449.2631578947367</v>
      </c>
      <c r="U4" s="15">
        <f t="shared" si="0"/>
        <v>256</v>
      </c>
      <c r="V4" s="15">
        <f t="shared" si="7"/>
        <v>3449.2631578947367</v>
      </c>
      <c r="W4" s="54">
        <f t="shared" ref="W4:W41" si="12">C4*_xlfn.CEILING.MATH(B4/128)*128*M4*6/30/E4</f>
        <v>6553.6</v>
      </c>
      <c r="X4" s="12">
        <f t="shared" si="8"/>
        <v>389</v>
      </c>
      <c r="Y4" s="12">
        <v>30000</v>
      </c>
      <c r="Z4" s="51">
        <f t="shared" si="9"/>
        <v>4.4703442105263155E-2</v>
      </c>
      <c r="AA4">
        <v>4.8453999999999997E-2</v>
      </c>
      <c r="AB4" s="4">
        <f t="shared" si="10"/>
        <v>0.92259549480462211</v>
      </c>
      <c r="AC4" s="64">
        <v>2.7514E-2</v>
      </c>
      <c r="AD4" s="64">
        <v>7.0330000000000011E-3</v>
      </c>
      <c r="AE4">
        <v>3.3899999999999902E-4</v>
      </c>
      <c r="AF4" s="11">
        <v>5.7399999999999986E-3</v>
      </c>
      <c r="AG4" s="11">
        <v>-1.349999999999997E-4</v>
      </c>
      <c r="AH4"/>
      <c r="AI4" s="11">
        <f t="shared" si="11"/>
        <v>4.0490999999999999E-2</v>
      </c>
    </row>
    <row r="5" spans="1:38" s="11" customFormat="1" x14ac:dyDescent="0.25">
      <c r="B5">
        <v>8</v>
      </c>
      <c r="C5">
        <v>8</v>
      </c>
      <c r="D5">
        <v>1</v>
      </c>
      <c r="E5" s="12">
        <v>16</v>
      </c>
      <c r="F5" s="12">
        <v>2</v>
      </c>
      <c r="G5" s="12">
        <v>2</v>
      </c>
      <c r="H5" s="12">
        <v>256</v>
      </c>
      <c r="I5" s="12">
        <v>38</v>
      </c>
      <c r="J5" s="14">
        <f>_xlfn.CEILING.MATH(B5*D5/E5)</f>
        <v>1</v>
      </c>
      <c r="K5">
        <v>64</v>
      </c>
      <c r="L5" s="12">
        <v>576</v>
      </c>
      <c r="M5" s="12">
        <v>512</v>
      </c>
      <c r="N5" s="55">
        <v>0</v>
      </c>
      <c r="O5" s="15">
        <f t="shared" si="1"/>
        <v>2155.7894736842104</v>
      </c>
      <c r="P5" s="15">
        <f t="shared" si="2"/>
        <v>2155.7894736842104</v>
      </c>
      <c r="Q5" s="15">
        <f t="shared" si="3"/>
        <v>288</v>
      </c>
      <c r="R5" s="15">
        <f t="shared" si="4"/>
        <v>4311.5789473684208</v>
      </c>
      <c r="S5" s="15">
        <f t="shared" si="5"/>
        <v>32</v>
      </c>
      <c r="T5" s="15">
        <f t="shared" si="6"/>
        <v>3449.2631578947367</v>
      </c>
      <c r="U5" s="15">
        <f t="shared" si="0"/>
        <v>256</v>
      </c>
      <c r="V5" s="15">
        <f t="shared" si="7"/>
        <v>3449.2631578947367</v>
      </c>
      <c r="W5" s="54">
        <f t="shared" si="12"/>
        <v>6553.6</v>
      </c>
      <c r="X5" s="12">
        <f t="shared" si="8"/>
        <v>389</v>
      </c>
      <c r="Y5" s="12">
        <v>30000</v>
      </c>
      <c r="Z5" s="51">
        <f t="shared" si="9"/>
        <v>4.4703442105263155E-2</v>
      </c>
      <c r="AA5">
        <v>4.9165E-2</v>
      </c>
      <c r="AB5" s="4">
        <f t="shared" si="10"/>
        <v>0.90925337344174018</v>
      </c>
      <c r="AC5" s="64">
        <v>2.7514E-2</v>
      </c>
      <c r="AD5" s="64">
        <v>7.4809999999999981E-3</v>
      </c>
      <c r="AE5">
        <v>1.5930000000000007E-3</v>
      </c>
      <c r="AF5" s="11">
        <v>6.7519999999999976E-3</v>
      </c>
      <c r="AG5" s="11">
        <v>6.519999999999998E-4</v>
      </c>
      <c r="AH5"/>
      <c r="AI5" s="11">
        <f t="shared" si="11"/>
        <v>4.3991999999999989E-2</v>
      </c>
    </row>
    <row r="6" spans="1:38" x14ac:dyDescent="0.25">
      <c r="B6">
        <v>16</v>
      </c>
      <c r="C6">
        <v>8</v>
      </c>
      <c r="D6">
        <v>1</v>
      </c>
      <c r="E6" s="12">
        <v>16</v>
      </c>
      <c r="F6" s="12">
        <v>2</v>
      </c>
      <c r="G6" s="12">
        <v>2</v>
      </c>
      <c r="H6" s="12">
        <v>256</v>
      </c>
      <c r="I6" s="12">
        <v>38</v>
      </c>
      <c r="J6" s="14">
        <f t="shared" ref="J6:J41" si="13">_xlfn.CEILING.MATH(B6*D6/E6)</f>
        <v>1</v>
      </c>
      <c r="K6">
        <v>64</v>
      </c>
      <c r="L6" s="12">
        <v>576</v>
      </c>
      <c r="M6" s="12">
        <v>512</v>
      </c>
      <c r="N6" s="55">
        <v>0</v>
      </c>
      <c r="O6" s="15">
        <f t="shared" si="1"/>
        <v>2155.7894736842104</v>
      </c>
      <c r="P6" s="15">
        <f t="shared" si="2"/>
        <v>2155.7894736842104</v>
      </c>
      <c r="Q6" s="15">
        <f t="shared" si="3"/>
        <v>288</v>
      </c>
      <c r="R6" s="15">
        <f t="shared" si="4"/>
        <v>4311.5789473684208</v>
      </c>
      <c r="S6" s="15">
        <f t="shared" si="5"/>
        <v>32</v>
      </c>
      <c r="T6" s="15">
        <f t="shared" si="6"/>
        <v>3449.2631578947367</v>
      </c>
      <c r="U6" s="15">
        <f t="shared" si="0"/>
        <v>256</v>
      </c>
      <c r="V6" s="15">
        <f t="shared" si="7"/>
        <v>3449.2631578947367</v>
      </c>
      <c r="W6" s="54">
        <f t="shared" si="12"/>
        <v>6553.6</v>
      </c>
      <c r="X6" s="12">
        <f t="shared" si="8"/>
        <v>389</v>
      </c>
      <c r="Y6" s="12">
        <v>30000</v>
      </c>
      <c r="Z6" s="51">
        <f t="shared" si="9"/>
        <v>4.4703442105263155E-2</v>
      </c>
      <c r="AA6">
        <v>5.0930999999999997E-2</v>
      </c>
      <c r="AB6" s="4">
        <f t="shared" si="10"/>
        <v>0.87772559158985997</v>
      </c>
      <c r="AC6" s="64">
        <v>2.7514E-2</v>
      </c>
      <c r="AD6" s="64">
        <v>7.3530000000000019E-3</v>
      </c>
      <c r="AE6">
        <v>4.5630000000000011E-3</v>
      </c>
      <c r="AF6">
        <v>7.7760000000000017E-3</v>
      </c>
      <c r="AG6">
        <v>2.6489999999999986E-3</v>
      </c>
      <c r="AI6" s="11">
        <f t="shared" si="11"/>
        <v>4.985500000000001E-2</v>
      </c>
      <c r="AJ6" s="11"/>
      <c r="AL6" s="11"/>
    </row>
    <row r="7" spans="1:38" x14ac:dyDescent="0.25">
      <c r="B7">
        <v>32</v>
      </c>
      <c r="C7">
        <v>8</v>
      </c>
      <c r="D7">
        <v>1</v>
      </c>
      <c r="E7" s="12">
        <v>16</v>
      </c>
      <c r="F7" s="12">
        <v>2</v>
      </c>
      <c r="G7" s="12">
        <v>2</v>
      </c>
      <c r="H7" s="12">
        <v>256</v>
      </c>
      <c r="I7" s="12">
        <v>38</v>
      </c>
      <c r="J7" s="14">
        <f t="shared" si="13"/>
        <v>2</v>
      </c>
      <c r="K7">
        <v>64</v>
      </c>
      <c r="L7" s="12">
        <v>576</v>
      </c>
      <c r="M7" s="12">
        <v>512</v>
      </c>
      <c r="N7" s="55">
        <v>0</v>
      </c>
      <c r="O7" s="15">
        <f t="shared" si="1"/>
        <v>4311.5789473684208</v>
      </c>
      <c r="P7" s="15">
        <f t="shared" si="2"/>
        <v>4311.5789473684208</v>
      </c>
      <c r="Q7" s="15">
        <f t="shared" si="3"/>
        <v>576</v>
      </c>
      <c r="R7" s="15">
        <f t="shared" si="4"/>
        <v>8623.1578947368416</v>
      </c>
      <c r="S7" s="15">
        <f t="shared" si="5"/>
        <v>64</v>
      </c>
      <c r="T7" s="15">
        <f t="shared" si="6"/>
        <v>6898.5263157894733</v>
      </c>
      <c r="U7" s="15">
        <f t="shared" si="0"/>
        <v>512</v>
      </c>
      <c r="V7" s="15">
        <f t="shared" si="7"/>
        <v>6898.5263157894733</v>
      </c>
      <c r="W7" s="54">
        <f t="shared" si="12"/>
        <v>6553.6</v>
      </c>
      <c r="X7" s="12">
        <f t="shared" si="8"/>
        <v>778</v>
      </c>
      <c r="Y7" s="12">
        <v>30000</v>
      </c>
      <c r="Z7" s="51">
        <f t="shared" si="9"/>
        <v>5.2853284210526312E-2</v>
      </c>
      <c r="AA7">
        <v>5.8591999999999998E-2</v>
      </c>
      <c r="AB7" s="4">
        <f t="shared" si="10"/>
        <v>0.90205632527523061</v>
      </c>
      <c r="AC7" s="64">
        <v>2.7514E-2</v>
      </c>
      <c r="AD7" s="64">
        <v>7.6349999999999994E-3</v>
      </c>
      <c r="AE7">
        <v>8.1399999999999979E-3</v>
      </c>
      <c r="AF7">
        <v>1.3792000000000002E-2</v>
      </c>
      <c r="AG7">
        <v>6.2080000000000017E-3</v>
      </c>
      <c r="AI7" s="11">
        <f t="shared" si="11"/>
        <v>6.3288999999999998E-2</v>
      </c>
      <c r="AJ7" s="11"/>
      <c r="AL7" s="11"/>
    </row>
    <row r="8" spans="1:38" x14ac:dyDescent="0.25">
      <c r="B8">
        <v>64</v>
      </c>
      <c r="C8">
        <v>8</v>
      </c>
      <c r="D8">
        <v>1</v>
      </c>
      <c r="E8" s="12">
        <v>16</v>
      </c>
      <c r="F8" s="12">
        <v>2</v>
      </c>
      <c r="G8" s="12">
        <v>2</v>
      </c>
      <c r="H8" s="12">
        <v>256</v>
      </c>
      <c r="I8" s="12">
        <v>38</v>
      </c>
      <c r="J8" s="14">
        <f t="shared" si="13"/>
        <v>4</v>
      </c>
      <c r="K8">
        <v>64</v>
      </c>
      <c r="L8" s="12">
        <v>576</v>
      </c>
      <c r="M8" s="12">
        <v>512</v>
      </c>
      <c r="N8" s="55">
        <v>0</v>
      </c>
      <c r="O8" s="15">
        <f t="shared" si="1"/>
        <v>8623.1578947368416</v>
      </c>
      <c r="P8" s="15">
        <f t="shared" si="2"/>
        <v>8623.1578947368416</v>
      </c>
      <c r="Q8" s="15">
        <f t="shared" si="3"/>
        <v>1152</v>
      </c>
      <c r="R8" s="15">
        <f t="shared" si="4"/>
        <v>17246.315789473683</v>
      </c>
      <c r="S8" s="15">
        <f t="shared" si="5"/>
        <v>128</v>
      </c>
      <c r="T8" s="15">
        <f t="shared" si="6"/>
        <v>13797.052631578947</v>
      </c>
      <c r="U8" s="15">
        <f t="shared" si="0"/>
        <v>1024</v>
      </c>
      <c r="V8" s="15">
        <f t="shared" si="7"/>
        <v>13797.052631578947</v>
      </c>
      <c r="W8" s="54">
        <f t="shared" si="12"/>
        <v>6553.6</v>
      </c>
      <c r="X8" s="12">
        <f t="shared" si="8"/>
        <v>1556</v>
      </c>
      <c r="Y8" s="12">
        <v>30000</v>
      </c>
      <c r="Z8" s="51">
        <f t="shared" si="9"/>
        <v>6.9152968421052632E-2</v>
      </c>
      <c r="AA8">
        <v>8.2566000000000001E-2</v>
      </c>
      <c r="AB8" s="4">
        <f t="shared" si="10"/>
        <v>0.83754776083439464</v>
      </c>
      <c r="AC8" s="64">
        <v>2.7514E-2</v>
      </c>
      <c r="AD8" s="64">
        <v>8.0320000000000009E-3</v>
      </c>
      <c r="AE8">
        <v>2.0902E-2</v>
      </c>
      <c r="AF8">
        <v>2.2796E-2</v>
      </c>
      <c r="AG8">
        <v>1.2939999999999997E-2</v>
      </c>
      <c r="AI8" s="11">
        <f t="shared" si="11"/>
        <v>9.2183999999999988E-2</v>
      </c>
      <c r="AJ8" s="11"/>
      <c r="AL8" s="11"/>
    </row>
    <row r="9" spans="1:38" x14ac:dyDescent="0.25">
      <c r="B9">
        <v>128</v>
      </c>
      <c r="C9">
        <v>8</v>
      </c>
      <c r="D9">
        <v>1</v>
      </c>
      <c r="E9" s="12">
        <v>16</v>
      </c>
      <c r="F9" s="12">
        <v>2</v>
      </c>
      <c r="G9" s="12">
        <v>2</v>
      </c>
      <c r="H9" s="12">
        <v>256</v>
      </c>
      <c r="I9" s="12">
        <v>38</v>
      </c>
      <c r="J9" s="14">
        <f t="shared" si="13"/>
        <v>8</v>
      </c>
      <c r="K9">
        <v>64</v>
      </c>
      <c r="L9" s="12">
        <v>576</v>
      </c>
      <c r="M9" s="12">
        <v>512</v>
      </c>
      <c r="N9" s="55">
        <v>0</v>
      </c>
      <c r="O9" s="15">
        <f t="shared" si="1"/>
        <v>17246.315789473683</v>
      </c>
      <c r="P9" s="15">
        <f t="shared" si="2"/>
        <v>17246.315789473683</v>
      </c>
      <c r="Q9" s="15">
        <f t="shared" si="3"/>
        <v>2304</v>
      </c>
      <c r="R9" s="15">
        <f t="shared" si="4"/>
        <v>34492.631578947367</v>
      </c>
      <c r="S9" s="15">
        <f t="shared" si="5"/>
        <v>256</v>
      </c>
      <c r="T9" s="15">
        <f t="shared" si="6"/>
        <v>27594.105263157893</v>
      </c>
      <c r="U9" s="15">
        <f t="shared" si="0"/>
        <v>2048</v>
      </c>
      <c r="V9" s="15">
        <f t="shared" si="7"/>
        <v>27594.105263157893</v>
      </c>
      <c r="W9" s="54">
        <f t="shared" si="12"/>
        <v>6553.6</v>
      </c>
      <c r="X9" s="12">
        <f t="shared" si="8"/>
        <v>3112</v>
      </c>
      <c r="Y9" s="12">
        <v>30000</v>
      </c>
      <c r="Z9" s="51">
        <f t="shared" si="9"/>
        <v>0.10175233684210526</v>
      </c>
      <c r="AA9">
        <v>0.14566999999999999</v>
      </c>
      <c r="AB9" s="4">
        <f t="shared" si="10"/>
        <v>0.69851264393564405</v>
      </c>
      <c r="AC9" s="64">
        <v>2.7514E-2</v>
      </c>
      <c r="AD9" s="64">
        <v>9.2029999999999994E-3</v>
      </c>
      <c r="AE9">
        <v>6.0851000000000002E-2</v>
      </c>
      <c r="AF9">
        <v>5.1410999999999998E-2</v>
      </c>
      <c r="AG9">
        <v>2.6156000000000002E-2</v>
      </c>
      <c r="AI9" s="11">
        <f t="shared" si="11"/>
        <v>0.17513500000000001</v>
      </c>
      <c r="AJ9" s="11"/>
      <c r="AL9" s="11"/>
    </row>
    <row r="10" spans="1:38" x14ac:dyDescent="0.25">
      <c r="B10">
        <v>256</v>
      </c>
      <c r="C10">
        <v>8</v>
      </c>
      <c r="D10">
        <v>1</v>
      </c>
      <c r="E10" s="12">
        <v>16</v>
      </c>
      <c r="F10" s="12">
        <v>2</v>
      </c>
      <c r="G10" s="12">
        <v>2</v>
      </c>
      <c r="H10" s="12">
        <v>256</v>
      </c>
      <c r="I10" s="12">
        <v>38</v>
      </c>
      <c r="J10" s="14">
        <f t="shared" si="13"/>
        <v>16</v>
      </c>
      <c r="K10">
        <v>64</v>
      </c>
      <c r="L10" s="12">
        <v>576</v>
      </c>
      <c r="M10" s="12">
        <v>512</v>
      </c>
      <c r="N10" s="55">
        <v>0</v>
      </c>
      <c r="O10" s="15">
        <f t="shared" si="1"/>
        <v>34492.631578947367</v>
      </c>
      <c r="P10" s="15">
        <f t="shared" si="2"/>
        <v>34492.631578947367</v>
      </c>
      <c r="Q10" s="15">
        <f t="shared" si="3"/>
        <v>4608</v>
      </c>
      <c r="R10" s="15">
        <f t="shared" si="4"/>
        <v>68985.263157894733</v>
      </c>
      <c r="S10" s="15">
        <f t="shared" si="5"/>
        <v>512</v>
      </c>
      <c r="T10" s="15">
        <f t="shared" si="6"/>
        <v>55188.210526315786</v>
      </c>
      <c r="U10" s="15">
        <f t="shared" si="0"/>
        <v>4096</v>
      </c>
      <c r="V10" s="15">
        <f t="shared" si="7"/>
        <v>55188.210526315786</v>
      </c>
      <c r="W10" s="54">
        <f t="shared" si="12"/>
        <v>13107.2</v>
      </c>
      <c r="X10" s="12">
        <f t="shared" si="8"/>
        <v>6224</v>
      </c>
      <c r="Y10" s="12">
        <v>30000</v>
      </c>
      <c r="Z10" s="51">
        <f t="shared" si="9"/>
        <v>0.17350467368421052</v>
      </c>
      <c r="AA10">
        <v>0.26275799999999999</v>
      </c>
      <c r="AB10" s="4">
        <f t="shared" si="10"/>
        <v>0.66032118407131479</v>
      </c>
      <c r="AC10" s="64">
        <v>2.7514E-2</v>
      </c>
      <c r="AD10" s="64">
        <v>1.4507999999999997E-2</v>
      </c>
      <c r="AE10">
        <v>0.12391000000000001</v>
      </c>
      <c r="AF10">
        <v>0.102176</v>
      </c>
      <c r="AG10">
        <v>5.4611000000000007E-2</v>
      </c>
      <c r="AI10" s="11">
        <f t="shared" si="11"/>
        <v>0.32271900000000003</v>
      </c>
      <c r="AJ10" s="11"/>
      <c r="AL10" s="11"/>
    </row>
    <row r="11" spans="1:38" x14ac:dyDescent="0.25">
      <c r="B11">
        <v>512</v>
      </c>
      <c r="C11">
        <v>8</v>
      </c>
      <c r="D11">
        <v>1</v>
      </c>
      <c r="E11" s="12">
        <v>16</v>
      </c>
      <c r="F11" s="12">
        <v>2</v>
      </c>
      <c r="G11" s="12">
        <v>2</v>
      </c>
      <c r="H11" s="12">
        <v>256</v>
      </c>
      <c r="I11" s="12">
        <v>38</v>
      </c>
      <c r="J11" s="14">
        <f t="shared" si="13"/>
        <v>32</v>
      </c>
      <c r="K11">
        <v>64</v>
      </c>
      <c r="L11" s="12">
        <v>576</v>
      </c>
      <c r="M11" s="12">
        <v>512</v>
      </c>
      <c r="N11" s="55">
        <v>0</v>
      </c>
      <c r="O11" s="15">
        <f t="shared" si="1"/>
        <v>68985.263157894733</v>
      </c>
      <c r="P11" s="15">
        <f t="shared" si="2"/>
        <v>68985.263157894733</v>
      </c>
      <c r="Q11" s="15">
        <f t="shared" si="3"/>
        <v>9216</v>
      </c>
      <c r="R11" s="15">
        <f t="shared" si="4"/>
        <v>137970.52631578947</v>
      </c>
      <c r="S11" s="15">
        <f t="shared" si="5"/>
        <v>1024</v>
      </c>
      <c r="T11" s="15">
        <f t="shared" si="6"/>
        <v>110376.42105263157</v>
      </c>
      <c r="U11" s="15">
        <f>64*K11*M11*J11/8192</f>
        <v>8192</v>
      </c>
      <c r="V11" s="15">
        <f>T11</f>
        <v>110376.42105263157</v>
      </c>
      <c r="W11" s="54">
        <f t="shared" si="12"/>
        <v>26214.400000000001</v>
      </c>
      <c r="X11" s="12">
        <f>J11*(_xlfn.CEILING.MATH(K11/32)*97+195)</f>
        <v>12448</v>
      </c>
      <c r="Y11" s="12">
        <v>30000</v>
      </c>
      <c r="Z11" s="51">
        <f t="shared" si="9"/>
        <v>0.31700934736842101</v>
      </c>
      <c r="AA11">
        <v>0.56762900000000005</v>
      </c>
      <c r="AB11" s="4">
        <f t="shared" si="10"/>
        <v>0.55847982990372402</v>
      </c>
      <c r="AC11" s="64">
        <v>2.7514E-2</v>
      </c>
      <c r="AD11" s="64">
        <v>2.9056000000000002E-2</v>
      </c>
      <c r="AE11">
        <v>0.23633899999999999</v>
      </c>
      <c r="AF11">
        <v>0.20940099999999998</v>
      </c>
      <c r="AG11">
        <v>0.10931200000000001</v>
      </c>
      <c r="AI11" s="11">
        <f t="shared" si="11"/>
        <v>0.61162199999999989</v>
      </c>
      <c r="AJ11" s="11"/>
      <c r="AL11" s="11"/>
    </row>
    <row r="12" spans="1:38" x14ac:dyDescent="0.25">
      <c r="B12" s="8">
        <v>1</v>
      </c>
      <c r="C12" s="8">
        <v>8</v>
      </c>
      <c r="D12" s="8">
        <v>1</v>
      </c>
      <c r="E12" s="12">
        <v>16</v>
      </c>
      <c r="F12" s="12">
        <v>2</v>
      </c>
      <c r="G12" s="12">
        <v>2</v>
      </c>
      <c r="H12" s="12">
        <v>256</v>
      </c>
      <c r="I12" s="12">
        <v>38</v>
      </c>
      <c r="J12" s="14">
        <f t="shared" si="13"/>
        <v>1</v>
      </c>
      <c r="K12" s="8">
        <v>128</v>
      </c>
      <c r="L12" s="12">
        <v>576</v>
      </c>
      <c r="M12" s="12">
        <v>512</v>
      </c>
      <c r="N12" s="55">
        <v>0</v>
      </c>
      <c r="O12" s="15">
        <f t="shared" si="1"/>
        <v>2155.7894736842104</v>
      </c>
      <c r="P12" s="15">
        <f t="shared" si="2"/>
        <v>4311.5789473684208</v>
      </c>
      <c r="Q12" s="15">
        <f t="shared" si="3"/>
        <v>576</v>
      </c>
      <c r="R12" s="15">
        <f t="shared" si="4"/>
        <v>6467.3684210526317</v>
      </c>
      <c r="S12" s="15">
        <f t="shared" si="5"/>
        <v>64</v>
      </c>
      <c r="T12" s="15">
        <f t="shared" si="6"/>
        <v>3449.2631578947367</v>
      </c>
      <c r="U12" s="15">
        <f t="shared" si="0"/>
        <v>512</v>
      </c>
      <c r="V12" s="15">
        <f t="shared" si="7"/>
        <v>3449.2631578947367</v>
      </c>
      <c r="W12" s="54">
        <f t="shared" si="12"/>
        <v>6553.6</v>
      </c>
      <c r="X12" s="12">
        <f t="shared" si="8"/>
        <v>583</v>
      </c>
      <c r="Y12" s="12">
        <v>30000</v>
      </c>
      <c r="Z12" s="51">
        <f t="shared" si="9"/>
        <v>4.7053231578947363E-2</v>
      </c>
      <c r="AA12">
        <v>4.8998E-2</v>
      </c>
      <c r="AB12" s="4">
        <f t="shared" si="10"/>
        <v>0.96030922851845713</v>
      </c>
      <c r="AC12" s="64">
        <v>2.7514E-2</v>
      </c>
      <c r="AD12" s="64">
        <v>6.9879999999999977E-3</v>
      </c>
      <c r="AE12">
        <v>-2.6000000000001716E-5</v>
      </c>
      <c r="AF12">
        <v>5.3050000000000007E-3</v>
      </c>
      <c r="AG12">
        <v>9.2099999999999821E-4</v>
      </c>
      <c r="AI12" s="11">
        <f t="shared" si="11"/>
        <v>4.0701999999999995E-2</v>
      </c>
      <c r="AJ12" s="11"/>
      <c r="AL12" s="11"/>
    </row>
    <row r="13" spans="1:38" x14ac:dyDescent="0.25">
      <c r="B13">
        <v>2</v>
      </c>
      <c r="C13">
        <v>8</v>
      </c>
      <c r="D13">
        <v>1</v>
      </c>
      <c r="E13" s="12">
        <v>16</v>
      </c>
      <c r="F13" s="12">
        <v>2</v>
      </c>
      <c r="G13" s="12">
        <v>2</v>
      </c>
      <c r="H13" s="12">
        <v>256</v>
      </c>
      <c r="I13" s="12">
        <v>38</v>
      </c>
      <c r="J13" s="14">
        <f t="shared" si="13"/>
        <v>1</v>
      </c>
      <c r="K13">
        <v>128</v>
      </c>
      <c r="L13" s="12">
        <v>576</v>
      </c>
      <c r="M13" s="12">
        <v>512</v>
      </c>
      <c r="N13" s="55">
        <v>0</v>
      </c>
      <c r="O13" s="15">
        <f t="shared" si="1"/>
        <v>2155.7894736842104</v>
      </c>
      <c r="P13" s="15">
        <f t="shared" si="2"/>
        <v>4311.5789473684208</v>
      </c>
      <c r="Q13" s="15">
        <f t="shared" si="3"/>
        <v>576</v>
      </c>
      <c r="R13" s="15">
        <f t="shared" si="4"/>
        <v>6467.3684210526317</v>
      </c>
      <c r="S13" s="15">
        <f t="shared" si="5"/>
        <v>64</v>
      </c>
      <c r="T13" s="15">
        <f t="shared" si="6"/>
        <v>3449.2631578947367</v>
      </c>
      <c r="U13" s="15">
        <f t="shared" si="0"/>
        <v>512</v>
      </c>
      <c r="V13" s="15">
        <f t="shared" si="7"/>
        <v>3449.2631578947367</v>
      </c>
      <c r="W13" s="54">
        <f t="shared" si="12"/>
        <v>6553.6</v>
      </c>
      <c r="X13" s="12">
        <f t="shared" si="8"/>
        <v>583</v>
      </c>
      <c r="Y13" s="12">
        <v>30000</v>
      </c>
      <c r="Z13" s="51">
        <f t="shared" si="9"/>
        <v>4.7053231578947363E-2</v>
      </c>
      <c r="AA13">
        <v>4.9709000000000003E-2</v>
      </c>
      <c r="AB13" s="4">
        <f t="shared" si="10"/>
        <v>0.94657369045740936</v>
      </c>
      <c r="AC13" s="64">
        <v>2.7514E-2</v>
      </c>
      <c r="AD13" s="64">
        <v>6.9879999999999977E-3</v>
      </c>
      <c r="AE13">
        <v>-1.2999999999999123E-5</v>
      </c>
      <c r="AF13">
        <v>5.0749999999999997E-3</v>
      </c>
      <c r="AG13">
        <v>6.5899999999999986E-4</v>
      </c>
      <c r="AI13" s="11">
        <f t="shared" si="11"/>
        <v>4.0223000000000002E-2</v>
      </c>
      <c r="AJ13" s="11"/>
      <c r="AL13" s="11"/>
    </row>
    <row r="14" spans="1:38" x14ac:dyDescent="0.25">
      <c r="B14">
        <v>4</v>
      </c>
      <c r="C14">
        <v>8</v>
      </c>
      <c r="D14">
        <v>1</v>
      </c>
      <c r="E14" s="12">
        <v>16</v>
      </c>
      <c r="F14" s="12">
        <v>2</v>
      </c>
      <c r="G14" s="12">
        <v>2</v>
      </c>
      <c r="H14" s="12">
        <v>256</v>
      </c>
      <c r="I14" s="12">
        <v>38</v>
      </c>
      <c r="J14" s="14">
        <f t="shared" si="13"/>
        <v>1</v>
      </c>
      <c r="K14">
        <v>128</v>
      </c>
      <c r="L14" s="12">
        <v>576</v>
      </c>
      <c r="M14" s="12">
        <v>512</v>
      </c>
      <c r="N14" s="55">
        <v>0</v>
      </c>
      <c r="O14" s="15">
        <f t="shared" si="1"/>
        <v>2155.7894736842104</v>
      </c>
      <c r="P14" s="15">
        <f t="shared" si="2"/>
        <v>4311.5789473684208</v>
      </c>
      <c r="Q14" s="15">
        <f t="shared" si="3"/>
        <v>576</v>
      </c>
      <c r="R14" s="15">
        <f t="shared" si="4"/>
        <v>6467.3684210526317</v>
      </c>
      <c r="S14" s="15">
        <f t="shared" si="5"/>
        <v>64</v>
      </c>
      <c r="T14" s="15">
        <f t="shared" si="6"/>
        <v>3449.2631578947367</v>
      </c>
      <c r="U14" s="15">
        <f t="shared" si="0"/>
        <v>512</v>
      </c>
      <c r="V14" s="15">
        <f t="shared" si="7"/>
        <v>3449.2631578947367</v>
      </c>
      <c r="W14" s="54">
        <f t="shared" si="12"/>
        <v>6553.6</v>
      </c>
      <c r="X14" s="12">
        <f t="shared" si="8"/>
        <v>583</v>
      </c>
      <c r="Y14" s="12">
        <v>30000</v>
      </c>
      <c r="Z14" s="51">
        <f t="shared" si="9"/>
        <v>4.7053231578947363E-2</v>
      </c>
      <c r="AA14">
        <v>5.1596999999999997E-2</v>
      </c>
      <c r="AB14" s="4">
        <f t="shared" si="10"/>
        <v>0.91193735253885622</v>
      </c>
      <c r="AC14" s="64">
        <v>2.7514E-2</v>
      </c>
      <c r="AD14" s="64">
        <v>6.9879999999999977E-3</v>
      </c>
      <c r="AE14">
        <v>2.4640000000000009E-3</v>
      </c>
      <c r="AF14">
        <v>5.7339999999999995E-3</v>
      </c>
      <c r="AG14">
        <v>1.2279999999999999E-3</v>
      </c>
      <c r="AI14" s="11">
        <f t="shared" si="11"/>
        <v>4.3928000000000002E-2</v>
      </c>
      <c r="AJ14" s="11"/>
      <c r="AL14" s="11"/>
    </row>
    <row r="15" spans="1:38" x14ac:dyDescent="0.25">
      <c r="B15">
        <v>8</v>
      </c>
      <c r="C15">
        <v>8</v>
      </c>
      <c r="D15">
        <v>1</v>
      </c>
      <c r="E15" s="12">
        <v>16</v>
      </c>
      <c r="F15" s="12">
        <v>2</v>
      </c>
      <c r="G15" s="12">
        <v>2</v>
      </c>
      <c r="H15" s="12">
        <v>256</v>
      </c>
      <c r="I15" s="12">
        <v>38</v>
      </c>
      <c r="J15" s="14">
        <f t="shared" si="13"/>
        <v>1</v>
      </c>
      <c r="K15">
        <v>128</v>
      </c>
      <c r="L15" s="12">
        <v>576</v>
      </c>
      <c r="M15" s="12">
        <v>512</v>
      </c>
      <c r="N15" s="55">
        <v>0</v>
      </c>
      <c r="O15" s="15">
        <f t="shared" si="1"/>
        <v>2155.7894736842104</v>
      </c>
      <c r="P15" s="15">
        <f t="shared" si="2"/>
        <v>4311.5789473684208</v>
      </c>
      <c r="Q15" s="15">
        <f t="shared" si="3"/>
        <v>576</v>
      </c>
      <c r="R15" s="15">
        <f t="shared" si="4"/>
        <v>6467.3684210526317</v>
      </c>
      <c r="S15" s="15">
        <f t="shared" si="5"/>
        <v>64</v>
      </c>
      <c r="T15" s="15">
        <f t="shared" si="6"/>
        <v>3449.2631578947367</v>
      </c>
      <c r="U15" s="15">
        <f t="shared" si="0"/>
        <v>512</v>
      </c>
      <c r="V15" s="15">
        <f t="shared" si="7"/>
        <v>3449.2631578947367</v>
      </c>
      <c r="W15" s="54">
        <f t="shared" si="12"/>
        <v>6553.6</v>
      </c>
      <c r="X15" s="12">
        <f t="shared" si="8"/>
        <v>583</v>
      </c>
      <c r="Y15" s="12">
        <v>30000</v>
      </c>
      <c r="Z15" s="51">
        <f t="shared" si="9"/>
        <v>4.7053231578947363E-2</v>
      </c>
      <c r="AA15">
        <v>5.1161999999999999E-2</v>
      </c>
      <c r="AB15" s="4">
        <f t="shared" si="10"/>
        <v>0.91969101244961815</v>
      </c>
      <c r="AC15" s="64">
        <v>2.7514E-2</v>
      </c>
      <c r="AD15" s="64">
        <v>6.9560000000000004E-3</v>
      </c>
      <c r="AE15">
        <v>3.2699999999999986E-3</v>
      </c>
      <c r="AF15">
        <v>6.1180000000000019E-3</v>
      </c>
      <c r="AG15">
        <v>2.4640000000000009E-3</v>
      </c>
      <c r="AI15" s="11">
        <f t="shared" si="11"/>
        <v>4.6321999999999995E-2</v>
      </c>
      <c r="AJ15" s="11"/>
      <c r="AL15" s="11"/>
    </row>
    <row r="16" spans="1:38" x14ac:dyDescent="0.25">
      <c r="B16">
        <v>16</v>
      </c>
      <c r="C16">
        <v>8</v>
      </c>
      <c r="D16">
        <v>1</v>
      </c>
      <c r="E16" s="12">
        <v>16</v>
      </c>
      <c r="F16" s="12">
        <v>2</v>
      </c>
      <c r="G16" s="12">
        <v>2</v>
      </c>
      <c r="H16" s="12">
        <v>256</v>
      </c>
      <c r="I16" s="12">
        <v>38</v>
      </c>
      <c r="J16" s="14">
        <f t="shared" si="13"/>
        <v>1</v>
      </c>
      <c r="K16">
        <v>128</v>
      </c>
      <c r="L16" s="12">
        <v>576</v>
      </c>
      <c r="M16" s="12">
        <v>512</v>
      </c>
      <c r="N16" s="55">
        <v>0</v>
      </c>
      <c r="O16" s="15">
        <f t="shared" si="1"/>
        <v>2155.7894736842104</v>
      </c>
      <c r="P16" s="15">
        <f t="shared" si="2"/>
        <v>4311.5789473684208</v>
      </c>
      <c r="Q16" s="15">
        <f t="shared" si="3"/>
        <v>576</v>
      </c>
      <c r="R16" s="15">
        <f t="shared" si="4"/>
        <v>6467.3684210526317</v>
      </c>
      <c r="S16" s="15">
        <f t="shared" si="5"/>
        <v>64</v>
      </c>
      <c r="T16" s="15">
        <f t="shared" si="6"/>
        <v>3449.2631578947367</v>
      </c>
      <c r="U16" s="15">
        <f t="shared" si="0"/>
        <v>512</v>
      </c>
      <c r="V16" s="15">
        <f t="shared" si="7"/>
        <v>3449.2631578947367</v>
      </c>
      <c r="W16" s="54">
        <f t="shared" si="12"/>
        <v>6553.6</v>
      </c>
      <c r="X16" s="12">
        <f t="shared" si="8"/>
        <v>583</v>
      </c>
      <c r="Y16" s="12">
        <v>30000</v>
      </c>
      <c r="Z16" s="51">
        <f t="shared" si="9"/>
        <v>4.7053231578947363E-2</v>
      </c>
      <c r="AA16">
        <v>5.2032000000000002E-2</v>
      </c>
      <c r="AB16" s="4">
        <f t="shared" si="10"/>
        <v>0.90431333754126997</v>
      </c>
      <c r="AC16" s="64">
        <v>2.7514E-2</v>
      </c>
      <c r="AD16" s="64">
        <v>7.4109999999999975E-3</v>
      </c>
      <c r="AE16">
        <v>5.3880000000000004E-3</v>
      </c>
      <c r="AF16">
        <v>7.6409999999999985E-3</v>
      </c>
      <c r="AG16">
        <v>4.5760000000000002E-3</v>
      </c>
      <c r="AI16" s="11">
        <f t="shared" si="11"/>
        <v>5.2529999999999993E-2</v>
      </c>
      <c r="AJ16" s="11"/>
      <c r="AL16" s="11"/>
    </row>
    <row r="17" spans="2:38" x14ac:dyDescent="0.25">
      <c r="B17">
        <v>32</v>
      </c>
      <c r="C17">
        <v>8</v>
      </c>
      <c r="D17">
        <v>1</v>
      </c>
      <c r="E17" s="12">
        <v>16</v>
      </c>
      <c r="F17" s="12">
        <v>2</v>
      </c>
      <c r="G17" s="12">
        <v>2</v>
      </c>
      <c r="H17" s="12">
        <v>256</v>
      </c>
      <c r="I17" s="12">
        <v>38</v>
      </c>
      <c r="J17" s="14">
        <f t="shared" si="13"/>
        <v>2</v>
      </c>
      <c r="K17">
        <v>128</v>
      </c>
      <c r="L17" s="12">
        <v>576</v>
      </c>
      <c r="M17" s="12">
        <v>512</v>
      </c>
      <c r="N17" s="55">
        <v>0</v>
      </c>
      <c r="O17" s="15">
        <f t="shared" si="1"/>
        <v>4311.5789473684208</v>
      </c>
      <c r="P17" s="15">
        <f t="shared" si="2"/>
        <v>8623.1578947368416</v>
      </c>
      <c r="Q17" s="15">
        <f t="shared" si="3"/>
        <v>1152</v>
      </c>
      <c r="R17" s="15">
        <f t="shared" si="4"/>
        <v>12934.736842105263</v>
      </c>
      <c r="S17" s="15">
        <f t="shared" si="5"/>
        <v>128</v>
      </c>
      <c r="T17" s="15">
        <f t="shared" si="6"/>
        <v>6898.5263157894733</v>
      </c>
      <c r="U17" s="15">
        <f t="shared" si="0"/>
        <v>1024</v>
      </c>
      <c r="V17" s="15">
        <f t="shared" si="7"/>
        <v>6898.5263157894733</v>
      </c>
      <c r="W17" s="54">
        <f t="shared" si="12"/>
        <v>6553.6</v>
      </c>
      <c r="X17" s="12">
        <f t="shared" si="8"/>
        <v>1166</v>
      </c>
      <c r="Y17" s="12">
        <v>30000</v>
      </c>
      <c r="Z17" s="51">
        <f t="shared" si="9"/>
        <v>5.7552863157894742E-2</v>
      </c>
      <c r="AA17">
        <v>6.2029000000000001E-2</v>
      </c>
      <c r="AB17" s="4">
        <f t="shared" si="10"/>
        <v>0.9278379976768083</v>
      </c>
      <c r="AC17" s="64">
        <v>2.7514E-2</v>
      </c>
      <c r="AD17" s="64">
        <v>7.6160000000000012E-3</v>
      </c>
      <c r="AE17">
        <v>1.1545000000000003E-2</v>
      </c>
      <c r="AF17">
        <v>1.3798000000000001E-2</v>
      </c>
      <c r="AG17">
        <v>9.7079999999999979E-3</v>
      </c>
      <c r="AI17" s="11">
        <f t="shared" si="11"/>
        <v>7.0181000000000007E-2</v>
      </c>
      <c r="AJ17" s="11"/>
      <c r="AL17" s="11"/>
    </row>
    <row r="18" spans="2:38" x14ac:dyDescent="0.25">
      <c r="B18">
        <v>64</v>
      </c>
      <c r="C18">
        <v>8</v>
      </c>
      <c r="D18">
        <v>1</v>
      </c>
      <c r="E18" s="12">
        <v>16</v>
      </c>
      <c r="F18" s="12">
        <v>2</v>
      </c>
      <c r="G18" s="12">
        <v>2</v>
      </c>
      <c r="H18" s="12">
        <v>256</v>
      </c>
      <c r="I18" s="12">
        <v>38</v>
      </c>
      <c r="J18" s="14">
        <f t="shared" si="13"/>
        <v>4</v>
      </c>
      <c r="K18">
        <v>128</v>
      </c>
      <c r="L18" s="12">
        <v>576</v>
      </c>
      <c r="M18" s="12">
        <v>512</v>
      </c>
      <c r="N18" s="55">
        <v>0</v>
      </c>
      <c r="O18" s="15">
        <f t="shared" si="1"/>
        <v>8623.1578947368416</v>
      </c>
      <c r="P18" s="15">
        <f t="shared" si="2"/>
        <v>17246.315789473683</v>
      </c>
      <c r="Q18" s="15">
        <f t="shared" si="3"/>
        <v>2304</v>
      </c>
      <c r="R18" s="15">
        <f t="shared" si="4"/>
        <v>25869.473684210527</v>
      </c>
      <c r="S18" s="15">
        <f t="shared" si="5"/>
        <v>256</v>
      </c>
      <c r="T18" s="15">
        <f t="shared" si="6"/>
        <v>13797.052631578947</v>
      </c>
      <c r="U18" s="15">
        <f t="shared" si="0"/>
        <v>2048</v>
      </c>
      <c r="V18" s="15">
        <f t="shared" si="7"/>
        <v>13797.052631578947</v>
      </c>
      <c r="W18" s="54">
        <f t="shared" si="12"/>
        <v>6553.6</v>
      </c>
      <c r="X18" s="12">
        <f t="shared" si="8"/>
        <v>2332</v>
      </c>
      <c r="Y18" s="12">
        <v>30000</v>
      </c>
      <c r="Z18" s="51">
        <f t="shared" si="9"/>
        <v>7.8552126315789478E-2</v>
      </c>
      <c r="AA18">
        <v>8.6221000000000006E-2</v>
      </c>
      <c r="AB18" s="4">
        <f t="shared" si="10"/>
        <v>0.91105561656428791</v>
      </c>
      <c r="AC18" s="64">
        <v>2.7514E-2</v>
      </c>
      <c r="AD18" s="64">
        <v>8.0569999999999982E-3</v>
      </c>
      <c r="AE18">
        <v>2.9362999999999997E-2</v>
      </c>
      <c r="AF18">
        <v>2.2731999999999999E-2</v>
      </c>
      <c r="AG18">
        <v>2.0153000000000001E-2</v>
      </c>
      <c r="AI18" s="11">
        <f t="shared" si="11"/>
        <v>0.107819</v>
      </c>
      <c r="AJ18" s="11"/>
      <c r="AL18" s="11"/>
    </row>
    <row r="19" spans="2:38" x14ac:dyDescent="0.25">
      <c r="B19">
        <v>128</v>
      </c>
      <c r="C19">
        <v>8</v>
      </c>
      <c r="D19">
        <v>1</v>
      </c>
      <c r="E19" s="12">
        <v>16</v>
      </c>
      <c r="F19" s="12">
        <v>2</v>
      </c>
      <c r="G19" s="12">
        <v>2</v>
      </c>
      <c r="H19" s="12">
        <v>256</v>
      </c>
      <c r="I19" s="12">
        <v>38</v>
      </c>
      <c r="J19" s="14">
        <f t="shared" si="13"/>
        <v>8</v>
      </c>
      <c r="K19">
        <v>128</v>
      </c>
      <c r="L19" s="12">
        <v>576</v>
      </c>
      <c r="M19" s="12">
        <v>512</v>
      </c>
      <c r="N19" s="55">
        <v>0</v>
      </c>
      <c r="O19" s="15">
        <f t="shared" si="1"/>
        <v>17246.315789473683</v>
      </c>
      <c r="P19" s="15">
        <f t="shared" si="2"/>
        <v>34492.631578947367</v>
      </c>
      <c r="Q19" s="15">
        <f t="shared" si="3"/>
        <v>4608</v>
      </c>
      <c r="R19" s="15">
        <f t="shared" si="4"/>
        <v>51738.947368421053</v>
      </c>
      <c r="S19" s="15">
        <f t="shared" si="5"/>
        <v>512</v>
      </c>
      <c r="T19" s="15">
        <f t="shared" si="6"/>
        <v>27594.105263157893</v>
      </c>
      <c r="U19" s="15">
        <f t="shared" si="0"/>
        <v>4096</v>
      </c>
      <c r="V19" s="15">
        <f t="shared" si="7"/>
        <v>27594.105263157893</v>
      </c>
      <c r="W19" s="54">
        <f t="shared" si="12"/>
        <v>6553.6</v>
      </c>
      <c r="X19" s="12">
        <f t="shared" si="8"/>
        <v>4664</v>
      </c>
      <c r="Y19" s="12">
        <v>30000</v>
      </c>
      <c r="Z19" s="51">
        <f t="shared" si="9"/>
        <v>0.12055065263157895</v>
      </c>
      <c r="AA19">
        <v>0.15212200000000001</v>
      </c>
      <c r="AB19" s="4">
        <f t="shared" si="10"/>
        <v>0.79246034519385067</v>
      </c>
      <c r="AC19" s="64">
        <v>2.7514E-2</v>
      </c>
      <c r="AD19" s="64">
        <v>9.2089999999999984E-3</v>
      </c>
      <c r="AE19">
        <v>8.3641000000000007E-2</v>
      </c>
      <c r="AF19">
        <v>5.0674999999999998E-2</v>
      </c>
      <c r="AG19">
        <v>4.0480000000000002E-2</v>
      </c>
      <c r="AI19" s="11">
        <f t="shared" si="11"/>
        <v>0.21151900000000001</v>
      </c>
      <c r="AJ19" s="11"/>
      <c r="AL19" s="11"/>
    </row>
    <row r="20" spans="2:38" x14ac:dyDescent="0.25">
      <c r="B20">
        <v>256</v>
      </c>
      <c r="C20">
        <v>8</v>
      </c>
      <c r="D20">
        <v>1</v>
      </c>
      <c r="E20" s="12">
        <v>16</v>
      </c>
      <c r="F20" s="12">
        <v>2</v>
      </c>
      <c r="G20" s="12">
        <v>2</v>
      </c>
      <c r="H20" s="12">
        <v>256</v>
      </c>
      <c r="I20" s="12">
        <v>38</v>
      </c>
      <c r="J20" s="14">
        <f t="shared" si="13"/>
        <v>16</v>
      </c>
      <c r="K20">
        <v>128</v>
      </c>
      <c r="L20" s="12">
        <v>576</v>
      </c>
      <c r="M20" s="12">
        <v>512</v>
      </c>
      <c r="N20" s="55">
        <v>0</v>
      </c>
      <c r="O20" s="15">
        <f t="shared" si="1"/>
        <v>34492.631578947367</v>
      </c>
      <c r="P20" s="15">
        <f t="shared" si="2"/>
        <v>68985.263157894733</v>
      </c>
      <c r="Q20" s="15">
        <f t="shared" si="3"/>
        <v>9216</v>
      </c>
      <c r="R20" s="15">
        <f t="shared" si="4"/>
        <v>103477.89473684211</v>
      </c>
      <c r="S20" s="15">
        <f t="shared" si="5"/>
        <v>1024</v>
      </c>
      <c r="T20" s="15">
        <f t="shared" si="6"/>
        <v>55188.210526315786</v>
      </c>
      <c r="U20" s="15">
        <f t="shared" si="0"/>
        <v>8192</v>
      </c>
      <c r="V20" s="15">
        <f t="shared" si="7"/>
        <v>55188.210526315786</v>
      </c>
      <c r="W20" s="54">
        <f t="shared" si="12"/>
        <v>13107.2</v>
      </c>
      <c r="X20" s="12">
        <f t="shared" si="8"/>
        <v>9328</v>
      </c>
      <c r="Y20" s="12">
        <v>30000</v>
      </c>
      <c r="Z20" s="51">
        <f t="shared" si="9"/>
        <v>0.2111013052631579</v>
      </c>
      <c r="AA20">
        <v>0.27381800000000001</v>
      </c>
      <c r="AB20" s="4">
        <f t="shared" si="10"/>
        <v>0.77095481401207333</v>
      </c>
      <c r="AC20" s="64">
        <v>2.7514E-2</v>
      </c>
      <c r="AD20" s="64">
        <v>1.4482999999999999E-2</v>
      </c>
      <c r="AE20">
        <v>0.16658499999999998</v>
      </c>
      <c r="AF20">
        <v>0.10220800000000001</v>
      </c>
      <c r="AG20">
        <v>8.303300000000001E-2</v>
      </c>
      <c r="AI20" s="11">
        <f t="shared" si="11"/>
        <v>0.39382300000000003</v>
      </c>
      <c r="AJ20" s="11"/>
      <c r="AL20" s="11"/>
    </row>
    <row r="21" spans="2:38" x14ac:dyDescent="0.25">
      <c r="B21">
        <v>512</v>
      </c>
      <c r="C21">
        <v>8</v>
      </c>
      <c r="D21">
        <v>1</v>
      </c>
      <c r="E21" s="12">
        <v>16</v>
      </c>
      <c r="F21" s="12">
        <v>2</v>
      </c>
      <c r="G21" s="12">
        <v>2</v>
      </c>
      <c r="H21" s="12">
        <v>256</v>
      </c>
      <c r="I21" s="12">
        <v>38</v>
      </c>
      <c r="J21" s="14">
        <f t="shared" si="13"/>
        <v>32</v>
      </c>
      <c r="K21">
        <v>128</v>
      </c>
      <c r="L21" s="12">
        <v>576</v>
      </c>
      <c r="M21" s="12">
        <v>512</v>
      </c>
      <c r="N21" s="55">
        <v>0</v>
      </c>
      <c r="O21" s="15">
        <f t="shared" si="1"/>
        <v>68985.263157894733</v>
      </c>
      <c r="P21" s="15">
        <f t="shared" si="2"/>
        <v>137970.52631578947</v>
      </c>
      <c r="Q21" s="15">
        <f t="shared" si="3"/>
        <v>18432</v>
      </c>
      <c r="R21" s="15">
        <f t="shared" si="4"/>
        <v>206955.78947368421</v>
      </c>
      <c r="S21" s="15">
        <f t="shared" si="5"/>
        <v>2048</v>
      </c>
      <c r="T21" s="15">
        <f t="shared" si="6"/>
        <v>110376.42105263157</v>
      </c>
      <c r="U21" s="15">
        <f t="shared" si="0"/>
        <v>16384</v>
      </c>
      <c r="V21" s="15">
        <f t="shared" si="7"/>
        <v>110376.42105263157</v>
      </c>
      <c r="W21" s="54">
        <f t="shared" si="12"/>
        <v>26214.400000000001</v>
      </c>
      <c r="X21" s="12">
        <f t="shared" si="8"/>
        <v>18656</v>
      </c>
      <c r="Y21" s="12">
        <v>30000</v>
      </c>
      <c r="Z21" s="51">
        <f t="shared" si="9"/>
        <v>0.39220261052631583</v>
      </c>
      <c r="AA21">
        <v>0.62934400000000001</v>
      </c>
      <c r="AB21" s="4">
        <f t="shared" si="10"/>
        <v>0.62319273803566222</v>
      </c>
      <c r="AC21" s="64">
        <v>2.7514E-2</v>
      </c>
      <c r="AD21" s="64">
        <v>2.9292000000000002E-2</v>
      </c>
      <c r="AE21">
        <v>0.290854</v>
      </c>
      <c r="AF21">
        <v>0.209676</v>
      </c>
      <c r="AG21">
        <v>0.166489</v>
      </c>
      <c r="AI21" s="11">
        <f t="shared" si="11"/>
        <v>0.72382500000000005</v>
      </c>
      <c r="AJ21" s="11"/>
      <c r="AL21" s="11"/>
    </row>
    <row r="22" spans="2:38" x14ac:dyDescent="0.25">
      <c r="B22" s="8">
        <v>1</v>
      </c>
      <c r="C22" s="8">
        <v>8</v>
      </c>
      <c r="D22" s="8">
        <v>1</v>
      </c>
      <c r="E22" s="12">
        <v>16</v>
      </c>
      <c r="F22" s="12">
        <v>2</v>
      </c>
      <c r="G22" s="12">
        <v>2</v>
      </c>
      <c r="H22" s="12">
        <v>256</v>
      </c>
      <c r="I22" s="12">
        <v>38</v>
      </c>
      <c r="J22" s="14">
        <f t="shared" si="13"/>
        <v>1</v>
      </c>
      <c r="K22" s="8">
        <v>256</v>
      </c>
      <c r="L22" s="12">
        <v>576</v>
      </c>
      <c r="M22" s="12">
        <v>512</v>
      </c>
      <c r="N22" s="55">
        <v>0</v>
      </c>
      <c r="O22" s="15">
        <f t="shared" si="1"/>
        <v>2155.7894736842104</v>
      </c>
      <c r="P22" s="15">
        <f t="shared" si="2"/>
        <v>8623.1578947368416</v>
      </c>
      <c r="Q22" s="15">
        <f t="shared" si="3"/>
        <v>1152</v>
      </c>
      <c r="R22" s="15">
        <f t="shared" si="4"/>
        <v>10778.947368421052</v>
      </c>
      <c r="S22" s="15">
        <f t="shared" si="5"/>
        <v>128</v>
      </c>
      <c r="T22" s="15">
        <f t="shared" si="6"/>
        <v>6898.5263157894733</v>
      </c>
      <c r="U22" s="15">
        <f t="shared" si="0"/>
        <v>1024</v>
      </c>
      <c r="V22" s="15">
        <f t="shared" si="7"/>
        <v>6898.5263157894733</v>
      </c>
      <c r="W22" s="54">
        <f t="shared" si="12"/>
        <v>6553.6</v>
      </c>
      <c r="X22" s="12">
        <f t="shared" si="8"/>
        <v>971</v>
      </c>
      <c r="Y22" s="12">
        <v>30000</v>
      </c>
      <c r="Z22" s="51">
        <f t="shared" si="9"/>
        <v>5.5202073684210526E-2</v>
      </c>
      <c r="AA22">
        <v>5.4796999999999998E-2</v>
      </c>
      <c r="AB22" s="4">
        <f t="shared" si="10"/>
        <v>1.0073922602370664</v>
      </c>
      <c r="AC22" s="64">
        <v>2.7514E-2</v>
      </c>
      <c r="AD22" s="64">
        <v>7.0079999999999969E-3</v>
      </c>
      <c r="AE22">
        <v>-1.2999999999999123E-5</v>
      </c>
      <c r="AF22">
        <v>6.5919999999999972E-3</v>
      </c>
      <c r="AG22">
        <v>4.5760000000000002E-3</v>
      </c>
      <c r="AI22" s="11">
        <f t="shared" si="11"/>
        <v>4.5676999999999995E-2</v>
      </c>
      <c r="AJ22" s="11"/>
      <c r="AL22" s="11"/>
    </row>
    <row r="23" spans="2:38" x14ac:dyDescent="0.25">
      <c r="B23" s="8">
        <v>2</v>
      </c>
      <c r="C23" s="8">
        <v>8</v>
      </c>
      <c r="D23" s="8">
        <v>1</v>
      </c>
      <c r="E23" s="12">
        <v>16</v>
      </c>
      <c r="F23" s="12">
        <v>2</v>
      </c>
      <c r="G23" s="12">
        <v>2</v>
      </c>
      <c r="H23" s="12">
        <v>256</v>
      </c>
      <c r="I23" s="12">
        <v>38</v>
      </c>
      <c r="J23" s="14">
        <f t="shared" si="13"/>
        <v>1</v>
      </c>
      <c r="K23" s="8">
        <v>256</v>
      </c>
      <c r="L23" s="12">
        <v>576</v>
      </c>
      <c r="M23" s="12">
        <v>512</v>
      </c>
      <c r="N23" s="55">
        <v>0</v>
      </c>
      <c r="O23" s="15">
        <f t="shared" si="1"/>
        <v>2155.7894736842104</v>
      </c>
      <c r="P23" s="15">
        <f t="shared" si="2"/>
        <v>8623.1578947368416</v>
      </c>
      <c r="Q23" s="15">
        <f t="shared" si="3"/>
        <v>1152</v>
      </c>
      <c r="R23" s="15">
        <f t="shared" si="4"/>
        <v>10778.947368421052</v>
      </c>
      <c r="S23" s="15">
        <f t="shared" si="5"/>
        <v>128</v>
      </c>
      <c r="T23" s="15">
        <f t="shared" si="6"/>
        <v>6898.5263157894733</v>
      </c>
      <c r="U23" s="15">
        <f t="shared" si="0"/>
        <v>1024</v>
      </c>
      <c r="V23" s="15">
        <f t="shared" si="7"/>
        <v>6898.5263157894733</v>
      </c>
      <c r="W23" s="54">
        <f t="shared" si="12"/>
        <v>6553.6</v>
      </c>
      <c r="X23" s="12">
        <f t="shared" si="8"/>
        <v>971</v>
      </c>
      <c r="Y23" s="12">
        <v>30000</v>
      </c>
      <c r="Z23" s="51">
        <f t="shared" si="9"/>
        <v>5.5202073684210526E-2</v>
      </c>
      <c r="AA23">
        <v>5.6357999999999998E-2</v>
      </c>
      <c r="AB23" s="4">
        <f t="shared" si="10"/>
        <v>0.97948957883903842</v>
      </c>
      <c r="AC23" s="64">
        <v>2.7514E-2</v>
      </c>
      <c r="AD23" s="64">
        <v>7.0330000000000011E-3</v>
      </c>
      <c r="AE23">
        <v>8.0600000000000116E-4</v>
      </c>
      <c r="AF23">
        <v>6.3229999999999988E-3</v>
      </c>
      <c r="AG23">
        <v>4.5630000000000011E-3</v>
      </c>
      <c r="AI23" s="11">
        <f t="shared" si="11"/>
        <v>4.6239000000000002E-2</v>
      </c>
      <c r="AJ23" s="11"/>
      <c r="AL23" s="11"/>
    </row>
    <row r="24" spans="2:38" x14ac:dyDescent="0.25">
      <c r="B24">
        <v>4</v>
      </c>
      <c r="C24">
        <v>8</v>
      </c>
      <c r="D24">
        <v>1</v>
      </c>
      <c r="E24" s="12">
        <v>16</v>
      </c>
      <c r="F24" s="12">
        <v>2</v>
      </c>
      <c r="G24" s="12">
        <v>2</v>
      </c>
      <c r="H24" s="12">
        <v>256</v>
      </c>
      <c r="I24" s="12">
        <v>38</v>
      </c>
      <c r="J24" s="14">
        <f t="shared" si="13"/>
        <v>1</v>
      </c>
      <c r="K24">
        <v>256</v>
      </c>
      <c r="L24" s="12">
        <v>576</v>
      </c>
      <c r="M24" s="12">
        <v>512</v>
      </c>
      <c r="N24" s="55">
        <v>0</v>
      </c>
      <c r="O24" s="15">
        <f t="shared" si="1"/>
        <v>2155.7894736842104</v>
      </c>
      <c r="P24" s="15">
        <f t="shared" si="2"/>
        <v>8623.1578947368416</v>
      </c>
      <c r="Q24" s="15">
        <f t="shared" si="3"/>
        <v>1152</v>
      </c>
      <c r="R24" s="15">
        <f t="shared" si="4"/>
        <v>10778.947368421052</v>
      </c>
      <c r="S24" s="15">
        <f t="shared" si="5"/>
        <v>128</v>
      </c>
      <c r="T24" s="15">
        <f t="shared" si="6"/>
        <v>6898.5263157894733</v>
      </c>
      <c r="U24" s="15">
        <f t="shared" si="0"/>
        <v>1024</v>
      </c>
      <c r="V24" s="15">
        <f t="shared" si="7"/>
        <v>6898.5263157894733</v>
      </c>
      <c r="W24" s="54">
        <f t="shared" si="12"/>
        <v>6553.6</v>
      </c>
      <c r="X24" s="12">
        <f t="shared" si="8"/>
        <v>971</v>
      </c>
      <c r="Y24" s="12">
        <v>30000</v>
      </c>
      <c r="Z24" s="51">
        <f t="shared" si="9"/>
        <v>5.5202073684210526E-2</v>
      </c>
      <c r="AA24">
        <v>6.0134E-2</v>
      </c>
      <c r="AB24" s="4">
        <f t="shared" si="10"/>
        <v>0.91798439625187955</v>
      </c>
      <c r="AC24" s="64">
        <v>2.7514E-2</v>
      </c>
      <c r="AD24" s="64">
        <v>6.9500000000000013E-3</v>
      </c>
      <c r="AE24">
        <v>6.4700000000000001E-3</v>
      </c>
      <c r="AF24">
        <v>7.4360000000000016E-3</v>
      </c>
      <c r="AG24">
        <v>4.8379999999999986E-3</v>
      </c>
      <c r="AI24" s="11">
        <f t="shared" si="11"/>
        <v>5.3207999999999991E-2</v>
      </c>
      <c r="AJ24" s="11"/>
      <c r="AL24" s="11"/>
    </row>
    <row r="25" spans="2:38" x14ac:dyDescent="0.25">
      <c r="B25">
        <v>8</v>
      </c>
      <c r="C25">
        <v>8</v>
      </c>
      <c r="D25">
        <v>1</v>
      </c>
      <c r="E25" s="12">
        <v>16</v>
      </c>
      <c r="F25" s="12">
        <v>2</v>
      </c>
      <c r="G25" s="12">
        <v>2</v>
      </c>
      <c r="H25" s="12">
        <v>256</v>
      </c>
      <c r="I25" s="12">
        <v>38</v>
      </c>
      <c r="J25" s="14">
        <f t="shared" si="13"/>
        <v>1</v>
      </c>
      <c r="K25">
        <v>256</v>
      </c>
      <c r="L25" s="12">
        <v>576</v>
      </c>
      <c r="M25" s="12">
        <v>512</v>
      </c>
      <c r="N25" s="55">
        <v>0</v>
      </c>
      <c r="O25" s="15">
        <f t="shared" si="1"/>
        <v>2155.7894736842104</v>
      </c>
      <c r="P25" s="15">
        <f t="shared" si="2"/>
        <v>8623.1578947368416</v>
      </c>
      <c r="Q25" s="15">
        <f t="shared" si="3"/>
        <v>1152</v>
      </c>
      <c r="R25" s="15">
        <f t="shared" si="4"/>
        <v>10778.947368421052</v>
      </c>
      <c r="S25" s="15">
        <f t="shared" si="5"/>
        <v>128</v>
      </c>
      <c r="T25" s="15">
        <f t="shared" si="6"/>
        <v>6898.5263157894733</v>
      </c>
      <c r="U25" s="15">
        <f t="shared" si="0"/>
        <v>1024</v>
      </c>
      <c r="V25" s="15">
        <f t="shared" si="7"/>
        <v>6898.5263157894733</v>
      </c>
      <c r="W25" s="54">
        <f t="shared" si="12"/>
        <v>6553.6</v>
      </c>
      <c r="X25" s="12">
        <f t="shared" si="8"/>
        <v>971</v>
      </c>
      <c r="Y25" s="12">
        <v>30000</v>
      </c>
      <c r="Z25" s="51">
        <f t="shared" si="9"/>
        <v>5.5202073684210526E-2</v>
      </c>
      <c r="AA25">
        <v>5.9244999999999999E-2</v>
      </c>
      <c r="AB25" s="4">
        <f t="shared" si="10"/>
        <v>0.93175919797806606</v>
      </c>
      <c r="AC25" s="64">
        <v>2.7514E-2</v>
      </c>
      <c r="AD25" s="64">
        <v>7.0140000000000029E-3</v>
      </c>
      <c r="AE25">
        <v>7.0400000000000011E-3</v>
      </c>
      <c r="AF25">
        <v>7.7499999999999965E-3</v>
      </c>
      <c r="AG25">
        <v>6.022000000000003E-3</v>
      </c>
      <c r="AI25" s="11">
        <f t="shared" si="11"/>
        <v>5.534E-2</v>
      </c>
      <c r="AJ25" s="11"/>
      <c r="AL25" s="11"/>
    </row>
    <row r="26" spans="2:38" x14ac:dyDescent="0.25">
      <c r="B26">
        <v>16</v>
      </c>
      <c r="C26">
        <v>8</v>
      </c>
      <c r="D26">
        <v>1</v>
      </c>
      <c r="E26" s="12">
        <v>16</v>
      </c>
      <c r="F26" s="12">
        <v>2</v>
      </c>
      <c r="G26" s="12">
        <v>2</v>
      </c>
      <c r="H26" s="12">
        <v>256</v>
      </c>
      <c r="I26" s="12">
        <v>38</v>
      </c>
      <c r="J26" s="14">
        <f t="shared" si="13"/>
        <v>1</v>
      </c>
      <c r="K26">
        <v>256</v>
      </c>
      <c r="L26" s="12">
        <v>576</v>
      </c>
      <c r="M26" s="12">
        <v>512</v>
      </c>
      <c r="N26" s="55">
        <v>0</v>
      </c>
      <c r="O26" s="15">
        <f t="shared" si="1"/>
        <v>2155.7894736842104</v>
      </c>
      <c r="P26" s="15">
        <f t="shared" si="2"/>
        <v>8623.1578947368416</v>
      </c>
      <c r="Q26" s="15">
        <f t="shared" si="3"/>
        <v>1152</v>
      </c>
      <c r="R26" s="15">
        <f t="shared" si="4"/>
        <v>10778.947368421052</v>
      </c>
      <c r="S26" s="15">
        <f t="shared" si="5"/>
        <v>128</v>
      </c>
      <c r="T26" s="15">
        <f t="shared" si="6"/>
        <v>6898.5263157894733</v>
      </c>
      <c r="U26" s="15">
        <f t="shared" si="0"/>
        <v>1024</v>
      </c>
      <c r="V26" s="15">
        <f t="shared" si="7"/>
        <v>6898.5263157894733</v>
      </c>
      <c r="W26" s="54">
        <f t="shared" si="12"/>
        <v>6553.6</v>
      </c>
      <c r="X26" s="12">
        <f t="shared" si="8"/>
        <v>971</v>
      </c>
      <c r="Y26" s="12">
        <v>30000</v>
      </c>
      <c r="Z26" s="51">
        <f t="shared" si="9"/>
        <v>5.5202073684210526E-2</v>
      </c>
      <c r="AA26">
        <v>6.0352000000000003E-2</v>
      </c>
      <c r="AB26" s="4">
        <f t="shared" si="10"/>
        <v>0.91466850616732709</v>
      </c>
      <c r="AC26" s="64">
        <v>2.7514E-2</v>
      </c>
      <c r="AD26" s="64">
        <v>7.4169999999999965E-3</v>
      </c>
      <c r="AE26">
        <v>8.8380000000000021E-3</v>
      </c>
      <c r="AF26">
        <v>1.0539999999999997E-2</v>
      </c>
      <c r="AG26">
        <v>8.2750000000000011E-3</v>
      </c>
      <c r="AI26" s="11">
        <f t="shared" si="11"/>
        <v>6.2584000000000001E-2</v>
      </c>
      <c r="AJ26" s="11"/>
      <c r="AL26" s="11"/>
    </row>
    <row r="27" spans="2:38" x14ac:dyDescent="0.25">
      <c r="B27">
        <v>32</v>
      </c>
      <c r="C27">
        <v>8</v>
      </c>
      <c r="D27">
        <v>1</v>
      </c>
      <c r="E27" s="12">
        <v>16</v>
      </c>
      <c r="F27" s="12">
        <v>2</v>
      </c>
      <c r="G27" s="12">
        <v>2</v>
      </c>
      <c r="H27" s="12">
        <v>256</v>
      </c>
      <c r="I27" s="12">
        <v>38</v>
      </c>
      <c r="J27" s="14">
        <f t="shared" si="13"/>
        <v>2</v>
      </c>
      <c r="K27">
        <v>256</v>
      </c>
      <c r="L27" s="12">
        <v>576</v>
      </c>
      <c r="M27" s="12">
        <v>512</v>
      </c>
      <c r="N27" s="55">
        <v>0</v>
      </c>
      <c r="O27" s="15">
        <f t="shared" si="1"/>
        <v>4311.5789473684208</v>
      </c>
      <c r="P27" s="15">
        <f t="shared" si="2"/>
        <v>17246.315789473683</v>
      </c>
      <c r="Q27" s="15">
        <f t="shared" si="3"/>
        <v>2304</v>
      </c>
      <c r="R27" s="15">
        <f t="shared" si="4"/>
        <v>21557.894736842103</v>
      </c>
      <c r="S27" s="15">
        <f t="shared" si="5"/>
        <v>256</v>
      </c>
      <c r="T27" s="15">
        <f t="shared" si="6"/>
        <v>13797.052631578947</v>
      </c>
      <c r="U27" s="15">
        <f t="shared" si="0"/>
        <v>2048</v>
      </c>
      <c r="V27" s="15">
        <f t="shared" si="7"/>
        <v>13797.052631578947</v>
      </c>
      <c r="W27" s="54">
        <f t="shared" si="12"/>
        <v>6553.6</v>
      </c>
      <c r="X27" s="12">
        <f t="shared" si="8"/>
        <v>1942</v>
      </c>
      <c r="Y27" s="12">
        <v>30000</v>
      </c>
      <c r="Z27" s="51">
        <f t="shared" si="9"/>
        <v>7.3850547368421046E-2</v>
      </c>
      <c r="AA27">
        <v>7.5001999999999999E-2</v>
      </c>
      <c r="AB27" s="4">
        <f t="shared" si="10"/>
        <v>0.98464770764007692</v>
      </c>
      <c r="AC27" s="64">
        <v>2.7514E-2</v>
      </c>
      <c r="AD27" s="64">
        <v>7.583999999999997E-3</v>
      </c>
      <c r="AE27">
        <v>2.2079999999999999E-2</v>
      </c>
      <c r="AF27">
        <v>1.8112E-2</v>
      </c>
      <c r="AG27">
        <v>1.6715999999999998E-2</v>
      </c>
      <c r="AI27" s="11">
        <f t="shared" si="11"/>
        <v>9.2005999999999991E-2</v>
      </c>
      <c r="AJ27" s="11"/>
      <c r="AL27" s="11"/>
    </row>
    <row r="28" spans="2:38" x14ac:dyDescent="0.25">
      <c r="B28">
        <v>64</v>
      </c>
      <c r="C28">
        <v>8</v>
      </c>
      <c r="D28">
        <v>1</v>
      </c>
      <c r="E28" s="12">
        <v>16</v>
      </c>
      <c r="F28" s="12">
        <v>2</v>
      </c>
      <c r="G28" s="12">
        <v>2</v>
      </c>
      <c r="H28" s="12">
        <v>256</v>
      </c>
      <c r="I28" s="12">
        <v>38</v>
      </c>
      <c r="J28" s="14">
        <f t="shared" si="13"/>
        <v>4</v>
      </c>
      <c r="K28">
        <v>256</v>
      </c>
      <c r="L28" s="12">
        <v>576</v>
      </c>
      <c r="M28" s="12">
        <v>512</v>
      </c>
      <c r="N28" s="55">
        <v>0</v>
      </c>
      <c r="O28" s="15">
        <f t="shared" si="1"/>
        <v>8623.1578947368416</v>
      </c>
      <c r="P28" s="15">
        <f t="shared" si="2"/>
        <v>34492.631578947367</v>
      </c>
      <c r="Q28" s="15">
        <f t="shared" si="3"/>
        <v>4608</v>
      </c>
      <c r="R28" s="15">
        <f t="shared" si="4"/>
        <v>43115.789473684206</v>
      </c>
      <c r="S28" s="15">
        <f t="shared" si="5"/>
        <v>512</v>
      </c>
      <c r="T28" s="15">
        <f t="shared" si="6"/>
        <v>27594.105263157893</v>
      </c>
      <c r="U28" s="15">
        <f t="shared" si="0"/>
        <v>4096</v>
      </c>
      <c r="V28" s="15">
        <f t="shared" si="7"/>
        <v>27594.105263157893</v>
      </c>
      <c r="W28" s="54">
        <f t="shared" si="12"/>
        <v>6553.6</v>
      </c>
      <c r="X28" s="12">
        <f t="shared" si="8"/>
        <v>3884</v>
      </c>
      <c r="Y28" s="12">
        <v>30000</v>
      </c>
      <c r="Z28" s="51">
        <f t="shared" si="9"/>
        <v>0.11114749473684211</v>
      </c>
      <c r="AA28">
        <v>0.115968</v>
      </c>
      <c r="AB28" s="4">
        <f t="shared" si="10"/>
        <v>0.95843245323573845</v>
      </c>
      <c r="AC28" s="64">
        <v>2.7514E-2</v>
      </c>
      <c r="AD28" s="64">
        <v>8.0759999999999964E-3</v>
      </c>
      <c r="AE28">
        <v>6.1554999999999999E-2</v>
      </c>
      <c r="AF28">
        <v>3.3663999999999999E-2</v>
      </c>
      <c r="AG28">
        <v>3.4182000000000004E-2</v>
      </c>
      <c r="AI28" s="11">
        <f t="shared" si="11"/>
        <v>0.164991</v>
      </c>
      <c r="AJ28" s="11"/>
      <c r="AL28" s="11"/>
    </row>
    <row r="29" spans="2:38" x14ac:dyDescent="0.25">
      <c r="B29">
        <v>128</v>
      </c>
      <c r="C29">
        <v>8</v>
      </c>
      <c r="D29">
        <v>1</v>
      </c>
      <c r="E29" s="12">
        <v>16</v>
      </c>
      <c r="F29" s="12">
        <v>2</v>
      </c>
      <c r="G29" s="12">
        <v>2</v>
      </c>
      <c r="H29" s="12">
        <v>256</v>
      </c>
      <c r="I29" s="12">
        <v>38</v>
      </c>
      <c r="J29" s="14">
        <f t="shared" si="13"/>
        <v>8</v>
      </c>
      <c r="K29">
        <v>256</v>
      </c>
      <c r="L29" s="12">
        <v>576</v>
      </c>
      <c r="M29" s="12">
        <v>512</v>
      </c>
      <c r="N29" s="55">
        <v>0</v>
      </c>
      <c r="O29" s="15">
        <f t="shared" si="1"/>
        <v>17246.315789473683</v>
      </c>
      <c r="P29" s="15">
        <f t="shared" si="2"/>
        <v>68985.263157894733</v>
      </c>
      <c r="Q29" s="15">
        <f t="shared" si="3"/>
        <v>9216</v>
      </c>
      <c r="R29" s="15">
        <f t="shared" si="4"/>
        <v>86231.578947368413</v>
      </c>
      <c r="S29" s="15">
        <f t="shared" si="5"/>
        <v>1024</v>
      </c>
      <c r="T29" s="15">
        <f t="shared" si="6"/>
        <v>55188.210526315786</v>
      </c>
      <c r="U29" s="15">
        <f t="shared" si="0"/>
        <v>8192</v>
      </c>
      <c r="V29" s="15">
        <f t="shared" si="7"/>
        <v>55188.210526315786</v>
      </c>
      <c r="W29" s="54">
        <f t="shared" si="12"/>
        <v>6553.6</v>
      </c>
      <c r="X29" s="12">
        <f t="shared" si="8"/>
        <v>7768</v>
      </c>
      <c r="Y29" s="12">
        <v>30000</v>
      </c>
      <c r="Z29" s="51">
        <f t="shared" si="9"/>
        <v>0.18574138947368421</v>
      </c>
      <c r="AA29">
        <v>0.18926699999999999</v>
      </c>
      <c r="AB29" s="4">
        <f t="shared" si="10"/>
        <v>0.98137229138563098</v>
      </c>
      <c r="AC29" s="64">
        <v>2.7514E-2</v>
      </c>
      <c r="AD29" s="64">
        <v>9.2089999999999984E-3</v>
      </c>
      <c r="AE29">
        <v>0.126944</v>
      </c>
      <c r="AF29">
        <v>6.5093999999999999E-2</v>
      </c>
      <c r="AG29">
        <v>6.9394999999999998E-2</v>
      </c>
      <c r="AI29" s="11">
        <f t="shared" si="11"/>
        <v>0.29815599999999998</v>
      </c>
      <c r="AJ29" s="11"/>
      <c r="AL29" s="11"/>
    </row>
    <row r="30" spans="2:38" x14ac:dyDescent="0.25">
      <c r="B30">
        <v>256</v>
      </c>
      <c r="C30">
        <v>8</v>
      </c>
      <c r="D30">
        <v>1</v>
      </c>
      <c r="E30" s="12">
        <v>16</v>
      </c>
      <c r="F30" s="12">
        <v>2</v>
      </c>
      <c r="G30" s="12">
        <v>2</v>
      </c>
      <c r="H30" s="12">
        <v>256</v>
      </c>
      <c r="I30" s="12">
        <v>38</v>
      </c>
      <c r="J30" s="14">
        <f t="shared" si="13"/>
        <v>16</v>
      </c>
      <c r="K30">
        <v>256</v>
      </c>
      <c r="L30" s="12">
        <v>576</v>
      </c>
      <c r="M30" s="12">
        <v>512</v>
      </c>
      <c r="N30" s="55">
        <v>0</v>
      </c>
      <c r="O30" s="15">
        <f t="shared" si="1"/>
        <v>34492.631578947367</v>
      </c>
      <c r="P30" s="15">
        <f t="shared" si="2"/>
        <v>137970.52631578947</v>
      </c>
      <c r="Q30" s="15">
        <f t="shared" si="3"/>
        <v>18432</v>
      </c>
      <c r="R30" s="15">
        <f t="shared" si="4"/>
        <v>172463.15789473683</v>
      </c>
      <c r="S30" s="15">
        <f t="shared" si="5"/>
        <v>2048</v>
      </c>
      <c r="T30" s="15">
        <f t="shared" si="6"/>
        <v>110376.42105263157</v>
      </c>
      <c r="U30" s="15">
        <f t="shared" si="0"/>
        <v>16384</v>
      </c>
      <c r="V30" s="15">
        <f t="shared" si="7"/>
        <v>110376.42105263157</v>
      </c>
      <c r="W30" s="54">
        <f t="shared" si="12"/>
        <v>13107.2</v>
      </c>
      <c r="X30" s="12">
        <f t="shared" si="8"/>
        <v>15536</v>
      </c>
      <c r="Y30" s="12">
        <v>30000</v>
      </c>
      <c r="Z30" s="51">
        <f t="shared" si="9"/>
        <v>0.34148277894736845</v>
      </c>
      <c r="AA30">
        <v>0.39326699999999998</v>
      </c>
      <c r="AB30" s="4">
        <f t="shared" si="10"/>
        <v>0.86832299416774983</v>
      </c>
      <c r="AC30" s="64">
        <v>2.7514E-2</v>
      </c>
      <c r="AD30" s="64">
        <v>1.4464000000000001E-2</v>
      </c>
      <c r="AE30">
        <v>0.24975299999999998</v>
      </c>
      <c r="AF30">
        <v>0.13224899999999998</v>
      </c>
      <c r="AG30">
        <v>0.139955</v>
      </c>
      <c r="AI30" s="11">
        <f t="shared" si="11"/>
        <v>0.56393499999999985</v>
      </c>
      <c r="AJ30" s="11"/>
      <c r="AL30" s="11"/>
    </row>
    <row r="31" spans="2:38" x14ac:dyDescent="0.25">
      <c r="B31">
        <v>512</v>
      </c>
      <c r="C31">
        <v>8</v>
      </c>
      <c r="D31">
        <v>1</v>
      </c>
      <c r="E31" s="12">
        <v>16</v>
      </c>
      <c r="F31" s="12">
        <v>2</v>
      </c>
      <c r="G31" s="12">
        <v>2</v>
      </c>
      <c r="H31" s="12">
        <v>256</v>
      </c>
      <c r="I31" s="12">
        <v>38</v>
      </c>
      <c r="J31" s="14">
        <f t="shared" si="13"/>
        <v>32</v>
      </c>
      <c r="K31">
        <v>256</v>
      </c>
      <c r="L31" s="12">
        <v>576</v>
      </c>
      <c r="M31" s="12">
        <v>512</v>
      </c>
      <c r="N31" s="55">
        <v>0</v>
      </c>
      <c r="O31" s="15">
        <f t="shared" si="1"/>
        <v>68985.263157894733</v>
      </c>
      <c r="P31" s="15">
        <f t="shared" si="2"/>
        <v>275941.05263157893</v>
      </c>
      <c r="Q31" s="15">
        <f t="shared" si="3"/>
        <v>36864</v>
      </c>
      <c r="R31" s="15">
        <f t="shared" si="4"/>
        <v>344926.31578947365</v>
      </c>
      <c r="S31" s="15">
        <f t="shared" si="5"/>
        <v>4096</v>
      </c>
      <c r="T31" s="15">
        <f t="shared" si="6"/>
        <v>220752.84210526315</v>
      </c>
      <c r="U31" s="15">
        <f t="shared" si="0"/>
        <v>32768</v>
      </c>
      <c r="V31" s="15">
        <f t="shared" si="7"/>
        <v>220752.84210526315</v>
      </c>
      <c r="W31" s="54">
        <f t="shared" si="12"/>
        <v>26214.400000000001</v>
      </c>
      <c r="X31" s="12">
        <f t="shared" si="8"/>
        <v>31072</v>
      </c>
      <c r="Y31" s="12">
        <v>30000</v>
      </c>
      <c r="Z31" s="51">
        <f t="shared" si="9"/>
        <v>0.65296555789473687</v>
      </c>
      <c r="AA31">
        <v>0.83886099999999997</v>
      </c>
      <c r="AB31" s="4">
        <f t="shared" si="10"/>
        <v>0.77839541699368175</v>
      </c>
      <c r="AC31" s="64">
        <v>2.7514E-2</v>
      </c>
      <c r="AD31" s="64">
        <v>2.9209000000000002E-2</v>
      </c>
      <c r="AE31">
        <v>0.48085099999999997</v>
      </c>
      <c r="AF31">
        <v>0.26545200000000002</v>
      </c>
      <c r="AG31">
        <v>0.28020400000000001</v>
      </c>
      <c r="AI31" s="11">
        <f t="shared" si="11"/>
        <v>1.0832299999999999</v>
      </c>
      <c r="AJ31" s="11"/>
      <c r="AL31" s="11"/>
    </row>
    <row r="32" spans="2:38" x14ac:dyDescent="0.25">
      <c r="B32" s="8">
        <v>1</v>
      </c>
      <c r="C32" s="8">
        <v>8</v>
      </c>
      <c r="D32" s="8">
        <v>1</v>
      </c>
      <c r="E32" s="12">
        <v>16</v>
      </c>
      <c r="F32" s="12">
        <v>2</v>
      </c>
      <c r="G32" s="12">
        <v>2</v>
      </c>
      <c r="H32" s="12">
        <v>256</v>
      </c>
      <c r="I32" s="12">
        <v>38</v>
      </c>
      <c r="J32" s="14">
        <f t="shared" si="13"/>
        <v>1</v>
      </c>
      <c r="K32" s="8">
        <v>512</v>
      </c>
      <c r="L32" s="12">
        <v>576</v>
      </c>
      <c r="M32" s="12">
        <v>512</v>
      </c>
      <c r="N32" s="55">
        <v>0</v>
      </c>
      <c r="O32" s="15">
        <f t="shared" si="1"/>
        <v>2155.7894736842104</v>
      </c>
      <c r="P32" s="15">
        <f t="shared" si="2"/>
        <v>17246.315789473683</v>
      </c>
      <c r="Q32" s="15">
        <f t="shared" si="3"/>
        <v>2304</v>
      </c>
      <c r="R32" s="15">
        <f t="shared" si="4"/>
        <v>19402.105263157893</v>
      </c>
      <c r="S32" s="15">
        <f t="shared" si="5"/>
        <v>256</v>
      </c>
      <c r="T32" s="15">
        <f t="shared" si="6"/>
        <v>13797.052631578947</v>
      </c>
      <c r="U32" s="15">
        <f t="shared" si="0"/>
        <v>2048</v>
      </c>
      <c r="V32" s="15">
        <f t="shared" si="7"/>
        <v>13797.052631578947</v>
      </c>
      <c r="W32" s="54">
        <f t="shared" si="12"/>
        <v>6553.6</v>
      </c>
      <c r="X32" s="12">
        <f t="shared" si="8"/>
        <v>1747</v>
      </c>
      <c r="Y32" s="12">
        <v>30000</v>
      </c>
      <c r="Z32" s="51">
        <f t="shared" si="9"/>
        <v>7.1499757894736837E-2</v>
      </c>
      <c r="AA32">
        <v>6.7641999999999994E-2</v>
      </c>
      <c r="AB32" s="4">
        <f t="shared" si="10"/>
        <v>1.0570319904014791</v>
      </c>
      <c r="AC32" s="64">
        <v>2.7514E-2</v>
      </c>
      <c r="AD32" s="64">
        <v>6.9240000000000031E-3</v>
      </c>
      <c r="AE32">
        <v>2.5470000000000007E-3</v>
      </c>
      <c r="AF32">
        <v>8.4599999999999988E-3</v>
      </c>
      <c r="AG32">
        <v>1.1787999999999996E-2</v>
      </c>
      <c r="AI32" s="11">
        <f t="shared" si="11"/>
        <v>5.7232999999999992E-2</v>
      </c>
      <c r="AJ32" s="11"/>
      <c r="AL32" s="11"/>
    </row>
    <row r="33" spans="2:38" x14ac:dyDescent="0.25">
      <c r="B33" s="8">
        <v>2</v>
      </c>
      <c r="C33" s="8">
        <v>8</v>
      </c>
      <c r="D33" s="8">
        <v>1</v>
      </c>
      <c r="E33" s="12">
        <v>16</v>
      </c>
      <c r="F33" s="12">
        <v>2</v>
      </c>
      <c r="G33" s="12">
        <v>2</v>
      </c>
      <c r="H33" s="12">
        <v>256</v>
      </c>
      <c r="I33" s="12">
        <v>38</v>
      </c>
      <c r="J33" s="14">
        <f t="shared" si="13"/>
        <v>1</v>
      </c>
      <c r="K33" s="8">
        <v>512</v>
      </c>
      <c r="L33" s="12">
        <v>576</v>
      </c>
      <c r="M33" s="12">
        <v>512</v>
      </c>
      <c r="N33" s="55">
        <v>0</v>
      </c>
      <c r="O33" s="15">
        <f t="shared" si="1"/>
        <v>2155.7894736842104</v>
      </c>
      <c r="P33" s="15">
        <f t="shared" si="2"/>
        <v>17246.315789473683</v>
      </c>
      <c r="Q33" s="15">
        <f t="shared" si="3"/>
        <v>2304</v>
      </c>
      <c r="R33" s="15">
        <f t="shared" si="4"/>
        <v>19402.105263157893</v>
      </c>
      <c r="S33" s="15">
        <f t="shared" si="5"/>
        <v>256</v>
      </c>
      <c r="T33" s="15">
        <f t="shared" si="6"/>
        <v>13797.052631578947</v>
      </c>
      <c r="U33" s="15">
        <f t="shared" si="0"/>
        <v>2048</v>
      </c>
      <c r="V33" s="15">
        <f t="shared" si="7"/>
        <v>13797.052631578947</v>
      </c>
      <c r="W33" s="54">
        <f t="shared" si="12"/>
        <v>6553.6</v>
      </c>
      <c r="X33" s="12">
        <f t="shared" si="8"/>
        <v>1747</v>
      </c>
      <c r="Y33" s="12">
        <v>30000</v>
      </c>
      <c r="Z33" s="51">
        <f t="shared" si="9"/>
        <v>7.1499757894736837E-2</v>
      </c>
      <c r="AA33">
        <v>7.0501999999999995E-2</v>
      </c>
      <c r="AB33" s="4">
        <f t="shared" si="10"/>
        <v>1.0141521927709405</v>
      </c>
      <c r="AC33" s="64">
        <v>2.7514E-2</v>
      </c>
      <c r="AD33" s="64">
        <v>7.027000000000002E-3</v>
      </c>
      <c r="AE33">
        <v>5.0430000000000023E-3</v>
      </c>
      <c r="AF33">
        <v>8.5559999999999976E-3</v>
      </c>
      <c r="AG33">
        <v>1.1755999999999999E-2</v>
      </c>
      <c r="AI33" s="11">
        <f t="shared" si="11"/>
        <v>5.9896000000000005E-2</v>
      </c>
      <c r="AJ33" s="11"/>
      <c r="AL33" s="11"/>
    </row>
    <row r="34" spans="2:38" x14ac:dyDescent="0.25">
      <c r="B34">
        <v>4</v>
      </c>
      <c r="C34">
        <v>8</v>
      </c>
      <c r="D34">
        <v>1</v>
      </c>
      <c r="E34" s="12">
        <v>16</v>
      </c>
      <c r="F34" s="12">
        <v>2</v>
      </c>
      <c r="G34" s="12">
        <v>2</v>
      </c>
      <c r="H34" s="12">
        <v>256</v>
      </c>
      <c r="I34" s="12">
        <v>38</v>
      </c>
      <c r="J34" s="14">
        <f t="shared" si="13"/>
        <v>1</v>
      </c>
      <c r="K34">
        <v>512</v>
      </c>
      <c r="L34" s="12">
        <v>576</v>
      </c>
      <c r="M34" s="12">
        <v>512</v>
      </c>
      <c r="N34" s="55">
        <v>0</v>
      </c>
      <c r="O34" s="15">
        <f t="shared" si="1"/>
        <v>2155.7894736842104</v>
      </c>
      <c r="P34" s="15">
        <f t="shared" si="2"/>
        <v>17246.315789473683</v>
      </c>
      <c r="Q34" s="15">
        <f t="shared" si="3"/>
        <v>2304</v>
      </c>
      <c r="R34" s="15">
        <f t="shared" si="4"/>
        <v>19402.105263157893</v>
      </c>
      <c r="S34" s="15">
        <f t="shared" si="5"/>
        <v>256</v>
      </c>
      <c r="T34" s="15">
        <f t="shared" si="6"/>
        <v>13797.052631578947</v>
      </c>
      <c r="U34" s="15">
        <f t="shared" si="0"/>
        <v>2048</v>
      </c>
      <c r="V34" s="15">
        <f t="shared" si="7"/>
        <v>13797.052631578947</v>
      </c>
      <c r="W34" s="54">
        <f t="shared" si="12"/>
        <v>6553.6</v>
      </c>
      <c r="X34" s="12">
        <f t="shared" si="8"/>
        <v>1747</v>
      </c>
      <c r="Y34" s="12">
        <v>30000</v>
      </c>
      <c r="Z34" s="51">
        <f t="shared" si="9"/>
        <v>7.1499757894736837E-2</v>
      </c>
      <c r="AA34">
        <v>8.2086000000000006E-2</v>
      </c>
      <c r="AB34" s="4">
        <f t="shared" si="10"/>
        <v>0.871034742766572</v>
      </c>
      <c r="AC34" s="64">
        <v>2.7514E-2</v>
      </c>
      <c r="AD34" s="64">
        <v>6.9819999999999986E-3</v>
      </c>
      <c r="AE34">
        <v>1.7510000000000001E-2</v>
      </c>
      <c r="AF34">
        <v>1.2800000000000002E-2</v>
      </c>
      <c r="AG34">
        <v>1.2070000000000001E-2</v>
      </c>
      <c r="AI34" s="11">
        <f t="shared" si="11"/>
        <v>7.6876E-2</v>
      </c>
      <c r="AJ34" s="11"/>
      <c r="AL34" s="11"/>
    </row>
    <row r="35" spans="2:38" x14ac:dyDescent="0.25">
      <c r="B35">
        <v>8</v>
      </c>
      <c r="C35">
        <v>8</v>
      </c>
      <c r="D35">
        <v>1</v>
      </c>
      <c r="E35" s="12">
        <v>16</v>
      </c>
      <c r="F35" s="12">
        <v>2</v>
      </c>
      <c r="G35" s="12">
        <v>2</v>
      </c>
      <c r="H35" s="12">
        <v>256</v>
      </c>
      <c r="I35" s="12">
        <v>38</v>
      </c>
      <c r="J35" s="14">
        <f t="shared" si="13"/>
        <v>1</v>
      </c>
      <c r="K35">
        <v>512</v>
      </c>
      <c r="L35" s="12">
        <v>576</v>
      </c>
      <c r="M35" s="12">
        <v>512</v>
      </c>
      <c r="N35" s="55">
        <v>0</v>
      </c>
      <c r="O35" s="15">
        <f t="shared" si="1"/>
        <v>2155.7894736842104</v>
      </c>
      <c r="P35" s="15">
        <f t="shared" si="2"/>
        <v>17246.315789473683</v>
      </c>
      <c r="Q35" s="15">
        <f t="shared" si="3"/>
        <v>2304</v>
      </c>
      <c r="R35" s="15">
        <f t="shared" si="4"/>
        <v>19402.105263157893</v>
      </c>
      <c r="S35" s="15">
        <f t="shared" si="5"/>
        <v>256</v>
      </c>
      <c r="T35" s="15">
        <f t="shared" si="6"/>
        <v>13797.052631578947</v>
      </c>
      <c r="U35" s="15">
        <f t="shared" si="0"/>
        <v>2048</v>
      </c>
      <c r="V35" s="15">
        <f t="shared" si="7"/>
        <v>13797.052631578947</v>
      </c>
      <c r="W35" s="54">
        <f t="shared" si="12"/>
        <v>6553.6</v>
      </c>
      <c r="X35" s="12">
        <f t="shared" si="8"/>
        <v>1747</v>
      </c>
      <c r="Y35" s="12">
        <v>30000</v>
      </c>
      <c r="Z35" s="51">
        <f t="shared" si="9"/>
        <v>7.1499757894736837E-2</v>
      </c>
      <c r="AA35">
        <v>7.8157000000000004E-2</v>
      </c>
      <c r="AB35" s="4">
        <f t="shared" si="10"/>
        <v>0.91482218988365516</v>
      </c>
      <c r="AC35" s="64">
        <v>2.7514E-2</v>
      </c>
      <c r="AD35" s="64">
        <v>6.9689999999999995E-3</v>
      </c>
      <c r="AE35">
        <v>1.8073000000000002E-2</v>
      </c>
      <c r="AF35">
        <v>1.3068E-2</v>
      </c>
      <c r="AG35">
        <v>1.3183999999999998E-2</v>
      </c>
      <c r="AI35" s="11">
        <f t="shared" si="11"/>
        <v>7.8808000000000003E-2</v>
      </c>
      <c r="AJ35" s="11"/>
      <c r="AL35" s="11"/>
    </row>
    <row r="36" spans="2:38" x14ac:dyDescent="0.25">
      <c r="B36">
        <v>16</v>
      </c>
      <c r="C36">
        <v>8</v>
      </c>
      <c r="D36">
        <v>1</v>
      </c>
      <c r="E36" s="12">
        <v>16</v>
      </c>
      <c r="F36" s="12">
        <v>2</v>
      </c>
      <c r="G36" s="12">
        <v>2</v>
      </c>
      <c r="H36" s="12">
        <v>256</v>
      </c>
      <c r="I36" s="12">
        <v>38</v>
      </c>
      <c r="J36" s="14">
        <f t="shared" si="13"/>
        <v>1</v>
      </c>
      <c r="K36">
        <v>512</v>
      </c>
      <c r="L36" s="12">
        <v>576</v>
      </c>
      <c r="M36" s="12">
        <v>512</v>
      </c>
      <c r="N36" s="55">
        <v>0</v>
      </c>
      <c r="O36" s="15">
        <f t="shared" si="1"/>
        <v>2155.7894736842104</v>
      </c>
      <c r="P36" s="15">
        <f t="shared" si="2"/>
        <v>17246.315789473683</v>
      </c>
      <c r="Q36" s="15">
        <f t="shared" si="3"/>
        <v>2304</v>
      </c>
      <c r="R36" s="15">
        <f t="shared" si="4"/>
        <v>19402.105263157893</v>
      </c>
      <c r="S36" s="15">
        <f t="shared" si="5"/>
        <v>256</v>
      </c>
      <c r="T36" s="15">
        <f t="shared" si="6"/>
        <v>13797.052631578947</v>
      </c>
      <c r="U36" s="15">
        <f t="shared" si="0"/>
        <v>2048</v>
      </c>
      <c r="V36" s="15">
        <f t="shared" si="7"/>
        <v>13797.052631578947</v>
      </c>
      <c r="W36" s="54">
        <f t="shared" si="12"/>
        <v>6553.6</v>
      </c>
      <c r="X36" s="12">
        <f t="shared" si="8"/>
        <v>1747</v>
      </c>
      <c r="Y36" s="12">
        <v>30000</v>
      </c>
      <c r="Z36" s="51">
        <f t="shared" si="9"/>
        <v>7.1499757894736837E-2</v>
      </c>
      <c r="AA36">
        <v>7.8656000000000004E-2</v>
      </c>
      <c r="AB36" s="4">
        <f t="shared" si="10"/>
        <v>0.90901848421909115</v>
      </c>
      <c r="AC36" s="64">
        <v>2.7514E-2</v>
      </c>
      <c r="AD36" s="64">
        <v>7.3339999999999968E-3</v>
      </c>
      <c r="AE36">
        <v>1.975E-2</v>
      </c>
      <c r="AF36">
        <v>1.6518000000000001E-2</v>
      </c>
      <c r="AG36">
        <v>1.5526000000000002E-2</v>
      </c>
      <c r="AI36" s="11">
        <f t="shared" si="11"/>
        <v>8.6641999999999997E-2</v>
      </c>
      <c r="AJ36" s="11"/>
      <c r="AL36" s="11"/>
    </row>
    <row r="37" spans="2:38" x14ac:dyDescent="0.25">
      <c r="B37">
        <v>32</v>
      </c>
      <c r="C37">
        <v>8</v>
      </c>
      <c r="D37">
        <v>1</v>
      </c>
      <c r="E37" s="12">
        <v>16</v>
      </c>
      <c r="F37" s="12">
        <v>2</v>
      </c>
      <c r="G37" s="12">
        <v>2</v>
      </c>
      <c r="H37" s="12">
        <v>256</v>
      </c>
      <c r="I37" s="12">
        <v>38</v>
      </c>
      <c r="J37" s="14">
        <f t="shared" si="13"/>
        <v>2</v>
      </c>
      <c r="K37">
        <v>512</v>
      </c>
      <c r="L37" s="12">
        <v>576</v>
      </c>
      <c r="M37" s="12">
        <v>512</v>
      </c>
      <c r="N37" s="55">
        <v>0</v>
      </c>
      <c r="O37" s="15">
        <f t="shared" si="1"/>
        <v>4311.5789473684208</v>
      </c>
      <c r="P37" s="15">
        <f t="shared" si="2"/>
        <v>34492.631578947367</v>
      </c>
      <c r="Q37" s="15">
        <f t="shared" si="3"/>
        <v>4608</v>
      </c>
      <c r="R37" s="15">
        <f t="shared" si="4"/>
        <v>38804.210526315786</v>
      </c>
      <c r="S37" s="15">
        <f t="shared" si="5"/>
        <v>512</v>
      </c>
      <c r="T37" s="15">
        <f t="shared" si="6"/>
        <v>27594.105263157893</v>
      </c>
      <c r="U37" s="15">
        <f t="shared" si="0"/>
        <v>4096</v>
      </c>
      <c r="V37" s="15">
        <f t="shared" si="7"/>
        <v>27594.105263157893</v>
      </c>
      <c r="W37" s="54">
        <f t="shared" si="12"/>
        <v>6553.6</v>
      </c>
      <c r="X37" s="12">
        <f t="shared" si="8"/>
        <v>3494</v>
      </c>
      <c r="Y37" s="12">
        <v>30000</v>
      </c>
      <c r="Z37" s="51">
        <f t="shared" si="9"/>
        <v>0.10644591578947368</v>
      </c>
      <c r="AA37">
        <v>0.10650900000000001</v>
      </c>
      <c r="AB37" s="4">
        <f t="shared" si="10"/>
        <v>0.99940771004772999</v>
      </c>
      <c r="AC37" s="64">
        <v>2.7514E-2</v>
      </c>
      <c r="AD37" s="64">
        <v>7.5769999999999969E-3</v>
      </c>
      <c r="AE37">
        <v>5.8137000000000008E-2</v>
      </c>
      <c r="AF37">
        <v>3.0886E-2</v>
      </c>
      <c r="AG37">
        <v>3.1033000000000002E-2</v>
      </c>
      <c r="AI37" s="11">
        <f t="shared" si="11"/>
        <v>0.15514700000000001</v>
      </c>
      <c r="AJ37" s="11"/>
      <c r="AL37" s="11"/>
    </row>
    <row r="38" spans="2:38" x14ac:dyDescent="0.25">
      <c r="B38">
        <v>64</v>
      </c>
      <c r="C38">
        <v>8</v>
      </c>
      <c r="D38">
        <v>1</v>
      </c>
      <c r="E38" s="12">
        <v>16</v>
      </c>
      <c r="F38" s="12">
        <v>2</v>
      </c>
      <c r="G38" s="12">
        <v>2</v>
      </c>
      <c r="H38" s="12">
        <v>256</v>
      </c>
      <c r="I38" s="12">
        <v>38</v>
      </c>
      <c r="J38" s="14">
        <f t="shared" si="13"/>
        <v>4</v>
      </c>
      <c r="K38">
        <v>512</v>
      </c>
      <c r="L38" s="12">
        <v>576</v>
      </c>
      <c r="M38" s="12">
        <v>512</v>
      </c>
      <c r="N38" s="55">
        <v>0</v>
      </c>
      <c r="O38" s="15">
        <f t="shared" si="1"/>
        <v>8623.1578947368416</v>
      </c>
      <c r="P38" s="15">
        <f t="shared" si="2"/>
        <v>68985.263157894733</v>
      </c>
      <c r="Q38" s="15">
        <f t="shared" si="3"/>
        <v>9216</v>
      </c>
      <c r="R38" s="15">
        <f t="shared" si="4"/>
        <v>77608.421052631573</v>
      </c>
      <c r="S38" s="15">
        <f t="shared" si="5"/>
        <v>1024</v>
      </c>
      <c r="T38" s="15">
        <f t="shared" si="6"/>
        <v>55188.210526315786</v>
      </c>
      <c r="U38" s="15">
        <f t="shared" si="0"/>
        <v>8192</v>
      </c>
      <c r="V38" s="15">
        <f t="shared" si="7"/>
        <v>55188.210526315786</v>
      </c>
      <c r="W38" s="54">
        <f t="shared" si="12"/>
        <v>6553.6</v>
      </c>
      <c r="X38" s="12">
        <f t="shared" si="8"/>
        <v>6988</v>
      </c>
      <c r="Y38" s="12">
        <v>30000</v>
      </c>
      <c r="Z38" s="51">
        <f t="shared" si="9"/>
        <v>0.17633823157894737</v>
      </c>
      <c r="AA38">
        <v>0.178726</v>
      </c>
      <c r="AB38" s="4">
        <f t="shared" si="10"/>
        <v>0.98664006120512615</v>
      </c>
      <c r="AC38" s="64">
        <v>2.7514E-2</v>
      </c>
      <c r="AD38" s="64">
        <v>8.0190000000000018E-3</v>
      </c>
      <c r="AE38">
        <v>0.11454000000000002</v>
      </c>
      <c r="AF38">
        <v>5.8680999999999997E-2</v>
      </c>
      <c r="AG38">
        <v>6.3091000000000008E-2</v>
      </c>
      <c r="AI38" s="11">
        <f t="shared" si="11"/>
        <v>0.271845</v>
      </c>
      <c r="AJ38" s="11"/>
      <c r="AL38" s="11"/>
    </row>
    <row r="39" spans="2:38" x14ac:dyDescent="0.25">
      <c r="B39">
        <v>128</v>
      </c>
      <c r="C39">
        <v>8</v>
      </c>
      <c r="D39">
        <v>1</v>
      </c>
      <c r="E39" s="12">
        <v>16</v>
      </c>
      <c r="F39" s="12">
        <v>2</v>
      </c>
      <c r="G39" s="12">
        <v>2</v>
      </c>
      <c r="H39" s="12">
        <v>256</v>
      </c>
      <c r="I39" s="12">
        <v>38</v>
      </c>
      <c r="J39" s="14">
        <f t="shared" si="13"/>
        <v>8</v>
      </c>
      <c r="K39">
        <v>512</v>
      </c>
      <c r="L39" s="12">
        <v>576</v>
      </c>
      <c r="M39" s="12">
        <v>512</v>
      </c>
      <c r="N39" s="55">
        <v>0</v>
      </c>
      <c r="O39" s="15">
        <f t="shared" si="1"/>
        <v>17246.315789473683</v>
      </c>
      <c r="P39" s="15">
        <f t="shared" si="2"/>
        <v>137970.52631578947</v>
      </c>
      <c r="Q39" s="15">
        <f t="shared" si="3"/>
        <v>18432</v>
      </c>
      <c r="R39" s="15">
        <f t="shared" si="4"/>
        <v>155216.84210526315</v>
      </c>
      <c r="S39" s="15">
        <f t="shared" si="5"/>
        <v>2048</v>
      </c>
      <c r="T39" s="15">
        <f t="shared" si="6"/>
        <v>110376.42105263157</v>
      </c>
      <c r="U39" s="15">
        <f t="shared" si="0"/>
        <v>16384</v>
      </c>
      <c r="V39" s="15">
        <f t="shared" si="7"/>
        <v>110376.42105263157</v>
      </c>
      <c r="W39" s="54">
        <f t="shared" si="12"/>
        <v>6553.6</v>
      </c>
      <c r="X39" s="12">
        <f t="shared" si="8"/>
        <v>13976</v>
      </c>
      <c r="Y39" s="12">
        <v>30000</v>
      </c>
      <c r="Z39" s="51">
        <f t="shared" si="9"/>
        <v>0.31612286315789467</v>
      </c>
      <c r="AA39">
        <v>0.31082900000000002</v>
      </c>
      <c r="AB39" s="4">
        <f t="shared" si="10"/>
        <v>1.017031432581563</v>
      </c>
      <c r="AC39" s="64">
        <v>2.7514E-2</v>
      </c>
      <c r="AD39" s="64">
        <v>9.1840000000000012E-3</v>
      </c>
      <c r="AE39">
        <v>0.210118</v>
      </c>
      <c r="AF39">
        <v>0.11975000000000001</v>
      </c>
      <c r="AG39">
        <v>0.128249</v>
      </c>
      <c r="AI39" s="11">
        <f t="shared" si="11"/>
        <v>0.494815</v>
      </c>
      <c r="AJ39" s="11"/>
      <c r="AL39" s="11"/>
    </row>
    <row r="40" spans="2:38" x14ac:dyDescent="0.25">
      <c r="B40">
        <v>256</v>
      </c>
      <c r="C40">
        <v>8</v>
      </c>
      <c r="D40">
        <v>1</v>
      </c>
      <c r="E40" s="12">
        <v>16</v>
      </c>
      <c r="F40" s="12">
        <v>2</v>
      </c>
      <c r="G40" s="12">
        <v>2</v>
      </c>
      <c r="H40" s="12">
        <v>256</v>
      </c>
      <c r="I40" s="12">
        <v>38</v>
      </c>
      <c r="J40" s="14">
        <f t="shared" si="13"/>
        <v>16</v>
      </c>
      <c r="K40">
        <v>512</v>
      </c>
      <c r="L40" s="12">
        <v>576</v>
      </c>
      <c r="M40" s="12">
        <v>512</v>
      </c>
      <c r="N40" s="55">
        <v>0</v>
      </c>
      <c r="O40" s="15">
        <f t="shared" si="1"/>
        <v>34492.631578947367</v>
      </c>
      <c r="P40" s="15">
        <f t="shared" si="2"/>
        <v>275941.05263157893</v>
      </c>
      <c r="Q40" s="15">
        <f t="shared" si="3"/>
        <v>36864</v>
      </c>
      <c r="R40" s="15">
        <f t="shared" si="4"/>
        <v>310433.68421052629</v>
      </c>
      <c r="S40" s="15">
        <f t="shared" si="5"/>
        <v>4096</v>
      </c>
      <c r="T40" s="15">
        <f t="shared" si="6"/>
        <v>220752.84210526315</v>
      </c>
      <c r="U40" s="15">
        <f t="shared" si="0"/>
        <v>32768</v>
      </c>
      <c r="V40" s="15">
        <f t="shared" si="7"/>
        <v>220752.84210526315</v>
      </c>
      <c r="W40" s="54">
        <f t="shared" si="12"/>
        <v>13107.2</v>
      </c>
      <c r="X40" s="12">
        <f t="shared" si="8"/>
        <v>27952</v>
      </c>
      <c r="Y40" s="12">
        <v>30000</v>
      </c>
      <c r="Z40" s="51">
        <f t="shared" si="9"/>
        <v>0.60224572631578943</v>
      </c>
      <c r="AA40">
        <v>0.67784999999999995</v>
      </c>
      <c r="AB40" s="4">
        <f t="shared" si="10"/>
        <v>0.88846459587783355</v>
      </c>
      <c r="AC40" s="64">
        <v>2.7514E-2</v>
      </c>
      <c r="AD40" s="64">
        <v>1.4431999999999997E-2</v>
      </c>
      <c r="AE40">
        <v>0.40317400000000003</v>
      </c>
      <c r="AF40">
        <v>0.23561599999999996</v>
      </c>
      <c r="AG40">
        <v>0.25516100000000003</v>
      </c>
      <c r="AI40" s="11">
        <f t="shared" si="11"/>
        <v>0.93589699999999998</v>
      </c>
      <c r="AJ40" s="11"/>
      <c r="AL40" s="11"/>
    </row>
    <row r="41" spans="2:38" x14ac:dyDescent="0.25">
      <c r="B41">
        <v>512</v>
      </c>
      <c r="C41">
        <v>8</v>
      </c>
      <c r="D41">
        <v>1</v>
      </c>
      <c r="E41" s="12">
        <v>16</v>
      </c>
      <c r="F41" s="12">
        <v>2</v>
      </c>
      <c r="G41" s="12">
        <v>2</v>
      </c>
      <c r="H41" s="12">
        <v>256</v>
      </c>
      <c r="I41" s="12">
        <v>38</v>
      </c>
      <c r="J41" s="14">
        <f t="shared" si="13"/>
        <v>32</v>
      </c>
      <c r="K41">
        <v>512</v>
      </c>
      <c r="L41" s="12">
        <v>576</v>
      </c>
      <c r="M41" s="12">
        <v>512</v>
      </c>
      <c r="N41" s="55">
        <v>0</v>
      </c>
      <c r="O41" s="15">
        <f t="shared" si="1"/>
        <v>68985.263157894733</v>
      </c>
      <c r="P41" s="15">
        <f t="shared" si="2"/>
        <v>551882.10526315786</v>
      </c>
      <c r="Q41" s="15">
        <f t="shared" si="3"/>
        <v>73728</v>
      </c>
      <c r="R41" s="15">
        <f t="shared" si="4"/>
        <v>620867.36842105258</v>
      </c>
      <c r="S41" s="15">
        <f t="shared" si="5"/>
        <v>8192</v>
      </c>
      <c r="T41" s="15">
        <f t="shared" si="6"/>
        <v>441505.68421052629</v>
      </c>
      <c r="U41" s="15">
        <f t="shared" si="0"/>
        <v>65536</v>
      </c>
      <c r="V41" s="15">
        <f t="shared" si="7"/>
        <v>441505.68421052629</v>
      </c>
      <c r="W41" s="54">
        <f t="shared" si="12"/>
        <v>26214.400000000001</v>
      </c>
      <c r="X41" s="12">
        <f>J41*(_xlfn.CEILING.MATH(K41/32)*97+195)</f>
        <v>55904</v>
      </c>
      <c r="Y41" s="12">
        <v>30000</v>
      </c>
      <c r="Z41" s="51">
        <f t="shared" si="9"/>
        <v>1.1744914526315788</v>
      </c>
      <c r="AA41">
        <v>1.3480780000000001</v>
      </c>
      <c r="AB41" s="4">
        <f t="shared" si="10"/>
        <v>0.8712340477565681</v>
      </c>
      <c r="AC41" s="64">
        <v>2.7514E-2</v>
      </c>
      <c r="AD41" s="64">
        <v>2.9272999999999997E-2</v>
      </c>
      <c r="AE41">
        <v>0.77123799999999998</v>
      </c>
      <c r="AF41">
        <v>0.45689600000000002</v>
      </c>
      <c r="AG41">
        <v>0.51195499999999994</v>
      </c>
      <c r="AI41" s="11">
        <f t="shared" si="11"/>
        <v>1.7968759999999999</v>
      </c>
      <c r="AJ41" s="11"/>
      <c r="AL41" s="11"/>
    </row>
    <row r="42" spans="2:38" x14ac:dyDescent="0.25">
      <c r="AI42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90"/>
  <sheetViews>
    <sheetView topLeftCell="A28" workbookViewId="0">
      <selection activeCell="D48" sqref="D48"/>
    </sheetView>
  </sheetViews>
  <sheetFormatPr defaultRowHeight="13.8" x14ac:dyDescent="0.25"/>
  <cols>
    <col min="2" max="2" width="18.77734375" customWidth="1"/>
    <col min="3" max="3" width="26.77734375" customWidth="1"/>
    <col min="4" max="4" width="12.6640625" bestFit="1" customWidth="1"/>
    <col min="5" max="5" width="17.109375" customWidth="1"/>
    <col min="7" max="7" width="7.77734375" customWidth="1"/>
    <col min="9" max="9" width="17.109375" bestFit="1" customWidth="1"/>
    <col min="17" max="17" width="12.109375" customWidth="1"/>
    <col min="19" max="19" width="7.44140625" bestFit="1" customWidth="1"/>
    <col min="24" max="24" width="15.33203125" bestFit="1" customWidth="1"/>
  </cols>
  <sheetData>
    <row r="1" spans="2:18" x14ac:dyDescent="0.25">
      <c r="I1" s="79" t="s">
        <v>64</v>
      </c>
      <c r="J1" s="79"/>
      <c r="K1" s="79"/>
      <c r="L1" s="79"/>
    </row>
    <row r="2" spans="2:18" x14ac:dyDescent="0.25">
      <c r="B2" s="7" t="s">
        <v>65</v>
      </c>
      <c r="I2" s="10"/>
      <c r="J2" s="10" t="s">
        <v>66</v>
      </c>
      <c r="K2" s="10" t="s">
        <v>67</v>
      </c>
      <c r="L2" s="10" t="s">
        <v>68</v>
      </c>
      <c r="O2" t="s">
        <v>253</v>
      </c>
      <c r="Q2" t="s">
        <v>249</v>
      </c>
      <c r="R2" t="s">
        <v>250</v>
      </c>
    </row>
    <row r="3" spans="2:18" x14ac:dyDescent="0.25">
      <c r="I3" s="10" t="s">
        <v>69</v>
      </c>
      <c r="J3" s="10">
        <f>C14</f>
        <v>64</v>
      </c>
      <c r="K3" s="10">
        <f>C15</f>
        <v>1024</v>
      </c>
      <c r="L3" s="10">
        <f>C16</f>
        <v>576</v>
      </c>
      <c r="O3">
        <v>16</v>
      </c>
      <c r="Q3">
        <v>128</v>
      </c>
      <c r="R3">
        <v>1</v>
      </c>
    </row>
    <row r="4" spans="2:18" x14ac:dyDescent="0.25">
      <c r="B4" t="s">
        <v>70</v>
      </c>
      <c r="C4" s="27"/>
      <c r="I4" s="10" t="s">
        <v>71</v>
      </c>
      <c r="J4" s="10">
        <f>C14</f>
        <v>64</v>
      </c>
      <c r="K4" s="10">
        <f>C17</f>
        <v>512</v>
      </c>
      <c r="L4" s="10">
        <f>C15</f>
        <v>1024</v>
      </c>
    </row>
    <row r="5" spans="2:18" x14ac:dyDescent="0.25">
      <c r="Q5" t="s">
        <v>251</v>
      </c>
      <c r="R5" t="s">
        <v>252</v>
      </c>
    </row>
    <row r="6" spans="2:18" x14ac:dyDescent="0.25">
      <c r="B6" s="79" t="s">
        <v>72</v>
      </c>
      <c r="C6" s="79"/>
      <c r="D6" s="79"/>
      <c r="I6" s="79" t="s">
        <v>73</v>
      </c>
      <c r="J6" s="79"/>
      <c r="Q6">
        <f>Q3/O3</f>
        <v>8</v>
      </c>
      <c r="R6">
        <v>1</v>
      </c>
    </row>
    <row r="7" spans="2:18" x14ac:dyDescent="0.25">
      <c r="B7" s="10"/>
      <c r="C7" s="10" t="s">
        <v>74</v>
      </c>
      <c r="D7" s="10" t="s">
        <v>75</v>
      </c>
      <c r="I7" s="10" t="s">
        <v>76</v>
      </c>
      <c r="J7" s="10">
        <v>16384</v>
      </c>
      <c r="K7" s="28"/>
      <c r="L7" t="s">
        <v>77</v>
      </c>
      <c r="N7" t="s">
        <v>78</v>
      </c>
    </row>
    <row r="8" spans="2:18" x14ac:dyDescent="0.25">
      <c r="B8" s="10" t="s">
        <v>79</v>
      </c>
      <c r="C8" s="10">
        <v>30</v>
      </c>
      <c r="D8" s="10">
        <f>C8*16</f>
        <v>480</v>
      </c>
      <c r="I8" s="10" t="s">
        <v>80</v>
      </c>
      <c r="J8" s="10">
        <v>8192</v>
      </c>
      <c r="L8" t="s">
        <v>81</v>
      </c>
      <c r="N8" t="s">
        <v>82</v>
      </c>
    </row>
    <row r="9" spans="2:18" x14ac:dyDescent="0.25">
      <c r="B9" s="10" t="s">
        <v>83</v>
      </c>
      <c r="C9" s="10">
        <v>38</v>
      </c>
      <c r="D9" s="10">
        <f>C9*16</f>
        <v>608</v>
      </c>
    </row>
    <row r="10" spans="2:18" x14ac:dyDescent="0.25">
      <c r="B10" s="29" t="s">
        <v>84</v>
      </c>
      <c r="C10" s="10">
        <v>256</v>
      </c>
      <c r="D10" s="30" t="s">
        <v>85</v>
      </c>
      <c r="I10" s="83" t="s">
        <v>86</v>
      </c>
      <c r="J10" s="85"/>
      <c r="L10" t="s">
        <v>87</v>
      </c>
    </row>
    <row r="11" spans="2:18" x14ac:dyDescent="0.25">
      <c r="I11" s="10" t="s">
        <v>88</v>
      </c>
      <c r="J11" s="31">
        <v>2</v>
      </c>
      <c r="K11" s="28"/>
      <c r="L11" t="s">
        <v>89</v>
      </c>
    </row>
    <row r="12" spans="2:18" x14ac:dyDescent="0.25">
      <c r="B12" s="79" t="s">
        <v>90</v>
      </c>
      <c r="C12" s="79"/>
      <c r="I12" s="10" t="s">
        <v>91</v>
      </c>
      <c r="J12" s="32" t="s">
        <v>83</v>
      </c>
      <c r="L12" t="s">
        <v>92</v>
      </c>
    </row>
    <row r="13" spans="2:18" x14ac:dyDescent="0.25">
      <c r="B13" s="10" t="s">
        <v>9</v>
      </c>
      <c r="C13" s="10">
        <v>16</v>
      </c>
      <c r="I13" s="10" t="s">
        <v>93</v>
      </c>
      <c r="J13" s="32" t="s">
        <v>35</v>
      </c>
      <c r="L13" t="s">
        <v>68</v>
      </c>
    </row>
    <row r="14" spans="2:18" x14ac:dyDescent="0.25">
      <c r="B14" s="10" t="s">
        <v>94</v>
      </c>
      <c r="C14" s="10">
        <v>64</v>
      </c>
      <c r="E14" t="s">
        <v>95</v>
      </c>
    </row>
    <row r="15" spans="2:18" x14ac:dyDescent="0.25">
      <c r="B15" s="10" t="s">
        <v>96</v>
      </c>
      <c r="C15" s="10">
        <v>1024</v>
      </c>
      <c r="E15" t="s">
        <v>97</v>
      </c>
      <c r="I15" s="83" t="s">
        <v>86</v>
      </c>
      <c r="J15" s="85"/>
    </row>
    <row r="16" spans="2:18" x14ac:dyDescent="0.25">
      <c r="B16" s="10" t="s">
        <v>98</v>
      </c>
      <c r="C16" s="10">
        <v>576</v>
      </c>
      <c r="I16" s="10" t="s">
        <v>88</v>
      </c>
      <c r="J16" s="31">
        <v>2</v>
      </c>
    </row>
    <row r="17" spans="2:24" x14ac:dyDescent="0.25">
      <c r="B17" s="10" t="s">
        <v>99</v>
      </c>
      <c r="C17" s="10">
        <v>512</v>
      </c>
      <c r="I17" s="10" t="s">
        <v>91</v>
      </c>
      <c r="J17" s="32" t="s">
        <v>83</v>
      </c>
      <c r="L17" t="s">
        <v>100</v>
      </c>
    </row>
    <row r="18" spans="2:24" x14ac:dyDescent="0.25">
      <c r="B18" s="10" t="s">
        <v>101</v>
      </c>
      <c r="C18" s="10">
        <v>64</v>
      </c>
      <c r="I18" s="10" t="s">
        <v>93</v>
      </c>
      <c r="J18" s="32" t="s">
        <v>35</v>
      </c>
      <c r="L18" t="s">
        <v>102</v>
      </c>
      <c r="X18" t="s">
        <v>246</v>
      </c>
    </row>
    <row r="19" spans="2:24" x14ac:dyDescent="0.25">
      <c r="B19" s="10" t="s">
        <v>103</v>
      </c>
      <c r="C19" s="10">
        <v>4096</v>
      </c>
      <c r="E19">
        <v>0.40874700000000003</v>
      </c>
      <c r="X19">
        <f>K22*L22*J11/C9</f>
        <v>31043.36842105263</v>
      </c>
    </row>
    <row r="20" spans="2:24" x14ac:dyDescent="0.25">
      <c r="E20">
        <v>0.65002700000000002</v>
      </c>
      <c r="I20" s="10" t="s">
        <v>104</v>
      </c>
      <c r="J20" s="83" t="s">
        <v>105</v>
      </c>
      <c r="K20" s="84"/>
      <c r="L20" s="85"/>
      <c r="M20" s="83" t="s">
        <v>106</v>
      </c>
      <c r="N20" s="84"/>
      <c r="O20" s="85"/>
      <c r="P20" s="83" t="s">
        <v>107</v>
      </c>
      <c r="Q20" s="84"/>
      <c r="R20" s="85"/>
      <c r="S20" s="83" t="s">
        <v>108</v>
      </c>
      <c r="T20" s="84"/>
      <c r="U20" s="84"/>
      <c r="V20" s="84"/>
      <c r="W20" s="85"/>
      <c r="X20" s="30" t="s">
        <v>109</v>
      </c>
    </row>
    <row r="21" spans="2:24" x14ac:dyDescent="0.25">
      <c r="B21" s="10" t="s">
        <v>110</v>
      </c>
      <c r="C21" s="10">
        <f>C18/C14</f>
        <v>1</v>
      </c>
      <c r="I21" s="10" t="s">
        <v>111</v>
      </c>
      <c r="J21" s="10" t="s">
        <v>66</v>
      </c>
      <c r="K21" s="10" t="s">
        <v>67</v>
      </c>
      <c r="L21" s="10" t="s">
        <v>68</v>
      </c>
      <c r="M21" s="30" t="s">
        <v>112</v>
      </c>
      <c r="N21" s="30" t="s">
        <v>113</v>
      </c>
      <c r="O21" s="30" t="s">
        <v>114</v>
      </c>
      <c r="P21" s="10" t="s">
        <v>115</v>
      </c>
      <c r="Q21" s="10" t="s">
        <v>116</v>
      </c>
      <c r="R21" s="10" t="s">
        <v>117</v>
      </c>
      <c r="S21" s="29" t="s">
        <v>118</v>
      </c>
      <c r="T21" s="29" t="s">
        <v>119</v>
      </c>
      <c r="U21" s="29" t="s">
        <v>120</v>
      </c>
      <c r="V21" s="29" t="s">
        <v>121</v>
      </c>
      <c r="W21" s="29" t="s">
        <v>122</v>
      </c>
      <c r="X21" s="10" t="s">
        <v>123</v>
      </c>
    </row>
    <row r="22" spans="2:24" x14ac:dyDescent="0.25">
      <c r="B22" s="10" t="s">
        <v>124</v>
      </c>
      <c r="C22" s="10">
        <f>C19/C15</f>
        <v>4</v>
      </c>
      <c r="I22" s="10" t="s">
        <v>125</v>
      </c>
      <c r="J22" s="10">
        <f t="shared" ref="J22:L23" si="0">J3</f>
        <v>64</v>
      </c>
      <c r="K22" s="10">
        <f t="shared" si="0"/>
        <v>1024</v>
      </c>
      <c r="L22" s="10">
        <f t="shared" si="0"/>
        <v>576</v>
      </c>
      <c r="M22" s="30" t="s">
        <v>126</v>
      </c>
      <c r="N22" s="30" t="s">
        <v>127</v>
      </c>
      <c r="O22" s="30" t="s">
        <v>127</v>
      </c>
      <c r="P22" s="10">
        <f>IF($M22="YES",$C$10,IF($J$12="NUMA", $C$9,$C$8))</f>
        <v>38</v>
      </c>
      <c r="Q22" s="10">
        <f>IF($N22="YES",$C$10,IF($J$13="NUMA", $C$9,$C$8))</f>
        <v>256</v>
      </c>
      <c r="R22" s="10">
        <f>IF($O22="YES",$C$10,$C$9)</f>
        <v>256</v>
      </c>
      <c r="S22" s="33">
        <v>0</v>
      </c>
      <c r="T22" s="33">
        <f xml:space="preserve"> $K22*$L22*$J$11/Q22</f>
        <v>4608</v>
      </c>
      <c r="U22" s="33">
        <f>S22+T22</f>
        <v>4608</v>
      </c>
      <c r="V22" s="33">
        <f>J22*K22*L22/(IF($J$11=2, $J$7,$J$8))</f>
        <v>2304</v>
      </c>
      <c r="W22" s="33">
        <f>$J22*$K22*$J$11/$R22</f>
        <v>512</v>
      </c>
      <c r="X22" s="33">
        <f>MAX(S22:W22)</f>
        <v>4608</v>
      </c>
    </row>
    <row r="23" spans="2:24" x14ac:dyDescent="0.25">
      <c r="B23" s="10" t="s">
        <v>128</v>
      </c>
      <c r="C23" s="10">
        <f>C22</f>
        <v>4</v>
      </c>
      <c r="E23" t="s">
        <v>129</v>
      </c>
      <c r="I23" s="10" t="s">
        <v>130</v>
      </c>
      <c r="J23" s="10">
        <f t="shared" si="0"/>
        <v>64</v>
      </c>
      <c r="K23" s="10">
        <f t="shared" si="0"/>
        <v>512</v>
      </c>
      <c r="L23" s="10">
        <f t="shared" si="0"/>
        <v>1024</v>
      </c>
      <c r="M23" s="30" t="s">
        <v>127</v>
      </c>
      <c r="N23" s="30" t="s">
        <v>127</v>
      </c>
      <c r="O23" s="30" t="s">
        <v>126</v>
      </c>
      <c r="P23" s="10">
        <f>IF($M23="YES",$C$10,IF($J$17="NUMA", $C$9,$C$8))</f>
        <v>256</v>
      </c>
      <c r="Q23" s="10">
        <f>IF($N23="YES",$C$10,IF($J$18="NUMA", $C$9,$C$8))</f>
        <v>256</v>
      </c>
      <c r="R23" s="10">
        <f>IF($O23="YES",$C$10,$C$9)</f>
        <v>38</v>
      </c>
      <c r="S23" s="33">
        <f xml:space="preserve"> $J23*$L23*$J$16/P23</f>
        <v>512</v>
      </c>
      <c r="T23" s="33">
        <f xml:space="preserve"> $K23*$L23*$J$16/Q23</f>
        <v>4096</v>
      </c>
      <c r="U23" s="33">
        <f>S23+T23</f>
        <v>4608</v>
      </c>
      <c r="V23" s="33">
        <f>J23*K23*L23/(IF($J$16=2, $J$7,$J$8))</f>
        <v>2048</v>
      </c>
      <c r="W23" s="33">
        <f>$J23*$K23*$J$16/$R23</f>
        <v>1724.6315789473683</v>
      </c>
      <c r="X23" s="33">
        <f>MAX(S23:W23)</f>
        <v>4608</v>
      </c>
    </row>
    <row r="24" spans="2:24" x14ac:dyDescent="0.25">
      <c r="B24" s="10" t="s">
        <v>131</v>
      </c>
      <c r="C24" s="10">
        <f>C23*C13/16</f>
        <v>4</v>
      </c>
      <c r="E24" t="s">
        <v>132</v>
      </c>
    </row>
    <row r="25" spans="2:24" x14ac:dyDescent="0.25">
      <c r="I25" s="83" t="s">
        <v>133</v>
      </c>
      <c r="J25" s="84"/>
      <c r="K25" s="84"/>
      <c r="L25" s="85"/>
    </row>
    <row r="26" spans="2:24" x14ac:dyDescent="0.25">
      <c r="B26" s="10" t="s">
        <v>134</v>
      </c>
      <c r="C26" s="10">
        <v>1</v>
      </c>
      <c r="E26" t="s">
        <v>135</v>
      </c>
      <c r="I26" s="80" t="s">
        <v>136</v>
      </c>
      <c r="J26" s="81"/>
      <c r="K26" s="81"/>
      <c r="L26" s="82"/>
      <c r="N26" s="34" t="s">
        <v>137</v>
      </c>
    </row>
    <row r="27" spans="2:24" x14ac:dyDescent="0.25">
      <c r="I27" s="10" t="s">
        <v>138</v>
      </c>
      <c r="J27" s="10" t="s">
        <v>139</v>
      </c>
      <c r="K27" s="10" t="s">
        <v>140</v>
      </c>
      <c r="L27" s="10" t="s">
        <v>141</v>
      </c>
      <c r="N27" t="s">
        <v>142</v>
      </c>
      <c r="O27" s="35" t="s">
        <v>143</v>
      </c>
    </row>
    <row r="28" spans="2:24" x14ac:dyDescent="0.25">
      <c r="B28" s="79" t="s">
        <v>144</v>
      </c>
      <c r="C28" s="79"/>
      <c r="D28" s="79"/>
      <c r="E28" s="79"/>
      <c r="I28" s="10" t="s">
        <v>145</v>
      </c>
      <c r="J28" s="10">
        <f xml:space="preserve"> (C15/32 + 5) * C14 / 16 / C26</f>
        <v>148</v>
      </c>
      <c r="K28" s="10">
        <v>2</v>
      </c>
      <c r="L28" s="10">
        <f>J28*K28</f>
        <v>296</v>
      </c>
      <c r="N28" t="s">
        <v>145</v>
      </c>
      <c r="O28" t="s">
        <v>146</v>
      </c>
      <c r="S28" t="s">
        <v>147</v>
      </c>
    </row>
    <row r="29" spans="2:24" x14ac:dyDescent="0.25">
      <c r="B29" s="10" t="s">
        <v>148</v>
      </c>
      <c r="C29" s="10" t="s">
        <v>149</v>
      </c>
      <c r="D29" s="10" t="s">
        <v>150</v>
      </c>
      <c r="E29" s="29" t="s">
        <v>151</v>
      </c>
      <c r="I29" s="10" t="s">
        <v>152</v>
      </c>
      <c r="J29" s="10">
        <f xml:space="preserve"> 5 * C14 / 16 / C26</f>
        <v>20</v>
      </c>
      <c r="K29" s="10">
        <v>2</v>
      </c>
      <c r="L29" s="10">
        <f>J29*K29</f>
        <v>40</v>
      </c>
      <c r="N29" t="s">
        <v>152</v>
      </c>
      <c r="O29" t="s">
        <v>153</v>
      </c>
    </row>
    <row r="30" spans="2:24" x14ac:dyDescent="0.25">
      <c r="B30" s="10" t="s">
        <v>154</v>
      </c>
      <c r="C30" s="10" t="s">
        <v>69</v>
      </c>
      <c r="D30" s="36">
        <f>X22</f>
        <v>4608</v>
      </c>
      <c r="E30" s="37">
        <f>D30/SUM(D30:D33)</f>
        <v>9.9234703130100479E-2</v>
      </c>
      <c r="I30" s="29" t="s">
        <v>155</v>
      </c>
      <c r="J30" s="10">
        <f>$C$15/32*$C$14/ 16 / C26</f>
        <v>128</v>
      </c>
      <c r="K30" s="10">
        <v>2</v>
      </c>
      <c r="L30" s="10">
        <f>J30*K30</f>
        <v>256</v>
      </c>
      <c r="N30" t="s">
        <v>155</v>
      </c>
      <c r="O30" t="s">
        <v>156</v>
      </c>
    </row>
    <row r="31" spans="2:24" x14ac:dyDescent="0.25">
      <c r="B31" s="10" t="s">
        <v>154</v>
      </c>
      <c r="C31" s="10" t="s">
        <v>71</v>
      </c>
      <c r="D31" s="36">
        <f>X23</f>
        <v>4608</v>
      </c>
      <c r="E31" s="37">
        <f>D31/SUM(D30:D33)</f>
        <v>9.9234703130100479E-2</v>
      </c>
      <c r="I31" s="29" t="s">
        <v>157</v>
      </c>
      <c r="J31" s="10">
        <v>0</v>
      </c>
      <c r="K31" s="10">
        <v>0</v>
      </c>
      <c r="L31" s="10">
        <f>J31*K31</f>
        <v>0</v>
      </c>
      <c r="N31" t="s">
        <v>157</v>
      </c>
      <c r="O31" t="s">
        <v>156</v>
      </c>
      <c r="S31" s="38" t="s">
        <v>158</v>
      </c>
    </row>
    <row r="32" spans="2:24" x14ac:dyDescent="0.25">
      <c r="B32" s="10" t="s">
        <v>159</v>
      </c>
      <c r="C32" s="10" t="s">
        <v>160</v>
      </c>
      <c r="D32" s="36">
        <f>L57</f>
        <v>6176</v>
      </c>
      <c r="E32" s="37">
        <f>D32/SUM(D30:D33)</f>
        <v>0.13300206738964857</v>
      </c>
      <c r="I32" s="29" t="s">
        <v>161</v>
      </c>
      <c r="J32" s="10">
        <f>$C$15/32*$C$14/ 16 / C26</f>
        <v>128</v>
      </c>
      <c r="K32" s="10">
        <v>8</v>
      </c>
      <c r="L32" s="10">
        <f>J32*K32</f>
        <v>1024</v>
      </c>
      <c r="N32" t="s">
        <v>161</v>
      </c>
      <c r="O32" t="s">
        <v>156</v>
      </c>
      <c r="S32" s="39" t="s">
        <v>162</v>
      </c>
    </row>
    <row r="33" spans="2:19" x14ac:dyDescent="0.25">
      <c r="B33" s="28"/>
      <c r="C33" s="10" t="s">
        <v>247</v>
      </c>
      <c r="D33" s="36">
        <f>X19</f>
        <v>31043.36842105263</v>
      </c>
      <c r="E33" s="37">
        <f>D33/SUM(D30:D33)</f>
        <v>0.66852852635015059</v>
      </c>
      <c r="I33" s="40"/>
      <c r="J33" s="28"/>
      <c r="K33" s="10" t="s">
        <v>163</v>
      </c>
      <c r="L33" s="10">
        <f>SUM(L28:L32)</f>
        <v>1616</v>
      </c>
    </row>
    <row r="34" spans="2:19" x14ac:dyDescent="0.25">
      <c r="C34" s="29" t="s">
        <v>163</v>
      </c>
      <c r="D34" s="36">
        <f>D30+D31+D32+D33</f>
        <v>46435.368421052626</v>
      </c>
      <c r="E34" s="37">
        <f>D34/SUM(D30:D33)</f>
        <v>1</v>
      </c>
    </row>
    <row r="35" spans="2:19" x14ac:dyDescent="0.25">
      <c r="N35" t="s">
        <v>165</v>
      </c>
    </row>
    <row r="36" spans="2:19" x14ac:dyDescent="0.25">
      <c r="B36" s="79" t="s">
        <v>164</v>
      </c>
      <c r="C36" s="79"/>
      <c r="D36" s="79"/>
      <c r="E36" s="79"/>
      <c r="I36" s="83" t="s">
        <v>166</v>
      </c>
      <c r="J36" s="84"/>
      <c r="K36" s="84"/>
      <c r="L36" s="85"/>
      <c r="S36" t="s">
        <v>167</v>
      </c>
    </row>
    <row r="37" spans="2:19" x14ac:dyDescent="0.25">
      <c r="B37" s="10" t="s">
        <v>148</v>
      </c>
      <c r="C37" s="10" t="s">
        <v>149</v>
      </c>
      <c r="D37" s="10" t="s">
        <v>150</v>
      </c>
      <c r="E37" s="29" t="s">
        <v>151</v>
      </c>
      <c r="I37" s="10" t="s">
        <v>168</v>
      </c>
      <c r="J37" s="83" t="s">
        <v>85</v>
      </c>
      <c r="K37" s="85"/>
      <c r="L37" s="10">
        <f>$C$14*$C$15*2/$C$10</f>
        <v>512</v>
      </c>
    </row>
    <row r="38" spans="2:19" x14ac:dyDescent="0.25">
      <c r="B38" s="10" t="s">
        <v>154</v>
      </c>
      <c r="C38" s="10" t="s">
        <v>69</v>
      </c>
      <c r="D38" s="36">
        <f>D30*C24</f>
        <v>18432</v>
      </c>
      <c r="E38" s="37">
        <f>D38/SUM(D38:D42)</f>
        <v>9.193610172111373E-2</v>
      </c>
      <c r="I38" s="10" t="s">
        <v>169</v>
      </c>
      <c r="J38" s="83" t="s">
        <v>85</v>
      </c>
      <c r="K38" s="85"/>
      <c r="L38" s="10">
        <f>$C$14*$C$15*2/$C$10</f>
        <v>512</v>
      </c>
    </row>
    <row r="39" spans="2:19" x14ac:dyDescent="0.25">
      <c r="B39" s="10" t="s">
        <v>154</v>
      </c>
      <c r="C39" s="10" t="s">
        <v>71</v>
      </c>
      <c r="D39" s="36">
        <f>D31*C24</f>
        <v>18432</v>
      </c>
      <c r="E39" s="37">
        <f>D39/SUM(D38:D42)</f>
        <v>9.193610172111373E-2</v>
      </c>
      <c r="K39" s="10" t="s">
        <v>163</v>
      </c>
      <c r="L39" s="10">
        <f xml:space="preserve"> (L37+L38) * 2</f>
        <v>2048</v>
      </c>
      <c r="N39" s="39" t="s">
        <v>170</v>
      </c>
    </row>
    <row r="40" spans="2:19" x14ac:dyDescent="0.25">
      <c r="B40" s="10" t="s">
        <v>159</v>
      </c>
      <c r="C40" s="10" t="s">
        <v>160</v>
      </c>
      <c r="D40" s="36">
        <f>D32*C24</f>
        <v>24704</v>
      </c>
      <c r="E40" s="37">
        <f>D40/SUM(D38:D42)</f>
        <v>0.12321991411232604</v>
      </c>
      <c r="K40" s="28"/>
      <c r="L40" s="28"/>
      <c r="N40" s="39"/>
    </row>
    <row r="41" spans="2:19" x14ac:dyDescent="0.25">
      <c r="B41" s="28"/>
      <c r="C41" s="10" t="s">
        <v>247</v>
      </c>
      <c r="D41" s="36">
        <f>X19*C24</f>
        <v>124173.47368421052</v>
      </c>
      <c r="E41" s="37">
        <f>D41/SUM(D38:D42)</f>
        <v>0.61935900106855557</v>
      </c>
    </row>
    <row r="42" spans="2:19" x14ac:dyDescent="0.25">
      <c r="B42" s="28"/>
      <c r="C42" s="10" t="s">
        <v>248</v>
      </c>
      <c r="D42" s="36">
        <f>C13*C16*Q6*(4+2)/C8</f>
        <v>14745.6</v>
      </c>
      <c r="E42" s="37">
        <f>D42/SUM(D38:D42)</f>
        <v>7.3548881376890987E-2</v>
      </c>
    </row>
    <row r="43" spans="2:19" x14ac:dyDescent="0.25">
      <c r="C43" s="29" t="s">
        <v>163</v>
      </c>
      <c r="D43" s="36">
        <f>D38+D39+D40+D41+D42</f>
        <v>200487.07368421051</v>
      </c>
      <c r="E43" s="37">
        <f>D43/SUM(D38:D42)</f>
        <v>1</v>
      </c>
      <c r="I43" s="83" t="s">
        <v>174</v>
      </c>
      <c r="J43" s="84"/>
      <c r="K43" s="84"/>
      <c r="L43" s="85"/>
    </row>
    <row r="44" spans="2:19" x14ac:dyDescent="0.25">
      <c r="I44" s="80" t="s">
        <v>136</v>
      </c>
      <c r="J44" s="81"/>
      <c r="K44" s="81"/>
      <c r="L44" s="82"/>
      <c r="N44" s="34" t="s">
        <v>176</v>
      </c>
    </row>
    <row r="45" spans="2:19" x14ac:dyDescent="0.25">
      <c r="C45" s="10" t="s">
        <v>171</v>
      </c>
      <c r="D45" s="10" t="s">
        <v>172</v>
      </c>
      <c r="E45" s="10" t="s">
        <v>173</v>
      </c>
      <c r="I45" s="10" t="s">
        <v>178</v>
      </c>
      <c r="J45" s="10" t="s">
        <v>139</v>
      </c>
      <c r="K45" s="10" t="s">
        <v>140</v>
      </c>
      <c r="L45" s="10" t="s">
        <v>141</v>
      </c>
      <c r="N45" t="s">
        <v>142</v>
      </c>
      <c r="O45" s="41" t="s">
        <v>179</v>
      </c>
    </row>
    <row r="46" spans="2:19" x14ac:dyDescent="0.25">
      <c r="C46" s="10" t="s">
        <v>175</v>
      </c>
      <c r="D46" s="37">
        <f>D43/1000000</f>
        <v>0.20048707368421051</v>
      </c>
      <c r="E46" s="37">
        <f>$D$46/D46</f>
        <v>1</v>
      </c>
      <c r="I46" s="10" t="s">
        <v>155</v>
      </c>
      <c r="J46" s="10">
        <f>$C$15/32*$C$14 / 16 / C26</f>
        <v>128</v>
      </c>
      <c r="K46" s="10">
        <v>2</v>
      </c>
      <c r="L46" s="10">
        <f>J46*K46</f>
        <v>256</v>
      </c>
      <c r="O46" s="41" t="s">
        <v>180</v>
      </c>
    </row>
    <row r="47" spans="2:19" x14ac:dyDescent="0.25">
      <c r="C47" s="10" t="s">
        <v>177</v>
      </c>
      <c r="D47" s="37">
        <v>0.26</v>
      </c>
      <c r="E47" s="37">
        <f>$D$46/D47</f>
        <v>0.77110412955465579</v>
      </c>
      <c r="I47" s="10" t="s">
        <v>157</v>
      </c>
      <c r="J47" s="10">
        <f>$C$15/32*$C$14 / 16 / C26</f>
        <v>128</v>
      </c>
      <c r="K47" s="10">
        <v>15</v>
      </c>
      <c r="L47" s="10">
        <f t="shared" ref="L47:L50" si="1">J47*K47</f>
        <v>1920</v>
      </c>
      <c r="N47" t="s">
        <v>155</v>
      </c>
      <c r="O47" t="s">
        <v>181</v>
      </c>
    </row>
    <row r="48" spans="2:19" x14ac:dyDescent="0.25">
      <c r="C48" s="10"/>
      <c r="D48" s="37"/>
      <c r="E48" s="37"/>
      <c r="I48" s="10" t="s">
        <v>183</v>
      </c>
      <c r="J48" s="10">
        <f>$C$15/32*$C$14 / 16 / C26</f>
        <v>128</v>
      </c>
      <c r="K48" s="10">
        <v>2</v>
      </c>
      <c r="L48" s="10">
        <f t="shared" si="1"/>
        <v>256</v>
      </c>
      <c r="N48" t="s">
        <v>157</v>
      </c>
      <c r="O48" t="s">
        <v>181</v>
      </c>
    </row>
    <row r="49" spans="3:15" x14ac:dyDescent="0.25">
      <c r="I49" s="10" t="s">
        <v>185</v>
      </c>
      <c r="J49" s="10">
        <f>5 * $C$14 / 16</f>
        <v>20</v>
      </c>
      <c r="K49" s="10">
        <v>2</v>
      </c>
      <c r="L49" s="10">
        <f t="shared" si="1"/>
        <v>40</v>
      </c>
      <c r="N49" t="s">
        <v>186</v>
      </c>
      <c r="O49" t="s">
        <v>181</v>
      </c>
    </row>
    <row r="50" spans="3:15" x14ac:dyDescent="0.25">
      <c r="C50" s="79" t="s">
        <v>182</v>
      </c>
      <c r="D50" s="79"/>
      <c r="E50" s="79"/>
      <c r="I50" s="10" t="s">
        <v>188</v>
      </c>
      <c r="J50" s="10">
        <f>5 * $C$14/ 16</f>
        <v>20</v>
      </c>
      <c r="K50" s="10">
        <v>2</v>
      </c>
      <c r="L50" s="10">
        <f t="shared" si="1"/>
        <v>40</v>
      </c>
      <c r="N50" s="39" t="s">
        <v>189</v>
      </c>
    </row>
    <row r="51" spans="3:15" x14ac:dyDescent="0.25">
      <c r="C51" s="10" t="s">
        <v>171</v>
      </c>
      <c r="D51" s="10" t="s">
        <v>172</v>
      </c>
      <c r="E51" s="10" t="s">
        <v>184</v>
      </c>
      <c r="K51" s="10" t="s">
        <v>163</v>
      </c>
      <c r="L51" s="10">
        <f>SUM(L46:L50)</f>
        <v>2512</v>
      </c>
    </row>
    <row r="52" spans="3:15" x14ac:dyDescent="0.25">
      <c r="C52" s="10" t="s">
        <v>187</v>
      </c>
      <c r="D52" s="37">
        <v>2.31</v>
      </c>
      <c r="E52" s="37">
        <v>1</v>
      </c>
    </row>
    <row r="53" spans="3:15" x14ac:dyDescent="0.25">
      <c r="C53" s="10" t="s">
        <v>190</v>
      </c>
      <c r="D53" s="10" t="s">
        <v>191</v>
      </c>
      <c r="E53" s="10" t="s">
        <v>85</v>
      </c>
      <c r="I53" s="83" t="s">
        <v>194</v>
      </c>
      <c r="J53" s="84"/>
      <c r="K53" s="84"/>
      <c r="L53" s="85"/>
    </row>
    <row r="54" spans="3:15" x14ac:dyDescent="0.25">
      <c r="C54" s="10" t="s">
        <v>192</v>
      </c>
      <c r="D54" s="10" t="s">
        <v>191</v>
      </c>
      <c r="E54" s="10" t="s">
        <v>85</v>
      </c>
      <c r="I54" s="42" t="s">
        <v>195</v>
      </c>
      <c r="J54" s="83" t="s">
        <v>85</v>
      </c>
      <c r="K54" s="85"/>
      <c r="L54" s="31">
        <f>L33</f>
        <v>1616</v>
      </c>
      <c r="M54" s="43">
        <f>L54/$L$57</f>
        <v>0.26165803108808289</v>
      </c>
    </row>
    <row r="55" spans="3:15" x14ac:dyDescent="0.25">
      <c r="C55" s="10" t="s">
        <v>193</v>
      </c>
      <c r="D55" s="10" t="s">
        <v>191</v>
      </c>
      <c r="E55" s="10" t="s">
        <v>85</v>
      </c>
      <c r="I55" s="42" t="s">
        <v>197</v>
      </c>
      <c r="J55" s="83" t="s">
        <v>85</v>
      </c>
      <c r="K55" s="85"/>
      <c r="L55" s="31">
        <f>L51</f>
        <v>2512</v>
      </c>
      <c r="M55" s="43">
        <f t="shared" ref="M55:M56" si="2">L55/$L$57</f>
        <v>0.40673575129533679</v>
      </c>
    </row>
    <row r="56" spans="3:15" x14ac:dyDescent="0.25">
      <c r="C56" s="10" t="s">
        <v>177</v>
      </c>
      <c r="D56" s="37">
        <v>2.5099999999999998</v>
      </c>
      <c r="E56" s="37">
        <f>$D$52/D56</f>
        <v>0.92031872509960166</v>
      </c>
      <c r="I56" s="42" t="s">
        <v>198</v>
      </c>
      <c r="J56" s="79" t="s">
        <v>85</v>
      </c>
      <c r="K56" s="79"/>
      <c r="L56" s="31">
        <f>L39</f>
        <v>2048</v>
      </c>
      <c r="M56" s="43">
        <f t="shared" si="2"/>
        <v>0.33160621761658032</v>
      </c>
    </row>
    <row r="57" spans="3:15" x14ac:dyDescent="0.25">
      <c r="C57" s="10" t="s">
        <v>196</v>
      </c>
      <c r="D57" s="37">
        <v>2.65</v>
      </c>
      <c r="E57" s="37">
        <f>$D$52/D57</f>
        <v>0.8716981132075472</v>
      </c>
      <c r="I57" s="44"/>
      <c r="J57" s="45"/>
      <c r="K57" s="13" t="s">
        <v>200</v>
      </c>
      <c r="L57" s="31">
        <f>L54+L55+L56</f>
        <v>6176</v>
      </c>
    </row>
    <row r="58" spans="3:15" x14ac:dyDescent="0.25">
      <c r="K58" s="10" t="s">
        <v>201</v>
      </c>
      <c r="L58" s="10">
        <f>MAX(L54:L56)</f>
        <v>2512</v>
      </c>
    </row>
    <row r="59" spans="3:15" x14ac:dyDescent="0.25">
      <c r="C59" s="79" t="s">
        <v>199</v>
      </c>
      <c r="D59" s="79"/>
      <c r="E59" s="79"/>
    </row>
    <row r="60" spans="3:15" x14ac:dyDescent="0.25">
      <c r="C60" s="10" t="s">
        <v>171</v>
      </c>
      <c r="D60" s="10" t="s">
        <v>172</v>
      </c>
      <c r="E60" s="10" t="s">
        <v>184</v>
      </c>
    </row>
    <row r="61" spans="3:15" x14ac:dyDescent="0.25">
      <c r="C61" s="10" t="s">
        <v>202</v>
      </c>
      <c r="D61" s="37">
        <v>4.08</v>
      </c>
      <c r="E61" s="37">
        <v>1</v>
      </c>
      <c r="I61" s="79" t="s">
        <v>205</v>
      </c>
      <c r="J61" s="79"/>
      <c r="K61" s="79"/>
      <c r="L61" s="79"/>
    </row>
    <row r="62" spans="3:15" x14ac:dyDescent="0.25">
      <c r="C62" s="10" t="s">
        <v>203</v>
      </c>
      <c r="D62" s="10" t="s">
        <v>191</v>
      </c>
      <c r="E62" s="10" t="s">
        <v>85</v>
      </c>
      <c r="I62" s="10"/>
      <c r="J62" s="10" t="s">
        <v>113</v>
      </c>
      <c r="K62" s="10" t="s">
        <v>207</v>
      </c>
      <c r="L62" s="10" t="s">
        <v>208</v>
      </c>
      <c r="N62" s="10" t="s">
        <v>209</v>
      </c>
    </row>
    <row r="63" spans="3:15" x14ac:dyDescent="0.25">
      <c r="C63" s="10" t="s">
        <v>204</v>
      </c>
      <c r="D63" s="10" t="s">
        <v>191</v>
      </c>
      <c r="E63" s="10" t="s">
        <v>85</v>
      </c>
      <c r="I63" s="10" t="s">
        <v>210</v>
      </c>
      <c r="J63" s="10">
        <f>C13</f>
        <v>16</v>
      </c>
      <c r="K63" s="10">
        <f>C18</f>
        <v>64</v>
      </c>
      <c r="L63" s="10">
        <f>C16</f>
        <v>576</v>
      </c>
      <c r="N63" s="10" t="s">
        <v>211</v>
      </c>
    </row>
    <row r="64" spans="3:15" x14ac:dyDescent="0.25">
      <c r="C64" s="10" t="s">
        <v>206</v>
      </c>
      <c r="D64" s="10" t="s">
        <v>191</v>
      </c>
      <c r="E64" s="10" t="s">
        <v>85</v>
      </c>
      <c r="I64" s="10" t="s">
        <v>68</v>
      </c>
      <c r="J64" s="10">
        <f>C13</f>
        <v>16</v>
      </c>
      <c r="K64" s="10">
        <f>C19</f>
        <v>4096</v>
      </c>
      <c r="L64" s="10">
        <f>C16</f>
        <v>576</v>
      </c>
      <c r="N64" s="10" t="s">
        <v>212</v>
      </c>
    </row>
    <row r="65" spans="2:14" x14ac:dyDescent="0.25">
      <c r="C65" s="10" t="s">
        <v>177</v>
      </c>
      <c r="D65" s="37">
        <v>2.5099999999999998</v>
      </c>
      <c r="E65" s="37">
        <f>$D$61/D65</f>
        <v>1.6254980079681276</v>
      </c>
      <c r="I65" s="10" t="s">
        <v>102</v>
      </c>
      <c r="J65" s="10">
        <f>C13</f>
        <v>16</v>
      </c>
      <c r="K65" s="10">
        <f>C19</f>
        <v>4096</v>
      </c>
      <c r="L65" s="10">
        <f>C17</f>
        <v>512</v>
      </c>
      <c r="N65" s="10" t="s">
        <v>213</v>
      </c>
    </row>
    <row r="66" spans="2:14" x14ac:dyDescent="0.25">
      <c r="C66" s="10" t="s">
        <v>196</v>
      </c>
      <c r="D66" s="37">
        <v>2.65</v>
      </c>
      <c r="E66" s="37">
        <f>$D$61/D66</f>
        <v>1.5396226415094341</v>
      </c>
      <c r="I66" s="10" t="s">
        <v>215</v>
      </c>
      <c r="J66" s="10">
        <v>1</v>
      </c>
      <c r="K66" s="10">
        <f>C14</f>
        <v>64</v>
      </c>
      <c r="L66" s="10">
        <f>C16</f>
        <v>576</v>
      </c>
      <c r="N66" s="10" t="s">
        <v>216</v>
      </c>
    </row>
    <row r="67" spans="2:14" x14ac:dyDescent="0.25">
      <c r="I67" s="10" t="s">
        <v>218</v>
      </c>
      <c r="J67" s="10">
        <v>1</v>
      </c>
      <c r="K67" s="10">
        <f>C15</f>
        <v>1024</v>
      </c>
      <c r="L67" s="10">
        <f>C16</f>
        <v>576</v>
      </c>
      <c r="N67" s="10" t="s">
        <v>219</v>
      </c>
    </row>
    <row r="68" spans="2:14" x14ac:dyDescent="0.25">
      <c r="B68" t="s">
        <v>214</v>
      </c>
      <c r="I68" s="10" t="s">
        <v>220</v>
      </c>
      <c r="J68" s="10">
        <v>1</v>
      </c>
      <c r="K68" s="10">
        <f>C15</f>
        <v>1024</v>
      </c>
      <c r="L68" s="10">
        <f>C17</f>
        <v>512</v>
      </c>
      <c r="N68" s="10" t="s">
        <v>221</v>
      </c>
    </row>
    <row r="69" spans="2:14" x14ac:dyDescent="0.25">
      <c r="B69" t="s">
        <v>217</v>
      </c>
      <c r="I69" s="10" t="s">
        <v>222</v>
      </c>
      <c r="J69" s="10">
        <f xml:space="preserve"> C14</f>
        <v>64</v>
      </c>
      <c r="K69" s="10">
        <f>C14</f>
        <v>64</v>
      </c>
      <c r="L69" s="10">
        <f>C15</f>
        <v>1024</v>
      </c>
      <c r="N69" s="10" t="s">
        <v>223</v>
      </c>
    </row>
    <row r="70" spans="2:14" x14ac:dyDescent="0.25">
      <c r="I70" s="10" t="s">
        <v>225</v>
      </c>
      <c r="J70" s="10">
        <v>1</v>
      </c>
      <c r="K70" s="10">
        <f>C14</f>
        <v>64</v>
      </c>
      <c r="L70" s="10">
        <f>C16</f>
        <v>576</v>
      </c>
      <c r="N70" s="10" t="s">
        <v>226</v>
      </c>
    </row>
    <row r="72" spans="2:14" x14ac:dyDescent="0.25">
      <c r="B72" t="s">
        <v>224</v>
      </c>
    </row>
    <row r="73" spans="2:14" x14ac:dyDescent="0.25">
      <c r="B73" t="s">
        <v>227</v>
      </c>
    </row>
    <row r="74" spans="2:14" x14ac:dyDescent="0.25">
      <c r="B74" t="s">
        <v>228</v>
      </c>
    </row>
    <row r="75" spans="2:14" x14ac:dyDescent="0.25">
      <c r="B75" t="s">
        <v>229</v>
      </c>
    </row>
    <row r="77" spans="2:14" x14ac:dyDescent="0.25">
      <c r="B77" t="s">
        <v>230</v>
      </c>
    </row>
    <row r="78" spans="2:14" x14ac:dyDescent="0.25">
      <c r="B78" t="s">
        <v>231</v>
      </c>
    </row>
    <row r="79" spans="2:14" x14ac:dyDescent="0.25">
      <c r="B79" t="s">
        <v>232</v>
      </c>
    </row>
    <row r="81" spans="2:5" x14ac:dyDescent="0.25">
      <c r="B81" s="79" t="s">
        <v>233</v>
      </c>
      <c r="C81" s="79"/>
      <c r="D81" s="79"/>
      <c r="E81" s="79"/>
    </row>
    <row r="82" spans="2:5" x14ac:dyDescent="0.25">
      <c r="B82" s="10" t="s">
        <v>148</v>
      </c>
      <c r="C82" s="10" t="s">
        <v>234</v>
      </c>
      <c r="D82" s="10" t="s">
        <v>235</v>
      </c>
      <c r="E82" s="10" t="s">
        <v>236</v>
      </c>
    </row>
    <row r="83" spans="2:5" x14ac:dyDescent="0.25">
      <c r="B83" s="10" t="s">
        <v>237</v>
      </c>
      <c r="C83" s="46">
        <f>(D38+D39)/1000000</f>
        <v>3.6864000000000001E-2</v>
      </c>
      <c r="D83" s="10">
        <v>1.46</v>
      </c>
      <c r="E83" s="37">
        <f>C83/D83</f>
        <v>2.5249315068493153E-2</v>
      </c>
    </row>
    <row r="84" spans="2:5" x14ac:dyDescent="0.25">
      <c r="B84" s="10" t="s">
        <v>238</v>
      </c>
      <c r="C84" s="46">
        <f>D40/1000000</f>
        <v>2.4704E-2</v>
      </c>
      <c r="D84" s="10">
        <v>1.78</v>
      </c>
      <c r="E84" s="37">
        <f t="shared" ref="E84:E85" si="3">C84/D84</f>
        <v>1.3878651685393258E-2</v>
      </c>
    </row>
    <row r="85" spans="2:5" x14ac:dyDescent="0.25">
      <c r="B85" s="10" t="s">
        <v>84</v>
      </c>
      <c r="C85" s="10">
        <v>4</v>
      </c>
      <c r="D85" s="10"/>
      <c r="E85" s="37" t="e">
        <f t="shared" si="3"/>
        <v>#DIV/0!</v>
      </c>
    </row>
    <row r="89" spans="2:5" x14ac:dyDescent="0.25">
      <c r="B89" t="s">
        <v>239</v>
      </c>
    </row>
    <row r="90" spans="2:5" x14ac:dyDescent="0.25">
      <c r="B90" t="s">
        <v>240</v>
      </c>
    </row>
  </sheetData>
  <mergeCells count="27">
    <mergeCell ref="I15:J15"/>
    <mergeCell ref="I1:L1"/>
    <mergeCell ref="B6:D6"/>
    <mergeCell ref="I6:J6"/>
    <mergeCell ref="I10:J10"/>
    <mergeCell ref="B12:C12"/>
    <mergeCell ref="I43:L43"/>
    <mergeCell ref="J20:L20"/>
    <mergeCell ref="M20:O20"/>
    <mergeCell ref="P20:R20"/>
    <mergeCell ref="S20:W20"/>
    <mergeCell ref="I25:L25"/>
    <mergeCell ref="I26:L26"/>
    <mergeCell ref="B28:E28"/>
    <mergeCell ref="B36:E36"/>
    <mergeCell ref="I36:L36"/>
    <mergeCell ref="J37:K37"/>
    <mergeCell ref="J38:K38"/>
    <mergeCell ref="C59:E59"/>
    <mergeCell ref="I61:L61"/>
    <mergeCell ref="B81:E81"/>
    <mergeCell ref="I44:L44"/>
    <mergeCell ref="C50:E50"/>
    <mergeCell ref="I53:L53"/>
    <mergeCell ref="J54:K54"/>
    <mergeCell ref="J55:K55"/>
    <mergeCell ref="J56:K56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9"/>
  <sheetViews>
    <sheetView topLeftCell="C1" workbookViewId="0">
      <selection activeCell="K16" sqref="K16"/>
    </sheetView>
  </sheetViews>
  <sheetFormatPr defaultRowHeight="13.8" x14ac:dyDescent="0.25"/>
  <cols>
    <col min="2" max="2" width="10.21875" bestFit="1" customWidth="1"/>
    <col min="3" max="3" width="11.6640625" customWidth="1"/>
    <col min="5" max="5" width="9.88671875" customWidth="1"/>
    <col min="6" max="6" width="10.77734375" customWidth="1"/>
    <col min="7" max="7" width="11.6640625" style="70" bestFit="1" customWidth="1"/>
    <col min="8" max="8" width="12.44140625" style="70" bestFit="1" customWidth="1"/>
    <col min="9" max="9" width="11.21875" customWidth="1"/>
  </cols>
  <sheetData>
    <row r="1" spans="2:21" x14ac:dyDescent="0.25">
      <c r="B1" s="65"/>
      <c r="C1" s="67"/>
      <c r="D1" s="65"/>
      <c r="E1" s="65"/>
      <c r="F1" s="65"/>
      <c r="G1" s="69"/>
      <c r="H1" s="69"/>
      <c r="I1" s="65"/>
      <c r="L1" s="4"/>
      <c r="S1" s="3"/>
    </row>
    <row r="2" spans="2:21" x14ac:dyDescent="0.25">
      <c r="B2" t="s">
        <v>0</v>
      </c>
      <c r="C2" t="s">
        <v>4</v>
      </c>
      <c r="D2" t="s">
        <v>2</v>
      </c>
      <c r="E2" t="s">
        <v>3</v>
      </c>
      <c r="F2" t="s">
        <v>1</v>
      </c>
      <c r="G2" s="69" t="s">
        <v>271</v>
      </c>
      <c r="H2" s="69" t="s">
        <v>272</v>
      </c>
      <c r="I2" s="65"/>
      <c r="L2" s="4"/>
      <c r="S2" s="1"/>
    </row>
    <row r="3" spans="2:21" x14ac:dyDescent="0.25">
      <c r="B3" s="68">
        <v>1</v>
      </c>
      <c r="C3" s="68">
        <v>64</v>
      </c>
      <c r="D3" s="68">
        <v>8</v>
      </c>
      <c r="E3" s="68">
        <v>1</v>
      </c>
      <c r="F3" s="68">
        <v>576</v>
      </c>
      <c r="G3" s="69">
        <v>6.3808000000000004E-2</v>
      </c>
      <c r="H3" s="69">
        <v>6.336E-2</v>
      </c>
      <c r="I3" s="71">
        <f t="shared" ref="I3:I49" si="0">(G3-H3)/G3</f>
        <v>7.0210631895687679E-3</v>
      </c>
      <c r="L3" s="4"/>
      <c r="S3" s="1"/>
      <c r="T3" s="3"/>
      <c r="U3" s="3"/>
    </row>
    <row r="4" spans="2:21" x14ac:dyDescent="0.25">
      <c r="B4" s="68">
        <v>2</v>
      </c>
      <c r="C4" s="68">
        <v>64</v>
      </c>
      <c r="D4" s="68">
        <v>8</v>
      </c>
      <c r="E4" s="68">
        <v>1</v>
      </c>
      <c r="F4" s="68">
        <v>576</v>
      </c>
      <c r="G4" s="69">
        <v>7.6544000000000001E-2</v>
      </c>
      <c r="H4" s="69">
        <v>6.5343999999999999E-2</v>
      </c>
      <c r="I4" s="71">
        <f t="shared" si="0"/>
        <v>0.14632107023411373</v>
      </c>
      <c r="L4" s="4"/>
      <c r="S4" s="1"/>
      <c r="T4" s="1"/>
      <c r="U4" s="1"/>
    </row>
    <row r="5" spans="2:21" x14ac:dyDescent="0.25">
      <c r="B5" s="68">
        <v>4</v>
      </c>
      <c r="C5" s="68">
        <v>64</v>
      </c>
      <c r="D5" s="68">
        <v>8</v>
      </c>
      <c r="E5" s="68">
        <v>1</v>
      </c>
      <c r="F5" s="68">
        <v>576</v>
      </c>
      <c r="G5" s="69">
        <v>0.11129600000000001</v>
      </c>
      <c r="H5" s="69">
        <v>9.3759999999999996E-2</v>
      </c>
      <c r="I5" s="71">
        <f t="shared" si="0"/>
        <v>0.15756181713628531</v>
      </c>
      <c r="L5" s="4"/>
      <c r="S5" s="1"/>
      <c r="T5" s="1"/>
      <c r="U5" s="1"/>
    </row>
    <row r="6" spans="2:21" x14ac:dyDescent="0.25">
      <c r="B6" s="68">
        <v>8</v>
      </c>
      <c r="C6" s="68">
        <v>64</v>
      </c>
      <c r="D6" s="68">
        <v>8</v>
      </c>
      <c r="E6" s="68">
        <v>1</v>
      </c>
      <c r="F6" s="68">
        <v>576</v>
      </c>
      <c r="G6" s="69">
        <v>0.18937599999999999</v>
      </c>
      <c r="H6" s="69">
        <v>0.15584000000000001</v>
      </c>
      <c r="I6" s="71">
        <f t="shared" si="0"/>
        <v>0.17708685366677923</v>
      </c>
      <c r="L6" s="4"/>
      <c r="S6" s="1"/>
      <c r="T6" s="1"/>
      <c r="U6" s="1"/>
    </row>
    <row r="7" spans="2:21" x14ac:dyDescent="0.25">
      <c r="B7" s="68">
        <v>16</v>
      </c>
      <c r="C7" s="68">
        <v>64</v>
      </c>
      <c r="D7" s="68">
        <v>8</v>
      </c>
      <c r="E7" s="68">
        <v>1</v>
      </c>
      <c r="F7" s="68">
        <v>576</v>
      </c>
      <c r="G7" s="69">
        <v>0.25292799999999999</v>
      </c>
      <c r="H7" s="69">
        <v>0.25126399999999999</v>
      </c>
      <c r="I7" s="71">
        <f t="shared" si="0"/>
        <v>6.5789473684210479E-3</v>
      </c>
      <c r="L7" s="4"/>
      <c r="S7" s="1"/>
      <c r="T7" s="1"/>
      <c r="U7" s="1"/>
    </row>
    <row r="8" spans="2:21" x14ac:dyDescent="0.25">
      <c r="B8" s="68">
        <v>32</v>
      </c>
      <c r="C8" s="68">
        <v>64</v>
      </c>
      <c r="D8" s="68">
        <v>8</v>
      </c>
      <c r="E8" s="68">
        <v>1</v>
      </c>
      <c r="F8" s="68">
        <v>576</v>
      </c>
      <c r="G8" s="69">
        <v>0.47980800000000001</v>
      </c>
      <c r="H8" s="69">
        <v>0.44243199999999999</v>
      </c>
      <c r="I8" s="71">
        <f t="shared" si="0"/>
        <v>7.7897825796985495E-2</v>
      </c>
      <c r="L8" s="4"/>
      <c r="S8" s="1"/>
      <c r="T8" s="1"/>
      <c r="U8" s="1"/>
    </row>
    <row r="9" spans="2:21" x14ac:dyDescent="0.25">
      <c r="B9" s="68">
        <v>1</v>
      </c>
      <c r="C9" s="68">
        <v>128</v>
      </c>
      <c r="D9" s="68">
        <v>8</v>
      </c>
      <c r="E9" s="68">
        <v>1</v>
      </c>
      <c r="F9" s="68">
        <v>576</v>
      </c>
      <c r="G9" s="69">
        <v>7.3279999999999998E-2</v>
      </c>
      <c r="H9" s="69">
        <v>6.9375999999999993E-2</v>
      </c>
      <c r="I9" s="71">
        <f t="shared" si="0"/>
        <v>5.3275109170305743E-2</v>
      </c>
      <c r="L9" s="4"/>
      <c r="S9" s="1"/>
      <c r="T9" s="1"/>
      <c r="U9" s="1"/>
    </row>
    <row r="10" spans="2:21" x14ac:dyDescent="0.25">
      <c r="B10" s="68">
        <v>2</v>
      </c>
      <c r="C10" s="68">
        <v>128</v>
      </c>
      <c r="D10" s="68">
        <v>8</v>
      </c>
      <c r="E10" s="68">
        <v>1</v>
      </c>
      <c r="F10" s="68">
        <v>576</v>
      </c>
      <c r="G10" s="69">
        <v>8.2175999999999999E-2</v>
      </c>
      <c r="H10" s="69">
        <v>7.9423999999999995E-2</v>
      </c>
      <c r="I10" s="71">
        <f t="shared" si="0"/>
        <v>3.3489096573208775E-2</v>
      </c>
      <c r="L10" s="4"/>
      <c r="S10" s="1"/>
      <c r="T10" s="1"/>
      <c r="U10" s="1"/>
    </row>
    <row r="11" spans="2:21" x14ac:dyDescent="0.25">
      <c r="B11" s="68">
        <v>4</v>
      </c>
      <c r="C11" s="68">
        <v>128</v>
      </c>
      <c r="D11" s="68">
        <v>8</v>
      </c>
      <c r="E11" s="68">
        <v>1</v>
      </c>
      <c r="F11" s="68">
        <v>576</v>
      </c>
      <c r="G11" s="69">
        <v>0.13606399999999999</v>
      </c>
      <c r="H11" s="69">
        <v>0.124096</v>
      </c>
      <c r="I11" s="71">
        <f t="shared" si="0"/>
        <v>8.7958607714016881E-2</v>
      </c>
      <c r="L11" s="4"/>
      <c r="S11" s="1"/>
      <c r="T11" s="1"/>
      <c r="U11" s="1"/>
    </row>
    <row r="12" spans="2:21" x14ac:dyDescent="0.25">
      <c r="B12" s="68">
        <v>8</v>
      </c>
      <c r="C12" s="68">
        <v>128</v>
      </c>
      <c r="D12" s="68">
        <v>8</v>
      </c>
      <c r="E12" s="68">
        <v>1</v>
      </c>
      <c r="F12" s="68">
        <v>576</v>
      </c>
      <c r="G12" s="69">
        <v>0.234432</v>
      </c>
      <c r="H12" s="69">
        <v>0.204288</v>
      </c>
      <c r="I12" s="71">
        <f t="shared" si="0"/>
        <v>0.12858312858312859</v>
      </c>
      <c r="L12" s="4"/>
      <c r="S12" s="1"/>
      <c r="T12" s="1"/>
      <c r="U12" s="1"/>
    </row>
    <row r="13" spans="2:21" x14ac:dyDescent="0.25">
      <c r="B13" s="68">
        <v>16</v>
      </c>
      <c r="C13" s="68">
        <v>128</v>
      </c>
      <c r="D13" s="68">
        <v>8</v>
      </c>
      <c r="E13" s="68">
        <v>1</v>
      </c>
      <c r="F13" s="68">
        <v>576</v>
      </c>
      <c r="G13" s="69">
        <v>0.31974399999999997</v>
      </c>
      <c r="H13" s="69">
        <v>0.31257600000000002</v>
      </c>
      <c r="I13" s="71">
        <f t="shared" si="0"/>
        <v>2.2417934347477835E-2</v>
      </c>
      <c r="L13" s="4"/>
      <c r="S13" s="1"/>
      <c r="T13" s="1"/>
      <c r="U13" s="1"/>
    </row>
    <row r="14" spans="2:21" x14ac:dyDescent="0.25">
      <c r="B14" s="68">
        <v>32</v>
      </c>
      <c r="C14" s="68">
        <v>128</v>
      </c>
      <c r="D14" s="68">
        <v>8</v>
      </c>
      <c r="E14" s="68">
        <v>1</v>
      </c>
      <c r="F14" s="68">
        <v>576</v>
      </c>
      <c r="G14" s="69">
        <v>0.71820799999999996</v>
      </c>
      <c r="H14" s="69">
        <v>0.64748799999999995</v>
      </c>
      <c r="I14" s="71">
        <f t="shared" si="0"/>
        <v>9.8467296382106592E-2</v>
      </c>
      <c r="L14" s="4"/>
      <c r="S14" s="1"/>
      <c r="T14" s="1"/>
      <c r="U14" s="1"/>
    </row>
    <row r="15" spans="2:21" x14ac:dyDescent="0.25">
      <c r="B15" s="68">
        <v>1</v>
      </c>
      <c r="C15" s="68">
        <v>256</v>
      </c>
      <c r="D15" s="68">
        <v>8</v>
      </c>
      <c r="E15" s="68">
        <v>1</v>
      </c>
      <c r="F15" s="68">
        <v>576</v>
      </c>
      <c r="G15" s="69">
        <v>0.112384</v>
      </c>
      <c r="H15" s="69">
        <v>9.9007999999999999E-2</v>
      </c>
      <c r="I15" s="71">
        <f t="shared" si="0"/>
        <v>0.11902050113895216</v>
      </c>
      <c r="L15" s="4"/>
      <c r="S15" s="1"/>
      <c r="T15" s="1"/>
      <c r="U15" s="1"/>
    </row>
    <row r="16" spans="2:21" x14ac:dyDescent="0.25">
      <c r="B16" s="68">
        <v>2</v>
      </c>
      <c r="C16" s="68">
        <v>256</v>
      </c>
      <c r="D16" s="68">
        <v>8</v>
      </c>
      <c r="E16" s="68">
        <v>1</v>
      </c>
      <c r="F16" s="68">
        <v>576</v>
      </c>
      <c r="G16" s="69">
        <v>0.14067199999999999</v>
      </c>
      <c r="H16" s="69">
        <v>0.120576</v>
      </c>
      <c r="I16" s="71">
        <f t="shared" si="0"/>
        <v>0.14285714285714279</v>
      </c>
      <c r="L16" s="4"/>
      <c r="S16" s="1"/>
      <c r="T16" s="1"/>
      <c r="U16" s="1"/>
    </row>
    <row r="17" spans="2:21" x14ac:dyDescent="0.25">
      <c r="B17" s="68">
        <v>4</v>
      </c>
      <c r="C17" s="68">
        <v>256</v>
      </c>
      <c r="D17" s="68">
        <v>8</v>
      </c>
      <c r="E17" s="68">
        <v>1</v>
      </c>
      <c r="F17" s="68">
        <v>576</v>
      </c>
      <c r="G17" s="69">
        <v>0.23603199999999999</v>
      </c>
      <c r="H17" s="69">
        <v>0.19859199999999999</v>
      </c>
      <c r="I17" s="71">
        <f t="shared" si="0"/>
        <v>0.15862255965292843</v>
      </c>
      <c r="L17" s="4"/>
      <c r="S17" s="1"/>
      <c r="T17" s="1"/>
      <c r="U17" s="1"/>
    </row>
    <row r="18" spans="2:21" x14ac:dyDescent="0.25">
      <c r="B18" s="68">
        <v>8</v>
      </c>
      <c r="C18" s="68">
        <v>256</v>
      </c>
      <c r="D18" s="68">
        <v>8</v>
      </c>
      <c r="E18" s="68">
        <v>1</v>
      </c>
      <c r="F18" s="68">
        <v>576</v>
      </c>
      <c r="G18" s="69">
        <v>0.39238400000000001</v>
      </c>
      <c r="H18" s="69">
        <v>0.33676800000000001</v>
      </c>
      <c r="I18" s="71">
        <f t="shared" si="0"/>
        <v>0.14173870494209753</v>
      </c>
      <c r="L18" s="4"/>
      <c r="S18" s="1"/>
      <c r="T18" s="1"/>
      <c r="U18" s="1"/>
    </row>
    <row r="19" spans="2:21" x14ac:dyDescent="0.25">
      <c r="B19" s="68">
        <v>16</v>
      </c>
      <c r="C19" s="68">
        <v>256</v>
      </c>
      <c r="D19" s="68">
        <v>8</v>
      </c>
      <c r="E19" s="68">
        <v>1</v>
      </c>
      <c r="F19" s="68">
        <v>576</v>
      </c>
      <c r="G19" s="69">
        <v>0.71091199999999999</v>
      </c>
      <c r="H19" s="69">
        <v>0.65043200000000001</v>
      </c>
      <c r="I19" s="71">
        <f t="shared" si="0"/>
        <v>8.5073820669787512E-2</v>
      </c>
      <c r="L19" s="4"/>
      <c r="S19" s="1"/>
      <c r="T19" s="1"/>
      <c r="U19" s="1"/>
    </row>
    <row r="20" spans="2:21" x14ac:dyDescent="0.25">
      <c r="B20" s="68">
        <v>32</v>
      </c>
      <c r="C20" s="68">
        <v>256</v>
      </c>
      <c r="D20" s="68">
        <v>8</v>
      </c>
      <c r="E20" s="68">
        <v>1</v>
      </c>
      <c r="F20" s="68">
        <v>576</v>
      </c>
      <c r="G20" s="69">
        <v>1.8101119999999999</v>
      </c>
      <c r="H20" s="69">
        <v>1.563968</v>
      </c>
      <c r="I20" s="71">
        <f t="shared" si="0"/>
        <v>0.13598274581904321</v>
      </c>
      <c r="L20" s="4"/>
      <c r="S20" s="1"/>
      <c r="T20" s="1"/>
      <c r="U20" s="1"/>
    </row>
    <row r="21" spans="2:21" x14ac:dyDescent="0.25">
      <c r="B21" s="68">
        <v>1</v>
      </c>
      <c r="C21" s="68">
        <v>512</v>
      </c>
      <c r="D21" s="68">
        <v>8</v>
      </c>
      <c r="E21" s="68">
        <v>1</v>
      </c>
      <c r="F21" s="68">
        <v>576</v>
      </c>
      <c r="G21" s="69">
        <v>0.22387199999999999</v>
      </c>
      <c r="H21" s="69">
        <v>0.186304</v>
      </c>
      <c r="I21" s="71">
        <f t="shared" si="0"/>
        <v>0.16781017724413946</v>
      </c>
      <c r="L21" s="4"/>
      <c r="S21" s="1"/>
      <c r="T21" s="1"/>
      <c r="U21" s="1"/>
    </row>
    <row r="22" spans="2:21" x14ac:dyDescent="0.25">
      <c r="B22" s="68">
        <v>2</v>
      </c>
      <c r="C22" s="68">
        <v>512</v>
      </c>
      <c r="D22" s="68">
        <v>8</v>
      </c>
      <c r="E22" s="68">
        <v>1</v>
      </c>
      <c r="F22" s="68">
        <v>576</v>
      </c>
      <c r="G22" s="69">
        <v>0.283968</v>
      </c>
      <c r="H22" s="69">
        <v>0.22528000000000001</v>
      </c>
      <c r="I22" s="71">
        <f t="shared" si="0"/>
        <v>0.20667117421681314</v>
      </c>
      <c r="L22" s="4"/>
      <c r="S22" s="1"/>
      <c r="T22" s="1"/>
      <c r="U22" s="1"/>
    </row>
    <row r="23" spans="2:21" x14ac:dyDescent="0.25">
      <c r="B23" s="68">
        <v>4</v>
      </c>
      <c r="C23" s="68">
        <v>512</v>
      </c>
      <c r="D23" s="68">
        <v>8</v>
      </c>
      <c r="E23" s="68">
        <v>1</v>
      </c>
      <c r="F23" s="68">
        <v>576</v>
      </c>
      <c r="G23" s="69">
        <v>0.49555199999999999</v>
      </c>
      <c r="H23" s="69">
        <v>0.37280000000000002</v>
      </c>
      <c r="I23" s="71">
        <f t="shared" si="0"/>
        <v>0.24770760687072188</v>
      </c>
      <c r="L23" s="4"/>
      <c r="S23" s="1"/>
      <c r="T23" s="1"/>
      <c r="U23" s="1"/>
    </row>
    <row r="24" spans="2:21" x14ac:dyDescent="0.25">
      <c r="B24" s="68">
        <v>8</v>
      </c>
      <c r="C24" s="68">
        <v>512</v>
      </c>
      <c r="D24" s="68">
        <v>8</v>
      </c>
      <c r="E24" s="68">
        <v>1</v>
      </c>
      <c r="F24" s="68">
        <v>576</v>
      </c>
      <c r="G24" s="69">
        <v>1.0353920000000001</v>
      </c>
      <c r="H24" s="69">
        <v>0.80019200000000001</v>
      </c>
      <c r="I24" s="71">
        <f t="shared" si="0"/>
        <v>0.22716034120410439</v>
      </c>
      <c r="L24" s="4"/>
      <c r="S24" s="1"/>
      <c r="T24" s="1"/>
      <c r="U24" s="1"/>
    </row>
    <row r="25" spans="2:21" x14ac:dyDescent="0.25">
      <c r="B25" s="68">
        <v>16</v>
      </c>
      <c r="C25" s="68">
        <v>512</v>
      </c>
      <c r="D25" s="68">
        <v>8</v>
      </c>
      <c r="E25" s="68">
        <v>1</v>
      </c>
      <c r="F25" s="68">
        <v>576</v>
      </c>
      <c r="G25" s="69">
        <v>2.0760960000000002</v>
      </c>
      <c r="H25" s="69">
        <v>1.6917759999999999</v>
      </c>
      <c r="I25" s="71">
        <f t="shared" si="0"/>
        <v>0.18511668053885763</v>
      </c>
      <c r="L25" s="4"/>
      <c r="S25" s="1"/>
      <c r="T25" s="1"/>
      <c r="U25" s="1"/>
    </row>
    <row r="26" spans="2:21" x14ac:dyDescent="0.25">
      <c r="B26" s="68">
        <v>32</v>
      </c>
      <c r="C26" s="68">
        <v>512</v>
      </c>
      <c r="D26" s="68">
        <v>8</v>
      </c>
      <c r="E26" s="68">
        <v>1</v>
      </c>
      <c r="F26" s="68">
        <v>576</v>
      </c>
      <c r="G26" s="69">
        <v>3.9931519999999998</v>
      </c>
      <c r="H26" s="69">
        <v>3.1278079999999999</v>
      </c>
      <c r="I26" s="71">
        <f t="shared" si="0"/>
        <v>0.21670700238808838</v>
      </c>
      <c r="L26" s="4"/>
      <c r="S26" s="1"/>
      <c r="T26" s="1"/>
      <c r="U26" s="1"/>
    </row>
    <row r="27" spans="2:21" x14ac:dyDescent="0.25">
      <c r="B27" s="68">
        <v>1</v>
      </c>
      <c r="C27" s="68">
        <v>1024</v>
      </c>
      <c r="D27" s="68">
        <v>8</v>
      </c>
      <c r="E27" s="68">
        <v>1</v>
      </c>
      <c r="F27" s="68">
        <v>576</v>
      </c>
      <c r="G27" s="69">
        <v>0.57670399999999999</v>
      </c>
      <c r="H27" s="69">
        <v>0.40307199999999999</v>
      </c>
      <c r="I27" s="71">
        <f t="shared" si="0"/>
        <v>0.3010764621018755</v>
      </c>
      <c r="L27" s="4"/>
      <c r="S27" s="1"/>
      <c r="T27" s="1"/>
      <c r="U27" s="1"/>
    </row>
    <row r="28" spans="2:21" x14ac:dyDescent="0.25">
      <c r="B28" s="68">
        <v>2</v>
      </c>
      <c r="C28" s="68">
        <v>1024</v>
      </c>
      <c r="D28" s="68">
        <v>8</v>
      </c>
      <c r="E28" s="68">
        <v>1</v>
      </c>
      <c r="F28" s="68">
        <v>576</v>
      </c>
      <c r="G28" s="69">
        <v>0.670848</v>
      </c>
      <c r="H28" s="69">
        <v>0.467136</v>
      </c>
      <c r="I28" s="71">
        <f t="shared" si="0"/>
        <v>0.30366342301087579</v>
      </c>
      <c r="L28" s="4"/>
      <c r="S28" s="1"/>
      <c r="T28" s="1"/>
      <c r="U28" s="1"/>
    </row>
    <row r="29" spans="2:21" x14ac:dyDescent="0.25">
      <c r="B29" s="68">
        <v>4</v>
      </c>
      <c r="C29" s="68">
        <v>1024</v>
      </c>
      <c r="D29" s="68">
        <v>8</v>
      </c>
      <c r="E29" s="68">
        <v>1</v>
      </c>
      <c r="F29" s="68">
        <v>576</v>
      </c>
      <c r="G29" s="69">
        <v>1.3884160000000001</v>
      </c>
      <c r="H29" s="69">
        <v>0.95974400000000004</v>
      </c>
      <c r="I29" s="71">
        <f t="shared" si="0"/>
        <v>0.30874896284687015</v>
      </c>
      <c r="L29" s="4"/>
      <c r="S29" s="1"/>
      <c r="T29" s="1"/>
      <c r="U29" s="1"/>
    </row>
    <row r="30" spans="2:21" x14ac:dyDescent="0.25">
      <c r="B30" s="68">
        <v>8</v>
      </c>
      <c r="C30" s="68">
        <v>1024</v>
      </c>
      <c r="D30" s="68">
        <v>8</v>
      </c>
      <c r="E30" s="68">
        <v>1</v>
      </c>
      <c r="F30" s="68">
        <v>576</v>
      </c>
      <c r="G30" s="69">
        <v>2.875712</v>
      </c>
      <c r="H30" s="69">
        <v>2.047488</v>
      </c>
      <c r="I30" s="71">
        <f t="shared" si="0"/>
        <v>0.28800658758596132</v>
      </c>
      <c r="L30" s="4"/>
      <c r="S30" s="1"/>
      <c r="T30" s="1"/>
      <c r="U30" s="1"/>
    </row>
    <row r="31" spans="2:21" x14ac:dyDescent="0.25">
      <c r="B31" s="68">
        <v>16</v>
      </c>
      <c r="C31" s="68">
        <v>1024</v>
      </c>
      <c r="D31" s="68">
        <v>8</v>
      </c>
      <c r="E31" s="68">
        <v>1</v>
      </c>
      <c r="F31" s="68">
        <v>576</v>
      </c>
      <c r="G31" s="69">
        <v>5.0483200000000004</v>
      </c>
      <c r="H31" s="69">
        <v>3.7406079999999999</v>
      </c>
      <c r="I31" s="71">
        <f t="shared" si="0"/>
        <v>0.25903904665314409</v>
      </c>
      <c r="L31" s="4"/>
      <c r="S31" s="1"/>
      <c r="T31" s="1"/>
      <c r="U31" s="1"/>
    </row>
    <row r="32" spans="2:21" x14ac:dyDescent="0.25">
      <c r="B32" s="68">
        <v>32</v>
      </c>
      <c r="C32" s="68">
        <v>1024</v>
      </c>
      <c r="D32" s="68">
        <v>8</v>
      </c>
      <c r="E32" s="68">
        <v>1</v>
      </c>
      <c r="F32" s="68">
        <v>576</v>
      </c>
      <c r="G32" s="69">
        <v>9.9210229999999999</v>
      </c>
      <c r="H32" s="69">
        <v>7.1617920000000002</v>
      </c>
      <c r="I32" s="71">
        <f t="shared" si="0"/>
        <v>0.27811960520603568</v>
      </c>
      <c r="L32" s="4"/>
      <c r="S32" s="1"/>
      <c r="T32" s="1"/>
      <c r="U32" s="1"/>
    </row>
    <row r="33" spans="2:21" x14ac:dyDescent="0.25">
      <c r="B33" s="68">
        <v>1</v>
      </c>
      <c r="C33" s="68">
        <v>2048</v>
      </c>
      <c r="D33" s="68">
        <v>8</v>
      </c>
      <c r="E33" s="68">
        <v>1</v>
      </c>
      <c r="F33" s="68">
        <v>576</v>
      </c>
      <c r="G33" s="69">
        <v>1.82752</v>
      </c>
      <c r="H33" s="69">
        <v>1.1372800000000001</v>
      </c>
      <c r="I33" s="71">
        <f t="shared" si="0"/>
        <v>0.37769217299947466</v>
      </c>
      <c r="L33" s="4"/>
      <c r="S33" s="1"/>
      <c r="T33" s="1"/>
      <c r="U33" s="1"/>
    </row>
    <row r="34" spans="2:21" x14ac:dyDescent="0.25">
      <c r="B34" s="68">
        <v>2</v>
      </c>
      <c r="C34" s="68">
        <v>2048</v>
      </c>
      <c r="D34" s="68">
        <v>8</v>
      </c>
      <c r="E34" s="68">
        <v>1</v>
      </c>
      <c r="F34" s="68">
        <v>576</v>
      </c>
      <c r="G34" s="69">
        <v>2.1158399999999999</v>
      </c>
      <c r="H34" s="69">
        <v>1.37792</v>
      </c>
      <c r="I34" s="71">
        <f t="shared" si="0"/>
        <v>0.34875983061101024</v>
      </c>
      <c r="L34" s="4"/>
      <c r="S34" s="1"/>
      <c r="T34" s="1"/>
      <c r="U34" s="1"/>
    </row>
    <row r="35" spans="2:21" x14ac:dyDescent="0.25">
      <c r="B35" s="68">
        <v>4</v>
      </c>
      <c r="C35" s="68">
        <v>2048</v>
      </c>
      <c r="D35" s="68">
        <v>8</v>
      </c>
      <c r="E35" s="68">
        <v>1</v>
      </c>
      <c r="F35" s="68">
        <v>576</v>
      </c>
      <c r="G35" s="69">
        <v>4.339137</v>
      </c>
      <c r="H35" s="69">
        <v>2.9774080000000001</v>
      </c>
      <c r="I35" s="71">
        <f t="shared" si="0"/>
        <v>0.31382484581611503</v>
      </c>
      <c r="L35" s="4"/>
      <c r="S35" s="1"/>
      <c r="T35" s="1"/>
      <c r="U35" s="1"/>
    </row>
    <row r="36" spans="2:21" x14ac:dyDescent="0.25">
      <c r="B36" s="68">
        <v>8</v>
      </c>
      <c r="C36" s="68">
        <v>2048</v>
      </c>
      <c r="D36" s="68">
        <v>8</v>
      </c>
      <c r="E36" s="68">
        <v>1</v>
      </c>
      <c r="F36" s="68">
        <v>576</v>
      </c>
      <c r="G36" s="69">
        <v>8.3840649999999997</v>
      </c>
      <c r="H36" s="69">
        <v>5.7578880000000003</v>
      </c>
      <c r="I36" s="71">
        <f t="shared" si="0"/>
        <v>0.31323433203344669</v>
      </c>
      <c r="L36" s="4"/>
      <c r="S36" s="1"/>
      <c r="T36" s="1"/>
      <c r="U36" s="1"/>
    </row>
    <row r="37" spans="2:21" x14ac:dyDescent="0.25">
      <c r="B37" s="68">
        <v>16</v>
      </c>
      <c r="C37" s="68">
        <v>2048</v>
      </c>
      <c r="D37" s="68">
        <v>8</v>
      </c>
      <c r="E37" s="68">
        <v>1</v>
      </c>
      <c r="F37" s="68">
        <v>576</v>
      </c>
      <c r="G37" s="69">
        <v>14.502017</v>
      </c>
      <c r="H37" s="69">
        <v>10.685824</v>
      </c>
      <c r="I37" s="71">
        <f t="shared" si="0"/>
        <v>0.26314911918804124</v>
      </c>
      <c r="L37" s="4"/>
      <c r="S37" s="1"/>
      <c r="T37" s="1"/>
      <c r="U37" s="1"/>
    </row>
    <row r="38" spans="2:21" x14ac:dyDescent="0.25">
      <c r="B38" s="68">
        <v>32</v>
      </c>
      <c r="C38" s="68">
        <v>2048</v>
      </c>
      <c r="D38" s="68">
        <v>8</v>
      </c>
      <c r="E38" s="68">
        <v>1</v>
      </c>
      <c r="F38" s="68">
        <v>576</v>
      </c>
      <c r="G38" s="69">
        <v>28.77261</v>
      </c>
      <c r="H38" s="69">
        <v>20.897023999999998</v>
      </c>
      <c r="I38" s="71">
        <f t="shared" si="0"/>
        <v>0.27371816460168202</v>
      </c>
      <c r="L38" s="4"/>
      <c r="S38" s="1"/>
      <c r="T38" s="1"/>
      <c r="U38" s="1"/>
    </row>
    <row r="39" spans="2:21" x14ac:dyDescent="0.25">
      <c r="B39" s="68">
        <v>1</v>
      </c>
      <c r="C39" s="68">
        <v>4096</v>
      </c>
      <c r="D39" s="68">
        <v>8</v>
      </c>
      <c r="E39" s="68">
        <v>1</v>
      </c>
      <c r="F39" s="68">
        <v>576</v>
      </c>
      <c r="G39" s="69">
        <v>6.4903680000000001</v>
      </c>
      <c r="H39" s="69">
        <v>3.7762560000000001</v>
      </c>
      <c r="I39" s="71">
        <f t="shared" si="0"/>
        <v>0.41817536386226484</v>
      </c>
      <c r="L39" s="4"/>
      <c r="S39" s="1"/>
      <c r="T39" s="1"/>
      <c r="U39" s="1"/>
    </row>
    <row r="40" spans="2:21" x14ac:dyDescent="0.25">
      <c r="B40" s="68">
        <v>2</v>
      </c>
      <c r="C40" s="68">
        <v>4096</v>
      </c>
      <c r="D40" s="68">
        <v>8</v>
      </c>
      <c r="E40" s="68">
        <v>1</v>
      </c>
      <c r="F40" s="68">
        <v>576</v>
      </c>
      <c r="G40" s="69">
        <v>7.1679360000000001</v>
      </c>
      <c r="H40" s="69">
        <v>4.3834239999999998</v>
      </c>
      <c r="I40" s="71">
        <f t="shared" si="0"/>
        <v>0.38846775417637663</v>
      </c>
      <c r="L40" s="4"/>
      <c r="S40" s="1"/>
      <c r="T40" s="1"/>
      <c r="U40" s="1"/>
    </row>
    <row r="41" spans="2:21" x14ac:dyDescent="0.25">
      <c r="B41" s="68">
        <v>4</v>
      </c>
      <c r="C41" s="68">
        <v>4096</v>
      </c>
      <c r="D41" s="68">
        <v>8</v>
      </c>
      <c r="E41" s="68">
        <v>1</v>
      </c>
      <c r="F41" s="68">
        <v>576</v>
      </c>
      <c r="G41" s="69">
        <v>14.027072</v>
      </c>
      <c r="H41" s="69">
        <v>8.5540489999999991</v>
      </c>
      <c r="I41" s="71">
        <f t="shared" si="0"/>
        <v>0.39017572591058214</v>
      </c>
      <c r="L41" s="4"/>
      <c r="T41" s="1"/>
      <c r="U41" s="1"/>
    </row>
    <row r="42" spans="2:21" x14ac:dyDescent="0.25">
      <c r="B42" s="68">
        <v>8</v>
      </c>
      <c r="C42" s="68">
        <v>4096</v>
      </c>
      <c r="D42" s="68">
        <v>8</v>
      </c>
      <c r="E42" s="68">
        <v>1</v>
      </c>
      <c r="F42" s="68">
        <v>576</v>
      </c>
      <c r="G42" s="69">
        <v>27.654526000000001</v>
      </c>
      <c r="H42" s="69">
        <v>16.753729</v>
      </c>
      <c r="I42" s="71">
        <f t="shared" si="0"/>
        <v>0.39417768360954736</v>
      </c>
      <c r="L42" s="4"/>
      <c r="T42" s="1"/>
      <c r="U42" s="1"/>
    </row>
    <row r="43" spans="2:21" x14ac:dyDescent="0.25">
      <c r="B43" s="68">
        <v>16</v>
      </c>
      <c r="C43" s="68">
        <v>4096</v>
      </c>
      <c r="D43" s="68">
        <v>8</v>
      </c>
      <c r="E43" s="68">
        <v>1</v>
      </c>
      <c r="F43" s="68">
        <v>576</v>
      </c>
      <c r="G43" s="69">
        <v>46.704577999999998</v>
      </c>
      <c r="H43" s="69">
        <v>32.230404</v>
      </c>
      <c r="I43" s="71">
        <f t="shared" si="0"/>
        <v>0.30990910569837499</v>
      </c>
      <c r="L43" s="4"/>
      <c r="T43" s="1"/>
      <c r="U43" s="1"/>
    </row>
    <row r="44" spans="2:21" x14ac:dyDescent="0.25">
      <c r="B44" s="68">
        <v>32</v>
      </c>
      <c r="C44" s="68">
        <v>4096</v>
      </c>
      <c r="D44" s="68">
        <v>8</v>
      </c>
      <c r="E44" s="68">
        <v>1</v>
      </c>
      <c r="F44" s="68">
        <v>576</v>
      </c>
      <c r="G44" s="69">
        <v>93.344070000000002</v>
      </c>
      <c r="H44" s="69">
        <v>63.743873999999998</v>
      </c>
      <c r="I44" s="71">
        <f t="shared" si="0"/>
        <v>0.31710847834254496</v>
      </c>
      <c r="L44" s="4"/>
      <c r="T44" s="1"/>
      <c r="U44" s="1"/>
    </row>
    <row r="45" spans="2:21" x14ac:dyDescent="0.25">
      <c r="B45" s="68">
        <v>1</v>
      </c>
      <c r="C45" s="68">
        <v>8192</v>
      </c>
      <c r="D45" s="68">
        <v>8</v>
      </c>
      <c r="E45" s="68">
        <v>1</v>
      </c>
      <c r="F45" s="68">
        <v>576</v>
      </c>
      <c r="G45" s="69">
        <v>24.459838999999999</v>
      </c>
      <c r="H45" s="69">
        <v>15.903999000000001</v>
      </c>
      <c r="I45" s="71">
        <f t="shared" si="0"/>
        <v>0.34979134572390269</v>
      </c>
      <c r="L45" s="4"/>
      <c r="T45" s="1"/>
    </row>
    <row r="46" spans="2:21" x14ac:dyDescent="0.25">
      <c r="B46" s="68">
        <v>2</v>
      </c>
      <c r="C46" s="68">
        <v>8192</v>
      </c>
      <c r="D46" s="68">
        <v>8</v>
      </c>
      <c r="E46" s="68">
        <v>1</v>
      </c>
      <c r="F46" s="68">
        <v>576</v>
      </c>
      <c r="G46" s="69">
        <v>25.245121000000001</v>
      </c>
      <c r="H46" s="69">
        <v>18.789375</v>
      </c>
      <c r="I46" s="71">
        <f t="shared" si="0"/>
        <v>0.2557225215913998</v>
      </c>
      <c r="L46" s="4"/>
      <c r="T46" s="1"/>
    </row>
    <row r="47" spans="2:21" x14ac:dyDescent="0.25">
      <c r="B47" s="68">
        <v>4</v>
      </c>
      <c r="C47" s="68">
        <v>8192</v>
      </c>
      <c r="D47" s="68">
        <v>8</v>
      </c>
      <c r="E47" s="68">
        <v>1</v>
      </c>
      <c r="F47" s="68">
        <v>576</v>
      </c>
      <c r="G47" s="69">
        <v>49.901057999999999</v>
      </c>
      <c r="H47" s="69">
        <v>37.832000999999998</v>
      </c>
      <c r="I47" s="71">
        <f t="shared" si="0"/>
        <v>0.24185974173132765</v>
      </c>
      <c r="L47" s="4"/>
      <c r="T47" s="1"/>
    </row>
    <row r="48" spans="2:21" x14ac:dyDescent="0.25">
      <c r="B48" s="68">
        <v>8</v>
      </c>
      <c r="C48" s="68">
        <v>8192</v>
      </c>
      <c r="D48" s="68">
        <v>8</v>
      </c>
      <c r="E48" s="68">
        <v>1</v>
      </c>
      <c r="F48" s="68">
        <v>576</v>
      </c>
      <c r="G48" s="69">
        <v>99.308670000000006</v>
      </c>
      <c r="H48" s="69">
        <v>75.808205000000001</v>
      </c>
      <c r="I48" s="71">
        <f t="shared" si="0"/>
        <v>0.23664061758152641</v>
      </c>
      <c r="L48" s="4"/>
      <c r="T48" s="1"/>
    </row>
    <row r="49" spans="2:20" x14ac:dyDescent="0.25">
      <c r="B49" s="68">
        <v>16</v>
      </c>
      <c r="C49" s="68">
        <v>8192</v>
      </c>
      <c r="D49" s="68">
        <v>8</v>
      </c>
      <c r="E49" s="68">
        <v>1</v>
      </c>
      <c r="F49" s="68">
        <v>576</v>
      </c>
      <c r="G49" s="69">
        <v>164.18853799999999</v>
      </c>
      <c r="H49" s="69">
        <v>109.833923</v>
      </c>
      <c r="I49" s="71">
        <f t="shared" si="0"/>
        <v>0.33104999692487669</v>
      </c>
      <c r="L49" s="4"/>
      <c r="T49" s="1"/>
    </row>
    <row r="50" spans="2:20" x14ac:dyDescent="0.25">
      <c r="B50" s="68">
        <v>32</v>
      </c>
      <c r="C50" s="68">
        <v>8192</v>
      </c>
      <c r="D50" s="68">
        <v>8</v>
      </c>
      <c r="E50" s="68">
        <v>1</v>
      </c>
      <c r="F50" s="68">
        <v>576</v>
      </c>
      <c r="G50" s="69"/>
      <c r="H50" s="69"/>
      <c r="I50" s="65"/>
      <c r="L50" s="4"/>
    </row>
    <row r="51" spans="2:20" x14ac:dyDescent="0.25">
      <c r="B51" s="68"/>
      <c r="C51" s="68"/>
      <c r="D51" s="68"/>
      <c r="E51" s="68"/>
      <c r="F51" s="68"/>
      <c r="G51" s="69"/>
      <c r="H51" s="69"/>
      <c r="I51" s="65"/>
      <c r="L51" s="4"/>
    </row>
    <row r="52" spans="2:20" x14ac:dyDescent="0.25">
      <c r="B52" s="68"/>
      <c r="C52" s="68"/>
      <c r="D52" s="68"/>
      <c r="E52" s="68"/>
      <c r="F52" s="68"/>
      <c r="G52" s="69"/>
      <c r="H52" s="69"/>
      <c r="I52" s="65"/>
      <c r="L52" s="4"/>
    </row>
    <row r="53" spans="2:20" x14ac:dyDescent="0.25">
      <c r="B53" s="68"/>
      <c r="C53" s="68"/>
      <c r="D53" s="68"/>
      <c r="E53" s="68"/>
      <c r="F53" s="68"/>
      <c r="G53" s="69"/>
      <c r="H53" s="69"/>
      <c r="I53" s="65"/>
      <c r="L53" s="4"/>
    </row>
    <row r="54" spans="2:20" x14ac:dyDescent="0.25">
      <c r="B54" s="68"/>
      <c r="C54" s="68"/>
      <c r="D54" s="68"/>
      <c r="E54" s="68"/>
      <c r="F54" s="68"/>
      <c r="G54" s="69"/>
      <c r="H54" s="69"/>
      <c r="I54" s="65"/>
      <c r="L54" s="4"/>
    </row>
    <row r="55" spans="2:20" x14ac:dyDescent="0.25">
      <c r="B55" s="68"/>
      <c r="C55" s="68"/>
      <c r="D55" s="68"/>
      <c r="E55" s="68"/>
      <c r="F55" s="68"/>
      <c r="G55" s="69"/>
      <c r="H55" s="69"/>
      <c r="I55" s="65"/>
      <c r="L55" s="4"/>
    </row>
    <row r="56" spans="2:20" x14ac:dyDescent="0.25">
      <c r="B56" s="68"/>
      <c r="C56" s="68"/>
      <c r="D56" s="68"/>
      <c r="E56" s="68"/>
      <c r="F56" s="68"/>
      <c r="G56" s="69"/>
      <c r="H56" s="69"/>
      <c r="I56" s="65"/>
      <c r="L56" s="4"/>
    </row>
    <row r="57" spans="2:20" x14ac:dyDescent="0.25">
      <c r="B57" s="68"/>
      <c r="C57" s="68"/>
      <c r="D57" s="68"/>
      <c r="E57" s="68"/>
      <c r="F57" s="68"/>
      <c r="G57" s="69"/>
      <c r="H57" s="69"/>
      <c r="I57" s="65"/>
    </row>
    <row r="58" spans="2:20" x14ac:dyDescent="0.25">
      <c r="B58" s="68"/>
      <c r="C58" s="68"/>
      <c r="D58" s="68"/>
      <c r="E58" s="68"/>
      <c r="F58" s="68"/>
      <c r="G58" s="69"/>
      <c r="H58" s="69"/>
      <c r="I58" s="65"/>
    </row>
    <row r="59" spans="2:20" x14ac:dyDescent="0.25">
      <c r="B59" s="68"/>
      <c r="C59" s="68"/>
      <c r="D59" s="68"/>
      <c r="E59" s="68"/>
      <c r="F59" s="68"/>
      <c r="G59" s="69"/>
      <c r="H59" s="69"/>
      <c r="I59" s="65"/>
    </row>
    <row r="60" spans="2:20" x14ac:dyDescent="0.25">
      <c r="B60" s="68"/>
      <c r="C60" s="68"/>
      <c r="D60" s="68"/>
      <c r="E60" s="68"/>
      <c r="F60" s="68"/>
      <c r="G60" s="69"/>
      <c r="H60" s="69"/>
      <c r="I60" s="65"/>
    </row>
    <row r="61" spans="2:20" x14ac:dyDescent="0.25">
      <c r="B61" s="68"/>
      <c r="C61" s="68"/>
      <c r="D61" s="68"/>
      <c r="E61" s="68"/>
      <c r="F61" s="68"/>
      <c r="G61" s="69"/>
      <c r="H61" s="69"/>
      <c r="I61" s="65"/>
    </row>
    <row r="62" spans="2:20" x14ac:dyDescent="0.25">
      <c r="B62" s="68"/>
      <c r="C62" s="68"/>
      <c r="D62" s="68"/>
      <c r="E62" s="68"/>
      <c r="F62" s="68"/>
      <c r="G62" s="69"/>
      <c r="H62" s="69"/>
      <c r="I62" s="65"/>
    </row>
    <row r="63" spans="2:20" x14ac:dyDescent="0.25">
      <c r="B63" s="68"/>
      <c r="C63" s="68"/>
      <c r="D63" s="68"/>
      <c r="E63" s="68"/>
      <c r="F63" s="68"/>
      <c r="G63" s="69"/>
      <c r="H63" s="69"/>
      <c r="I63" s="65"/>
    </row>
    <row r="64" spans="2:20" x14ac:dyDescent="0.25">
      <c r="B64" s="68"/>
      <c r="C64" s="68"/>
      <c r="D64" s="68"/>
      <c r="E64" s="68"/>
      <c r="F64" s="68"/>
      <c r="G64" s="69"/>
      <c r="H64" s="69"/>
      <c r="I64" s="65"/>
    </row>
    <row r="65" spans="2:9" x14ac:dyDescent="0.25">
      <c r="B65" s="68"/>
      <c r="C65" s="68"/>
      <c r="D65" s="68"/>
      <c r="E65" s="68"/>
      <c r="F65" s="68"/>
      <c r="G65" s="69"/>
      <c r="H65" s="69"/>
      <c r="I65" s="65"/>
    </row>
    <row r="66" spans="2:9" x14ac:dyDescent="0.25">
      <c r="B66" s="68"/>
      <c r="C66" s="68"/>
      <c r="D66" s="68"/>
      <c r="E66" s="68"/>
      <c r="F66" s="68"/>
      <c r="G66" s="69"/>
      <c r="H66" s="69"/>
      <c r="I66" s="65"/>
    </row>
    <row r="67" spans="2:9" x14ac:dyDescent="0.25">
      <c r="B67" s="65"/>
      <c r="C67" s="66"/>
      <c r="D67" s="65"/>
      <c r="E67" s="65"/>
      <c r="F67" s="65"/>
      <c r="G67" s="69"/>
      <c r="H67" s="69"/>
      <c r="I67" s="65"/>
    </row>
    <row r="68" spans="2:9" x14ac:dyDescent="0.25">
      <c r="B68" s="65"/>
      <c r="C68" s="66"/>
      <c r="D68" s="65"/>
      <c r="E68" s="65"/>
      <c r="F68" s="65"/>
      <c r="G68" s="69"/>
      <c r="H68" s="69"/>
      <c r="I68" s="65"/>
    </row>
    <row r="69" spans="2:9" x14ac:dyDescent="0.25">
      <c r="B69" s="65"/>
      <c r="C69" s="66"/>
      <c r="D69" s="65"/>
      <c r="E69" s="65"/>
      <c r="F69" s="65"/>
      <c r="G69" s="69"/>
      <c r="H69" s="69"/>
      <c r="I69" s="65"/>
    </row>
    <row r="70" spans="2:9" x14ac:dyDescent="0.25">
      <c r="B70" s="65"/>
      <c r="C70" s="66"/>
      <c r="D70" s="65"/>
      <c r="E70" s="65"/>
      <c r="F70" s="65"/>
      <c r="G70" s="69"/>
      <c r="H70" s="69"/>
      <c r="I70" s="65"/>
    </row>
    <row r="71" spans="2:9" x14ac:dyDescent="0.25">
      <c r="B71" s="65"/>
      <c r="C71" s="66"/>
      <c r="D71" s="65"/>
      <c r="E71" s="65"/>
      <c r="F71" s="65"/>
      <c r="G71" s="69"/>
      <c r="H71" s="69"/>
      <c r="I71" s="65"/>
    </row>
    <row r="72" spans="2:9" x14ac:dyDescent="0.25">
      <c r="B72" s="65"/>
      <c r="C72" s="66"/>
      <c r="D72" s="65"/>
      <c r="E72" s="65"/>
      <c r="F72" s="65"/>
      <c r="G72" s="69"/>
      <c r="H72" s="69"/>
      <c r="I72" s="65"/>
    </row>
    <row r="73" spans="2:9" x14ac:dyDescent="0.25">
      <c r="B73" s="65"/>
      <c r="C73" s="66"/>
      <c r="D73" s="65"/>
      <c r="E73" s="65"/>
      <c r="F73" s="65"/>
      <c r="G73" s="69"/>
      <c r="H73" s="69"/>
      <c r="I73" s="65"/>
    </row>
    <row r="74" spans="2:9" x14ac:dyDescent="0.25">
      <c r="B74" s="65"/>
      <c r="C74" s="66"/>
      <c r="D74" s="65"/>
      <c r="E74" s="65"/>
      <c r="F74" s="65"/>
      <c r="G74" s="69"/>
      <c r="H74" s="69"/>
      <c r="I74" s="65"/>
    </row>
    <row r="75" spans="2:9" x14ac:dyDescent="0.25">
      <c r="B75" s="65"/>
      <c r="C75" s="66"/>
      <c r="D75" s="65"/>
      <c r="E75" s="65"/>
      <c r="F75" s="65"/>
      <c r="G75" s="69"/>
      <c r="H75" s="69"/>
      <c r="I75" s="65"/>
    </row>
    <row r="76" spans="2:9" x14ac:dyDescent="0.25">
      <c r="B76" s="65"/>
      <c r="C76" s="66"/>
      <c r="D76" s="65"/>
      <c r="E76" s="65"/>
      <c r="F76" s="65"/>
      <c r="G76" s="69"/>
      <c r="H76" s="69"/>
      <c r="I76" s="65"/>
    </row>
    <row r="77" spans="2:9" x14ac:dyDescent="0.25">
      <c r="B77" s="65"/>
      <c r="C77" s="66"/>
      <c r="D77" s="65"/>
      <c r="E77" s="65"/>
      <c r="F77" s="65"/>
      <c r="G77" s="69"/>
      <c r="H77" s="69"/>
      <c r="I77" s="65"/>
    </row>
    <row r="78" spans="2:9" x14ac:dyDescent="0.25">
      <c r="B78" s="65"/>
      <c r="C78" s="66"/>
      <c r="D78" s="65"/>
      <c r="E78" s="65"/>
      <c r="F78" s="65"/>
      <c r="G78" s="69"/>
      <c r="H78" s="69"/>
      <c r="I78" s="65"/>
    </row>
    <row r="79" spans="2:9" x14ac:dyDescent="0.25">
      <c r="B79" s="65"/>
      <c r="C79" s="66"/>
      <c r="D79" s="65"/>
      <c r="E79" s="65"/>
      <c r="F79" s="65"/>
      <c r="G79" s="69"/>
      <c r="H79" s="69"/>
      <c r="I79" s="65"/>
    </row>
    <row r="80" spans="2:9" x14ac:dyDescent="0.25">
      <c r="B80" s="65"/>
      <c r="C80" s="66"/>
      <c r="D80" s="65"/>
      <c r="E80" s="65"/>
      <c r="F80" s="65"/>
      <c r="G80" s="69"/>
      <c r="H80" s="69"/>
      <c r="I80" s="65"/>
    </row>
    <row r="81" spans="2:9" x14ac:dyDescent="0.25">
      <c r="B81" s="65"/>
      <c r="C81" s="66"/>
      <c r="D81" s="65"/>
      <c r="E81" s="65"/>
      <c r="F81" s="65"/>
      <c r="G81" s="69"/>
      <c r="H81" s="69"/>
      <c r="I81" s="65"/>
    </row>
    <row r="82" spans="2:9" x14ac:dyDescent="0.25">
      <c r="B82" s="65"/>
      <c r="C82" s="66"/>
      <c r="D82" s="65"/>
      <c r="E82" s="65"/>
      <c r="F82" s="65"/>
      <c r="G82" s="69"/>
      <c r="H82" s="69"/>
      <c r="I82" s="65"/>
    </row>
    <row r="83" spans="2:9" x14ac:dyDescent="0.25">
      <c r="B83" s="65"/>
      <c r="C83" s="66"/>
      <c r="D83" s="65"/>
      <c r="E83" s="65"/>
      <c r="F83" s="65"/>
      <c r="G83" s="69"/>
      <c r="H83" s="69"/>
      <c r="I83" s="65"/>
    </row>
    <row r="84" spans="2:9" x14ac:dyDescent="0.25">
      <c r="B84" s="65"/>
      <c r="C84" s="66"/>
      <c r="D84" s="65"/>
      <c r="E84" s="65"/>
      <c r="F84" s="65"/>
      <c r="G84" s="69"/>
      <c r="H84" s="69"/>
      <c r="I84" s="65"/>
    </row>
    <row r="85" spans="2:9" x14ac:dyDescent="0.25">
      <c r="B85" s="65"/>
      <c r="C85" s="66"/>
      <c r="D85" s="65"/>
      <c r="E85" s="65"/>
      <c r="F85" s="65"/>
      <c r="G85" s="69"/>
      <c r="H85" s="69"/>
      <c r="I85" s="65"/>
    </row>
    <row r="86" spans="2:9" x14ac:dyDescent="0.25">
      <c r="B86" s="65"/>
      <c r="C86" s="66"/>
      <c r="D86" s="65"/>
      <c r="E86" s="65"/>
      <c r="F86" s="65"/>
      <c r="G86" s="69"/>
      <c r="H86" s="69"/>
      <c r="I86" s="65"/>
    </row>
    <row r="87" spans="2:9" x14ac:dyDescent="0.25">
      <c r="B87" s="65"/>
      <c r="C87" s="66"/>
      <c r="D87" s="65"/>
      <c r="E87" s="65"/>
      <c r="F87" s="65"/>
      <c r="G87" s="69"/>
      <c r="H87" s="69"/>
      <c r="I87" s="65"/>
    </row>
    <row r="88" spans="2:9" x14ac:dyDescent="0.25">
      <c r="B88" s="65"/>
      <c r="C88" s="66"/>
      <c r="D88" s="65"/>
      <c r="E88" s="65"/>
      <c r="F88" s="65"/>
      <c r="G88" s="69"/>
      <c r="H88" s="69"/>
      <c r="I88" s="65"/>
    </row>
    <row r="89" spans="2:9" x14ac:dyDescent="0.25">
      <c r="B89" s="65"/>
      <c r="C89" s="66"/>
      <c r="D89" s="65"/>
      <c r="E89" s="65"/>
      <c r="F89" s="65"/>
      <c r="G89" s="69"/>
      <c r="H89" s="69"/>
      <c r="I89" s="65"/>
    </row>
  </sheetData>
  <sortState ref="B3:I89">
    <sortCondition ref="C3:C89"/>
  </sortState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D23"/>
  <sheetViews>
    <sheetView topLeftCell="D7" workbookViewId="0">
      <selection activeCell="U23" sqref="U23"/>
    </sheetView>
  </sheetViews>
  <sheetFormatPr defaultRowHeight="13.8" x14ac:dyDescent="0.25"/>
  <cols>
    <col min="7" max="7" width="6.33203125" customWidth="1"/>
    <col min="8" max="8" width="7.44140625" customWidth="1"/>
  </cols>
  <sheetData>
    <row r="1" spans="3:30" x14ac:dyDescent="0.25">
      <c r="C1" t="s">
        <v>25</v>
      </c>
      <c r="D1" s="3">
        <v>0.20833333333333334</v>
      </c>
      <c r="E1" t="s">
        <v>26</v>
      </c>
      <c r="F1" t="s">
        <v>27</v>
      </c>
      <c r="G1" t="s">
        <v>28</v>
      </c>
      <c r="H1" t="s">
        <v>29</v>
      </c>
      <c r="I1">
        <v>9.4528000000000001E-2</v>
      </c>
      <c r="J1" t="s">
        <v>30</v>
      </c>
      <c r="M1" t="s">
        <v>25</v>
      </c>
      <c r="N1" s="3">
        <v>0.20833333333333334</v>
      </c>
      <c r="O1" t="s">
        <v>26</v>
      </c>
      <c r="P1" t="s">
        <v>27</v>
      </c>
      <c r="Q1" t="s">
        <v>28</v>
      </c>
      <c r="R1" t="s">
        <v>29</v>
      </c>
      <c r="S1">
        <v>0.103149</v>
      </c>
      <c r="T1" t="s">
        <v>30</v>
      </c>
      <c r="W1" t="s">
        <v>25</v>
      </c>
      <c r="X1" s="3">
        <v>0.20833333333333334</v>
      </c>
      <c r="Y1" t="s">
        <v>26</v>
      </c>
      <c r="Z1" t="s">
        <v>27</v>
      </c>
      <c r="AA1" t="s">
        <v>28</v>
      </c>
      <c r="AB1" t="s">
        <v>29</v>
      </c>
      <c r="AC1">
        <v>0.19647400000000001</v>
      </c>
      <c r="AD1" t="s">
        <v>30</v>
      </c>
    </row>
    <row r="2" spans="3:30" x14ac:dyDescent="0.25">
      <c r="C2" t="s">
        <v>25</v>
      </c>
      <c r="D2" s="3">
        <v>0.79166666666666663</v>
      </c>
      <c r="E2" t="s">
        <v>26</v>
      </c>
      <c r="F2" t="s">
        <v>27</v>
      </c>
      <c r="G2" t="s">
        <v>28</v>
      </c>
      <c r="H2" t="s">
        <v>29</v>
      </c>
      <c r="I2">
        <v>0.15290200000000001</v>
      </c>
      <c r="J2" t="s">
        <v>30</v>
      </c>
      <c r="M2" t="s">
        <v>25</v>
      </c>
      <c r="N2" s="3">
        <v>0.79166666666666663</v>
      </c>
      <c r="O2" t="s">
        <v>26</v>
      </c>
      <c r="P2" t="s">
        <v>27</v>
      </c>
      <c r="Q2" t="s">
        <v>28</v>
      </c>
      <c r="R2" t="s">
        <v>29</v>
      </c>
      <c r="S2">
        <v>0.161408</v>
      </c>
      <c r="T2" t="s">
        <v>30</v>
      </c>
      <c r="W2" t="s">
        <v>25</v>
      </c>
      <c r="X2" s="3">
        <v>0.79166666666666663</v>
      </c>
      <c r="Y2" t="s">
        <v>26</v>
      </c>
      <c r="Z2" t="s">
        <v>27</v>
      </c>
      <c r="AA2" t="s">
        <v>28</v>
      </c>
      <c r="AB2" t="s">
        <v>29</v>
      </c>
      <c r="AC2">
        <v>0.33032299999999998</v>
      </c>
      <c r="AD2" t="s">
        <v>30</v>
      </c>
    </row>
    <row r="3" spans="3:30" x14ac:dyDescent="0.25">
      <c r="C3" t="s">
        <v>25</v>
      </c>
      <c r="D3" s="1">
        <v>1.375</v>
      </c>
      <c r="E3" t="s">
        <v>26</v>
      </c>
      <c r="F3" t="s">
        <v>27</v>
      </c>
      <c r="G3" t="s">
        <v>28</v>
      </c>
      <c r="H3" t="s">
        <v>29</v>
      </c>
      <c r="I3">
        <v>0.260403</v>
      </c>
      <c r="J3" t="s">
        <v>30</v>
      </c>
      <c r="M3" t="s">
        <v>25</v>
      </c>
      <c r="N3" s="1">
        <v>1.375</v>
      </c>
      <c r="O3" t="s">
        <v>26</v>
      </c>
      <c r="P3" t="s">
        <v>27</v>
      </c>
      <c r="Q3" t="s">
        <v>28</v>
      </c>
      <c r="R3" t="s">
        <v>29</v>
      </c>
      <c r="S3">
        <v>0.27957799999999999</v>
      </c>
      <c r="T3" t="s">
        <v>30</v>
      </c>
      <c r="W3" t="s">
        <v>25</v>
      </c>
      <c r="X3" s="1">
        <v>1.375</v>
      </c>
      <c r="Y3" t="s">
        <v>26</v>
      </c>
      <c r="Z3" t="s">
        <v>27</v>
      </c>
      <c r="AA3" t="s">
        <v>28</v>
      </c>
      <c r="AB3" t="s">
        <v>29</v>
      </c>
      <c r="AC3">
        <v>0.51555799999999996</v>
      </c>
      <c r="AD3" t="s">
        <v>30</v>
      </c>
    </row>
    <row r="4" spans="3:30" x14ac:dyDescent="0.25">
      <c r="C4" t="s">
        <v>25</v>
      </c>
      <c r="D4" s="1">
        <v>1.9583333333333333</v>
      </c>
      <c r="E4" t="s">
        <v>26</v>
      </c>
      <c r="F4" t="s">
        <v>27</v>
      </c>
      <c r="G4" t="s">
        <v>28</v>
      </c>
      <c r="H4" t="s">
        <v>29</v>
      </c>
      <c r="I4">
        <v>0.47343400000000002</v>
      </c>
      <c r="J4" t="s">
        <v>30</v>
      </c>
      <c r="M4" t="s">
        <v>25</v>
      </c>
      <c r="N4" s="1">
        <v>1.9583333333333333</v>
      </c>
      <c r="O4" t="s">
        <v>26</v>
      </c>
      <c r="P4" t="s">
        <v>27</v>
      </c>
      <c r="Q4" t="s">
        <v>28</v>
      </c>
      <c r="R4" t="s">
        <v>29</v>
      </c>
      <c r="S4">
        <v>0.51617299999999999</v>
      </c>
      <c r="T4" t="s">
        <v>30</v>
      </c>
      <c r="W4" t="s">
        <v>25</v>
      </c>
      <c r="X4" s="1">
        <v>1.9583333333333333</v>
      </c>
      <c r="Y4" t="s">
        <v>26</v>
      </c>
      <c r="Z4" t="s">
        <v>27</v>
      </c>
      <c r="AA4" t="s">
        <v>28</v>
      </c>
      <c r="AB4" t="s">
        <v>29</v>
      </c>
      <c r="AC4">
        <v>1.015366</v>
      </c>
      <c r="AD4" t="s">
        <v>30</v>
      </c>
    </row>
    <row r="5" spans="3:30" x14ac:dyDescent="0.25">
      <c r="C5" t="s">
        <v>25</v>
      </c>
      <c r="D5" s="1">
        <v>2.5416666666666665</v>
      </c>
      <c r="E5" t="s">
        <v>26</v>
      </c>
      <c r="F5" t="s">
        <v>27</v>
      </c>
      <c r="G5" t="s">
        <v>28</v>
      </c>
      <c r="H5" t="s">
        <v>29</v>
      </c>
      <c r="I5">
        <v>0.90295000000000003</v>
      </c>
      <c r="J5" t="s">
        <v>30</v>
      </c>
      <c r="M5" t="s">
        <v>25</v>
      </c>
      <c r="N5" s="1">
        <v>2.5416666666666665</v>
      </c>
      <c r="O5" t="s">
        <v>26</v>
      </c>
      <c r="P5" t="s">
        <v>27</v>
      </c>
      <c r="Q5" t="s">
        <v>28</v>
      </c>
      <c r="R5" t="s">
        <v>29</v>
      </c>
      <c r="S5">
        <v>0.96922200000000003</v>
      </c>
      <c r="T5" t="s">
        <v>30</v>
      </c>
      <c r="W5" t="s">
        <v>25</v>
      </c>
      <c r="X5" s="1">
        <v>2.5416666666666665</v>
      </c>
      <c r="Y5" t="s">
        <v>26</v>
      </c>
      <c r="Z5" t="s">
        <v>27</v>
      </c>
      <c r="AA5" t="s">
        <v>28</v>
      </c>
      <c r="AB5" t="s">
        <v>29</v>
      </c>
      <c r="AC5">
        <v>1.940237</v>
      </c>
      <c r="AD5" t="s">
        <v>30</v>
      </c>
    </row>
    <row r="6" spans="3:30" x14ac:dyDescent="0.25">
      <c r="C6" t="s">
        <v>25</v>
      </c>
      <c r="D6" s="1">
        <v>3.125</v>
      </c>
      <c r="E6" t="s">
        <v>26</v>
      </c>
      <c r="F6" t="s">
        <v>27</v>
      </c>
      <c r="G6" t="s">
        <v>28</v>
      </c>
      <c r="H6" t="s">
        <v>29</v>
      </c>
      <c r="I6">
        <v>0.10635500000000001</v>
      </c>
      <c r="J6" t="s">
        <v>30</v>
      </c>
      <c r="M6" t="s">
        <v>25</v>
      </c>
      <c r="N6" s="1">
        <v>3.125</v>
      </c>
      <c r="O6" t="s">
        <v>26</v>
      </c>
      <c r="P6" t="s">
        <v>27</v>
      </c>
      <c r="Q6" t="s">
        <v>28</v>
      </c>
      <c r="R6" t="s">
        <v>29</v>
      </c>
      <c r="S6">
        <v>0.109165</v>
      </c>
      <c r="T6" t="s">
        <v>30</v>
      </c>
      <c r="W6" t="s">
        <v>25</v>
      </c>
      <c r="X6" s="1">
        <v>3.125</v>
      </c>
      <c r="Y6" t="s">
        <v>26</v>
      </c>
      <c r="Z6" t="s">
        <v>27</v>
      </c>
      <c r="AA6" t="s">
        <v>28</v>
      </c>
      <c r="AB6" t="s">
        <v>29</v>
      </c>
      <c r="AC6">
        <v>0.16892799999999999</v>
      </c>
      <c r="AD6" t="s">
        <v>30</v>
      </c>
    </row>
    <row r="7" spans="3:30" x14ac:dyDescent="0.25">
      <c r="C7" t="s">
        <v>25</v>
      </c>
      <c r="D7" s="1">
        <v>3.7083333333333335</v>
      </c>
      <c r="E7" t="s">
        <v>26</v>
      </c>
      <c r="F7" t="s">
        <v>27</v>
      </c>
      <c r="G7" t="s">
        <v>28</v>
      </c>
      <c r="H7" t="s">
        <v>29</v>
      </c>
      <c r="I7">
        <v>0.17427200000000001</v>
      </c>
      <c r="J7" t="s">
        <v>30</v>
      </c>
      <c r="M7" t="s">
        <v>25</v>
      </c>
      <c r="N7" s="1">
        <v>3.7083333333333335</v>
      </c>
      <c r="O7" t="s">
        <v>26</v>
      </c>
      <c r="P7" t="s">
        <v>27</v>
      </c>
      <c r="Q7" t="s">
        <v>28</v>
      </c>
      <c r="R7" t="s">
        <v>29</v>
      </c>
      <c r="S7">
        <v>0.176563</v>
      </c>
      <c r="T7" t="s">
        <v>30</v>
      </c>
      <c r="W7" t="s">
        <v>25</v>
      </c>
      <c r="X7" s="1">
        <v>3.7083333333333335</v>
      </c>
      <c r="Y7" t="s">
        <v>26</v>
      </c>
      <c r="Z7" t="s">
        <v>27</v>
      </c>
      <c r="AA7" t="s">
        <v>28</v>
      </c>
      <c r="AB7" t="s">
        <v>29</v>
      </c>
      <c r="AC7">
        <v>0.31383</v>
      </c>
      <c r="AD7" t="s">
        <v>30</v>
      </c>
    </row>
    <row r="8" spans="3:30" x14ac:dyDescent="0.25">
      <c r="C8" t="s">
        <v>25</v>
      </c>
      <c r="D8" s="1">
        <v>4.291666666666667</v>
      </c>
      <c r="E8" t="s">
        <v>26</v>
      </c>
      <c r="F8" t="s">
        <v>27</v>
      </c>
      <c r="G8" t="s">
        <v>28</v>
      </c>
      <c r="H8" t="s">
        <v>29</v>
      </c>
      <c r="I8">
        <v>0.30962600000000001</v>
      </c>
      <c r="J8" t="s">
        <v>30</v>
      </c>
      <c r="M8" t="s">
        <v>25</v>
      </c>
      <c r="N8" s="1">
        <v>4.291666666666667</v>
      </c>
      <c r="O8" t="s">
        <v>26</v>
      </c>
      <c r="P8" t="s">
        <v>27</v>
      </c>
      <c r="Q8" t="s">
        <v>28</v>
      </c>
      <c r="R8" t="s">
        <v>29</v>
      </c>
      <c r="S8">
        <v>0.31317099999999998</v>
      </c>
      <c r="T8" t="s">
        <v>30</v>
      </c>
      <c r="W8" t="s">
        <v>25</v>
      </c>
      <c r="X8" s="1">
        <v>4.291666666666667</v>
      </c>
      <c r="Y8" t="s">
        <v>26</v>
      </c>
      <c r="Z8" t="s">
        <v>27</v>
      </c>
      <c r="AA8" t="s">
        <v>28</v>
      </c>
      <c r="AB8" t="s">
        <v>29</v>
      </c>
      <c r="AC8">
        <v>0.57939799999999997</v>
      </c>
      <c r="AD8" t="s">
        <v>30</v>
      </c>
    </row>
    <row r="9" spans="3:30" x14ac:dyDescent="0.25">
      <c r="C9" t="s">
        <v>25</v>
      </c>
      <c r="D9" s="1">
        <v>4.875</v>
      </c>
      <c r="E9" t="s">
        <v>26</v>
      </c>
      <c r="F9" t="s">
        <v>27</v>
      </c>
      <c r="G9" t="s">
        <v>28</v>
      </c>
      <c r="H9" t="s">
        <v>29</v>
      </c>
      <c r="I9">
        <v>0.56782100000000002</v>
      </c>
      <c r="J9" t="s">
        <v>30</v>
      </c>
      <c r="M9" t="s">
        <v>25</v>
      </c>
      <c r="N9" s="1">
        <v>4.875</v>
      </c>
      <c r="O9" t="s">
        <v>26</v>
      </c>
      <c r="P9" t="s">
        <v>27</v>
      </c>
      <c r="Q9" t="s">
        <v>28</v>
      </c>
      <c r="R9" t="s">
        <v>29</v>
      </c>
      <c r="S9">
        <v>0.585094</v>
      </c>
      <c r="T9" t="s">
        <v>30</v>
      </c>
      <c r="W9" t="s">
        <v>25</v>
      </c>
      <c r="X9" s="1">
        <v>4.875</v>
      </c>
      <c r="Y9" t="s">
        <v>26</v>
      </c>
      <c r="Z9" t="s">
        <v>27</v>
      </c>
      <c r="AA9" t="s">
        <v>28</v>
      </c>
      <c r="AB9" t="s">
        <v>29</v>
      </c>
      <c r="AC9">
        <v>1.0338879999999999</v>
      </c>
      <c r="AD9" t="s">
        <v>30</v>
      </c>
    </row>
    <row r="10" spans="3:30" x14ac:dyDescent="0.25">
      <c r="C10" t="s">
        <v>25</v>
      </c>
      <c r="D10" s="1">
        <v>5.458333333333333</v>
      </c>
      <c r="E10" t="s">
        <v>26</v>
      </c>
      <c r="F10" t="s">
        <v>27</v>
      </c>
      <c r="G10" t="s">
        <v>28</v>
      </c>
      <c r="H10" t="s">
        <v>29</v>
      </c>
      <c r="I10">
        <v>1.0949439999999999</v>
      </c>
      <c r="J10" t="s">
        <v>30</v>
      </c>
      <c r="M10" t="s">
        <v>25</v>
      </c>
      <c r="N10" s="1">
        <v>5.458333333333333</v>
      </c>
      <c r="O10" t="s">
        <v>26</v>
      </c>
      <c r="P10" t="s">
        <v>27</v>
      </c>
      <c r="Q10" t="s">
        <v>28</v>
      </c>
      <c r="R10" t="s">
        <v>29</v>
      </c>
      <c r="S10">
        <v>1.131475</v>
      </c>
      <c r="T10" t="s">
        <v>30</v>
      </c>
      <c r="W10" t="s">
        <v>25</v>
      </c>
      <c r="X10" s="1">
        <v>5.458333333333333</v>
      </c>
      <c r="Y10" t="s">
        <v>26</v>
      </c>
      <c r="Z10" t="s">
        <v>27</v>
      </c>
      <c r="AA10" t="s">
        <v>28</v>
      </c>
      <c r="AB10" t="s">
        <v>29</v>
      </c>
      <c r="AC10">
        <v>2.031911</v>
      </c>
      <c r="AD10" t="s">
        <v>30</v>
      </c>
    </row>
    <row r="17" spans="6:19" x14ac:dyDescent="0.25">
      <c r="F17" t="s">
        <v>269</v>
      </c>
      <c r="G17" t="s">
        <v>270</v>
      </c>
      <c r="M17" t="s">
        <v>278</v>
      </c>
      <c r="Q17" t="s">
        <v>279</v>
      </c>
    </row>
    <row r="18" spans="6:19" x14ac:dyDescent="0.25">
      <c r="F18" t="s">
        <v>266</v>
      </c>
      <c r="G18" t="s">
        <v>267</v>
      </c>
      <c r="H18" t="s">
        <v>268</v>
      </c>
      <c r="I18" t="s">
        <v>264</v>
      </c>
      <c r="J18" t="s">
        <v>265</v>
      </c>
      <c r="M18" t="s">
        <v>9</v>
      </c>
      <c r="N18" t="s">
        <v>264</v>
      </c>
      <c r="O18" t="s">
        <v>265</v>
      </c>
      <c r="Q18" t="s">
        <v>9</v>
      </c>
      <c r="R18" t="s">
        <v>264</v>
      </c>
      <c r="S18" t="s">
        <v>265</v>
      </c>
    </row>
    <row r="19" spans="6:19" x14ac:dyDescent="0.25">
      <c r="F19">
        <v>32</v>
      </c>
      <c r="G19">
        <v>28</v>
      </c>
      <c r="H19">
        <v>4</v>
      </c>
      <c r="I19">
        <v>9.4528000000000001E-2</v>
      </c>
      <c r="J19">
        <v>0.10635500000000001</v>
      </c>
      <c r="M19">
        <v>32</v>
      </c>
      <c r="N19">
        <v>0.103149</v>
      </c>
      <c r="O19">
        <v>0.109165</v>
      </c>
      <c r="Q19">
        <v>32</v>
      </c>
      <c r="R19">
        <v>0.19647400000000001</v>
      </c>
      <c r="S19">
        <v>0.16892799999999999</v>
      </c>
    </row>
    <row r="20" spans="6:19" x14ac:dyDescent="0.25">
      <c r="F20">
        <v>64</v>
      </c>
      <c r="G20">
        <v>28</v>
      </c>
      <c r="H20">
        <v>4</v>
      </c>
      <c r="I20">
        <v>0.15290200000000001</v>
      </c>
      <c r="J20">
        <v>0.17427200000000001</v>
      </c>
      <c r="M20">
        <v>64</v>
      </c>
      <c r="N20">
        <v>0.161408</v>
      </c>
      <c r="O20">
        <v>0.176563</v>
      </c>
      <c r="Q20">
        <v>64</v>
      </c>
      <c r="R20">
        <v>0.33032299999999998</v>
      </c>
      <c r="S20">
        <v>0.31383</v>
      </c>
    </row>
    <row r="21" spans="6:19" x14ac:dyDescent="0.25">
      <c r="F21">
        <v>128</v>
      </c>
      <c r="G21">
        <v>28</v>
      </c>
      <c r="H21">
        <v>4</v>
      </c>
      <c r="I21">
        <v>0.260403</v>
      </c>
      <c r="J21">
        <v>0.30962600000000001</v>
      </c>
      <c r="M21">
        <v>128</v>
      </c>
      <c r="N21">
        <v>0.27957799999999999</v>
      </c>
      <c r="O21">
        <v>0.31317099999999998</v>
      </c>
      <c r="Q21">
        <v>128</v>
      </c>
      <c r="R21">
        <v>0.51555799999999996</v>
      </c>
      <c r="S21">
        <v>0.57939799999999997</v>
      </c>
    </row>
    <row r="22" spans="6:19" x14ac:dyDescent="0.25">
      <c r="F22">
        <v>256</v>
      </c>
      <c r="G22">
        <v>28</v>
      </c>
      <c r="H22">
        <v>4</v>
      </c>
      <c r="I22">
        <v>0.47343400000000002</v>
      </c>
      <c r="J22">
        <v>0.56782100000000002</v>
      </c>
      <c r="M22">
        <v>256</v>
      </c>
      <c r="N22">
        <v>0.51617299999999999</v>
      </c>
      <c r="O22">
        <v>0.585094</v>
      </c>
      <c r="Q22">
        <v>256</v>
      </c>
      <c r="R22">
        <v>1.015366</v>
      </c>
      <c r="S22">
        <v>1.0338879999999999</v>
      </c>
    </row>
    <row r="23" spans="6:19" x14ac:dyDescent="0.25">
      <c r="F23">
        <v>512</v>
      </c>
      <c r="G23">
        <v>28</v>
      </c>
      <c r="H23">
        <v>4</v>
      </c>
      <c r="I23">
        <v>0.90295000000000003</v>
      </c>
      <c r="J23">
        <v>1.0949439999999999</v>
      </c>
      <c r="M23">
        <v>512</v>
      </c>
      <c r="N23">
        <v>0.96922200000000003</v>
      </c>
      <c r="O23">
        <v>1.131475</v>
      </c>
      <c r="Q23">
        <v>512</v>
      </c>
      <c r="R23">
        <v>1.940237</v>
      </c>
      <c r="S23">
        <v>2.031911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3"/>
  <sheetViews>
    <sheetView topLeftCell="K1" workbookViewId="0">
      <selection activeCell="AJ1" sqref="AJ1:AJ1048576"/>
    </sheetView>
  </sheetViews>
  <sheetFormatPr defaultRowHeight="13.8" x14ac:dyDescent="0.25"/>
  <cols>
    <col min="1" max="1" width="12.21875" bestFit="1" customWidth="1"/>
    <col min="2" max="2" width="10.21875" bestFit="1" customWidth="1"/>
    <col min="10" max="10" width="12.21875" bestFit="1" customWidth="1"/>
    <col min="11" max="11" width="12.21875" customWidth="1"/>
    <col min="25" max="25" width="10.21875" bestFit="1" customWidth="1"/>
  </cols>
  <sheetData>
    <row r="1" spans="1:40" x14ac:dyDescent="0.25">
      <c r="B1" t="s">
        <v>0</v>
      </c>
      <c r="C1" t="s">
        <v>1</v>
      </c>
      <c r="D1" t="s">
        <v>4</v>
      </c>
      <c r="E1" t="s">
        <v>2</v>
      </c>
      <c r="F1" t="s">
        <v>3</v>
      </c>
      <c r="G1" s="41" t="s">
        <v>273</v>
      </c>
      <c r="I1" t="s">
        <v>277</v>
      </c>
      <c r="K1" s="41" t="s">
        <v>274</v>
      </c>
      <c r="M1" t="s">
        <v>277</v>
      </c>
      <c r="O1" s="41" t="s">
        <v>275</v>
      </c>
      <c r="Q1" t="s">
        <v>277</v>
      </c>
      <c r="S1" s="41" t="s">
        <v>276</v>
      </c>
      <c r="U1" t="s">
        <v>277</v>
      </c>
      <c r="X1" s="41">
        <v>576</v>
      </c>
      <c r="Y1" t="s">
        <v>0</v>
      </c>
      <c r="Z1" t="s">
        <v>1</v>
      </c>
      <c r="AA1" t="s">
        <v>4</v>
      </c>
      <c r="AB1" t="s">
        <v>2</v>
      </c>
      <c r="AC1" t="s">
        <v>3</v>
      </c>
      <c r="AD1" s="41" t="s">
        <v>273</v>
      </c>
      <c r="AF1" t="s">
        <v>277</v>
      </c>
      <c r="AH1" s="41" t="s">
        <v>275</v>
      </c>
      <c r="AJ1" t="s">
        <v>277</v>
      </c>
      <c r="AN1">
        <v>4.4608000000000002E-2</v>
      </c>
    </row>
    <row r="2" spans="1:40" x14ac:dyDescent="0.25">
      <c r="A2" t="s">
        <v>5</v>
      </c>
      <c r="B2">
        <v>1</v>
      </c>
      <c r="C2">
        <v>128</v>
      </c>
      <c r="D2">
        <v>64</v>
      </c>
      <c r="E2">
        <v>28</v>
      </c>
      <c r="F2">
        <v>4</v>
      </c>
      <c r="H2">
        <v>5.5424000000000001E-2</v>
      </c>
      <c r="I2">
        <v>4.3327999999999998E-2</v>
      </c>
      <c r="J2" s="4">
        <f>I2/H2</f>
        <v>0.7817551963048498</v>
      </c>
      <c r="K2" s="4"/>
      <c r="L2">
        <v>4.5184000000000002E-2</v>
      </c>
      <c r="M2">
        <v>4.3968E-2</v>
      </c>
      <c r="N2" s="4">
        <f>M2/L2</f>
        <v>0.97308781869688377</v>
      </c>
      <c r="P2">
        <v>4.4352000000000003E-2</v>
      </c>
      <c r="Q2">
        <v>4.4608000000000002E-2</v>
      </c>
      <c r="R2" s="4">
        <f>Q2/P2</f>
        <v>1.0057720057720057</v>
      </c>
      <c r="T2">
        <v>4.4672000000000003E-2</v>
      </c>
      <c r="U2">
        <v>4.4608000000000002E-2</v>
      </c>
      <c r="V2" s="4">
        <f>U2/T2</f>
        <v>0.99856733524355301</v>
      </c>
      <c r="Y2">
        <v>1</v>
      </c>
      <c r="Z2">
        <v>576</v>
      </c>
      <c r="AA2">
        <v>64</v>
      </c>
      <c r="AB2">
        <v>28</v>
      </c>
      <c r="AC2">
        <v>4</v>
      </c>
      <c r="AE2">
        <v>7.0527999999999993E-2</v>
      </c>
      <c r="AF2">
        <v>7.4048000000000003E-2</v>
      </c>
      <c r="AG2" s="4">
        <f>AF2/AE2</f>
        <v>1.0499092558983667</v>
      </c>
      <c r="AI2">
        <v>7.0847999999999994E-2</v>
      </c>
      <c r="AJ2">
        <v>7.1615999999999999E-2</v>
      </c>
      <c r="AK2" s="4">
        <f>AJ2/AI2</f>
        <v>1.0108401084010841</v>
      </c>
      <c r="AN2">
        <v>4.5055999999999999E-2</v>
      </c>
    </row>
    <row r="3" spans="1:40" x14ac:dyDescent="0.25">
      <c r="A3" t="s">
        <v>5</v>
      </c>
      <c r="B3">
        <v>2</v>
      </c>
      <c r="C3">
        <v>128</v>
      </c>
      <c r="D3">
        <v>64</v>
      </c>
      <c r="E3">
        <v>28</v>
      </c>
      <c r="F3">
        <v>4</v>
      </c>
      <c r="H3">
        <v>5.9072E-2</v>
      </c>
      <c r="I3">
        <v>4.3968E-2</v>
      </c>
      <c r="J3" s="4">
        <f t="shared" ref="J3:J66" si="0">I3/H3</f>
        <v>0.74431202600216684</v>
      </c>
      <c r="K3" s="4"/>
      <c r="L3">
        <v>4.5760000000000002E-2</v>
      </c>
      <c r="M3">
        <v>4.4735999999999998E-2</v>
      </c>
      <c r="N3" s="4">
        <f t="shared" ref="N3:N66" si="1">M3/L3</f>
        <v>0.97762237762237758</v>
      </c>
      <c r="P3">
        <v>4.5952E-2</v>
      </c>
      <c r="Q3">
        <v>4.4096000000000003E-2</v>
      </c>
      <c r="R3" s="4">
        <f t="shared" ref="R3:R66" si="2">Q3/P3</f>
        <v>0.95961002785515326</v>
      </c>
      <c r="T3">
        <v>4.5440000000000001E-2</v>
      </c>
      <c r="U3">
        <v>4.5055999999999999E-2</v>
      </c>
      <c r="V3" s="4">
        <f t="shared" ref="V3:V66" si="3">U3/T3</f>
        <v>0.99154929577464779</v>
      </c>
      <c r="Y3">
        <v>2</v>
      </c>
      <c r="Z3">
        <v>576</v>
      </c>
      <c r="AA3">
        <v>64</v>
      </c>
      <c r="AB3">
        <v>28</v>
      </c>
      <c r="AC3">
        <v>4</v>
      </c>
      <c r="AE3">
        <v>7.0720000000000005E-2</v>
      </c>
      <c r="AF3">
        <v>7.3663999999999993E-2</v>
      </c>
      <c r="AG3" s="4">
        <f t="shared" ref="AG3:AG66" si="4">AF3/AE3</f>
        <v>1.041628959276018</v>
      </c>
      <c r="AI3">
        <v>7.1679999999999994E-2</v>
      </c>
      <c r="AJ3">
        <v>7.2319999999999995E-2</v>
      </c>
      <c r="AK3" s="4">
        <f t="shared" ref="AK3:AK66" si="5">AJ3/AI3</f>
        <v>1.0089285714285714</v>
      </c>
      <c r="AN3">
        <v>4.4159999999999998E-2</v>
      </c>
    </row>
    <row r="4" spans="1:40" x14ac:dyDescent="0.25">
      <c r="A4" t="s">
        <v>5</v>
      </c>
      <c r="B4">
        <v>4</v>
      </c>
      <c r="C4">
        <v>128</v>
      </c>
      <c r="D4">
        <v>64</v>
      </c>
      <c r="E4">
        <v>28</v>
      </c>
      <c r="F4">
        <v>4</v>
      </c>
      <c r="H4">
        <v>8.1087999999999993E-2</v>
      </c>
      <c r="I4">
        <v>4.3903999999999999E-2</v>
      </c>
      <c r="J4" s="4">
        <f t="shared" si="0"/>
        <v>0.54143646408839785</v>
      </c>
      <c r="K4" s="4"/>
      <c r="L4">
        <v>4.4544E-2</v>
      </c>
      <c r="M4">
        <v>4.4288000000000001E-2</v>
      </c>
      <c r="N4" s="4">
        <f t="shared" si="1"/>
        <v>0.99425287356321845</v>
      </c>
      <c r="P4">
        <v>4.5567999999999997E-2</v>
      </c>
      <c r="Q4">
        <v>4.3712000000000001E-2</v>
      </c>
      <c r="R4" s="4">
        <f t="shared" si="2"/>
        <v>0.95926966292134841</v>
      </c>
      <c r="T4">
        <v>4.5311999999999998E-2</v>
      </c>
      <c r="U4">
        <v>4.4159999999999998E-2</v>
      </c>
      <c r="V4" s="4">
        <f t="shared" si="3"/>
        <v>0.97457627118644063</v>
      </c>
      <c r="Y4">
        <v>4</v>
      </c>
      <c r="Z4">
        <v>576</v>
      </c>
      <c r="AA4">
        <v>64</v>
      </c>
      <c r="AB4">
        <v>28</v>
      </c>
      <c r="AC4">
        <v>4</v>
      </c>
      <c r="AE4">
        <v>6.6047999999999996E-2</v>
      </c>
      <c r="AF4">
        <v>6.9375999999999993E-2</v>
      </c>
      <c r="AG4" s="4">
        <f t="shared" si="4"/>
        <v>1.0503875968992247</v>
      </c>
      <c r="AI4">
        <v>6.9695999999999994E-2</v>
      </c>
      <c r="AJ4">
        <v>7.0080000000000003E-2</v>
      </c>
      <c r="AK4" s="4">
        <f t="shared" si="5"/>
        <v>1.0055096418732783</v>
      </c>
      <c r="AN4">
        <v>5.2352000000000003E-2</v>
      </c>
    </row>
    <row r="5" spans="1:40" x14ac:dyDescent="0.25">
      <c r="A5" t="s">
        <v>5</v>
      </c>
      <c r="B5">
        <v>8</v>
      </c>
      <c r="C5">
        <v>128</v>
      </c>
      <c r="D5">
        <v>64</v>
      </c>
      <c r="E5">
        <v>28</v>
      </c>
      <c r="F5">
        <v>4</v>
      </c>
      <c r="H5">
        <v>5.4528E-2</v>
      </c>
      <c r="I5">
        <v>5.0111999999999997E-2</v>
      </c>
      <c r="J5" s="4">
        <f t="shared" si="0"/>
        <v>0.91901408450704214</v>
      </c>
      <c r="K5" s="4"/>
      <c r="L5">
        <v>5.4463999999999999E-2</v>
      </c>
      <c r="M5">
        <v>5.2479999999999999E-2</v>
      </c>
      <c r="N5" s="4">
        <f t="shared" si="1"/>
        <v>0.96357226792009398</v>
      </c>
      <c r="P5">
        <v>5.2864000000000001E-2</v>
      </c>
      <c r="Q5">
        <v>5.1456000000000002E-2</v>
      </c>
      <c r="R5" s="4">
        <f t="shared" si="2"/>
        <v>0.9733656174334141</v>
      </c>
      <c r="T5">
        <v>5.3504000000000003E-2</v>
      </c>
      <c r="U5">
        <v>5.2352000000000003E-2</v>
      </c>
      <c r="V5" s="4">
        <f t="shared" si="3"/>
        <v>0.97846889952153104</v>
      </c>
      <c r="Y5">
        <v>8</v>
      </c>
      <c r="Z5">
        <v>576</v>
      </c>
      <c r="AA5">
        <v>64</v>
      </c>
      <c r="AB5">
        <v>28</v>
      </c>
      <c r="AC5">
        <v>4</v>
      </c>
      <c r="AE5">
        <v>8.2304000000000002E-2</v>
      </c>
      <c r="AF5">
        <v>8.5503999999999997E-2</v>
      </c>
      <c r="AG5" s="4">
        <f t="shared" si="4"/>
        <v>1.0388802488335924</v>
      </c>
      <c r="AI5">
        <v>8.6720000000000005E-2</v>
      </c>
      <c r="AJ5">
        <v>8.6720000000000005E-2</v>
      </c>
      <c r="AK5" s="4">
        <f t="shared" si="5"/>
        <v>1</v>
      </c>
      <c r="AN5">
        <v>6.8608000000000002E-2</v>
      </c>
    </row>
    <row r="6" spans="1:40" x14ac:dyDescent="0.25">
      <c r="A6" t="s">
        <v>5</v>
      </c>
      <c r="B6">
        <v>16</v>
      </c>
      <c r="C6">
        <v>128</v>
      </c>
      <c r="D6">
        <v>64</v>
      </c>
      <c r="E6">
        <v>28</v>
      </c>
      <c r="F6">
        <v>4</v>
      </c>
      <c r="H6">
        <v>7.392E-2</v>
      </c>
      <c r="I6">
        <v>6.3168000000000002E-2</v>
      </c>
      <c r="J6" s="4">
        <f t="shared" si="0"/>
        <v>0.85454545454545461</v>
      </c>
      <c r="K6" s="4"/>
      <c r="L6">
        <v>7.0080000000000003E-2</v>
      </c>
      <c r="M6">
        <v>6.6367999999999996E-2</v>
      </c>
      <c r="N6" s="4">
        <f t="shared" si="1"/>
        <v>0.94703196347031959</v>
      </c>
      <c r="P6">
        <v>6.9568000000000005E-2</v>
      </c>
      <c r="Q6">
        <v>6.5792000000000003E-2</v>
      </c>
      <c r="R6" s="4">
        <f t="shared" si="2"/>
        <v>0.94572217111315549</v>
      </c>
      <c r="T6">
        <v>7.0463999999999999E-2</v>
      </c>
      <c r="U6">
        <v>6.8608000000000002E-2</v>
      </c>
      <c r="V6" s="4">
        <f t="shared" si="3"/>
        <v>0.97366030881017263</v>
      </c>
      <c r="Y6">
        <v>16</v>
      </c>
      <c r="Z6">
        <v>576</v>
      </c>
      <c r="AA6">
        <v>64</v>
      </c>
      <c r="AB6">
        <v>28</v>
      </c>
      <c r="AC6">
        <v>4</v>
      </c>
      <c r="AE6">
        <v>0.118848</v>
      </c>
      <c r="AF6">
        <v>0.119744</v>
      </c>
      <c r="AG6" s="4">
        <f t="shared" si="4"/>
        <v>1.0075390414647281</v>
      </c>
      <c r="AI6">
        <v>0.11987200000000001</v>
      </c>
      <c r="AJ6">
        <v>0.119616</v>
      </c>
      <c r="AK6" s="4">
        <f t="shared" si="5"/>
        <v>0.99786438868125993</v>
      </c>
      <c r="AN6">
        <v>0.101312</v>
      </c>
    </row>
    <row r="7" spans="1:40" x14ac:dyDescent="0.25">
      <c r="A7" t="s">
        <v>5</v>
      </c>
      <c r="B7">
        <v>32</v>
      </c>
      <c r="C7">
        <v>128</v>
      </c>
      <c r="D7">
        <v>64</v>
      </c>
      <c r="E7">
        <v>28</v>
      </c>
      <c r="F7">
        <v>4</v>
      </c>
      <c r="H7">
        <v>0.114048</v>
      </c>
      <c r="I7">
        <v>9.0751999999999999E-2</v>
      </c>
      <c r="J7" s="4">
        <f t="shared" si="0"/>
        <v>0.79573512906846244</v>
      </c>
      <c r="K7" s="4"/>
      <c r="L7">
        <v>0.109056</v>
      </c>
      <c r="M7">
        <v>9.7535999999999998E-2</v>
      </c>
      <c r="N7" s="4">
        <f t="shared" si="1"/>
        <v>0.89436619718309862</v>
      </c>
      <c r="P7">
        <v>0.101312</v>
      </c>
      <c r="Q7">
        <v>9.4848000000000002E-2</v>
      </c>
      <c r="R7" s="4">
        <f t="shared" si="2"/>
        <v>0.93619709412507901</v>
      </c>
      <c r="T7">
        <v>0.10976</v>
      </c>
      <c r="U7">
        <v>0.101312</v>
      </c>
      <c r="V7" s="4">
        <f t="shared" si="3"/>
        <v>0.92303206997084553</v>
      </c>
      <c r="Y7">
        <v>32</v>
      </c>
      <c r="Z7">
        <v>576</v>
      </c>
      <c r="AA7">
        <v>64</v>
      </c>
      <c r="AB7">
        <v>28</v>
      </c>
      <c r="AC7">
        <v>4</v>
      </c>
      <c r="AE7">
        <v>0.19129599999999999</v>
      </c>
      <c r="AF7">
        <v>0.18419199999999999</v>
      </c>
      <c r="AG7" s="4">
        <f t="shared" si="4"/>
        <v>0.96286383405821341</v>
      </c>
      <c r="AI7">
        <v>0.18809600000000001</v>
      </c>
      <c r="AJ7">
        <v>0.18662400000000001</v>
      </c>
      <c r="AK7" s="4">
        <f t="shared" si="5"/>
        <v>0.99217420891459684</v>
      </c>
      <c r="AN7">
        <v>0.165632</v>
      </c>
    </row>
    <row r="8" spans="1:40" x14ac:dyDescent="0.25">
      <c r="A8" t="s">
        <v>5</v>
      </c>
      <c r="B8">
        <v>64</v>
      </c>
      <c r="C8">
        <v>128</v>
      </c>
      <c r="D8">
        <v>64</v>
      </c>
      <c r="E8">
        <v>28</v>
      </c>
      <c r="F8">
        <v>4</v>
      </c>
      <c r="H8">
        <v>0.17766399999999999</v>
      </c>
      <c r="I8">
        <v>0.145344</v>
      </c>
      <c r="J8" s="4">
        <f t="shared" si="0"/>
        <v>0.81808357348703176</v>
      </c>
      <c r="K8" s="4"/>
      <c r="L8">
        <v>0.18271999999999999</v>
      </c>
      <c r="M8">
        <v>0.16275200000000001</v>
      </c>
      <c r="N8" s="4">
        <f t="shared" si="1"/>
        <v>0.89071803852889675</v>
      </c>
      <c r="P8">
        <v>0.16844799999999999</v>
      </c>
      <c r="Q8">
        <v>0.151808</v>
      </c>
      <c r="R8" s="4">
        <f t="shared" si="2"/>
        <v>0.90121580547112468</v>
      </c>
      <c r="T8">
        <v>0.18643199999999999</v>
      </c>
      <c r="U8">
        <v>0.165632</v>
      </c>
      <c r="V8" s="4">
        <f t="shared" si="3"/>
        <v>0.88843117061448684</v>
      </c>
      <c r="Y8">
        <v>64</v>
      </c>
      <c r="Z8">
        <v>576</v>
      </c>
      <c r="AA8">
        <v>64</v>
      </c>
      <c r="AB8">
        <v>28</v>
      </c>
      <c r="AC8">
        <v>4</v>
      </c>
      <c r="AE8">
        <v>0.33395200000000003</v>
      </c>
      <c r="AF8">
        <v>0.32633600000000001</v>
      </c>
      <c r="AG8" s="4">
        <f t="shared" si="4"/>
        <v>0.97719432732847833</v>
      </c>
      <c r="AI8">
        <v>0.32422400000000001</v>
      </c>
      <c r="AJ8">
        <v>0.32908799999999999</v>
      </c>
      <c r="AK8" s="4">
        <f t="shared" si="5"/>
        <v>1.01500197394394</v>
      </c>
      <c r="AN8">
        <v>4.768E-2</v>
      </c>
    </row>
    <row r="9" spans="1:40" x14ac:dyDescent="0.25">
      <c r="A9" t="s">
        <v>5</v>
      </c>
      <c r="B9">
        <v>1</v>
      </c>
      <c r="C9">
        <v>128</v>
      </c>
      <c r="D9">
        <v>128</v>
      </c>
      <c r="E9">
        <v>28</v>
      </c>
      <c r="F9">
        <v>4</v>
      </c>
      <c r="H9">
        <v>4.6399999999999997E-2</v>
      </c>
      <c r="I9">
        <v>4.3903999999999999E-2</v>
      </c>
      <c r="J9" s="4">
        <f t="shared" si="0"/>
        <v>0.94620689655172419</v>
      </c>
      <c r="K9" s="4"/>
      <c r="L9">
        <v>4.8447999999999998E-2</v>
      </c>
      <c r="M9">
        <v>4.5760000000000002E-2</v>
      </c>
      <c r="N9" s="4">
        <f t="shared" si="1"/>
        <v>0.94451783355350072</v>
      </c>
      <c r="P9">
        <v>4.5504000000000003E-2</v>
      </c>
      <c r="Q9">
        <v>4.4864000000000001E-2</v>
      </c>
      <c r="R9" s="4">
        <f t="shared" si="2"/>
        <v>0.98593530239099858</v>
      </c>
      <c r="T9">
        <v>4.768E-2</v>
      </c>
      <c r="U9">
        <v>4.768E-2</v>
      </c>
      <c r="V9" s="4">
        <f t="shared" si="3"/>
        <v>1</v>
      </c>
      <c r="Y9">
        <v>1</v>
      </c>
      <c r="Z9">
        <v>576</v>
      </c>
      <c r="AA9">
        <v>128</v>
      </c>
      <c r="AB9">
        <v>28</v>
      </c>
      <c r="AC9">
        <v>4</v>
      </c>
      <c r="AE9">
        <v>7.1872000000000005E-2</v>
      </c>
      <c r="AF9">
        <v>7.1679999999999994E-2</v>
      </c>
      <c r="AG9" s="4">
        <f t="shared" si="4"/>
        <v>0.99732858414959913</v>
      </c>
      <c r="AI9">
        <v>7.1936E-2</v>
      </c>
      <c r="AJ9">
        <v>7.2959999999999997E-2</v>
      </c>
      <c r="AK9" s="4">
        <f t="shared" si="5"/>
        <v>1.0142348754448398</v>
      </c>
      <c r="AN9">
        <v>4.7744000000000002E-2</v>
      </c>
    </row>
    <row r="10" spans="1:40" x14ac:dyDescent="0.25">
      <c r="A10" t="s">
        <v>5</v>
      </c>
      <c r="B10">
        <v>2</v>
      </c>
      <c r="C10">
        <v>128</v>
      </c>
      <c r="D10">
        <v>128</v>
      </c>
      <c r="E10">
        <v>28</v>
      </c>
      <c r="F10">
        <v>4</v>
      </c>
      <c r="H10">
        <v>5.8880000000000002E-2</v>
      </c>
      <c r="I10">
        <v>4.4223999999999999E-2</v>
      </c>
      <c r="J10" s="4">
        <f t="shared" si="0"/>
        <v>0.75108695652173907</v>
      </c>
      <c r="K10" s="4"/>
      <c r="L10">
        <v>4.7551999999999997E-2</v>
      </c>
      <c r="M10">
        <v>4.5952E-2</v>
      </c>
      <c r="N10" s="4">
        <f t="shared" si="1"/>
        <v>0.96635262449528947</v>
      </c>
      <c r="P10">
        <v>4.6080000000000003E-2</v>
      </c>
      <c r="Q10">
        <v>4.5504000000000003E-2</v>
      </c>
      <c r="R10" s="4">
        <f t="shared" si="2"/>
        <v>0.98750000000000004</v>
      </c>
      <c r="T10">
        <v>4.5823999999999997E-2</v>
      </c>
      <c r="U10">
        <v>4.7744000000000002E-2</v>
      </c>
      <c r="V10" s="4">
        <f t="shared" si="3"/>
        <v>1.0418994413407823</v>
      </c>
      <c r="Y10">
        <v>2</v>
      </c>
      <c r="Z10">
        <v>576</v>
      </c>
      <c r="AA10">
        <v>128</v>
      </c>
      <c r="AB10">
        <v>28</v>
      </c>
      <c r="AC10">
        <v>4</v>
      </c>
      <c r="AE10">
        <v>7.2192000000000006E-2</v>
      </c>
      <c r="AF10">
        <v>7.1807999999999997E-2</v>
      </c>
      <c r="AG10" s="4">
        <f t="shared" si="4"/>
        <v>0.99468085106382964</v>
      </c>
      <c r="AI10">
        <v>7.2511999999999993E-2</v>
      </c>
      <c r="AJ10">
        <v>7.3408000000000001E-2</v>
      </c>
      <c r="AK10" s="4">
        <f t="shared" si="5"/>
        <v>1.0123565754633717</v>
      </c>
      <c r="AN10">
        <v>4.7359999999999999E-2</v>
      </c>
    </row>
    <row r="11" spans="1:40" x14ac:dyDescent="0.25">
      <c r="A11" t="s">
        <v>5</v>
      </c>
      <c r="B11">
        <v>4</v>
      </c>
      <c r="C11">
        <v>128</v>
      </c>
      <c r="D11">
        <v>128</v>
      </c>
      <c r="E11">
        <v>28</v>
      </c>
      <c r="F11">
        <v>4</v>
      </c>
      <c r="H11">
        <v>4.6912000000000002E-2</v>
      </c>
      <c r="I11">
        <v>4.4096000000000003E-2</v>
      </c>
      <c r="J11" s="4">
        <f t="shared" si="0"/>
        <v>0.93997271487039569</v>
      </c>
      <c r="K11" s="4"/>
      <c r="L11">
        <v>4.6848000000000001E-2</v>
      </c>
      <c r="M11">
        <v>4.5376E-2</v>
      </c>
      <c r="N11" s="4">
        <f t="shared" si="1"/>
        <v>0.96857923497267762</v>
      </c>
      <c r="P11">
        <v>4.5504000000000003E-2</v>
      </c>
      <c r="Q11">
        <v>4.5055999999999999E-2</v>
      </c>
      <c r="R11" s="4">
        <f t="shared" si="2"/>
        <v>0.99015471167369895</v>
      </c>
      <c r="T11">
        <v>4.6016000000000001E-2</v>
      </c>
      <c r="U11">
        <v>4.7359999999999999E-2</v>
      </c>
      <c r="V11" s="4">
        <f t="shared" si="3"/>
        <v>1.0292072322670376</v>
      </c>
      <c r="Y11">
        <v>4</v>
      </c>
      <c r="Z11">
        <v>576</v>
      </c>
      <c r="AA11">
        <v>128</v>
      </c>
      <c r="AB11">
        <v>28</v>
      </c>
      <c r="AC11">
        <v>4</v>
      </c>
      <c r="AE11">
        <v>6.7584000000000005E-2</v>
      </c>
      <c r="AF11">
        <v>6.7584000000000005E-2</v>
      </c>
      <c r="AG11" s="4">
        <f t="shared" si="4"/>
        <v>1</v>
      </c>
      <c r="AI11">
        <v>7.1167999999999995E-2</v>
      </c>
      <c r="AJ11">
        <v>7.1167999999999995E-2</v>
      </c>
      <c r="AK11" s="4">
        <f t="shared" si="5"/>
        <v>1</v>
      </c>
      <c r="AN11">
        <v>5.5936E-2</v>
      </c>
    </row>
    <row r="12" spans="1:40" x14ac:dyDescent="0.25">
      <c r="A12" t="s">
        <v>5</v>
      </c>
      <c r="B12">
        <v>8</v>
      </c>
      <c r="C12">
        <v>128</v>
      </c>
      <c r="D12">
        <v>128</v>
      </c>
      <c r="E12">
        <v>28</v>
      </c>
      <c r="F12">
        <v>4</v>
      </c>
      <c r="H12">
        <v>5.6832000000000001E-2</v>
      </c>
      <c r="I12">
        <v>5.1776000000000003E-2</v>
      </c>
      <c r="J12" s="4">
        <f t="shared" si="0"/>
        <v>0.91103603603603611</v>
      </c>
      <c r="K12" s="4"/>
      <c r="L12">
        <v>5.7343999999999999E-2</v>
      </c>
      <c r="M12">
        <v>5.4463999999999999E-2</v>
      </c>
      <c r="N12" s="4">
        <f t="shared" si="1"/>
        <v>0.9497767857142857</v>
      </c>
      <c r="P12">
        <v>5.4656000000000003E-2</v>
      </c>
      <c r="Q12">
        <v>5.3311999999999998E-2</v>
      </c>
      <c r="R12" s="4">
        <f t="shared" si="2"/>
        <v>0.97540983606557363</v>
      </c>
      <c r="T12">
        <v>5.5744000000000002E-2</v>
      </c>
      <c r="U12">
        <v>5.5936E-2</v>
      </c>
      <c r="V12" s="4">
        <f t="shared" si="3"/>
        <v>1.0034443168771527</v>
      </c>
      <c r="Y12">
        <v>8</v>
      </c>
      <c r="Z12">
        <v>576</v>
      </c>
      <c r="AA12">
        <v>128</v>
      </c>
      <c r="AB12">
        <v>28</v>
      </c>
      <c r="AC12">
        <v>4</v>
      </c>
      <c r="AE12">
        <v>8.3648E-2</v>
      </c>
      <c r="AF12">
        <v>8.3904000000000006E-2</v>
      </c>
      <c r="AG12" s="4">
        <f t="shared" si="4"/>
        <v>1.003060443764346</v>
      </c>
      <c r="AI12">
        <v>8.7999999999999995E-2</v>
      </c>
      <c r="AJ12">
        <v>8.8384000000000004E-2</v>
      </c>
      <c r="AK12" s="4">
        <f t="shared" si="5"/>
        <v>1.0043636363636366</v>
      </c>
      <c r="AN12">
        <v>7.5263999999999998E-2</v>
      </c>
    </row>
    <row r="13" spans="1:40" x14ac:dyDescent="0.25">
      <c r="A13" t="s">
        <v>5</v>
      </c>
      <c r="B13">
        <v>16</v>
      </c>
      <c r="C13">
        <v>128</v>
      </c>
      <c r="D13">
        <v>128</v>
      </c>
      <c r="E13">
        <v>28</v>
      </c>
      <c r="F13">
        <v>4</v>
      </c>
      <c r="H13">
        <v>7.5583999999999998E-2</v>
      </c>
      <c r="I13">
        <v>6.7007999999999998E-2</v>
      </c>
      <c r="J13" s="4">
        <f t="shared" si="0"/>
        <v>0.88653683319220999</v>
      </c>
      <c r="K13" s="4"/>
      <c r="L13">
        <v>7.6480000000000006E-2</v>
      </c>
      <c r="M13">
        <v>7.2704000000000005E-2</v>
      </c>
      <c r="N13" s="4">
        <f t="shared" si="1"/>
        <v>0.9506276150627615</v>
      </c>
      <c r="P13">
        <v>7.3663999999999993E-2</v>
      </c>
      <c r="Q13">
        <v>7.1295999999999998E-2</v>
      </c>
      <c r="R13" s="4">
        <f t="shared" si="2"/>
        <v>0.96785403996524766</v>
      </c>
      <c r="T13">
        <v>8.0383999999999997E-2</v>
      </c>
      <c r="U13">
        <v>7.5263999999999998E-2</v>
      </c>
      <c r="V13" s="4">
        <f t="shared" si="3"/>
        <v>0.93630573248407645</v>
      </c>
      <c r="Y13">
        <v>16</v>
      </c>
      <c r="Z13">
        <v>576</v>
      </c>
      <c r="AA13">
        <v>128</v>
      </c>
      <c r="AB13">
        <v>28</v>
      </c>
      <c r="AC13">
        <v>4</v>
      </c>
      <c r="AE13">
        <v>0.119104</v>
      </c>
      <c r="AF13">
        <v>0.11955200000000001</v>
      </c>
      <c r="AG13" s="4">
        <f t="shared" si="4"/>
        <v>1.0037614185921548</v>
      </c>
      <c r="AI13">
        <v>0.123392</v>
      </c>
      <c r="AJ13">
        <v>0.12281599999999999</v>
      </c>
      <c r="AK13" s="4">
        <f t="shared" si="5"/>
        <v>0.99533195020746879</v>
      </c>
      <c r="AN13">
        <v>0.114048</v>
      </c>
    </row>
    <row r="14" spans="1:40" x14ac:dyDescent="0.25">
      <c r="A14" t="s">
        <v>5</v>
      </c>
      <c r="B14">
        <v>32</v>
      </c>
      <c r="C14">
        <v>128</v>
      </c>
      <c r="D14">
        <v>128</v>
      </c>
      <c r="E14">
        <v>28</v>
      </c>
      <c r="F14">
        <v>4</v>
      </c>
      <c r="H14">
        <v>0.115456</v>
      </c>
      <c r="I14">
        <v>9.8367999999999997E-2</v>
      </c>
      <c r="J14" s="4">
        <f t="shared" si="0"/>
        <v>0.8519955654101995</v>
      </c>
      <c r="K14" s="4"/>
      <c r="L14">
        <v>0.118784</v>
      </c>
      <c r="M14">
        <v>0.109824</v>
      </c>
      <c r="N14" s="4">
        <f t="shared" si="1"/>
        <v>0.92456896551724144</v>
      </c>
      <c r="P14">
        <v>0.108928</v>
      </c>
      <c r="Q14">
        <v>0.10355200000000001</v>
      </c>
      <c r="R14" s="4">
        <f t="shared" si="2"/>
        <v>0.95064629847238546</v>
      </c>
      <c r="T14">
        <v>0.121408</v>
      </c>
      <c r="U14">
        <v>0.114048</v>
      </c>
      <c r="V14" s="4">
        <f t="shared" si="3"/>
        <v>0.93937796520822348</v>
      </c>
      <c r="Y14">
        <v>32</v>
      </c>
      <c r="Z14">
        <v>576</v>
      </c>
      <c r="AA14">
        <v>128</v>
      </c>
      <c r="AB14">
        <v>28</v>
      </c>
      <c r="AC14">
        <v>4</v>
      </c>
      <c r="AE14">
        <v>0.19046399999999999</v>
      </c>
      <c r="AF14">
        <v>0.190912</v>
      </c>
      <c r="AG14" s="4">
        <f t="shared" si="4"/>
        <v>1.0023521505376345</v>
      </c>
      <c r="AI14">
        <v>0.194304</v>
      </c>
      <c r="AJ14">
        <v>0.19289600000000001</v>
      </c>
      <c r="AK14" s="4">
        <f t="shared" si="5"/>
        <v>0.99275362318840588</v>
      </c>
      <c r="AN14">
        <v>0.19129599999999999</v>
      </c>
    </row>
    <row r="15" spans="1:40" x14ac:dyDescent="0.25">
      <c r="A15" t="s">
        <v>5</v>
      </c>
      <c r="B15">
        <v>64</v>
      </c>
      <c r="C15">
        <v>128</v>
      </c>
      <c r="D15">
        <v>128</v>
      </c>
      <c r="E15">
        <v>28</v>
      </c>
      <c r="F15">
        <v>4</v>
      </c>
      <c r="H15">
        <v>0.192576</v>
      </c>
      <c r="I15">
        <v>0.16064000000000001</v>
      </c>
      <c r="J15" s="4">
        <f t="shared" si="0"/>
        <v>0.83416417414423405</v>
      </c>
      <c r="K15" s="4"/>
      <c r="L15">
        <v>0.20960000000000001</v>
      </c>
      <c r="M15">
        <v>0.18732799999999999</v>
      </c>
      <c r="N15" s="4">
        <f t="shared" si="1"/>
        <v>0.89374045801526714</v>
      </c>
      <c r="P15">
        <v>0.182976</v>
      </c>
      <c r="Q15">
        <v>0.17068800000000001</v>
      </c>
      <c r="R15" s="4">
        <f t="shared" si="2"/>
        <v>0.93284365162644289</v>
      </c>
      <c r="T15">
        <v>0.212672</v>
      </c>
      <c r="U15">
        <v>0.19129599999999999</v>
      </c>
      <c r="V15" s="4">
        <f t="shared" si="3"/>
        <v>0.89948841408365932</v>
      </c>
      <c r="Y15">
        <v>64</v>
      </c>
      <c r="Z15">
        <v>576</v>
      </c>
      <c r="AA15">
        <v>128</v>
      </c>
      <c r="AB15">
        <v>28</v>
      </c>
      <c r="AC15">
        <v>4</v>
      </c>
      <c r="AE15">
        <v>0.33401599999999998</v>
      </c>
      <c r="AF15">
        <v>0.33747199999999999</v>
      </c>
      <c r="AG15" s="4">
        <f t="shared" si="4"/>
        <v>1.0103468097336654</v>
      </c>
      <c r="AI15">
        <v>0.34016000000000002</v>
      </c>
      <c r="AJ15">
        <v>0.34118399999999999</v>
      </c>
      <c r="AK15" s="4">
        <f t="shared" si="5"/>
        <v>1.0030103480714956</v>
      </c>
      <c r="AN15">
        <v>5.0111999999999997E-2</v>
      </c>
    </row>
    <row r="16" spans="1:40" x14ac:dyDescent="0.25">
      <c r="A16" t="s">
        <v>5</v>
      </c>
      <c r="B16">
        <v>1</v>
      </c>
      <c r="C16">
        <v>128</v>
      </c>
      <c r="D16">
        <v>256</v>
      </c>
      <c r="E16">
        <v>28</v>
      </c>
      <c r="F16">
        <v>4</v>
      </c>
      <c r="H16">
        <v>5.0560000000000001E-2</v>
      </c>
      <c r="I16">
        <v>4.6975999999999997E-2</v>
      </c>
      <c r="J16" s="4">
        <f t="shared" si="0"/>
        <v>0.92911392405063287</v>
      </c>
      <c r="K16" s="4"/>
      <c r="L16">
        <v>4.9728000000000001E-2</v>
      </c>
      <c r="M16">
        <v>5.1327999999999999E-2</v>
      </c>
      <c r="N16" s="4">
        <f t="shared" si="1"/>
        <v>1.032175032175032</v>
      </c>
      <c r="P16">
        <v>4.9919999999999999E-2</v>
      </c>
      <c r="Q16">
        <v>0.19488</v>
      </c>
      <c r="R16" s="4">
        <f t="shared" si="2"/>
        <v>3.9038461538461537</v>
      </c>
      <c r="T16">
        <v>4.9728000000000001E-2</v>
      </c>
      <c r="U16">
        <v>5.0111999999999997E-2</v>
      </c>
      <c r="V16" s="4">
        <f t="shared" si="3"/>
        <v>1.0077220077220077</v>
      </c>
      <c r="Y16">
        <v>1</v>
      </c>
      <c r="Z16">
        <v>576</v>
      </c>
      <c r="AA16">
        <v>256</v>
      </c>
      <c r="AB16">
        <v>28</v>
      </c>
      <c r="AC16">
        <v>4</v>
      </c>
      <c r="AE16">
        <v>7.9168000000000002E-2</v>
      </c>
      <c r="AF16">
        <v>7.9231999999999997E-2</v>
      </c>
      <c r="AG16" s="4">
        <f t="shared" si="4"/>
        <v>1.0008084074373484</v>
      </c>
      <c r="AI16">
        <v>7.9808000000000004E-2</v>
      </c>
      <c r="AJ16">
        <v>8.0448000000000006E-2</v>
      </c>
      <c r="AK16" s="4">
        <f t="shared" si="5"/>
        <v>1.0080192461908581</v>
      </c>
      <c r="AN16">
        <v>5.0495999999999999E-2</v>
      </c>
    </row>
    <row r="17" spans="1:40" x14ac:dyDescent="0.25">
      <c r="A17" t="s">
        <v>5</v>
      </c>
      <c r="B17">
        <v>2</v>
      </c>
      <c r="C17">
        <v>128</v>
      </c>
      <c r="D17">
        <v>256</v>
      </c>
      <c r="E17">
        <v>28</v>
      </c>
      <c r="F17">
        <v>4</v>
      </c>
      <c r="H17">
        <v>5.2096000000000003E-2</v>
      </c>
      <c r="I17">
        <v>4.7168000000000002E-2</v>
      </c>
      <c r="J17" s="4">
        <f t="shared" si="0"/>
        <v>0.90540540540540537</v>
      </c>
      <c r="K17" s="4"/>
      <c r="L17">
        <v>5.2032000000000002E-2</v>
      </c>
      <c r="M17">
        <v>5.0751999999999999E-2</v>
      </c>
      <c r="N17" s="4">
        <f t="shared" si="1"/>
        <v>0.97539975399753986</v>
      </c>
      <c r="P17">
        <v>4.9343999999999999E-2</v>
      </c>
      <c r="Q17">
        <v>4.8896000000000002E-2</v>
      </c>
      <c r="R17" s="4">
        <f t="shared" si="2"/>
        <v>0.99092088197146566</v>
      </c>
      <c r="T17">
        <v>4.9792000000000003E-2</v>
      </c>
      <c r="U17">
        <v>5.0495999999999999E-2</v>
      </c>
      <c r="V17" s="4">
        <f t="shared" si="3"/>
        <v>1.0141388174807198</v>
      </c>
      <c r="Y17">
        <v>2</v>
      </c>
      <c r="Z17">
        <v>576</v>
      </c>
      <c r="AA17">
        <v>256</v>
      </c>
      <c r="AB17">
        <v>28</v>
      </c>
      <c r="AC17">
        <v>4</v>
      </c>
      <c r="AE17">
        <v>7.9616000000000006E-2</v>
      </c>
      <c r="AF17">
        <v>7.9743999999999995E-2</v>
      </c>
      <c r="AG17" s="4">
        <f t="shared" si="4"/>
        <v>1.0016077170418005</v>
      </c>
      <c r="AI17">
        <v>8.1152000000000002E-2</v>
      </c>
      <c r="AJ17">
        <v>8.1664E-2</v>
      </c>
      <c r="AK17" s="4">
        <f t="shared" si="5"/>
        <v>1.0063091482649842</v>
      </c>
      <c r="AN17">
        <v>5.024E-2</v>
      </c>
    </row>
    <row r="18" spans="1:40" x14ac:dyDescent="0.25">
      <c r="A18" t="s">
        <v>5</v>
      </c>
      <c r="B18">
        <v>4</v>
      </c>
      <c r="C18">
        <v>128</v>
      </c>
      <c r="D18">
        <v>256</v>
      </c>
      <c r="E18">
        <v>28</v>
      </c>
      <c r="F18">
        <v>4</v>
      </c>
      <c r="H18">
        <v>5.0816E-2</v>
      </c>
      <c r="I18">
        <v>4.6783999999999999E-2</v>
      </c>
      <c r="J18" s="4">
        <f t="shared" si="0"/>
        <v>0.92065491183879089</v>
      </c>
      <c r="K18" s="4"/>
      <c r="L18">
        <v>5.2415999999999997E-2</v>
      </c>
      <c r="M18">
        <v>4.9408000000000001E-2</v>
      </c>
      <c r="N18" s="4">
        <f t="shared" si="1"/>
        <v>0.94261294261294271</v>
      </c>
      <c r="P18">
        <v>4.9023999999999998E-2</v>
      </c>
      <c r="Q18">
        <v>4.8959999999999997E-2</v>
      </c>
      <c r="R18" s="4">
        <f t="shared" si="2"/>
        <v>0.99869451697127931</v>
      </c>
      <c r="T18">
        <v>4.9984000000000001E-2</v>
      </c>
      <c r="U18">
        <v>5.024E-2</v>
      </c>
      <c r="V18" s="4">
        <f t="shared" si="3"/>
        <v>1.0051216389244557</v>
      </c>
      <c r="Y18">
        <v>4</v>
      </c>
      <c r="Z18">
        <v>576</v>
      </c>
      <c r="AA18">
        <v>256</v>
      </c>
      <c r="AB18">
        <v>28</v>
      </c>
      <c r="AC18">
        <v>4</v>
      </c>
      <c r="AE18">
        <v>7.4880000000000002E-2</v>
      </c>
      <c r="AF18">
        <v>7.5520000000000004E-2</v>
      </c>
      <c r="AG18" s="4">
        <f t="shared" si="4"/>
        <v>1.0085470085470085</v>
      </c>
      <c r="AI18">
        <v>8.0191999999999999E-2</v>
      </c>
      <c r="AJ18">
        <v>8.0640000000000003E-2</v>
      </c>
      <c r="AK18" s="4">
        <f t="shared" si="5"/>
        <v>1.005586592178771</v>
      </c>
      <c r="AN18">
        <v>6.4512E-2</v>
      </c>
    </row>
    <row r="19" spans="1:40" x14ac:dyDescent="0.25">
      <c r="A19" t="s">
        <v>5</v>
      </c>
      <c r="B19">
        <v>8</v>
      </c>
      <c r="C19">
        <v>128</v>
      </c>
      <c r="D19">
        <v>256</v>
      </c>
      <c r="E19">
        <v>28</v>
      </c>
      <c r="F19">
        <v>4</v>
      </c>
      <c r="H19">
        <v>6.4000000000000001E-2</v>
      </c>
      <c r="I19">
        <v>5.6576000000000001E-2</v>
      </c>
      <c r="J19" s="4">
        <f t="shared" si="0"/>
        <v>0.88400000000000001</v>
      </c>
      <c r="K19" s="4"/>
      <c r="L19">
        <v>6.3039999999999999E-2</v>
      </c>
      <c r="M19">
        <v>6.1696000000000001E-2</v>
      </c>
      <c r="N19" s="4">
        <f t="shared" si="1"/>
        <v>0.97868020304568526</v>
      </c>
      <c r="P19">
        <v>0.15084800000000001</v>
      </c>
      <c r="Q19">
        <v>6.1952E-2</v>
      </c>
      <c r="R19" s="4">
        <f t="shared" si="2"/>
        <v>0.41069155706406446</v>
      </c>
      <c r="T19">
        <v>6.4512E-2</v>
      </c>
      <c r="U19">
        <v>6.4512E-2</v>
      </c>
      <c r="V19" s="4">
        <f t="shared" si="3"/>
        <v>1</v>
      </c>
      <c r="Y19">
        <v>8</v>
      </c>
      <c r="Z19">
        <v>576</v>
      </c>
      <c r="AA19">
        <v>256</v>
      </c>
      <c r="AB19">
        <v>28</v>
      </c>
      <c r="AC19">
        <v>4</v>
      </c>
      <c r="AE19">
        <v>9.4783999999999993E-2</v>
      </c>
      <c r="AF19">
        <v>9.5871999999999999E-2</v>
      </c>
      <c r="AG19" s="4">
        <f t="shared" si="4"/>
        <v>1.0114787305874411</v>
      </c>
      <c r="AI19">
        <v>0.100608</v>
      </c>
      <c r="AJ19">
        <v>0.10048</v>
      </c>
      <c r="AK19" s="4">
        <f t="shared" si="5"/>
        <v>0.99872773536895676</v>
      </c>
      <c r="AN19">
        <v>9.2672000000000004E-2</v>
      </c>
    </row>
    <row r="20" spans="1:40" x14ac:dyDescent="0.25">
      <c r="A20" t="s">
        <v>5</v>
      </c>
      <c r="B20">
        <v>16</v>
      </c>
      <c r="C20">
        <v>128</v>
      </c>
      <c r="D20">
        <v>256</v>
      </c>
      <c r="E20">
        <v>28</v>
      </c>
      <c r="F20">
        <v>4</v>
      </c>
      <c r="H20">
        <v>8.8319999999999996E-2</v>
      </c>
      <c r="I20">
        <v>7.7824000000000004E-2</v>
      </c>
      <c r="J20" s="4">
        <f t="shared" si="0"/>
        <v>0.88115942028985517</v>
      </c>
      <c r="K20" s="4"/>
      <c r="L20">
        <v>9.0303999999999995E-2</v>
      </c>
      <c r="M20">
        <v>8.7104000000000001E-2</v>
      </c>
      <c r="N20" s="4">
        <f t="shared" si="1"/>
        <v>0.96456413890857551</v>
      </c>
      <c r="P20">
        <v>8.7744000000000003E-2</v>
      </c>
      <c r="Q20">
        <v>8.5248000000000004E-2</v>
      </c>
      <c r="R20" s="4">
        <f t="shared" si="2"/>
        <v>0.97155361050328226</v>
      </c>
      <c r="T20">
        <v>9.4016000000000002E-2</v>
      </c>
      <c r="U20">
        <v>9.2672000000000004E-2</v>
      </c>
      <c r="V20" s="4">
        <f t="shared" si="3"/>
        <v>0.98570456092579983</v>
      </c>
      <c r="Y20">
        <v>16</v>
      </c>
      <c r="Z20">
        <v>576</v>
      </c>
      <c r="AA20">
        <v>256</v>
      </c>
      <c r="AB20">
        <v>28</v>
      </c>
      <c r="AC20">
        <v>4</v>
      </c>
      <c r="AE20">
        <v>0.134656</v>
      </c>
      <c r="AF20">
        <v>0.13696</v>
      </c>
      <c r="AG20" s="4">
        <f t="shared" si="4"/>
        <v>1.0171102661596958</v>
      </c>
      <c r="AI20">
        <v>0.14112</v>
      </c>
      <c r="AJ20">
        <v>0.14176</v>
      </c>
      <c r="AK20" s="4">
        <f t="shared" si="5"/>
        <v>1.0045351473922903</v>
      </c>
      <c r="AN20">
        <v>0.14815999999999999</v>
      </c>
    </row>
    <row r="21" spans="1:40" x14ac:dyDescent="0.25">
      <c r="A21" t="s">
        <v>5</v>
      </c>
      <c r="B21">
        <v>32</v>
      </c>
      <c r="C21">
        <v>128</v>
      </c>
      <c r="D21">
        <v>256</v>
      </c>
      <c r="E21">
        <v>28</v>
      </c>
      <c r="F21">
        <v>4</v>
      </c>
      <c r="H21">
        <v>0.13568</v>
      </c>
      <c r="I21">
        <v>0.11820799999999999</v>
      </c>
      <c r="J21" s="4">
        <f t="shared" si="0"/>
        <v>0.87122641509433962</v>
      </c>
      <c r="K21" s="4"/>
      <c r="L21">
        <v>0.146816</v>
      </c>
      <c r="M21">
        <v>0.14003199999999999</v>
      </c>
      <c r="N21" s="4">
        <f t="shared" si="1"/>
        <v>0.95379250217959888</v>
      </c>
      <c r="P21">
        <v>0.13785600000000001</v>
      </c>
      <c r="Q21">
        <v>0.131968</v>
      </c>
      <c r="R21" s="4">
        <f t="shared" si="2"/>
        <v>0.95728876508820793</v>
      </c>
      <c r="T21">
        <v>0.152896</v>
      </c>
      <c r="U21">
        <v>0.14815999999999999</v>
      </c>
      <c r="V21" s="4">
        <f t="shared" si="3"/>
        <v>0.96902469652574286</v>
      </c>
      <c r="Y21">
        <v>32</v>
      </c>
      <c r="Z21">
        <v>576</v>
      </c>
      <c r="AA21">
        <v>256</v>
      </c>
      <c r="AB21">
        <v>28</v>
      </c>
      <c r="AC21">
        <v>4</v>
      </c>
      <c r="AE21">
        <v>0.214528</v>
      </c>
      <c r="AF21">
        <v>0.216256</v>
      </c>
      <c r="AG21" s="4">
        <f t="shared" si="4"/>
        <v>1.0080548926014321</v>
      </c>
      <c r="AI21">
        <v>0.22380800000000001</v>
      </c>
      <c r="AJ21">
        <v>0.223552</v>
      </c>
      <c r="AK21" s="4">
        <f t="shared" si="5"/>
        <v>0.99885616242493558</v>
      </c>
      <c r="AN21">
        <v>0.258048</v>
      </c>
    </row>
    <row r="22" spans="1:40" x14ac:dyDescent="0.25">
      <c r="A22" t="s">
        <v>5</v>
      </c>
      <c r="B22">
        <v>64</v>
      </c>
      <c r="C22">
        <v>128</v>
      </c>
      <c r="D22">
        <v>256</v>
      </c>
      <c r="E22">
        <v>28</v>
      </c>
      <c r="F22">
        <v>4</v>
      </c>
      <c r="H22">
        <v>0.22579199999999999</v>
      </c>
      <c r="I22">
        <v>0.19756799999999999</v>
      </c>
      <c r="J22" s="4">
        <f t="shared" si="0"/>
        <v>0.875</v>
      </c>
      <c r="K22" s="4"/>
      <c r="L22">
        <v>0.26713599999999998</v>
      </c>
      <c r="M22">
        <v>0.244864</v>
      </c>
      <c r="N22" s="4">
        <f t="shared" si="1"/>
        <v>0.91662673694298036</v>
      </c>
      <c r="P22">
        <v>0.23750399999999999</v>
      </c>
      <c r="Q22">
        <v>0.22752</v>
      </c>
      <c r="R22" s="4">
        <f t="shared" si="2"/>
        <v>0.95796281325788202</v>
      </c>
      <c r="T22">
        <v>0.28639999999999999</v>
      </c>
      <c r="U22">
        <v>0.258048</v>
      </c>
      <c r="V22" s="4">
        <f t="shared" si="3"/>
        <v>0.90100558659217878</v>
      </c>
      <c r="Y22">
        <v>64</v>
      </c>
      <c r="Z22">
        <v>576</v>
      </c>
      <c r="AA22">
        <v>256</v>
      </c>
      <c r="AB22">
        <v>28</v>
      </c>
      <c r="AC22">
        <v>4</v>
      </c>
      <c r="AE22">
        <v>0.38630399999999998</v>
      </c>
      <c r="AF22">
        <v>0.38796799999999998</v>
      </c>
      <c r="AG22" s="4">
        <f t="shared" si="4"/>
        <v>1.0043074884029157</v>
      </c>
      <c r="AI22">
        <v>0.40428799999999998</v>
      </c>
      <c r="AJ22">
        <v>0.40377600000000002</v>
      </c>
      <c r="AK22" s="4">
        <f t="shared" si="5"/>
        <v>0.99873357606458768</v>
      </c>
      <c r="AN22">
        <v>5.8431999999999998E-2</v>
      </c>
    </row>
    <row r="23" spans="1:40" x14ac:dyDescent="0.25">
      <c r="A23" t="s">
        <v>5</v>
      </c>
      <c r="B23">
        <v>1</v>
      </c>
      <c r="C23">
        <v>128</v>
      </c>
      <c r="D23">
        <v>512</v>
      </c>
      <c r="E23">
        <v>28</v>
      </c>
      <c r="F23">
        <v>4</v>
      </c>
      <c r="H23">
        <v>5.3631999999999999E-2</v>
      </c>
      <c r="I23">
        <v>5.2928000000000003E-2</v>
      </c>
      <c r="J23" s="4">
        <f t="shared" si="0"/>
        <v>0.98687350835322207</v>
      </c>
      <c r="K23" s="4"/>
      <c r="L23">
        <v>0.12019199999999999</v>
      </c>
      <c r="M23">
        <v>5.8624000000000002E-2</v>
      </c>
      <c r="N23" s="4">
        <f t="shared" si="1"/>
        <v>0.48775292864749736</v>
      </c>
      <c r="P23">
        <v>5.4975999999999997E-2</v>
      </c>
      <c r="Q23">
        <v>5.3184000000000002E-2</v>
      </c>
      <c r="R23" s="4">
        <f t="shared" si="2"/>
        <v>0.96740395809080337</v>
      </c>
      <c r="T23">
        <v>5.9072E-2</v>
      </c>
      <c r="U23">
        <v>5.8431999999999998E-2</v>
      </c>
      <c r="V23" s="4">
        <f t="shared" si="3"/>
        <v>0.98916576381365107</v>
      </c>
      <c r="Y23">
        <v>1</v>
      </c>
      <c r="Z23">
        <v>576</v>
      </c>
      <c r="AA23">
        <v>512</v>
      </c>
      <c r="AB23">
        <v>28</v>
      </c>
      <c r="AC23">
        <v>4</v>
      </c>
      <c r="AE23">
        <v>9.6703999999999998E-2</v>
      </c>
      <c r="AF23">
        <v>9.7152000000000002E-2</v>
      </c>
      <c r="AG23" s="4">
        <f t="shared" si="4"/>
        <v>1.0046326935804104</v>
      </c>
      <c r="AI23">
        <v>9.6512000000000001E-2</v>
      </c>
      <c r="AJ23">
        <v>9.7344E-2</v>
      </c>
      <c r="AK23" s="4">
        <f t="shared" si="5"/>
        <v>1.0086206896551724</v>
      </c>
      <c r="AN23">
        <v>5.8751999999999999E-2</v>
      </c>
    </row>
    <row r="24" spans="1:40" x14ac:dyDescent="0.25">
      <c r="A24" t="s">
        <v>5</v>
      </c>
      <c r="B24">
        <v>2</v>
      </c>
      <c r="C24">
        <v>128</v>
      </c>
      <c r="D24">
        <v>512</v>
      </c>
      <c r="E24">
        <v>28</v>
      </c>
      <c r="F24">
        <v>4</v>
      </c>
      <c r="H24">
        <v>5.3311999999999998E-2</v>
      </c>
      <c r="I24">
        <v>5.2544E-2</v>
      </c>
      <c r="J24" s="4">
        <f t="shared" si="0"/>
        <v>0.98559423769507803</v>
      </c>
      <c r="K24" s="4"/>
      <c r="L24">
        <v>5.8624000000000002E-2</v>
      </c>
      <c r="M24">
        <v>5.8880000000000002E-2</v>
      </c>
      <c r="N24" s="4">
        <f t="shared" si="1"/>
        <v>1.0043668122270741</v>
      </c>
      <c r="P24">
        <v>5.6896000000000002E-2</v>
      </c>
      <c r="Q24">
        <v>5.6447999999999998E-2</v>
      </c>
      <c r="R24" s="4">
        <f t="shared" si="2"/>
        <v>0.99212598425196841</v>
      </c>
      <c r="T24">
        <v>6.0095999999999997E-2</v>
      </c>
      <c r="U24">
        <v>5.8751999999999999E-2</v>
      </c>
      <c r="V24" s="4">
        <f t="shared" si="3"/>
        <v>0.97763578274760388</v>
      </c>
      <c r="Y24">
        <v>2</v>
      </c>
      <c r="Z24">
        <v>576</v>
      </c>
      <c r="AA24">
        <v>512</v>
      </c>
      <c r="AB24">
        <v>28</v>
      </c>
      <c r="AC24">
        <v>4</v>
      </c>
      <c r="AE24">
        <v>9.7344E-2</v>
      </c>
      <c r="AF24">
        <v>9.7280000000000005E-2</v>
      </c>
      <c r="AG24" s="4">
        <f t="shared" si="4"/>
        <v>0.99934253780407634</v>
      </c>
      <c r="AI24">
        <v>9.8559999999999995E-2</v>
      </c>
      <c r="AJ24">
        <v>9.9071999999999993E-2</v>
      </c>
      <c r="AK24" s="4">
        <f t="shared" si="5"/>
        <v>1.0051948051948052</v>
      </c>
      <c r="AN24">
        <v>5.9456000000000002E-2</v>
      </c>
    </row>
    <row r="25" spans="1:40" x14ac:dyDescent="0.25">
      <c r="A25" t="s">
        <v>5</v>
      </c>
      <c r="B25">
        <v>4</v>
      </c>
      <c r="C25">
        <v>128</v>
      </c>
      <c r="D25">
        <v>512</v>
      </c>
      <c r="E25">
        <v>28</v>
      </c>
      <c r="F25">
        <v>4</v>
      </c>
      <c r="H25">
        <v>5.1968E-2</v>
      </c>
      <c r="I25">
        <v>5.1712000000000001E-2</v>
      </c>
      <c r="J25" s="4">
        <f t="shared" si="0"/>
        <v>0.99507389162561577</v>
      </c>
      <c r="K25" s="4"/>
      <c r="L25">
        <v>5.7855999999999998E-2</v>
      </c>
      <c r="M25">
        <v>5.6832000000000001E-2</v>
      </c>
      <c r="N25" s="4">
        <f t="shared" si="1"/>
        <v>0.9823008849557523</v>
      </c>
      <c r="P25">
        <v>5.6959999999999997E-2</v>
      </c>
      <c r="Q25">
        <v>5.6447999999999998E-2</v>
      </c>
      <c r="R25" s="4">
        <f t="shared" si="2"/>
        <v>0.99101123595505625</v>
      </c>
      <c r="T25">
        <v>5.9007999999999998E-2</v>
      </c>
      <c r="U25">
        <v>5.9456000000000002E-2</v>
      </c>
      <c r="V25" s="4">
        <f t="shared" si="3"/>
        <v>1.007592190889371</v>
      </c>
      <c r="Y25">
        <v>4</v>
      </c>
      <c r="Z25">
        <v>576</v>
      </c>
      <c r="AA25">
        <v>512</v>
      </c>
      <c r="AB25">
        <v>28</v>
      </c>
      <c r="AC25">
        <v>4</v>
      </c>
      <c r="AE25">
        <v>9.2735999999999999E-2</v>
      </c>
      <c r="AF25">
        <v>9.4016000000000002E-2</v>
      </c>
      <c r="AG25" s="4">
        <f t="shared" si="4"/>
        <v>1.0138026224982748</v>
      </c>
      <c r="AI25">
        <v>9.9519999999999997E-2</v>
      </c>
      <c r="AJ25">
        <v>9.9391999999999994E-2</v>
      </c>
      <c r="AK25" s="4">
        <f t="shared" si="5"/>
        <v>0.99871382636655948</v>
      </c>
      <c r="AN25">
        <v>8.2559999999999995E-2</v>
      </c>
    </row>
    <row r="26" spans="1:40" x14ac:dyDescent="0.25">
      <c r="A26" t="s">
        <v>5</v>
      </c>
      <c r="B26">
        <v>8</v>
      </c>
      <c r="C26">
        <v>128</v>
      </c>
      <c r="D26">
        <v>512</v>
      </c>
      <c r="E26">
        <v>28</v>
      </c>
      <c r="F26">
        <v>4</v>
      </c>
      <c r="H26">
        <v>7.3279999999999998E-2</v>
      </c>
      <c r="I26">
        <v>7.0335999999999996E-2</v>
      </c>
      <c r="J26" s="4">
        <f t="shared" si="0"/>
        <v>0.95982532751091698</v>
      </c>
      <c r="K26" s="4"/>
      <c r="L26">
        <v>7.8848000000000001E-2</v>
      </c>
      <c r="M26">
        <v>7.8271999999999994E-2</v>
      </c>
      <c r="N26" s="4">
        <f t="shared" si="1"/>
        <v>0.99269480519480513</v>
      </c>
      <c r="P26">
        <v>7.7887999999999999E-2</v>
      </c>
      <c r="Q26">
        <v>8.1023999999999999E-2</v>
      </c>
      <c r="R26" s="4">
        <f t="shared" si="2"/>
        <v>1.0402629416598193</v>
      </c>
      <c r="T26">
        <v>8.3136000000000002E-2</v>
      </c>
      <c r="U26">
        <v>8.2559999999999995E-2</v>
      </c>
      <c r="V26" s="4">
        <f t="shared" si="3"/>
        <v>0.99307159353348717</v>
      </c>
      <c r="Y26">
        <v>8</v>
      </c>
      <c r="Z26">
        <v>576</v>
      </c>
      <c r="AA26">
        <v>512</v>
      </c>
      <c r="AB26">
        <v>28</v>
      </c>
      <c r="AC26">
        <v>4</v>
      </c>
      <c r="AE26">
        <v>0.12096</v>
      </c>
      <c r="AF26">
        <v>0.121984</v>
      </c>
      <c r="AG26" s="4">
        <f t="shared" si="4"/>
        <v>1.0084656084656085</v>
      </c>
      <c r="AI26">
        <v>0.13158400000000001</v>
      </c>
      <c r="AJ26">
        <v>0.13139200000000001</v>
      </c>
      <c r="AK26" s="4">
        <f t="shared" si="5"/>
        <v>0.99854085603112841</v>
      </c>
      <c r="AN26">
        <v>0.12934399999999999</v>
      </c>
    </row>
    <row r="27" spans="1:40" x14ac:dyDescent="0.25">
      <c r="A27" t="s">
        <v>5</v>
      </c>
      <c r="B27">
        <v>16</v>
      </c>
      <c r="C27">
        <v>128</v>
      </c>
      <c r="D27">
        <v>512</v>
      </c>
      <c r="E27">
        <v>28</v>
      </c>
      <c r="F27">
        <v>4</v>
      </c>
      <c r="H27">
        <v>0.110912</v>
      </c>
      <c r="I27">
        <v>0.10432</v>
      </c>
      <c r="J27" s="4">
        <f t="shared" si="0"/>
        <v>0.94056549336410844</v>
      </c>
      <c r="K27" s="4"/>
      <c r="L27">
        <v>0.123136</v>
      </c>
      <c r="M27">
        <v>0.12032</v>
      </c>
      <c r="N27" s="4">
        <f t="shared" si="1"/>
        <v>0.97713097713097719</v>
      </c>
      <c r="P27">
        <v>0.121472</v>
      </c>
      <c r="Q27">
        <v>0.119936</v>
      </c>
      <c r="R27" s="4">
        <f t="shared" si="2"/>
        <v>0.98735511064278192</v>
      </c>
      <c r="T27">
        <v>0.13152</v>
      </c>
      <c r="U27">
        <v>0.12934399999999999</v>
      </c>
      <c r="V27" s="4">
        <f t="shared" si="3"/>
        <v>0.98345498783454977</v>
      </c>
      <c r="Y27">
        <v>16</v>
      </c>
      <c r="Z27">
        <v>576</v>
      </c>
      <c r="AA27">
        <v>512</v>
      </c>
      <c r="AB27">
        <v>28</v>
      </c>
      <c r="AC27">
        <v>4</v>
      </c>
      <c r="AE27">
        <v>0.17766399999999999</v>
      </c>
      <c r="AF27">
        <v>0.178176</v>
      </c>
      <c r="AG27" s="4">
        <f t="shared" si="4"/>
        <v>1.0028818443804035</v>
      </c>
      <c r="AI27">
        <v>0.19788800000000001</v>
      </c>
      <c r="AJ27">
        <v>0.19347200000000001</v>
      </c>
      <c r="AK27" s="4">
        <f t="shared" si="5"/>
        <v>0.97768434670116433</v>
      </c>
      <c r="AN27">
        <v>0.22367999999999999</v>
      </c>
    </row>
    <row r="28" spans="1:40" x14ac:dyDescent="0.25">
      <c r="A28" t="s">
        <v>5</v>
      </c>
      <c r="B28">
        <v>32</v>
      </c>
      <c r="C28">
        <v>128</v>
      </c>
      <c r="D28">
        <v>512</v>
      </c>
      <c r="E28">
        <v>28</v>
      </c>
      <c r="F28">
        <v>4</v>
      </c>
      <c r="H28">
        <v>0.173376</v>
      </c>
      <c r="I28">
        <v>0.16736000000000001</v>
      </c>
      <c r="J28" s="4">
        <f t="shared" si="0"/>
        <v>0.96530084902177926</v>
      </c>
      <c r="K28" s="4"/>
      <c r="L28">
        <v>0.20774400000000001</v>
      </c>
      <c r="M28">
        <v>0.20230400000000001</v>
      </c>
      <c r="N28" s="4">
        <f t="shared" si="1"/>
        <v>0.97381392483056073</v>
      </c>
      <c r="P28">
        <v>0.19558400000000001</v>
      </c>
      <c r="Q28">
        <v>0.19392000000000001</v>
      </c>
      <c r="R28" s="4">
        <f t="shared" si="2"/>
        <v>0.99149214659685869</v>
      </c>
      <c r="T28">
        <v>0.22739200000000001</v>
      </c>
      <c r="U28">
        <v>0.22367999999999999</v>
      </c>
      <c r="V28" s="4">
        <f t="shared" si="3"/>
        <v>0.98367576695750059</v>
      </c>
      <c r="Y28">
        <v>32</v>
      </c>
      <c r="Z28">
        <v>576</v>
      </c>
      <c r="AA28">
        <v>512</v>
      </c>
      <c r="AB28">
        <v>28</v>
      </c>
      <c r="AC28">
        <v>4</v>
      </c>
      <c r="AE28">
        <v>0.29311999999999999</v>
      </c>
      <c r="AF28">
        <v>0.28979199999999999</v>
      </c>
      <c r="AG28" s="4">
        <f t="shared" si="4"/>
        <v>0.98864628820960698</v>
      </c>
      <c r="AI28">
        <v>0.33279999999999998</v>
      </c>
      <c r="AJ28">
        <v>0.33350400000000002</v>
      </c>
      <c r="AK28" s="4">
        <f t="shared" si="5"/>
        <v>1.0021153846153847</v>
      </c>
      <c r="AN28">
        <v>0.40172799999999997</v>
      </c>
    </row>
    <row r="29" spans="1:40" x14ac:dyDescent="0.25">
      <c r="A29" t="s">
        <v>5</v>
      </c>
      <c r="B29">
        <v>64</v>
      </c>
      <c r="C29">
        <v>128</v>
      </c>
      <c r="D29">
        <v>512</v>
      </c>
      <c r="E29">
        <v>28</v>
      </c>
      <c r="F29">
        <v>4</v>
      </c>
      <c r="H29">
        <v>0.30086400000000002</v>
      </c>
      <c r="I29">
        <v>0.29030400000000001</v>
      </c>
      <c r="J29" s="4">
        <f t="shared" si="0"/>
        <v>0.96490108487555837</v>
      </c>
      <c r="K29" s="4"/>
      <c r="L29">
        <v>0.39539200000000002</v>
      </c>
      <c r="M29">
        <v>0.36665599999999998</v>
      </c>
      <c r="N29" s="4">
        <f t="shared" si="1"/>
        <v>0.92732275817416632</v>
      </c>
      <c r="P29">
        <v>0.34016000000000002</v>
      </c>
      <c r="Q29">
        <v>0.33030399999999999</v>
      </c>
      <c r="R29" s="4">
        <f t="shared" si="2"/>
        <v>0.97102539981185321</v>
      </c>
      <c r="T29">
        <v>0.42105599999999999</v>
      </c>
      <c r="U29">
        <v>0.40172799999999997</v>
      </c>
      <c r="V29" s="4">
        <f t="shared" si="3"/>
        <v>0.9540963672290621</v>
      </c>
      <c r="Y29">
        <v>64</v>
      </c>
      <c r="Z29">
        <v>576</v>
      </c>
      <c r="AA29">
        <v>512</v>
      </c>
      <c r="AB29">
        <v>28</v>
      </c>
      <c r="AC29">
        <v>4</v>
      </c>
      <c r="AE29">
        <v>0.53676800000000002</v>
      </c>
      <c r="AF29">
        <v>0.53715199999999996</v>
      </c>
      <c r="AG29" s="4">
        <f t="shared" si="4"/>
        <v>1.0007153928699175</v>
      </c>
      <c r="AI29">
        <v>0.61280000000000001</v>
      </c>
      <c r="AJ29">
        <v>0.61151999999999995</v>
      </c>
      <c r="AK29" s="4">
        <f t="shared" si="5"/>
        <v>0.9979112271540469</v>
      </c>
      <c r="AN29">
        <v>6.7776000000000003E-2</v>
      </c>
    </row>
    <row r="30" spans="1:40" x14ac:dyDescent="0.25">
      <c r="A30" t="s">
        <v>5</v>
      </c>
      <c r="B30">
        <v>1</v>
      </c>
      <c r="C30">
        <v>128</v>
      </c>
      <c r="D30">
        <f>1024</f>
        <v>1024</v>
      </c>
      <c r="E30">
        <v>28</v>
      </c>
      <c r="F30">
        <v>4</v>
      </c>
      <c r="H30">
        <v>6.7136000000000001E-2</v>
      </c>
      <c r="I30">
        <v>6.1887999999999999E-2</v>
      </c>
      <c r="J30" s="4">
        <f t="shared" si="0"/>
        <v>0.92183031458531928</v>
      </c>
      <c r="K30" s="4"/>
      <c r="L30">
        <v>7.5520000000000004E-2</v>
      </c>
      <c r="M30">
        <v>6.7391999999999994E-2</v>
      </c>
      <c r="N30" s="4">
        <f t="shared" si="1"/>
        <v>0.89237288135593207</v>
      </c>
      <c r="P30">
        <v>6.5792000000000003E-2</v>
      </c>
      <c r="Q30">
        <v>6.0479999999999999E-2</v>
      </c>
      <c r="R30" s="4">
        <f t="shared" si="2"/>
        <v>0.91926070038910501</v>
      </c>
      <c r="T30">
        <v>7.3856000000000005E-2</v>
      </c>
      <c r="U30">
        <v>6.7776000000000003E-2</v>
      </c>
      <c r="V30" s="4">
        <f t="shared" si="3"/>
        <v>0.9176776429809359</v>
      </c>
      <c r="Y30">
        <v>1</v>
      </c>
      <c r="Z30">
        <v>576</v>
      </c>
      <c r="AA30">
        <f>1024</f>
        <v>1024</v>
      </c>
      <c r="AB30">
        <v>28</v>
      </c>
      <c r="AC30">
        <v>4</v>
      </c>
      <c r="AE30">
        <v>0.13420799999999999</v>
      </c>
      <c r="AF30">
        <v>0.12851199999999999</v>
      </c>
      <c r="AG30" s="4">
        <f t="shared" si="4"/>
        <v>0.95755841678588449</v>
      </c>
      <c r="AI30">
        <v>0.13139200000000001</v>
      </c>
      <c r="AJ30">
        <v>0.12742400000000001</v>
      </c>
      <c r="AK30" s="4">
        <f t="shared" si="5"/>
        <v>0.96980029225523623</v>
      </c>
      <c r="AN30">
        <v>6.9888000000000006E-2</v>
      </c>
    </row>
    <row r="31" spans="1:40" x14ac:dyDescent="0.25">
      <c r="A31" t="s">
        <v>5</v>
      </c>
      <c r="B31">
        <v>2</v>
      </c>
      <c r="C31">
        <v>128</v>
      </c>
      <c r="D31">
        <f>1024</f>
        <v>1024</v>
      </c>
      <c r="E31">
        <v>28</v>
      </c>
      <c r="F31">
        <v>4</v>
      </c>
      <c r="H31">
        <v>6.7968000000000001E-2</v>
      </c>
      <c r="I31">
        <v>6.2399999999999997E-2</v>
      </c>
      <c r="J31" s="4">
        <f t="shared" si="0"/>
        <v>0.91807909604519766</v>
      </c>
      <c r="K31" s="4"/>
      <c r="L31">
        <v>7.5008000000000005E-2</v>
      </c>
      <c r="M31">
        <v>6.7904000000000006E-2</v>
      </c>
      <c r="N31" s="4">
        <f t="shared" si="1"/>
        <v>0.90529010238907848</v>
      </c>
      <c r="P31">
        <v>7.0975999999999997E-2</v>
      </c>
      <c r="Q31">
        <v>6.6624000000000003E-2</v>
      </c>
      <c r="R31" s="4">
        <f t="shared" si="2"/>
        <v>0.93868349864743017</v>
      </c>
      <c r="T31">
        <v>7.5903999999999999E-2</v>
      </c>
      <c r="U31">
        <v>6.9888000000000006E-2</v>
      </c>
      <c r="V31" s="4">
        <f t="shared" si="3"/>
        <v>0.92074198988195621</v>
      </c>
      <c r="Y31">
        <v>2</v>
      </c>
      <c r="Z31">
        <v>576</v>
      </c>
      <c r="AA31">
        <f>1024</f>
        <v>1024</v>
      </c>
      <c r="AB31">
        <v>28</v>
      </c>
      <c r="AC31">
        <v>4</v>
      </c>
      <c r="AE31">
        <v>0.13433600000000001</v>
      </c>
      <c r="AF31">
        <v>0.129024</v>
      </c>
      <c r="AG31" s="4">
        <f t="shared" si="4"/>
        <v>0.96045736064792753</v>
      </c>
      <c r="AI31">
        <v>0.135296</v>
      </c>
      <c r="AJ31">
        <v>0.13088</v>
      </c>
      <c r="AK31" s="4">
        <f t="shared" si="5"/>
        <v>0.96736045411542093</v>
      </c>
      <c r="AN31">
        <v>7.2127999999999998E-2</v>
      </c>
    </row>
    <row r="32" spans="1:40" x14ac:dyDescent="0.25">
      <c r="A32" t="s">
        <v>5</v>
      </c>
      <c r="B32">
        <v>4</v>
      </c>
      <c r="C32">
        <v>128</v>
      </c>
      <c r="D32">
        <f>1024</f>
        <v>1024</v>
      </c>
      <c r="E32">
        <v>28</v>
      </c>
      <c r="F32">
        <v>4</v>
      </c>
      <c r="H32">
        <v>6.6175999999999999E-2</v>
      </c>
      <c r="I32">
        <v>6.1247999999999997E-2</v>
      </c>
      <c r="J32" s="4">
        <f t="shared" si="0"/>
        <v>0.92553191489361697</v>
      </c>
      <c r="K32" s="4"/>
      <c r="L32">
        <v>7.5200000000000003E-2</v>
      </c>
      <c r="M32">
        <v>6.6752000000000006E-2</v>
      </c>
      <c r="N32" s="4">
        <f t="shared" si="1"/>
        <v>0.88765957446808519</v>
      </c>
      <c r="P32">
        <v>7.2192000000000006E-2</v>
      </c>
      <c r="Q32">
        <v>6.9695999999999994E-2</v>
      </c>
      <c r="R32" s="4">
        <f t="shared" si="2"/>
        <v>0.96542553191489344</v>
      </c>
      <c r="T32">
        <v>7.7759999999999996E-2</v>
      </c>
      <c r="U32">
        <v>7.2127999999999998E-2</v>
      </c>
      <c r="V32" s="4">
        <f t="shared" si="3"/>
        <v>0.92757201646090537</v>
      </c>
      <c r="Y32">
        <v>4</v>
      </c>
      <c r="Z32">
        <v>576</v>
      </c>
      <c r="AA32">
        <f>1024</f>
        <v>1024</v>
      </c>
      <c r="AB32">
        <v>28</v>
      </c>
      <c r="AC32">
        <v>4</v>
      </c>
      <c r="AE32">
        <v>0.129408</v>
      </c>
      <c r="AF32">
        <v>0.124864</v>
      </c>
      <c r="AG32" s="4">
        <f t="shared" si="4"/>
        <v>0.96488625123639971</v>
      </c>
      <c r="AI32">
        <v>0.13875199999999999</v>
      </c>
      <c r="AJ32">
        <v>0.135296</v>
      </c>
      <c r="AK32" s="4">
        <f t="shared" si="5"/>
        <v>0.97509225092250928</v>
      </c>
      <c r="AN32">
        <v>0.109056</v>
      </c>
    </row>
    <row r="33" spans="1:40" x14ac:dyDescent="0.25">
      <c r="A33" t="s">
        <v>5</v>
      </c>
      <c r="B33">
        <v>8</v>
      </c>
      <c r="C33">
        <v>128</v>
      </c>
      <c r="D33">
        <f>1024</f>
        <v>1024</v>
      </c>
      <c r="E33">
        <v>28</v>
      </c>
      <c r="F33">
        <v>4</v>
      </c>
      <c r="H33">
        <v>9.5616000000000007E-2</v>
      </c>
      <c r="I33">
        <v>8.7424000000000002E-2</v>
      </c>
      <c r="J33" s="4">
        <f t="shared" si="0"/>
        <v>0.91432396251673353</v>
      </c>
      <c r="K33" s="4"/>
      <c r="L33">
        <v>0.111488</v>
      </c>
      <c r="M33">
        <v>9.8239999999999994E-2</v>
      </c>
      <c r="N33" s="4">
        <f t="shared" si="1"/>
        <v>0.88117106773823184</v>
      </c>
      <c r="P33">
        <v>0.112</v>
      </c>
      <c r="Q33">
        <v>0.10464</v>
      </c>
      <c r="R33" s="4">
        <f t="shared" si="2"/>
        <v>0.93428571428571427</v>
      </c>
      <c r="T33">
        <v>0.12102400000000001</v>
      </c>
      <c r="U33">
        <v>0.109056</v>
      </c>
      <c r="V33" s="4">
        <f t="shared" si="3"/>
        <v>0.90111052353252241</v>
      </c>
      <c r="Y33">
        <v>8</v>
      </c>
      <c r="Z33">
        <v>576</v>
      </c>
      <c r="AA33">
        <f>1024</f>
        <v>1024</v>
      </c>
      <c r="AB33">
        <v>28</v>
      </c>
      <c r="AC33">
        <v>4</v>
      </c>
      <c r="AE33">
        <v>0.17779200000000001</v>
      </c>
      <c r="AF33">
        <v>0.17216000000000001</v>
      </c>
      <c r="AG33" s="4">
        <f t="shared" si="4"/>
        <v>0.96832253419726422</v>
      </c>
      <c r="AI33">
        <v>0.19686400000000001</v>
      </c>
      <c r="AJ33">
        <v>0.191936</v>
      </c>
      <c r="AK33" s="4">
        <f t="shared" si="5"/>
        <v>0.97496749024707408</v>
      </c>
      <c r="AN33">
        <v>0.17555200000000001</v>
      </c>
    </row>
    <row r="34" spans="1:40" x14ac:dyDescent="0.25">
      <c r="A34" t="s">
        <v>5</v>
      </c>
      <c r="B34">
        <v>16</v>
      </c>
      <c r="C34">
        <v>128</v>
      </c>
      <c r="D34">
        <f>1024</f>
        <v>1024</v>
      </c>
      <c r="E34">
        <v>28</v>
      </c>
      <c r="F34">
        <v>4</v>
      </c>
      <c r="H34">
        <v>0.15071999999999999</v>
      </c>
      <c r="I34">
        <v>0.13107199999999999</v>
      </c>
      <c r="J34" s="4">
        <f t="shared" si="0"/>
        <v>0.8696390658174098</v>
      </c>
      <c r="K34" s="4"/>
      <c r="L34">
        <v>0.18515200000000001</v>
      </c>
      <c r="M34">
        <v>0.15615999999999999</v>
      </c>
      <c r="N34" s="4">
        <f t="shared" si="1"/>
        <v>0.8434151399930867</v>
      </c>
      <c r="P34">
        <v>0.177536</v>
      </c>
      <c r="Q34">
        <v>0.15859200000000001</v>
      </c>
      <c r="R34" s="4">
        <f t="shared" si="2"/>
        <v>0.89329488103821209</v>
      </c>
      <c r="T34">
        <v>0.20448</v>
      </c>
      <c r="U34">
        <v>0.17555200000000001</v>
      </c>
      <c r="V34" s="4">
        <f t="shared" si="3"/>
        <v>0.85852895148669806</v>
      </c>
      <c r="Y34">
        <v>16</v>
      </c>
      <c r="Z34">
        <v>576</v>
      </c>
      <c r="AA34">
        <f>1024</f>
        <v>1024</v>
      </c>
      <c r="AB34">
        <v>28</v>
      </c>
      <c r="AC34">
        <v>4</v>
      </c>
      <c r="AE34">
        <v>0.28006399999999998</v>
      </c>
      <c r="AF34">
        <v>0.27430399999999999</v>
      </c>
      <c r="AG34" s="4">
        <f t="shared" si="4"/>
        <v>0.9794332723948812</v>
      </c>
      <c r="AI34">
        <v>0.31552000000000002</v>
      </c>
      <c r="AJ34">
        <v>0.31443199999999999</v>
      </c>
      <c r="AK34" s="4">
        <f t="shared" si="5"/>
        <v>0.99655172413793092</v>
      </c>
      <c r="AN34">
        <v>0.31552000000000002</v>
      </c>
    </row>
    <row r="35" spans="1:40" x14ac:dyDescent="0.25">
      <c r="A35" t="s">
        <v>5</v>
      </c>
      <c r="B35">
        <v>32</v>
      </c>
      <c r="C35">
        <v>128</v>
      </c>
      <c r="D35">
        <f>1024</f>
        <v>1024</v>
      </c>
      <c r="E35">
        <v>28</v>
      </c>
      <c r="F35">
        <v>4</v>
      </c>
      <c r="H35">
        <v>0.26207999999999998</v>
      </c>
      <c r="I35">
        <v>0.21171200000000001</v>
      </c>
      <c r="J35" s="4">
        <f t="shared" si="0"/>
        <v>0.80781440781440794</v>
      </c>
      <c r="K35" s="4"/>
      <c r="L35">
        <v>0.33529599999999998</v>
      </c>
      <c r="M35">
        <v>0.27679999999999999</v>
      </c>
      <c r="N35" s="4">
        <f t="shared" si="1"/>
        <v>0.82553922504294719</v>
      </c>
      <c r="P35">
        <v>0.30803199999999997</v>
      </c>
      <c r="Q35">
        <v>0.272704</v>
      </c>
      <c r="R35" s="4">
        <f t="shared" si="2"/>
        <v>0.88531061707874514</v>
      </c>
      <c r="T35">
        <v>0.37171199999999999</v>
      </c>
      <c r="U35">
        <v>0.31552000000000002</v>
      </c>
      <c r="V35" s="4">
        <f t="shared" si="3"/>
        <v>0.8488292011019285</v>
      </c>
      <c r="Y35">
        <v>32</v>
      </c>
      <c r="Z35">
        <v>576</v>
      </c>
      <c r="AA35">
        <f>1024</f>
        <v>1024</v>
      </c>
      <c r="AB35">
        <v>28</v>
      </c>
      <c r="AC35">
        <v>4</v>
      </c>
      <c r="AE35">
        <v>0.46976000000000001</v>
      </c>
      <c r="AF35">
        <v>0.462144</v>
      </c>
      <c r="AG35" s="4">
        <f t="shared" si="4"/>
        <v>0.98378746594005451</v>
      </c>
      <c r="AI35">
        <v>0.56454400000000005</v>
      </c>
      <c r="AJ35">
        <v>0.55871999999999999</v>
      </c>
      <c r="AK35" s="4">
        <f t="shared" si="5"/>
        <v>0.98968370933000782</v>
      </c>
      <c r="AN35">
        <v>0.59455999999999998</v>
      </c>
    </row>
    <row r="36" spans="1:40" x14ac:dyDescent="0.25">
      <c r="A36" t="s">
        <v>5</v>
      </c>
      <c r="B36">
        <v>64</v>
      </c>
      <c r="C36">
        <v>128</v>
      </c>
      <c r="D36">
        <f>1024</f>
        <v>1024</v>
      </c>
      <c r="E36">
        <v>28</v>
      </c>
      <c r="F36">
        <v>4</v>
      </c>
      <c r="H36">
        <v>0.46790399999999999</v>
      </c>
      <c r="I36">
        <v>0.36646400000000001</v>
      </c>
      <c r="J36" s="4">
        <f t="shared" si="0"/>
        <v>0.78320339214881685</v>
      </c>
      <c r="K36" s="4"/>
      <c r="L36">
        <v>0.62028799999999995</v>
      </c>
      <c r="M36">
        <v>0.50009599999999998</v>
      </c>
      <c r="N36" s="4">
        <f t="shared" si="1"/>
        <v>0.80623194387123409</v>
      </c>
      <c r="P36">
        <v>0.54374400000000001</v>
      </c>
      <c r="Q36">
        <v>0.47398400000000002</v>
      </c>
      <c r="R36" s="4">
        <f t="shared" si="2"/>
        <v>0.87170433145009418</v>
      </c>
      <c r="T36">
        <v>0.70739200000000002</v>
      </c>
      <c r="U36">
        <v>0.59455999999999998</v>
      </c>
      <c r="V36" s="4">
        <f t="shared" si="3"/>
        <v>0.8404957929973762</v>
      </c>
      <c r="Y36">
        <v>64</v>
      </c>
      <c r="Z36">
        <v>576</v>
      </c>
      <c r="AA36">
        <f>1024</f>
        <v>1024</v>
      </c>
      <c r="AB36">
        <v>28</v>
      </c>
      <c r="AC36">
        <v>4</v>
      </c>
      <c r="AE36">
        <v>0.81382399999999999</v>
      </c>
      <c r="AF36">
        <v>0.8</v>
      </c>
      <c r="AG36" s="4">
        <f t="shared" si="4"/>
        <v>0.98301352626612148</v>
      </c>
      <c r="AI36">
        <v>1.054144</v>
      </c>
      <c r="AJ36">
        <v>1.0509440000000001</v>
      </c>
      <c r="AK36" s="4">
        <f t="shared" si="5"/>
        <v>0.99696436160524571</v>
      </c>
      <c r="AN36">
        <v>9.6895999999999996E-2</v>
      </c>
    </row>
    <row r="37" spans="1:40" x14ac:dyDescent="0.25">
      <c r="A37" t="s">
        <v>5</v>
      </c>
      <c r="B37">
        <v>1</v>
      </c>
      <c r="C37">
        <v>128</v>
      </c>
      <c r="D37">
        <f>2048</f>
        <v>2048</v>
      </c>
      <c r="E37">
        <v>28</v>
      </c>
      <c r="F37">
        <v>4</v>
      </c>
      <c r="H37">
        <v>9.2992000000000005E-2</v>
      </c>
      <c r="I37">
        <v>8.4416000000000005E-2</v>
      </c>
      <c r="J37" s="4">
        <f t="shared" si="0"/>
        <v>0.90777701307639369</v>
      </c>
      <c r="K37" s="4"/>
      <c r="L37">
        <v>0.110016</v>
      </c>
      <c r="M37">
        <v>9.4848000000000002E-2</v>
      </c>
      <c r="N37" s="4">
        <f t="shared" si="1"/>
        <v>0.86212914485165792</v>
      </c>
      <c r="P37">
        <v>9.0688000000000005E-2</v>
      </c>
      <c r="Q37">
        <v>8.1600000000000006E-2</v>
      </c>
      <c r="R37" s="4">
        <f t="shared" si="2"/>
        <v>0.89978828510938602</v>
      </c>
      <c r="T37">
        <v>0.110912</v>
      </c>
      <c r="U37">
        <v>9.6895999999999996E-2</v>
      </c>
      <c r="V37" s="4">
        <f t="shared" si="3"/>
        <v>0.87362954414310445</v>
      </c>
      <c r="Y37">
        <v>1</v>
      </c>
      <c r="Z37">
        <v>576</v>
      </c>
      <c r="AA37">
        <f>2048</f>
        <v>2048</v>
      </c>
      <c r="AB37">
        <v>28</v>
      </c>
      <c r="AC37">
        <v>4</v>
      </c>
      <c r="AE37">
        <v>0.17849599999999999</v>
      </c>
      <c r="AF37">
        <v>0.17312</v>
      </c>
      <c r="AG37" s="4">
        <f t="shared" si="4"/>
        <v>0.96988167802079606</v>
      </c>
      <c r="AI37">
        <v>0.17580799999999999</v>
      </c>
      <c r="AJ37">
        <v>0.171648</v>
      </c>
      <c r="AK37" s="4">
        <f t="shared" si="5"/>
        <v>0.97633782307972339</v>
      </c>
      <c r="AN37">
        <v>0.10073600000000001</v>
      </c>
    </row>
    <row r="38" spans="1:40" x14ac:dyDescent="0.25">
      <c r="A38" t="s">
        <v>5</v>
      </c>
      <c r="B38">
        <v>2</v>
      </c>
      <c r="C38">
        <v>128</v>
      </c>
      <c r="D38">
        <f>2048</f>
        <v>2048</v>
      </c>
      <c r="E38">
        <v>28</v>
      </c>
      <c r="F38">
        <v>4</v>
      </c>
      <c r="H38">
        <v>9.3439999999999995E-2</v>
      </c>
      <c r="I38">
        <v>8.5056000000000007E-2</v>
      </c>
      <c r="J38" s="4">
        <f t="shared" si="0"/>
        <v>0.91027397260273979</v>
      </c>
      <c r="K38" s="4"/>
      <c r="L38">
        <v>0.109696</v>
      </c>
      <c r="M38">
        <v>9.536E-2</v>
      </c>
      <c r="N38" s="4">
        <f t="shared" si="1"/>
        <v>0.86931155192532084</v>
      </c>
      <c r="P38">
        <v>0.10022399999999999</v>
      </c>
      <c r="Q38">
        <v>9.4208E-2</v>
      </c>
      <c r="R38" s="4">
        <f t="shared" si="2"/>
        <v>0.93997445721583661</v>
      </c>
      <c r="T38">
        <v>0.11590399999999999</v>
      </c>
      <c r="U38">
        <v>0.10073600000000001</v>
      </c>
      <c r="V38" s="4">
        <f t="shared" si="3"/>
        <v>0.86913307564881292</v>
      </c>
      <c r="Y38">
        <v>2</v>
      </c>
      <c r="Z38">
        <v>576</v>
      </c>
      <c r="AA38">
        <f>2048</f>
        <v>2048</v>
      </c>
      <c r="AB38">
        <v>28</v>
      </c>
      <c r="AC38">
        <v>4</v>
      </c>
      <c r="AE38">
        <v>0.17830399999999999</v>
      </c>
      <c r="AF38">
        <v>0.17286399999999999</v>
      </c>
      <c r="AG38" s="4">
        <f t="shared" si="4"/>
        <v>0.9694903086862886</v>
      </c>
      <c r="AI38">
        <v>0.181952</v>
      </c>
      <c r="AJ38">
        <v>0.17760000000000001</v>
      </c>
      <c r="AK38" s="4">
        <f t="shared" si="5"/>
        <v>0.97608160393950061</v>
      </c>
      <c r="AN38">
        <v>0.104768</v>
      </c>
    </row>
    <row r="39" spans="1:40" x14ac:dyDescent="0.25">
      <c r="A39" t="s">
        <v>5</v>
      </c>
      <c r="B39">
        <v>4</v>
      </c>
      <c r="C39">
        <v>128</v>
      </c>
      <c r="D39">
        <f>2048</f>
        <v>2048</v>
      </c>
      <c r="E39">
        <v>28</v>
      </c>
      <c r="F39">
        <v>4</v>
      </c>
      <c r="H39">
        <v>9.3184000000000003E-2</v>
      </c>
      <c r="I39">
        <v>8.7167999999999995E-2</v>
      </c>
      <c r="J39" s="4">
        <f t="shared" si="0"/>
        <v>0.93543956043956034</v>
      </c>
      <c r="K39" s="4"/>
      <c r="L39">
        <v>0.10995199999999999</v>
      </c>
      <c r="M39">
        <v>9.4719999999999999E-2</v>
      </c>
      <c r="N39" s="4">
        <f t="shared" si="1"/>
        <v>0.86146682188591384</v>
      </c>
      <c r="P39">
        <v>0.11507199999999999</v>
      </c>
      <c r="Q39">
        <v>0.105088</v>
      </c>
      <c r="R39" s="4">
        <f t="shared" si="2"/>
        <v>0.91323692992213579</v>
      </c>
      <c r="T39">
        <v>0.117824</v>
      </c>
      <c r="U39">
        <v>0.104768</v>
      </c>
      <c r="V39" s="4">
        <f t="shared" si="3"/>
        <v>0.88919065725149382</v>
      </c>
      <c r="Y39">
        <v>4</v>
      </c>
      <c r="Z39">
        <v>576</v>
      </c>
      <c r="AA39">
        <f>2048</f>
        <v>2048</v>
      </c>
      <c r="AB39">
        <v>28</v>
      </c>
      <c r="AC39">
        <v>4</v>
      </c>
      <c r="AE39">
        <v>0.17433599999999999</v>
      </c>
      <c r="AF39">
        <v>0.16966400000000001</v>
      </c>
      <c r="AG39" s="4">
        <f t="shared" si="4"/>
        <v>0.97320117474302503</v>
      </c>
      <c r="AI39">
        <v>0.19206400000000001</v>
      </c>
      <c r="AJ39">
        <v>0.18771199999999999</v>
      </c>
      <c r="AK39" s="4">
        <f t="shared" si="5"/>
        <v>0.97734088637120953</v>
      </c>
      <c r="AN39">
        <v>0.172928</v>
      </c>
    </row>
    <row r="40" spans="1:40" x14ac:dyDescent="0.25">
      <c r="A40" t="s">
        <v>5</v>
      </c>
      <c r="B40">
        <v>8</v>
      </c>
      <c r="C40">
        <v>128</v>
      </c>
      <c r="D40">
        <f>2048</f>
        <v>2048</v>
      </c>
      <c r="E40">
        <v>28</v>
      </c>
      <c r="F40">
        <v>4</v>
      </c>
      <c r="H40">
        <v>0.152</v>
      </c>
      <c r="I40">
        <v>0.13023999999999999</v>
      </c>
      <c r="J40" s="4">
        <f t="shared" si="0"/>
        <v>0.85684210526315785</v>
      </c>
      <c r="K40" s="4"/>
      <c r="L40">
        <v>0.18048</v>
      </c>
      <c r="M40">
        <v>0.15219199999999999</v>
      </c>
      <c r="N40" s="4">
        <f t="shared" si="1"/>
        <v>0.84326241134751767</v>
      </c>
      <c r="P40">
        <v>0.17452799999999999</v>
      </c>
      <c r="Q40">
        <v>0.165376</v>
      </c>
      <c r="R40" s="4">
        <f t="shared" si="2"/>
        <v>0.94756142280894762</v>
      </c>
      <c r="T40">
        <v>0.20070399999999999</v>
      </c>
      <c r="U40">
        <v>0.172928</v>
      </c>
      <c r="V40" s="4">
        <f t="shared" si="3"/>
        <v>0.8616071428571429</v>
      </c>
      <c r="Y40">
        <v>8</v>
      </c>
      <c r="Z40">
        <v>576</v>
      </c>
      <c r="AA40">
        <f>2048</f>
        <v>2048</v>
      </c>
      <c r="AB40">
        <v>28</v>
      </c>
      <c r="AC40">
        <v>4</v>
      </c>
      <c r="AE40">
        <v>0.26694400000000001</v>
      </c>
      <c r="AF40">
        <v>0.26150400000000001</v>
      </c>
      <c r="AG40" s="4">
        <f t="shared" si="4"/>
        <v>0.9796211939582834</v>
      </c>
      <c r="AI40">
        <v>0.30464000000000002</v>
      </c>
      <c r="AJ40">
        <v>0.30137599999999998</v>
      </c>
      <c r="AK40" s="4">
        <f t="shared" si="5"/>
        <v>0.9892857142857141</v>
      </c>
      <c r="AN40">
        <v>0.31142399999999998</v>
      </c>
    </row>
    <row r="41" spans="1:40" x14ac:dyDescent="0.25">
      <c r="A41" t="s">
        <v>5</v>
      </c>
      <c r="B41">
        <v>16</v>
      </c>
      <c r="C41">
        <v>128</v>
      </c>
      <c r="D41">
        <f>2048</f>
        <v>2048</v>
      </c>
      <c r="E41">
        <v>28</v>
      </c>
      <c r="F41">
        <v>4</v>
      </c>
      <c r="H41">
        <v>0.26016</v>
      </c>
      <c r="I41">
        <v>0.21158399999999999</v>
      </c>
      <c r="J41" s="4">
        <f t="shared" si="0"/>
        <v>0.81328413284132839</v>
      </c>
      <c r="K41" s="4"/>
      <c r="L41">
        <v>0.32377600000000001</v>
      </c>
      <c r="M41">
        <v>0.26777600000000001</v>
      </c>
      <c r="N41" s="4">
        <f t="shared" si="1"/>
        <v>0.82704091717730777</v>
      </c>
      <c r="P41">
        <v>0.304512</v>
      </c>
      <c r="Q41">
        <v>0.27315200000000001</v>
      </c>
      <c r="R41" s="4">
        <f t="shared" si="2"/>
        <v>0.89701555275325773</v>
      </c>
      <c r="T41">
        <v>0.36563200000000001</v>
      </c>
      <c r="U41">
        <v>0.31142399999999998</v>
      </c>
      <c r="V41" s="4">
        <f t="shared" si="3"/>
        <v>0.85174164186942058</v>
      </c>
      <c r="Y41">
        <v>16</v>
      </c>
      <c r="Z41">
        <v>576</v>
      </c>
      <c r="AA41">
        <f>2048</f>
        <v>2048</v>
      </c>
      <c r="AB41">
        <v>28</v>
      </c>
      <c r="AC41">
        <v>4</v>
      </c>
      <c r="AE41">
        <v>0.45766400000000002</v>
      </c>
      <c r="AF41">
        <v>0.45260800000000001</v>
      </c>
      <c r="AG41" s="4">
        <f t="shared" si="4"/>
        <v>0.98895259404279123</v>
      </c>
      <c r="AI41">
        <v>0.53503999999999996</v>
      </c>
      <c r="AJ41">
        <v>0.53024000000000004</v>
      </c>
      <c r="AK41" s="4">
        <f t="shared" si="5"/>
        <v>0.99102870813397148</v>
      </c>
      <c r="AN41">
        <v>0.58041600000000004</v>
      </c>
    </row>
    <row r="42" spans="1:40" x14ac:dyDescent="0.25">
      <c r="A42" t="s">
        <v>5</v>
      </c>
      <c r="B42">
        <v>32</v>
      </c>
      <c r="C42">
        <v>128</v>
      </c>
      <c r="D42">
        <f>2048</f>
        <v>2048</v>
      </c>
      <c r="E42">
        <v>28</v>
      </c>
      <c r="F42">
        <v>4</v>
      </c>
      <c r="H42">
        <v>0.43417600000000001</v>
      </c>
      <c r="I42">
        <v>0.35628799999999999</v>
      </c>
      <c r="J42" s="4">
        <f t="shared" si="0"/>
        <v>0.82060731132075471</v>
      </c>
      <c r="K42" s="4"/>
      <c r="L42">
        <v>0.59328000000000003</v>
      </c>
      <c r="M42">
        <v>0.48691200000000001</v>
      </c>
      <c r="N42" s="4">
        <f t="shared" si="1"/>
        <v>0.82071197411003238</v>
      </c>
      <c r="P42">
        <v>0.53683199999999998</v>
      </c>
      <c r="Q42">
        <v>0.47366399999999997</v>
      </c>
      <c r="R42" s="4">
        <f t="shared" si="2"/>
        <v>0.88233190271816886</v>
      </c>
      <c r="T42">
        <v>0.683392</v>
      </c>
      <c r="U42">
        <v>0.58041600000000004</v>
      </c>
      <c r="V42" s="4">
        <f t="shared" si="3"/>
        <v>0.84931635137666239</v>
      </c>
      <c r="Y42">
        <v>32</v>
      </c>
      <c r="Z42">
        <v>576</v>
      </c>
      <c r="AA42">
        <f>2048</f>
        <v>2048</v>
      </c>
      <c r="AB42">
        <v>28</v>
      </c>
      <c r="AC42">
        <v>4</v>
      </c>
      <c r="AE42">
        <v>0.76940799999999998</v>
      </c>
      <c r="AF42">
        <v>0.76364799999999999</v>
      </c>
      <c r="AG42" s="4">
        <f t="shared" si="4"/>
        <v>0.99251372483779743</v>
      </c>
      <c r="AI42">
        <v>0.99513600000000002</v>
      </c>
      <c r="AJ42">
        <v>0.99155199999999999</v>
      </c>
      <c r="AK42" s="4">
        <f t="shared" si="5"/>
        <v>0.99639848221750593</v>
      </c>
      <c r="AN42">
        <v>1.1208959999999999</v>
      </c>
    </row>
    <row r="43" spans="1:40" x14ac:dyDescent="0.25">
      <c r="A43" t="s">
        <v>5</v>
      </c>
      <c r="B43">
        <v>64</v>
      </c>
      <c r="C43">
        <v>128</v>
      </c>
      <c r="D43">
        <f>2048</f>
        <v>2048</v>
      </c>
      <c r="E43">
        <v>28</v>
      </c>
      <c r="F43">
        <v>4</v>
      </c>
      <c r="H43">
        <v>0.81644799999999995</v>
      </c>
      <c r="I43">
        <v>0.62764799999999998</v>
      </c>
      <c r="J43" s="4">
        <f t="shared" si="0"/>
        <v>0.76875440934388961</v>
      </c>
      <c r="K43" s="4"/>
      <c r="L43">
        <v>1.1597440000000001</v>
      </c>
      <c r="M43">
        <v>0.93324799999999997</v>
      </c>
      <c r="N43" s="4">
        <f t="shared" si="1"/>
        <v>0.80470172727774392</v>
      </c>
      <c r="P43">
        <v>0.98611199999999999</v>
      </c>
      <c r="Q43">
        <v>0.87295999999999996</v>
      </c>
      <c r="R43" s="4">
        <f t="shared" si="2"/>
        <v>0.88525441329179644</v>
      </c>
      <c r="T43">
        <v>1.3216639999999999</v>
      </c>
      <c r="U43">
        <v>1.1208959999999999</v>
      </c>
      <c r="V43" s="4">
        <f t="shared" si="3"/>
        <v>0.84809452326763834</v>
      </c>
      <c r="Y43">
        <v>64</v>
      </c>
      <c r="Z43">
        <v>576</v>
      </c>
      <c r="AA43">
        <f>2048</f>
        <v>2048</v>
      </c>
      <c r="AB43">
        <v>28</v>
      </c>
      <c r="AC43">
        <v>4</v>
      </c>
      <c r="AE43">
        <v>1.444032</v>
      </c>
      <c r="AF43">
        <v>1.4455039999999999</v>
      </c>
      <c r="AG43" s="4">
        <f t="shared" si="4"/>
        <v>1.0010193679918451</v>
      </c>
      <c r="AI43">
        <v>1.9361280000000001</v>
      </c>
      <c r="AJ43">
        <v>1.925184</v>
      </c>
      <c r="AK43" s="4">
        <f t="shared" si="5"/>
        <v>0.99434748115827054</v>
      </c>
      <c r="AN43">
        <v>0.124864</v>
      </c>
    </row>
    <row r="44" spans="1:40" x14ac:dyDescent="0.25">
      <c r="A44" t="s">
        <v>5</v>
      </c>
      <c r="B44">
        <v>1</v>
      </c>
      <c r="C44">
        <v>128</v>
      </c>
      <c r="D44">
        <f>3072</f>
        <v>3072</v>
      </c>
      <c r="E44">
        <v>28</v>
      </c>
      <c r="F44">
        <v>4</v>
      </c>
      <c r="H44">
        <v>0.121792</v>
      </c>
      <c r="I44">
        <v>0.103936</v>
      </c>
      <c r="J44" s="4">
        <f t="shared" si="0"/>
        <v>0.8533893851812927</v>
      </c>
      <c r="K44" s="4"/>
      <c r="L44">
        <v>0.14412800000000001</v>
      </c>
      <c r="M44">
        <v>0.12281599999999999</v>
      </c>
      <c r="N44" s="4">
        <f t="shared" si="1"/>
        <v>0.85213143872113672</v>
      </c>
      <c r="P44">
        <v>0.115968</v>
      </c>
      <c r="Q44">
        <v>0.102336</v>
      </c>
      <c r="R44" s="4">
        <f t="shared" si="2"/>
        <v>0.88245033112582782</v>
      </c>
      <c r="T44">
        <v>0.14496000000000001</v>
      </c>
      <c r="U44">
        <v>0.124864</v>
      </c>
      <c r="V44" s="4">
        <f t="shared" si="3"/>
        <v>0.86136865342163349</v>
      </c>
      <c r="Y44">
        <v>1</v>
      </c>
      <c r="Z44">
        <v>576</v>
      </c>
      <c r="AA44">
        <f>3072</f>
        <v>3072</v>
      </c>
      <c r="AB44">
        <v>28</v>
      </c>
      <c r="AC44">
        <v>4</v>
      </c>
      <c r="AE44">
        <v>0.219392</v>
      </c>
      <c r="AF44">
        <v>0.21555199999999999</v>
      </c>
      <c r="AG44" s="4">
        <f t="shared" si="4"/>
        <v>0.9824970828471411</v>
      </c>
      <c r="AI44">
        <v>0.22342400000000001</v>
      </c>
      <c r="AJ44">
        <v>0.21491199999999999</v>
      </c>
      <c r="AK44" s="4">
        <f t="shared" si="5"/>
        <v>0.96190203380120298</v>
      </c>
      <c r="AN44">
        <v>0.13088</v>
      </c>
    </row>
    <row r="45" spans="1:40" x14ac:dyDescent="0.25">
      <c r="A45" t="s">
        <v>5</v>
      </c>
      <c r="B45">
        <v>2</v>
      </c>
      <c r="C45">
        <v>128</v>
      </c>
      <c r="D45">
        <f>3072</f>
        <v>3072</v>
      </c>
      <c r="E45">
        <v>28</v>
      </c>
      <c r="F45">
        <v>4</v>
      </c>
      <c r="H45">
        <v>0.124736</v>
      </c>
      <c r="I45">
        <v>0.103936</v>
      </c>
      <c r="J45" s="4">
        <f t="shared" si="0"/>
        <v>0.83324781939456127</v>
      </c>
      <c r="K45" s="4"/>
      <c r="L45">
        <v>0.14432</v>
      </c>
      <c r="M45">
        <v>0.1232</v>
      </c>
      <c r="N45" s="4">
        <f t="shared" si="1"/>
        <v>0.85365853658536583</v>
      </c>
      <c r="P45">
        <v>0.12934399999999999</v>
      </c>
      <c r="Q45">
        <v>0.11820799999999999</v>
      </c>
      <c r="R45" s="4">
        <f t="shared" si="2"/>
        <v>0.91390400791687287</v>
      </c>
      <c r="T45">
        <v>0.15148800000000001</v>
      </c>
      <c r="U45">
        <v>0.13088</v>
      </c>
      <c r="V45" s="4">
        <f t="shared" si="3"/>
        <v>0.86396282213772702</v>
      </c>
      <c r="Y45">
        <v>2</v>
      </c>
      <c r="Z45">
        <v>576</v>
      </c>
      <c r="AA45">
        <f>3072</f>
        <v>3072</v>
      </c>
      <c r="AB45">
        <v>28</v>
      </c>
      <c r="AC45">
        <v>4</v>
      </c>
      <c r="AE45">
        <v>0.22284799999999999</v>
      </c>
      <c r="AF45">
        <v>0.21823999999999999</v>
      </c>
      <c r="AG45" s="4">
        <f t="shared" si="4"/>
        <v>0.97932222860425044</v>
      </c>
      <c r="AI45">
        <v>0.22969600000000001</v>
      </c>
      <c r="AJ45">
        <v>0.22559999999999999</v>
      </c>
      <c r="AK45" s="4">
        <f t="shared" si="5"/>
        <v>0.98216773474505426</v>
      </c>
      <c r="AN45">
        <v>0.138048</v>
      </c>
    </row>
    <row r="46" spans="1:40" x14ac:dyDescent="0.25">
      <c r="A46" t="s">
        <v>5</v>
      </c>
      <c r="B46">
        <v>4</v>
      </c>
      <c r="C46">
        <v>128</v>
      </c>
      <c r="D46">
        <f>3072</f>
        <v>3072</v>
      </c>
      <c r="E46">
        <v>28</v>
      </c>
      <c r="F46">
        <v>4</v>
      </c>
      <c r="H46">
        <v>0.12300800000000001</v>
      </c>
      <c r="I46">
        <v>0.104448</v>
      </c>
      <c r="J46" s="4">
        <f t="shared" si="0"/>
        <v>0.8491155046826222</v>
      </c>
      <c r="K46" s="4"/>
      <c r="L46">
        <v>0.14361599999999999</v>
      </c>
      <c r="M46">
        <v>0.122048</v>
      </c>
      <c r="N46" s="4">
        <f t="shared" si="1"/>
        <v>0.84982174688057044</v>
      </c>
      <c r="P46">
        <v>0.14163200000000001</v>
      </c>
      <c r="Q46">
        <v>0.127552</v>
      </c>
      <c r="R46" s="4">
        <f t="shared" si="2"/>
        <v>0.90058743786714857</v>
      </c>
      <c r="T46">
        <v>0.15801599999999999</v>
      </c>
      <c r="U46">
        <v>0.138048</v>
      </c>
      <c r="V46" s="4">
        <f t="shared" si="3"/>
        <v>0.87363304981774004</v>
      </c>
      <c r="Y46">
        <v>4</v>
      </c>
      <c r="Z46">
        <v>576</v>
      </c>
      <c r="AA46">
        <f>3072</f>
        <v>3072</v>
      </c>
      <c r="AB46">
        <v>28</v>
      </c>
      <c r="AC46">
        <v>4</v>
      </c>
      <c r="AE46">
        <v>0.21529599999999999</v>
      </c>
      <c r="AF46">
        <v>0.21043200000000001</v>
      </c>
      <c r="AG46" s="4">
        <f t="shared" si="4"/>
        <v>0.97740784780023793</v>
      </c>
      <c r="AI46">
        <v>0.24460799999999999</v>
      </c>
      <c r="AJ46">
        <v>0.24096000000000001</v>
      </c>
      <c r="AK46" s="4">
        <f t="shared" si="5"/>
        <v>0.98508634222919944</v>
      </c>
      <c r="AN46">
        <v>0.245056</v>
      </c>
    </row>
    <row r="47" spans="1:40" x14ac:dyDescent="0.25">
      <c r="A47" t="s">
        <v>5</v>
      </c>
      <c r="B47">
        <v>8</v>
      </c>
      <c r="C47">
        <v>128</v>
      </c>
      <c r="D47">
        <f>3072</f>
        <v>3072</v>
      </c>
      <c r="E47">
        <v>28</v>
      </c>
      <c r="F47">
        <v>4</v>
      </c>
      <c r="H47">
        <v>0.20236799999999999</v>
      </c>
      <c r="I47">
        <v>0.169408</v>
      </c>
      <c r="J47" s="4">
        <f t="shared" si="0"/>
        <v>0.8371283997469956</v>
      </c>
      <c r="K47" s="4"/>
      <c r="L47">
        <v>0.25043199999999999</v>
      </c>
      <c r="M47">
        <v>0.209088</v>
      </c>
      <c r="N47" s="4">
        <f t="shared" si="1"/>
        <v>0.83490927676974191</v>
      </c>
      <c r="P47">
        <v>0.23680000000000001</v>
      </c>
      <c r="Q47">
        <v>0.21273600000000001</v>
      </c>
      <c r="R47" s="4">
        <f t="shared" si="2"/>
        <v>0.89837837837837842</v>
      </c>
      <c r="T47">
        <v>0.28294399999999997</v>
      </c>
      <c r="U47">
        <v>0.245056</v>
      </c>
      <c r="V47" s="4">
        <f t="shared" si="3"/>
        <v>0.8660936439719521</v>
      </c>
      <c r="Y47">
        <v>8</v>
      </c>
      <c r="Z47">
        <v>576</v>
      </c>
      <c r="AA47">
        <f>3072</f>
        <v>3072</v>
      </c>
      <c r="AB47">
        <v>28</v>
      </c>
      <c r="AC47">
        <v>4</v>
      </c>
      <c r="AE47">
        <v>0.359232</v>
      </c>
      <c r="AF47">
        <v>0.35596800000000001</v>
      </c>
      <c r="AG47" s="4">
        <f t="shared" si="4"/>
        <v>0.99091394975948699</v>
      </c>
      <c r="AI47">
        <v>0.41542400000000002</v>
      </c>
      <c r="AJ47">
        <v>0.41049600000000003</v>
      </c>
      <c r="AK47" s="4">
        <f t="shared" si="5"/>
        <v>0.98813742104452318</v>
      </c>
      <c r="AN47">
        <v>0.44044800000000001</v>
      </c>
    </row>
    <row r="48" spans="1:40" x14ac:dyDescent="0.25">
      <c r="A48" t="s">
        <v>5</v>
      </c>
      <c r="B48">
        <v>16</v>
      </c>
      <c r="C48">
        <v>128</v>
      </c>
      <c r="D48">
        <f>3072</f>
        <v>3072</v>
      </c>
      <c r="E48">
        <v>28</v>
      </c>
      <c r="F48">
        <v>4</v>
      </c>
      <c r="H48">
        <v>0.35020800000000002</v>
      </c>
      <c r="I48">
        <v>0.28281600000000001</v>
      </c>
      <c r="J48" s="4">
        <f t="shared" si="0"/>
        <v>0.80756578947368418</v>
      </c>
      <c r="K48" s="4"/>
      <c r="L48">
        <v>0.46118399999999998</v>
      </c>
      <c r="M48">
        <v>0.378496</v>
      </c>
      <c r="N48" s="4">
        <f t="shared" si="1"/>
        <v>0.82070496808215376</v>
      </c>
      <c r="P48">
        <v>0.41331200000000001</v>
      </c>
      <c r="Q48">
        <v>0.36255999999999999</v>
      </c>
      <c r="R48" s="4">
        <f t="shared" si="2"/>
        <v>0.87720656550015486</v>
      </c>
      <c r="T48">
        <v>0.51417599999999997</v>
      </c>
      <c r="U48">
        <v>0.44044800000000001</v>
      </c>
      <c r="V48" s="4">
        <f t="shared" si="3"/>
        <v>0.85660941000746837</v>
      </c>
      <c r="Y48">
        <v>16</v>
      </c>
      <c r="Z48">
        <v>576</v>
      </c>
      <c r="AA48">
        <f>3072</f>
        <v>3072</v>
      </c>
      <c r="AB48">
        <v>28</v>
      </c>
      <c r="AC48">
        <v>4</v>
      </c>
      <c r="AE48">
        <v>0.62969600000000003</v>
      </c>
      <c r="AF48">
        <v>0.62118399999999996</v>
      </c>
      <c r="AG48" s="4">
        <f t="shared" si="4"/>
        <v>0.9864823660941151</v>
      </c>
      <c r="AI48">
        <v>0.75193600000000005</v>
      </c>
      <c r="AJ48">
        <v>0.74374399999999996</v>
      </c>
      <c r="AK48" s="4">
        <f t="shared" si="5"/>
        <v>0.98910545578347087</v>
      </c>
      <c r="AN48">
        <v>0.843584</v>
      </c>
    </row>
    <row r="49" spans="1:40" x14ac:dyDescent="0.25">
      <c r="A49" t="s">
        <v>5</v>
      </c>
      <c r="B49">
        <v>32</v>
      </c>
      <c r="C49">
        <v>128</v>
      </c>
      <c r="D49">
        <f>3072</f>
        <v>3072</v>
      </c>
      <c r="E49">
        <v>28</v>
      </c>
      <c r="F49">
        <v>4</v>
      </c>
      <c r="H49">
        <v>0.606464</v>
      </c>
      <c r="I49">
        <v>0.48729600000000001</v>
      </c>
      <c r="J49" s="4">
        <f t="shared" si="0"/>
        <v>0.80350358801181931</v>
      </c>
      <c r="K49" s="4"/>
      <c r="L49">
        <v>0.88575999999999999</v>
      </c>
      <c r="M49">
        <v>0.72</v>
      </c>
      <c r="N49" s="4">
        <f t="shared" si="1"/>
        <v>0.81286127167630051</v>
      </c>
      <c r="P49">
        <v>0.755776</v>
      </c>
      <c r="Q49">
        <v>0.66688000000000003</v>
      </c>
      <c r="R49" s="4">
        <f t="shared" si="2"/>
        <v>0.88237784740452196</v>
      </c>
      <c r="T49">
        <v>0.98675199999999996</v>
      </c>
      <c r="U49">
        <v>0.843584</v>
      </c>
      <c r="V49" s="4">
        <f t="shared" si="3"/>
        <v>0.85490984563497219</v>
      </c>
      <c r="Y49">
        <v>32</v>
      </c>
      <c r="Z49">
        <v>576</v>
      </c>
      <c r="AA49">
        <f>3072</f>
        <v>3072</v>
      </c>
      <c r="AB49">
        <v>28</v>
      </c>
      <c r="AC49">
        <v>4</v>
      </c>
      <c r="AE49">
        <v>1.657152</v>
      </c>
      <c r="AF49">
        <v>1.6700159999999999</v>
      </c>
      <c r="AG49" s="4">
        <f t="shared" si="4"/>
        <v>1.0077627157919129</v>
      </c>
      <c r="AI49">
        <v>1.4410879999999999</v>
      </c>
      <c r="AJ49">
        <v>1.4270719999999999</v>
      </c>
      <c r="AK49" s="4">
        <f t="shared" si="5"/>
        <v>0.9902740151885242</v>
      </c>
      <c r="AN49">
        <v>1.64</v>
      </c>
    </row>
    <row r="50" spans="1:40" x14ac:dyDescent="0.25">
      <c r="A50" t="s">
        <v>5</v>
      </c>
      <c r="B50">
        <v>64</v>
      </c>
      <c r="C50">
        <v>128</v>
      </c>
      <c r="D50">
        <f>3072</f>
        <v>3072</v>
      </c>
      <c r="E50">
        <v>28</v>
      </c>
      <c r="F50">
        <v>4</v>
      </c>
      <c r="H50">
        <v>1.11328</v>
      </c>
      <c r="I50">
        <v>0.88473599999999997</v>
      </c>
      <c r="J50" s="4">
        <f t="shared" si="0"/>
        <v>0.79471112388617415</v>
      </c>
      <c r="K50" s="4"/>
      <c r="L50">
        <v>1.6881919999999999</v>
      </c>
      <c r="M50">
        <v>1.3555200000000001</v>
      </c>
      <c r="N50" s="4">
        <f t="shared" si="1"/>
        <v>0.80294184547729175</v>
      </c>
      <c r="P50">
        <v>1.406336</v>
      </c>
      <c r="Q50">
        <v>1.257088</v>
      </c>
      <c r="R50" s="4">
        <f t="shared" si="2"/>
        <v>0.89387457904796574</v>
      </c>
      <c r="T50">
        <v>1.9279999999999999</v>
      </c>
      <c r="U50">
        <v>1.64</v>
      </c>
      <c r="V50" s="4">
        <f t="shared" si="3"/>
        <v>0.85062240663900412</v>
      </c>
      <c r="Y50">
        <v>64</v>
      </c>
      <c r="Z50">
        <v>576</v>
      </c>
      <c r="AA50">
        <f>3072</f>
        <v>3072</v>
      </c>
      <c r="AB50">
        <v>28</v>
      </c>
      <c r="AC50">
        <v>4</v>
      </c>
      <c r="AE50">
        <v>2.0676480000000002</v>
      </c>
      <c r="AF50">
        <v>2.0685440000000002</v>
      </c>
      <c r="AG50" s="4">
        <f t="shared" si="4"/>
        <v>1.0004333426192467</v>
      </c>
      <c r="AI50">
        <v>2.794432</v>
      </c>
      <c r="AJ50">
        <v>2.785536</v>
      </c>
      <c r="AK50" s="4">
        <f t="shared" si="5"/>
        <v>0.99681652657856767</v>
      </c>
      <c r="AN50">
        <v>0.15296000000000001</v>
      </c>
    </row>
    <row r="51" spans="1:40" x14ac:dyDescent="0.25">
      <c r="A51" t="s">
        <v>5</v>
      </c>
      <c r="B51">
        <v>1</v>
      </c>
      <c r="C51">
        <v>128</v>
      </c>
      <c r="D51">
        <f>4096</f>
        <v>4096</v>
      </c>
      <c r="E51">
        <v>28</v>
      </c>
      <c r="F51">
        <v>4</v>
      </c>
      <c r="H51">
        <v>0.14630399999999999</v>
      </c>
      <c r="I51">
        <v>0.12595200000000001</v>
      </c>
      <c r="J51" s="4">
        <f t="shared" si="0"/>
        <v>0.86089238845144367</v>
      </c>
      <c r="K51" s="4"/>
      <c r="L51">
        <v>0.17875199999999999</v>
      </c>
      <c r="M51">
        <v>0.15071999999999999</v>
      </c>
      <c r="N51" s="4">
        <f t="shared" si="1"/>
        <v>0.8431793770139635</v>
      </c>
      <c r="P51">
        <v>0.14144000000000001</v>
      </c>
      <c r="Q51">
        <v>0.122432</v>
      </c>
      <c r="R51" s="4">
        <f t="shared" si="2"/>
        <v>0.86561085972850671</v>
      </c>
      <c r="T51">
        <v>0.1792</v>
      </c>
      <c r="U51">
        <v>0.15296000000000001</v>
      </c>
      <c r="V51" s="4">
        <f t="shared" si="3"/>
        <v>0.85357142857142865</v>
      </c>
      <c r="Y51">
        <v>1</v>
      </c>
      <c r="Z51">
        <v>576</v>
      </c>
      <c r="AA51">
        <f>4096</f>
        <v>4096</v>
      </c>
      <c r="AB51">
        <v>28</v>
      </c>
      <c r="AC51">
        <v>4</v>
      </c>
      <c r="AE51">
        <v>0.26656000000000002</v>
      </c>
      <c r="AF51">
        <v>0.25811200000000001</v>
      </c>
      <c r="AG51" s="4">
        <f t="shared" si="4"/>
        <v>0.96830732292917165</v>
      </c>
      <c r="AI51">
        <v>0.263488</v>
      </c>
      <c r="AJ51">
        <v>0.25977600000000001</v>
      </c>
      <c r="AK51" s="4">
        <f t="shared" si="5"/>
        <v>0.98591207189701247</v>
      </c>
      <c r="AN51">
        <v>0.16326399999999999</v>
      </c>
    </row>
    <row r="52" spans="1:40" x14ac:dyDescent="0.25">
      <c r="A52" t="s">
        <v>5</v>
      </c>
      <c r="B52">
        <v>2</v>
      </c>
      <c r="C52">
        <v>128</v>
      </c>
      <c r="D52">
        <f>4096</f>
        <v>4096</v>
      </c>
      <c r="E52">
        <v>28</v>
      </c>
      <c r="F52">
        <v>4</v>
      </c>
      <c r="H52">
        <v>0.14483199999999999</v>
      </c>
      <c r="I52">
        <v>0.12384000000000001</v>
      </c>
      <c r="J52" s="4">
        <f t="shared" si="0"/>
        <v>0.85505965532479022</v>
      </c>
      <c r="K52" s="4"/>
      <c r="L52">
        <v>0.179008</v>
      </c>
      <c r="M52">
        <v>0.15129600000000001</v>
      </c>
      <c r="N52" s="4">
        <f t="shared" si="1"/>
        <v>0.84519127636753677</v>
      </c>
      <c r="P52">
        <v>0.161216</v>
      </c>
      <c r="Q52">
        <v>0.14329600000000001</v>
      </c>
      <c r="R52" s="4">
        <f t="shared" si="2"/>
        <v>0.88884477967447406</v>
      </c>
      <c r="T52">
        <v>0.19123200000000001</v>
      </c>
      <c r="U52">
        <v>0.16326399999999999</v>
      </c>
      <c r="V52" s="4">
        <f t="shared" si="3"/>
        <v>0.85374832663989275</v>
      </c>
      <c r="Y52">
        <v>2</v>
      </c>
      <c r="Z52">
        <v>576</v>
      </c>
      <c r="AA52">
        <f>4096</f>
        <v>4096</v>
      </c>
      <c r="AB52">
        <v>28</v>
      </c>
      <c r="AC52">
        <v>4</v>
      </c>
      <c r="AE52">
        <v>0.26591999999999999</v>
      </c>
      <c r="AF52">
        <v>0.26240000000000002</v>
      </c>
      <c r="AG52" s="4">
        <f t="shared" si="4"/>
        <v>0.98676293622142008</v>
      </c>
      <c r="AI52">
        <v>0.27705600000000002</v>
      </c>
      <c r="AJ52">
        <v>0.27251199999999998</v>
      </c>
      <c r="AK52" s="4">
        <f t="shared" si="5"/>
        <v>0.98359898359898346</v>
      </c>
      <c r="AN52">
        <v>0.17363200000000001</v>
      </c>
    </row>
    <row r="53" spans="1:40" x14ac:dyDescent="0.25">
      <c r="A53" t="s">
        <v>5</v>
      </c>
      <c r="B53">
        <v>4</v>
      </c>
      <c r="C53">
        <v>128</v>
      </c>
      <c r="D53">
        <f>4096</f>
        <v>4096</v>
      </c>
      <c r="E53">
        <v>28</v>
      </c>
      <c r="F53">
        <v>4</v>
      </c>
      <c r="H53">
        <v>0.14432</v>
      </c>
      <c r="I53">
        <v>0.12665599999999999</v>
      </c>
      <c r="J53" s="4">
        <f t="shared" si="0"/>
        <v>0.87760532150776049</v>
      </c>
      <c r="K53" s="4"/>
      <c r="L53">
        <v>0.177984</v>
      </c>
      <c r="M53">
        <v>0.15020800000000001</v>
      </c>
      <c r="N53" s="4">
        <f t="shared" si="1"/>
        <v>0.84394102840704788</v>
      </c>
      <c r="P53">
        <v>0.17369599999999999</v>
      </c>
      <c r="Q53">
        <v>0.15820799999999999</v>
      </c>
      <c r="R53" s="4">
        <f t="shared" si="2"/>
        <v>0.91083271923360354</v>
      </c>
      <c r="T53">
        <v>0.19955200000000001</v>
      </c>
      <c r="U53">
        <v>0.17363200000000001</v>
      </c>
      <c r="V53" s="4">
        <f t="shared" si="3"/>
        <v>0.87010904425914048</v>
      </c>
      <c r="Y53">
        <v>4</v>
      </c>
      <c r="Z53">
        <v>576</v>
      </c>
      <c r="AA53">
        <f>4096</f>
        <v>4096</v>
      </c>
      <c r="AB53">
        <v>28</v>
      </c>
      <c r="AC53">
        <v>4</v>
      </c>
      <c r="AE53">
        <v>0.26419199999999998</v>
      </c>
      <c r="AF53">
        <v>0.25856000000000001</v>
      </c>
      <c r="AG53" s="4">
        <f t="shared" si="4"/>
        <v>0.97868217054263573</v>
      </c>
      <c r="AI53">
        <v>0.298176</v>
      </c>
      <c r="AJ53">
        <v>0.29350399999999999</v>
      </c>
      <c r="AK53" s="4">
        <f t="shared" si="5"/>
        <v>0.98433140158832366</v>
      </c>
      <c r="AN53">
        <v>0.31046400000000002</v>
      </c>
    </row>
    <row r="54" spans="1:40" x14ac:dyDescent="0.25">
      <c r="A54" t="s">
        <v>5</v>
      </c>
      <c r="B54">
        <v>8</v>
      </c>
      <c r="C54">
        <v>128</v>
      </c>
      <c r="D54">
        <f>4096</f>
        <v>4096</v>
      </c>
      <c r="E54">
        <v>28</v>
      </c>
      <c r="F54">
        <v>4</v>
      </c>
      <c r="H54">
        <v>0.24704000000000001</v>
      </c>
      <c r="I54">
        <v>0.20863999999999999</v>
      </c>
      <c r="J54" s="4">
        <f t="shared" si="0"/>
        <v>0.84455958549222787</v>
      </c>
      <c r="K54" s="4"/>
      <c r="L54">
        <v>0.32006400000000002</v>
      </c>
      <c r="M54">
        <v>0.26380799999999999</v>
      </c>
      <c r="N54" s="4">
        <f t="shared" si="1"/>
        <v>0.82423515296940608</v>
      </c>
      <c r="P54">
        <v>0.29420800000000003</v>
      </c>
      <c r="Q54">
        <v>0.27295999999999998</v>
      </c>
      <c r="R54" s="4">
        <f t="shared" si="2"/>
        <v>0.92777898629540989</v>
      </c>
      <c r="T54">
        <v>0.361792</v>
      </c>
      <c r="U54">
        <v>0.31046400000000002</v>
      </c>
      <c r="V54" s="4">
        <f t="shared" si="3"/>
        <v>0.85812842738369011</v>
      </c>
      <c r="Y54">
        <v>8</v>
      </c>
      <c r="Z54">
        <v>576</v>
      </c>
      <c r="AA54">
        <f>4096</f>
        <v>4096</v>
      </c>
      <c r="AB54">
        <v>28</v>
      </c>
      <c r="AC54">
        <v>4</v>
      </c>
      <c r="AE54">
        <v>0.44659199999999999</v>
      </c>
      <c r="AF54">
        <v>0.43910399999999999</v>
      </c>
      <c r="AG54" s="4">
        <f t="shared" si="4"/>
        <v>0.98323301805674979</v>
      </c>
      <c r="AI54">
        <v>0.52415999999999996</v>
      </c>
      <c r="AJ54">
        <v>0.51788800000000001</v>
      </c>
      <c r="AK54" s="4">
        <f t="shared" si="5"/>
        <v>0.98803418803418819</v>
      </c>
      <c r="AN54">
        <v>0.57990399999999998</v>
      </c>
    </row>
    <row r="55" spans="1:40" x14ac:dyDescent="0.25">
      <c r="A55" t="s">
        <v>5</v>
      </c>
      <c r="B55">
        <v>16</v>
      </c>
      <c r="C55">
        <v>128</v>
      </c>
      <c r="D55">
        <f>4096</f>
        <v>4096</v>
      </c>
      <c r="E55">
        <v>28</v>
      </c>
      <c r="F55">
        <v>4</v>
      </c>
      <c r="H55">
        <v>0.42585600000000001</v>
      </c>
      <c r="I55">
        <v>0.35424</v>
      </c>
      <c r="J55" s="4">
        <f t="shared" si="0"/>
        <v>0.83183047790802522</v>
      </c>
      <c r="K55" s="4"/>
      <c r="L55">
        <v>0.589696</v>
      </c>
      <c r="M55">
        <v>0.47859200000000002</v>
      </c>
      <c r="N55" s="4">
        <f t="shared" si="1"/>
        <v>0.81159105708704149</v>
      </c>
      <c r="P55">
        <v>0.53465600000000002</v>
      </c>
      <c r="Q55">
        <v>0.46944000000000002</v>
      </c>
      <c r="R55" s="4">
        <f t="shared" si="2"/>
        <v>0.87802250418960981</v>
      </c>
      <c r="T55">
        <v>0.68204799999999999</v>
      </c>
      <c r="U55">
        <v>0.57990399999999998</v>
      </c>
      <c r="V55" s="4">
        <f t="shared" si="3"/>
        <v>0.85023927934690813</v>
      </c>
      <c r="Y55">
        <v>16</v>
      </c>
      <c r="Z55">
        <v>576</v>
      </c>
      <c r="AA55">
        <f>4096</f>
        <v>4096</v>
      </c>
      <c r="AB55">
        <v>28</v>
      </c>
      <c r="AC55">
        <v>4</v>
      </c>
      <c r="AE55">
        <v>0.75392000000000003</v>
      </c>
      <c r="AF55">
        <v>0.74803200000000003</v>
      </c>
      <c r="AG55" s="4">
        <f t="shared" si="4"/>
        <v>0.99219015280135825</v>
      </c>
      <c r="AI55">
        <v>0.96870400000000001</v>
      </c>
      <c r="AJ55">
        <v>0.96102399999999999</v>
      </c>
      <c r="AK55" s="4">
        <f t="shared" si="5"/>
        <v>0.99207188160676529</v>
      </c>
      <c r="AN55">
        <v>1.108352</v>
      </c>
    </row>
    <row r="56" spans="1:40" x14ac:dyDescent="0.25">
      <c r="A56" t="s">
        <v>5</v>
      </c>
      <c r="B56">
        <v>32</v>
      </c>
      <c r="C56">
        <v>128</v>
      </c>
      <c r="D56">
        <f>4096</f>
        <v>4096</v>
      </c>
      <c r="E56">
        <v>28</v>
      </c>
      <c r="F56">
        <v>4</v>
      </c>
      <c r="H56">
        <v>0.76313600000000004</v>
      </c>
      <c r="I56">
        <v>0.61593600000000004</v>
      </c>
      <c r="J56" s="4">
        <f t="shared" si="0"/>
        <v>0.80711170748071115</v>
      </c>
      <c r="K56" s="4"/>
      <c r="L56">
        <v>1.121024</v>
      </c>
      <c r="M56">
        <v>0.90617599999999998</v>
      </c>
      <c r="N56" s="4">
        <f t="shared" si="1"/>
        <v>0.80834665448732579</v>
      </c>
      <c r="P56">
        <v>0.947712</v>
      </c>
      <c r="Q56">
        <v>0.86291200000000001</v>
      </c>
      <c r="R56" s="4">
        <f t="shared" si="2"/>
        <v>0.91052133981631556</v>
      </c>
      <c r="T56">
        <v>1.29376</v>
      </c>
      <c r="U56">
        <v>1.108352</v>
      </c>
      <c r="V56" s="4">
        <f t="shared" si="3"/>
        <v>0.85669057630472423</v>
      </c>
      <c r="Y56">
        <v>32</v>
      </c>
      <c r="Z56">
        <v>576</v>
      </c>
      <c r="AA56">
        <f>4096</f>
        <v>4096</v>
      </c>
      <c r="AB56">
        <v>28</v>
      </c>
      <c r="AC56">
        <v>4</v>
      </c>
      <c r="AE56">
        <v>1.4035200000000001</v>
      </c>
      <c r="AF56">
        <v>1.3984639999999999</v>
      </c>
      <c r="AG56" s="4">
        <f t="shared" si="4"/>
        <v>0.99639762881896932</v>
      </c>
      <c r="AI56">
        <v>1.8824320000000001</v>
      </c>
      <c r="AJ56">
        <v>1.8549119999999999</v>
      </c>
      <c r="AK56" s="4">
        <f t="shared" si="5"/>
        <v>0.98538061401421129</v>
      </c>
      <c r="AN56">
        <v>2.1596799999999998</v>
      </c>
    </row>
    <row r="57" spans="1:40" x14ac:dyDescent="0.25">
      <c r="A57" t="s">
        <v>5</v>
      </c>
      <c r="B57">
        <v>64</v>
      </c>
      <c r="C57">
        <v>128</v>
      </c>
      <c r="D57">
        <f>4096</f>
        <v>4096</v>
      </c>
      <c r="E57">
        <v>28</v>
      </c>
      <c r="F57">
        <v>4</v>
      </c>
      <c r="H57">
        <v>1.421632</v>
      </c>
      <c r="I57">
        <v>1.220288</v>
      </c>
      <c r="J57" s="4">
        <f t="shared" si="0"/>
        <v>0.85837122405798405</v>
      </c>
      <c r="K57" s="4"/>
      <c r="L57">
        <v>2.2241919999999999</v>
      </c>
      <c r="M57">
        <v>1.7922560000000001</v>
      </c>
      <c r="N57" s="4">
        <f t="shared" si="1"/>
        <v>0.80580093804851383</v>
      </c>
      <c r="P57">
        <v>1.840128</v>
      </c>
      <c r="Q57">
        <v>1.6191359999999999</v>
      </c>
      <c r="R57" s="4">
        <f t="shared" si="2"/>
        <v>0.87990400667779634</v>
      </c>
      <c r="T57">
        <v>2.4996480000000001</v>
      </c>
      <c r="U57">
        <v>2.1596799999999998</v>
      </c>
      <c r="V57" s="4">
        <f t="shared" si="3"/>
        <v>0.86399365030596298</v>
      </c>
      <c r="Y57">
        <v>64</v>
      </c>
      <c r="Z57">
        <v>576</v>
      </c>
      <c r="AA57">
        <f>4096</f>
        <v>4096</v>
      </c>
      <c r="AB57">
        <v>28</v>
      </c>
      <c r="AC57">
        <v>4</v>
      </c>
      <c r="AE57">
        <v>2.7179519999999999</v>
      </c>
      <c r="AF57">
        <v>2.7146240000000001</v>
      </c>
      <c r="AG57" s="4">
        <f t="shared" si="4"/>
        <v>0.99877554864839413</v>
      </c>
      <c r="AI57">
        <v>3.656768</v>
      </c>
      <c r="AJ57">
        <v>3.6515840000000002</v>
      </c>
      <c r="AK57" s="4">
        <f t="shared" si="5"/>
        <v>0.99858235469135592</v>
      </c>
      <c r="AN57">
        <v>0.18201600000000001</v>
      </c>
    </row>
    <row r="58" spans="1:40" x14ac:dyDescent="0.25">
      <c r="A58" t="s">
        <v>5</v>
      </c>
      <c r="B58">
        <v>1</v>
      </c>
      <c r="C58">
        <v>128</v>
      </c>
      <c r="D58">
        <f>5120</f>
        <v>5120</v>
      </c>
      <c r="E58">
        <v>28</v>
      </c>
      <c r="F58">
        <v>4</v>
      </c>
      <c r="H58">
        <v>0.167296</v>
      </c>
      <c r="I58">
        <v>0.14438400000000001</v>
      </c>
      <c r="J58" s="4">
        <f t="shared" si="0"/>
        <v>0.86304514154552414</v>
      </c>
      <c r="K58" s="4"/>
      <c r="L58">
        <v>0.214784</v>
      </c>
      <c r="M58">
        <v>0.178368</v>
      </c>
      <c r="N58" s="4">
        <f t="shared" si="1"/>
        <v>0.83045292014302741</v>
      </c>
      <c r="P58">
        <v>0.164352</v>
      </c>
      <c r="Q58">
        <v>0.142848</v>
      </c>
      <c r="R58" s="4">
        <f t="shared" si="2"/>
        <v>0.86915887850467288</v>
      </c>
      <c r="T58">
        <v>0.21632000000000001</v>
      </c>
      <c r="U58">
        <v>0.18201600000000001</v>
      </c>
      <c r="V58" s="4">
        <f t="shared" si="3"/>
        <v>0.8414201183431953</v>
      </c>
      <c r="Y58">
        <v>1</v>
      </c>
      <c r="Z58">
        <v>576</v>
      </c>
      <c r="AA58">
        <f>5120</f>
        <v>5120</v>
      </c>
      <c r="AB58">
        <v>28</v>
      </c>
      <c r="AC58">
        <v>4</v>
      </c>
      <c r="AE58">
        <v>0.30585600000000002</v>
      </c>
      <c r="AF58">
        <v>0.30553599999999997</v>
      </c>
      <c r="AG58" s="4">
        <f t="shared" si="4"/>
        <v>0.99895375601590275</v>
      </c>
      <c r="AI58">
        <v>0.31097599999999997</v>
      </c>
      <c r="AJ58">
        <v>0.30310399999999998</v>
      </c>
      <c r="AK58" s="4">
        <f t="shared" si="5"/>
        <v>0.97468614941345955</v>
      </c>
      <c r="AN58">
        <v>0.193024</v>
      </c>
    </row>
    <row r="59" spans="1:40" x14ac:dyDescent="0.25">
      <c r="A59" t="s">
        <v>5</v>
      </c>
      <c r="B59">
        <v>2</v>
      </c>
      <c r="C59">
        <v>128</v>
      </c>
      <c r="D59">
        <f>5120</f>
        <v>5120</v>
      </c>
      <c r="E59">
        <v>28</v>
      </c>
      <c r="F59">
        <v>4</v>
      </c>
      <c r="H59">
        <v>0.16800000000000001</v>
      </c>
      <c r="I59">
        <v>0.143872</v>
      </c>
      <c r="J59" s="4">
        <f t="shared" si="0"/>
        <v>0.85638095238095235</v>
      </c>
      <c r="K59" s="4"/>
      <c r="L59">
        <v>0.213312</v>
      </c>
      <c r="M59">
        <v>0.179008</v>
      </c>
      <c r="N59" s="4">
        <f t="shared" si="1"/>
        <v>0.83918391839183915</v>
      </c>
      <c r="P59">
        <v>0.19142400000000001</v>
      </c>
      <c r="Q59">
        <v>0.16966400000000001</v>
      </c>
      <c r="R59" s="4">
        <f t="shared" si="2"/>
        <v>0.88632564359745902</v>
      </c>
      <c r="T59">
        <v>0.22745599999999999</v>
      </c>
      <c r="U59">
        <v>0.193024</v>
      </c>
      <c r="V59" s="4">
        <f t="shared" si="3"/>
        <v>0.84862127180641533</v>
      </c>
      <c r="Y59">
        <v>2</v>
      </c>
      <c r="Z59">
        <v>576</v>
      </c>
      <c r="AA59">
        <f>5120</f>
        <v>5120</v>
      </c>
      <c r="AB59">
        <v>28</v>
      </c>
      <c r="AC59">
        <v>4</v>
      </c>
      <c r="AE59">
        <v>0.30752000000000002</v>
      </c>
      <c r="AF59">
        <v>0.30252800000000002</v>
      </c>
      <c r="AG59" s="4">
        <f t="shared" si="4"/>
        <v>0.98376690946930279</v>
      </c>
      <c r="AI59">
        <v>0.327872</v>
      </c>
      <c r="AJ59">
        <v>0.31968000000000002</v>
      </c>
      <c r="AK59" s="4">
        <f t="shared" si="5"/>
        <v>0.97501463985945747</v>
      </c>
      <c r="AN59">
        <v>0.20339199999999999</v>
      </c>
    </row>
    <row r="60" spans="1:40" x14ac:dyDescent="0.25">
      <c r="A60" t="s">
        <v>5</v>
      </c>
      <c r="B60">
        <v>4</v>
      </c>
      <c r="C60">
        <v>128</v>
      </c>
      <c r="D60">
        <f>5120</f>
        <v>5120</v>
      </c>
      <c r="E60">
        <v>28</v>
      </c>
      <c r="F60">
        <v>4</v>
      </c>
      <c r="H60">
        <v>0.16492799999999999</v>
      </c>
      <c r="I60">
        <v>0.14227200000000001</v>
      </c>
      <c r="J60" s="4">
        <f t="shared" si="0"/>
        <v>0.86263096623981383</v>
      </c>
      <c r="K60" s="4"/>
      <c r="L60">
        <v>0.21248</v>
      </c>
      <c r="M60">
        <v>0.177344</v>
      </c>
      <c r="N60" s="4">
        <f t="shared" si="1"/>
        <v>0.8346385542168675</v>
      </c>
      <c r="P60">
        <v>0.20985599999999999</v>
      </c>
      <c r="Q60">
        <v>0.181952</v>
      </c>
      <c r="R60" s="4">
        <f t="shared" si="2"/>
        <v>0.8670326318999696</v>
      </c>
      <c r="T60">
        <v>0.236096</v>
      </c>
      <c r="U60">
        <v>0.20339199999999999</v>
      </c>
      <c r="V60" s="4">
        <f t="shared" si="3"/>
        <v>0.86148007590132825</v>
      </c>
      <c r="Y60">
        <v>4</v>
      </c>
      <c r="Z60">
        <v>576</v>
      </c>
      <c r="AA60">
        <f>5120</f>
        <v>5120</v>
      </c>
      <c r="AB60">
        <v>28</v>
      </c>
      <c r="AC60">
        <v>4</v>
      </c>
      <c r="AE60">
        <v>0.29843199999999998</v>
      </c>
      <c r="AF60">
        <v>0.29452800000000001</v>
      </c>
      <c r="AG60" s="4">
        <f t="shared" si="4"/>
        <v>0.98691829294445643</v>
      </c>
      <c r="AI60">
        <v>0.35110400000000003</v>
      </c>
      <c r="AJ60">
        <v>0.34707199999999999</v>
      </c>
      <c r="AK60" s="4">
        <f t="shared" si="5"/>
        <v>0.98851622311337939</v>
      </c>
      <c r="AN60">
        <v>0.37318400000000002</v>
      </c>
    </row>
    <row r="61" spans="1:40" x14ac:dyDescent="0.25">
      <c r="A61" t="s">
        <v>5</v>
      </c>
      <c r="B61">
        <v>8</v>
      </c>
      <c r="C61">
        <v>128</v>
      </c>
      <c r="D61">
        <f>5120</f>
        <v>5120</v>
      </c>
      <c r="E61">
        <v>28</v>
      </c>
      <c r="F61">
        <v>4</v>
      </c>
      <c r="H61">
        <v>0.29350399999999999</v>
      </c>
      <c r="I61">
        <v>0.24851200000000001</v>
      </c>
      <c r="J61" s="4">
        <f t="shared" si="0"/>
        <v>0.84670737025730491</v>
      </c>
      <c r="K61" s="4"/>
      <c r="L61">
        <v>0.38758399999999998</v>
      </c>
      <c r="M61">
        <v>0.31942399999999999</v>
      </c>
      <c r="N61" s="4">
        <f t="shared" si="1"/>
        <v>0.82414134742404221</v>
      </c>
      <c r="P61">
        <v>0.35571199999999997</v>
      </c>
      <c r="Q61">
        <v>0.31206400000000001</v>
      </c>
      <c r="R61" s="4">
        <f t="shared" si="2"/>
        <v>0.87729399064411673</v>
      </c>
      <c r="T61">
        <v>0.43910399999999999</v>
      </c>
      <c r="U61">
        <v>0.37318400000000002</v>
      </c>
      <c r="V61" s="4">
        <f t="shared" si="3"/>
        <v>0.84987611135403007</v>
      </c>
      <c r="Y61">
        <v>8</v>
      </c>
      <c r="Z61">
        <v>576</v>
      </c>
      <c r="AA61">
        <f>5120</f>
        <v>5120</v>
      </c>
      <c r="AB61">
        <v>28</v>
      </c>
      <c r="AC61">
        <v>4</v>
      </c>
      <c r="AE61">
        <v>0.53568000000000005</v>
      </c>
      <c r="AF61">
        <v>0.53100800000000004</v>
      </c>
      <c r="AG61" s="4">
        <f t="shared" si="4"/>
        <v>0.99127837514934292</v>
      </c>
      <c r="AI61">
        <v>0.63014400000000004</v>
      </c>
      <c r="AJ61">
        <v>0.62886399999999998</v>
      </c>
      <c r="AK61" s="4">
        <f t="shared" si="5"/>
        <v>0.99796871826122269</v>
      </c>
      <c r="AN61">
        <v>0.70419200000000004</v>
      </c>
    </row>
    <row r="62" spans="1:40" x14ac:dyDescent="0.25">
      <c r="A62" t="s">
        <v>5</v>
      </c>
      <c r="B62">
        <v>16</v>
      </c>
      <c r="C62">
        <v>128</v>
      </c>
      <c r="D62">
        <f>5120</f>
        <v>5120</v>
      </c>
      <c r="E62">
        <v>28</v>
      </c>
      <c r="F62">
        <v>4</v>
      </c>
      <c r="H62">
        <v>0.50284799999999996</v>
      </c>
      <c r="I62">
        <v>0.41952</v>
      </c>
      <c r="J62" s="4">
        <f t="shared" si="0"/>
        <v>0.83428789614356635</v>
      </c>
      <c r="K62" s="4"/>
      <c r="L62">
        <v>0.73228800000000005</v>
      </c>
      <c r="M62">
        <v>0.60179199999999999</v>
      </c>
      <c r="N62" s="4">
        <f t="shared" si="1"/>
        <v>0.82179688865582934</v>
      </c>
      <c r="P62">
        <v>0.63583999999999996</v>
      </c>
      <c r="Q62">
        <v>0.55385600000000001</v>
      </c>
      <c r="R62" s="4">
        <f t="shared" si="2"/>
        <v>0.87106190236537506</v>
      </c>
      <c r="T62">
        <v>0.82995200000000002</v>
      </c>
      <c r="U62">
        <v>0.70419200000000004</v>
      </c>
      <c r="V62" s="4">
        <f t="shared" si="3"/>
        <v>0.84847316471314005</v>
      </c>
      <c r="Y62">
        <v>16</v>
      </c>
      <c r="Z62">
        <v>576</v>
      </c>
      <c r="AA62">
        <f>5120</f>
        <v>5120</v>
      </c>
      <c r="AB62">
        <v>28</v>
      </c>
      <c r="AC62">
        <v>4</v>
      </c>
      <c r="AE62">
        <v>1.3626240000000001</v>
      </c>
      <c r="AF62">
        <v>1.3855999999999999</v>
      </c>
      <c r="AG62" s="4">
        <f t="shared" si="4"/>
        <v>1.0168615847071532</v>
      </c>
      <c r="AI62">
        <v>1.1806719999999999</v>
      </c>
      <c r="AJ62">
        <v>1.1759999999999999</v>
      </c>
      <c r="AK62" s="4">
        <f t="shared" si="5"/>
        <v>0.99604293148308753</v>
      </c>
      <c r="AN62">
        <v>1.365056</v>
      </c>
    </row>
    <row r="63" spans="1:40" x14ac:dyDescent="0.25">
      <c r="A63" t="s">
        <v>5</v>
      </c>
      <c r="B63">
        <v>32</v>
      </c>
      <c r="C63">
        <v>128</v>
      </c>
      <c r="D63">
        <f>5120</f>
        <v>5120</v>
      </c>
      <c r="E63">
        <v>28</v>
      </c>
      <c r="F63">
        <v>4</v>
      </c>
      <c r="H63">
        <v>0.91468799999999995</v>
      </c>
      <c r="I63">
        <v>0.742784</v>
      </c>
      <c r="J63" s="4">
        <f t="shared" si="0"/>
        <v>0.81206269241533735</v>
      </c>
      <c r="K63" s="4"/>
      <c r="L63">
        <v>1.4231039999999999</v>
      </c>
      <c r="M63">
        <v>1.156096</v>
      </c>
      <c r="N63" s="4">
        <f t="shared" si="1"/>
        <v>0.81237632667746007</v>
      </c>
      <c r="P63">
        <v>1.189632</v>
      </c>
      <c r="Q63">
        <v>1.0522879999999999</v>
      </c>
      <c r="R63" s="4">
        <f t="shared" si="2"/>
        <v>0.88454917150849999</v>
      </c>
      <c r="T63">
        <v>1.599872</v>
      </c>
      <c r="U63">
        <v>1.365056</v>
      </c>
      <c r="V63" s="4">
        <f t="shared" si="3"/>
        <v>0.85322825826066095</v>
      </c>
      <c r="Y63">
        <v>32</v>
      </c>
      <c r="Z63">
        <v>576</v>
      </c>
      <c r="AA63">
        <f>5120</f>
        <v>5120</v>
      </c>
      <c r="AB63">
        <v>28</v>
      </c>
      <c r="AC63">
        <v>4</v>
      </c>
      <c r="AE63">
        <v>2.7712639999999999</v>
      </c>
      <c r="AF63">
        <v>2.7981440000000002</v>
      </c>
      <c r="AG63" s="4">
        <f t="shared" si="4"/>
        <v>1.0096995450451491</v>
      </c>
      <c r="AI63">
        <v>2.2915199999999998</v>
      </c>
      <c r="AJ63">
        <v>2.2857599999999998</v>
      </c>
      <c r="AK63" s="4">
        <f t="shared" si="5"/>
        <v>0.99748638458315875</v>
      </c>
      <c r="AN63">
        <v>2.681664</v>
      </c>
    </row>
    <row r="64" spans="1:40" x14ac:dyDescent="0.25">
      <c r="A64" t="s">
        <v>5</v>
      </c>
      <c r="B64">
        <v>64</v>
      </c>
      <c r="C64">
        <v>128</v>
      </c>
      <c r="D64">
        <f>5120</f>
        <v>5120</v>
      </c>
      <c r="E64">
        <v>28</v>
      </c>
      <c r="F64">
        <v>4</v>
      </c>
      <c r="H64">
        <v>1.73184</v>
      </c>
      <c r="I64">
        <v>1.3841920000000001</v>
      </c>
      <c r="J64" s="4">
        <f t="shared" si="0"/>
        <v>0.79926090169992614</v>
      </c>
      <c r="K64" s="4"/>
      <c r="L64">
        <v>2.7525119999999998</v>
      </c>
      <c r="M64">
        <v>2.2281599999999999</v>
      </c>
      <c r="N64" s="4">
        <f t="shared" si="1"/>
        <v>0.8095005580357143</v>
      </c>
      <c r="P64">
        <v>2.2622080000000002</v>
      </c>
      <c r="Q64">
        <v>1.99424</v>
      </c>
      <c r="R64" s="4">
        <f t="shared" si="2"/>
        <v>0.88154581718391933</v>
      </c>
      <c r="T64">
        <v>3.11328</v>
      </c>
      <c r="U64">
        <v>2.681664</v>
      </c>
      <c r="V64" s="4">
        <f t="shared" si="3"/>
        <v>0.86136293555349985</v>
      </c>
      <c r="Y64">
        <v>64</v>
      </c>
      <c r="Z64">
        <v>576</v>
      </c>
      <c r="AA64">
        <f>5120</f>
        <v>5120</v>
      </c>
      <c r="AB64">
        <v>28</v>
      </c>
      <c r="AC64">
        <v>4</v>
      </c>
      <c r="AE64">
        <v>3.3227519999999999</v>
      </c>
      <c r="AF64">
        <v>3.32192</v>
      </c>
      <c r="AG64" s="4">
        <f t="shared" si="4"/>
        <v>0.99974960514657729</v>
      </c>
      <c r="AI64">
        <v>4.5139839999999998</v>
      </c>
      <c r="AJ64">
        <v>4.5064320000000002</v>
      </c>
      <c r="AK64" s="4">
        <f t="shared" si="5"/>
        <v>0.99832697679034765</v>
      </c>
      <c r="AN64">
        <v>0.210176</v>
      </c>
    </row>
    <row r="65" spans="1:40" x14ac:dyDescent="0.25">
      <c r="A65" t="s">
        <v>5</v>
      </c>
      <c r="B65">
        <v>1</v>
      </c>
      <c r="C65">
        <v>128</v>
      </c>
      <c r="D65">
        <f>6144</f>
        <v>6144</v>
      </c>
      <c r="E65">
        <v>28</v>
      </c>
      <c r="F65">
        <v>4</v>
      </c>
      <c r="H65">
        <v>0.19225600000000001</v>
      </c>
      <c r="I65">
        <v>0.16531199999999999</v>
      </c>
      <c r="J65" s="4">
        <f t="shared" si="0"/>
        <v>0.85985352862849518</v>
      </c>
      <c r="K65" s="4"/>
      <c r="L65">
        <v>0.24857599999999999</v>
      </c>
      <c r="M65">
        <v>0.20704</v>
      </c>
      <c r="N65" s="4">
        <f t="shared" si="1"/>
        <v>0.83290422245108142</v>
      </c>
      <c r="P65">
        <v>0.19103999999999999</v>
      </c>
      <c r="Q65">
        <v>0.16243199999999999</v>
      </c>
      <c r="R65" s="4">
        <f t="shared" si="2"/>
        <v>0.85025125628140708</v>
      </c>
      <c r="T65">
        <v>0.24985599999999999</v>
      </c>
      <c r="U65">
        <v>0.210176</v>
      </c>
      <c r="V65" s="4">
        <f t="shared" si="3"/>
        <v>0.84118852459016391</v>
      </c>
      <c r="Y65">
        <v>1</v>
      </c>
      <c r="Z65">
        <v>576</v>
      </c>
      <c r="AA65">
        <f>6144</f>
        <v>6144</v>
      </c>
      <c r="AB65">
        <v>28</v>
      </c>
      <c r="AC65">
        <v>4</v>
      </c>
      <c r="AE65">
        <v>0.35296</v>
      </c>
      <c r="AF65">
        <v>0.34662399999999999</v>
      </c>
      <c r="AG65" s="4">
        <f t="shared" si="4"/>
        <v>0.98204895738893927</v>
      </c>
      <c r="AI65">
        <v>0.35187200000000002</v>
      </c>
      <c r="AJ65">
        <v>0.35193600000000003</v>
      </c>
      <c r="AK65" s="4">
        <f t="shared" si="5"/>
        <v>1.0001818843215715</v>
      </c>
      <c r="AN65">
        <v>0.22412799999999999</v>
      </c>
    </row>
    <row r="66" spans="1:40" x14ac:dyDescent="0.25">
      <c r="A66" t="s">
        <v>5</v>
      </c>
      <c r="B66">
        <v>2</v>
      </c>
      <c r="C66">
        <v>128</v>
      </c>
      <c r="D66">
        <f>6144</f>
        <v>6144</v>
      </c>
      <c r="E66">
        <v>28</v>
      </c>
      <c r="F66">
        <v>4</v>
      </c>
      <c r="H66">
        <v>0.196608</v>
      </c>
      <c r="I66">
        <v>0.16262399999999999</v>
      </c>
      <c r="J66" s="4">
        <f t="shared" si="0"/>
        <v>0.82714843749999989</v>
      </c>
      <c r="K66" s="4"/>
      <c r="L66">
        <v>0.248256</v>
      </c>
      <c r="M66">
        <v>0.20697599999999999</v>
      </c>
      <c r="N66" s="4">
        <f t="shared" si="1"/>
        <v>0.83372003093580815</v>
      </c>
      <c r="P66">
        <v>0.217472</v>
      </c>
      <c r="Q66">
        <v>0.19456000000000001</v>
      </c>
      <c r="R66" s="4">
        <f t="shared" si="2"/>
        <v>0.89464390818128314</v>
      </c>
      <c r="T66">
        <v>0.26470399999999999</v>
      </c>
      <c r="U66">
        <v>0.22412799999999999</v>
      </c>
      <c r="V66" s="4">
        <f t="shared" si="3"/>
        <v>0.84671179883945846</v>
      </c>
      <c r="Y66">
        <v>2</v>
      </c>
      <c r="Z66">
        <v>576</v>
      </c>
      <c r="AA66">
        <f>6144</f>
        <v>6144</v>
      </c>
      <c r="AB66">
        <v>28</v>
      </c>
      <c r="AC66">
        <v>4</v>
      </c>
      <c r="AE66">
        <v>0.35136000000000001</v>
      </c>
      <c r="AF66">
        <v>0.34233599999999997</v>
      </c>
      <c r="AG66" s="4">
        <f t="shared" si="4"/>
        <v>0.97431693989071033</v>
      </c>
      <c r="AI66">
        <v>0.37209599999999998</v>
      </c>
      <c r="AJ66">
        <v>0.37030400000000002</v>
      </c>
      <c r="AK66" s="4">
        <f t="shared" si="5"/>
        <v>0.99518403852769188</v>
      </c>
      <c r="AN66">
        <v>0.237376</v>
      </c>
    </row>
    <row r="67" spans="1:40" x14ac:dyDescent="0.25">
      <c r="A67" t="s">
        <v>5</v>
      </c>
      <c r="B67">
        <v>4</v>
      </c>
      <c r="C67">
        <v>128</v>
      </c>
      <c r="D67">
        <f>6144</f>
        <v>6144</v>
      </c>
      <c r="E67">
        <v>28</v>
      </c>
      <c r="F67">
        <v>4</v>
      </c>
      <c r="H67">
        <v>0.19264000000000001</v>
      </c>
      <c r="I67">
        <v>0.16966400000000001</v>
      </c>
      <c r="J67" s="4">
        <f t="shared" ref="J67:J98" si="6">I67/H67</f>
        <v>0.88073089700996676</v>
      </c>
      <c r="K67" s="4"/>
      <c r="L67">
        <v>0.24742400000000001</v>
      </c>
      <c r="M67">
        <v>0.206592</v>
      </c>
      <c r="N67" s="4">
        <f t="shared" ref="N67:N130" si="7">M67/L67</f>
        <v>0.8349715468184169</v>
      </c>
      <c r="P67">
        <v>0.23270399999999999</v>
      </c>
      <c r="Q67">
        <v>0.21004800000000001</v>
      </c>
      <c r="R67" s="4">
        <f t="shared" ref="R67:R130" si="8">Q67/P67</f>
        <v>0.90264026402640274</v>
      </c>
      <c r="T67">
        <v>0.27609600000000001</v>
      </c>
      <c r="U67">
        <v>0.237376</v>
      </c>
      <c r="V67" s="4">
        <f t="shared" ref="V67:V130" si="9">U67/T67</f>
        <v>0.85975892443208157</v>
      </c>
      <c r="Y67">
        <v>4</v>
      </c>
      <c r="Z67">
        <v>576</v>
      </c>
      <c r="AA67">
        <f>6144</f>
        <v>6144</v>
      </c>
      <c r="AB67">
        <v>28</v>
      </c>
      <c r="AC67">
        <v>4</v>
      </c>
      <c r="AE67">
        <v>0.35110400000000003</v>
      </c>
      <c r="AF67">
        <v>0.34572799999999998</v>
      </c>
      <c r="AG67" s="4">
        <f t="shared" ref="AG67:AG130" si="10">AF67/AE67</f>
        <v>0.98468829748450593</v>
      </c>
      <c r="AI67">
        <v>0.40556799999999998</v>
      </c>
      <c r="AJ67">
        <v>0.40531200000000001</v>
      </c>
      <c r="AK67" s="4">
        <f t="shared" ref="AK67:AK130" si="11">AJ67/AI67</f>
        <v>0.99936878649203098</v>
      </c>
      <c r="AN67">
        <v>0.43552000000000002</v>
      </c>
    </row>
    <row r="68" spans="1:40" x14ac:dyDescent="0.25">
      <c r="A68" t="s">
        <v>5</v>
      </c>
      <c r="B68">
        <v>8</v>
      </c>
      <c r="C68">
        <v>128</v>
      </c>
      <c r="D68">
        <f>6144</f>
        <v>6144</v>
      </c>
      <c r="E68">
        <v>28</v>
      </c>
      <c r="F68">
        <v>4</v>
      </c>
      <c r="H68">
        <v>0.33702399999999999</v>
      </c>
      <c r="I68">
        <v>0.28243200000000002</v>
      </c>
      <c r="J68" s="4">
        <f t="shared" si="6"/>
        <v>0.83801747056589448</v>
      </c>
      <c r="K68" s="4"/>
      <c r="L68">
        <v>0.461696</v>
      </c>
      <c r="M68">
        <v>0.37440000000000001</v>
      </c>
      <c r="N68" s="4">
        <f t="shared" si="7"/>
        <v>0.81092320487940117</v>
      </c>
      <c r="P68">
        <v>0.40608</v>
      </c>
      <c r="Q68">
        <v>0.36480000000000001</v>
      </c>
      <c r="R68" s="4">
        <f t="shared" si="8"/>
        <v>0.89834515366430268</v>
      </c>
      <c r="T68">
        <v>0.51334400000000002</v>
      </c>
      <c r="U68">
        <v>0.43552000000000002</v>
      </c>
      <c r="V68" s="4">
        <f t="shared" si="9"/>
        <v>0.84839795536716123</v>
      </c>
      <c r="Y68">
        <v>8</v>
      </c>
      <c r="Z68">
        <v>576</v>
      </c>
      <c r="AA68">
        <f>6144</f>
        <v>6144</v>
      </c>
      <c r="AB68">
        <v>28</v>
      </c>
      <c r="AC68">
        <v>4</v>
      </c>
      <c r="AE68">
        <v>0.61638400000000004</v>
      </c>
      <c r="AF68">
        <v>0.61459200000000003</v>
      </c>
      <c r="AG68" s="4">
        <f t="shared" si="10"/>
        <v>0.99709272142041327</v>
      </c>
      <c r="AI68">
        <v>0.73644799999999999</v>
      </c>
      <c r="AJ68">
        <v>0.73203200000000002</v>
      </c>
      <c r="AK68" s="4">
        <f t="shared" si="11"/>
        <v>0.99400364995220303</v>
      </c>
      <c r="AN68">
        <v>0.839808</v>
      </c>
    </row>
    <row r="69" spans="1:40" x14ac:dyDescent="0.25">
      <c r="A69" t="s">
        <v>5</v>
      </c>
      <c r="B69">
        <v>16</v>
      </c>
      <c r="C69">
        <v>128</v>
      </c>
      <c r="D69">
        <f>6144</f>
        <v>6144</v>
      </c>
      <c r="E69">
        <v>28</v>
      </c>
      <c r="F69">
        <v>4</v>
      </c>
      <c r="H69">
        <v>0.59603200000000001</v>
      </c>
      <c r="I69">
        <v>0.48371199999999998</v>
      </c>
      <c r="J69" s="4">
        <f t="shared" si="6"/>
        <v>0.81155374208096209</v>
      </c>
      <c r="K69" s="4"/>
      <c r="L69">
        <v>0.87571200000000005</v>
      </c>
      <c r="M69">
        <v>0.71027200000000001</v>
      </c>
      <c r="N69" s="4">
        <f t="shared" si="7"/>
        <v>0.81107944164291457</v>
      </c>
      <c r="P69">
        <v>0.73951999999999996</v>
      </c>
      <c r="Q69">
        <v>0.65702400000000005</v>
      </c>
      <c r="R69" s="4">
        <f t="shared" si="8"/>
        <v>0.88844655993076604</v>
      </c>
      <c r="T69">
        <v>0.97440000000000004</v>
      </c>
      <c r="U69">
        <v>0.839808</v>
      </c>
      <c r="V69" s="4">
        <f t="shared" si="9"/>
        <v>0.86187192118226597</v>
      </c>
      <c r="Y69">
        <v>16</v>
      </c>
      <c r="Z69">
        <v>576</v>
      </c>
      <c r="AA69">
        <f>6144</f>
        <v>6144</v>
      </c>
      <c r="AB69">
        <v>28</v>
      </c>
      <c r="AC69">
        <v>4</v>
      </c>
      <c r="AE69">
        <v>1.639616</v>
      </c>
      <c r="AF69">
        <v>1.6250880000000001</v>
      </c>
      <c r="AG69" s="4">
        <f t="shared" si="10"/>
        <v>0.99113938873492335</v>
      </c>
      <c r="AI69">
        <v>1.3985920000000001</v>
      </c>
      <c r="AJ69">
        <v>1.3918079999999999</v>
      </c>
      <c r="AK69" s="4">
        <f t="shared" si="11"/>
        <v>0.99514940740401769</v>
      </c>
      <c r="AN69">
        <v>1.6251519999999999</v>
      </c>
    </row>
    <row r="70" spans="1:40" x14ac:dyDescent="0.25">
      <c r="A70" t="s">
        <v>5</v>
      </c>
      <c r="B70">
        <v>32</v>
      </c>
      <c r="C70">
        <v>128</v>
      </c>
      <c r="D70">
        <f>6144</f>
        <v>6144</v>
      </c>
      <c r="E70">
        <v>28</v>
      </c>
      <c r="F70">
        <v>4</v>
      </c>
      <c r="H70">
        <v>1.070848</v>
      </c>
      <c r="I70">
        <v>0.87295999999999996</v>
      </c>
      <c r="J70" s="4">
        <f t="shared" si="6"/>
        <v>0.81520439875687301</v>
      </c>
      <c r="K70" s="4"/>
      <c r="L70">
        <v>1.6593279999999999</v>
      </c>
      <c r="M70">
        <v>1.3471359999999999</v>
      </c>
      <c r="N70" s="4">
        <f t="shared" si="7"/>
        <v>0.81185636595055344</v>
      </c>
      <c r="P70">
        <v>1.414336</v>
      </c>
      <c r="Q70">
        <v>1.243968</v>
      </c>
      <c r="R70" s="4">
        <f t="shared" si="8"/>
        <v>0.87954206072672969</v>
      </c>
      <c r="T70">
        <v>1.889024</v>
      </c>
      <c r="U70">
        <v>1.6251519999999999</v>
      </c>
      <c r="V70" s="4">
        <f t="shared" si="9"/>
        <v>0.86031305054885476</v>
      </c>
      <c r="Y70">
        <v>32</v>
      </c>
      <c r="Z70">
        <v>576</v>
      </c>
      <c r="AA70">
        <f>6144</f>
        <v>6144</v>
      </c>
      <c r="AB70">
        <v>28</v>
      </c>
      <c r="AC70">
        <v>4</v>
      </c>
      <c r="AE70">
        <v>2.058624</v>
      </c>
      <c r="AF70">
        <v>2.0285440000000001</v>
      </c>
      <c r="AG70" s="4">
        <f t="shared" si="10"/>
        <v>0.98538829820307161</v>
      </c>
      <c r="AI70">
        <v>2.7299199999999999</v>
      </c>
      <c r="AJ70">
        <v>2.7161599999999999</v>
      </c>
      <c r="AK70" s="4">
        <f t="shared" si="11"/>
        <v>0.99495955925448365</v>
      </c>
      <c r="AN70">
        <v>3.1861760000000001</v>
      </c>
    </row>
    <row r="71" spans="1:40" x14ac:dyDescent="0.25">
      <c r="A71" t="s">
        <v>5</v>
      </c>
      <c r="B71">
        <v>64</v>
      </c>
      <c r="C71">
        <v>128</v>
      </c>
      <c r="D71">
        <f>6144</f>
        <v>6144</v>
      </c>
      <c r="E71">
        <v>28</v>
      </c>
      <c r="F71">
        <v>4</v>
      </c>
      <c r="H71">
        <v>2.046144</v>
      </c>
      <c r="I71">
        <v>1.6528640000000001</v>
      </c>
      <c r="J71" s="4">
        <f t="shared" si="6"/>
        <v>0.80779456382346504</v>
      </c>
      <c r="K71" s="4"/>
      <c r="L71">
        <v>3.2922880000000001</v>
      </c>
      <c r="M71">
        <v>2.6783359999999998</v>
      </c>
      <c r="N71" s="4">
        <f t="shared" si="7"/>
        <v>0.81351813693091246</v>
      </c>
      <c r="P71">
        <v>2.6827519999999998</v>
      </c>
      <c r="Q71">
        <v>2.3804159999999999</v>
      </c>
      <c r="R71" s="4">
        <f t="shared" si="8"/>
        <v>0.88730378357746076</v>
      </c>
      <c r="T71">
        <v>3.6883840000000001</v>
      </c>
      <c r="U71">
        <v>3.1861760000000001</v>
      </c>
      <c r="V71" s="4">
        <f t="shared" si="9"/>
        <v>0.86384064132151095</v>
      </c>
      <c r="Y71">
        <v>64</v>
      </c>
      <c r="Z71">
        <v>576</v>
      </c>
      <c r="AA71">
        <f>6144</f>
        <v>6144</v>
      </c>
      <c r="AB71">
        <v>28</v>
      </c>
      <c r="AC71">
        <v>4</v>
      </c>
      <c r="AE71">
        <v>3.9669120000000002</v>
      </c>
      <c r="AF71">
        <v>3.9477760000000002</v>
      </c>
      <c r="AG71" s="4">
        <f t="shared" si="10"/>
        <v>0.99517609667166806</v>
      </c>
      <c r="AI71">
        <v>5.3676159999999999</v>
      </c>
      <c r="AJ71">
        <v>5.3667210000000001</v>
      </c>
      <c r="AK71" s="4">
        <f t="shared" si="11"/>
        <v>0.99983325930916078</v>
      </c>
      <c r="AN71">
        <v>0.23846400000000001</v>
      </c>
    </row>
    <row r="72" spans="1:40" x14ac:dyDescent="0.25">
      <c r="A72" t="s">
        <v>5</v>
      </c>
      <c r="B72">
        <v>1</v>
      </c>
      <c r="C72">
        <v>128</v>
      </c>
      <c r="D72">
        <f>7168</f>
        <v>7168</v>
      </c>
      <c r="E72">
        <v>28</v>
      </c>
      <c r="F72">
        <v>4</v>
      </c>
      <c r="H72">
        <v>0.21728</v>
      </c>
      <c r="I72">
        <v>0.18464</v>
      </c>
      <c r="J72" s="4">
        <f t="shared" si="6"/>
        <v>0.84977908689248893</v>
      </c>
      <c r="K72" s="4"/>
      <c r="L72">
        <v>0.283136</v>
      </c>
      <c r="M72">
        <v>0.234176</v>
      </c>
      <c r="N72" s="4">
        <f t="shared" si="7"/>
        <v>0.82707956600361665</v>
      </c>
      <c r="P72">
        <v>0.21548800000000001</v>
      </c>
      <c r="Q72">
        <v>0.182592</v>
      </c>
      <c r="R72" s="4">
        <f t="shared" si="8"/>
        <v>0.84734184734184737</v>
      </c>
      <c r="T72">
        <v>0.28544000000000003</v>
      </c>
      <c r="U72">
        <v>0.23846400000000001</v>
      </c>
      <c r="V72" s="4">
        <f t="shared" si="9"/>
        <v>0.83542600896860986</v>
      </c>
      <c r="Y72">
        <v>1</v>
      </c>
      <c r="Z72">
        <v>576</v>
      </c>
      <c r="AA72">
        <f>7168</f>
        <v>7168</v>
      </c>
      <c r="AB72">
        <v>28</v>
      </c>
      <c r="AC72">
        <v>4</v>
      </c>
      <c r="AE72">
        <v>0.39155200000000001</v>
      </c>
      <c r="AF72">
        <v>0.39129599999999998</v>
      </c>
      <c r="AG72" s="4">
        <f t="shared" si="10"/>
        <v>0.99934619156587112</v>
      </c>
      <c r="AI72">
        <v>0.39935999999999999</v>
      </c>
      <c r="AJ72">
        <v>0.39091199999999998</v>
      </c>
      <c r="AK72" s="4">
        <f t="shared" si="11"/>
        <v>0.97884615384615381</v>
      </c>
      <c r="AN72">
        <v>0.25369599999999998</v>
      </c>
    </row>
    <row r="73" spans="1:40" x14ac:dyDescent="0.25">
      <c r="A73" t="s">
        <v>5</v>
      </c>
      <c r="B73">
        <v>2</v>
      </c>
      <c r="C73">
        <v>128</v>
      </c>
      <c r="D73">
        <f>7168</f>
        <v>7168</v>
      </c>
      <c r="E73">
        <v>28</v>
      </c>
      <c r="F73">
        <v>4</v>
      </c>
      <c r="H73">
        <v>0.21753600000000001</v>
      </c>
      <c r="I73">
        <v>0.187776</v>
      </c>
      <c r="J73" s="4">
        <f t="shared" si="6"/>
        <v>0.86319505736981461</v>
      </c>
      <c r="K73" s="4"/>
      <c r="L73">
        <v>0.283136</v>
      </c>
      <c r="M73">
        <v>0.23513600000000001</v>
      </c>
      <c r="N73" s="4">
        <f t="shared" si="7"/>
        <v>0.83047016274864383</v>
      </c>
      <c r="P73">
        <v>0.25164799999999998</v>
      </c>
      <c r="Q73">
        <v>0.222912</v>
      </c>
      <c r="R73" s="4">
        <f t="shared" si="8"/>
        <v>0.88580874872838256</v>
      </c>
      <c r="T73">
        <v>0.30124800000000002</v>
      </c>
      <c r="U73">
        <v>0.25369599999999998</v>
      </c>
      <c r="V73" s="4">
        <f t="shared" si="9"/>
        <v>0.84214998937752272</v>
      </c>
      <c r="Y73">
        <v>2</v>
      </c>
      <c r="Z73">
        <v>576</v>
      </c>
      <c r="AA73">
        <f>7168</f>
        <v>7168</v>
      </c>
      <c r="AB73">
        <v>28</v>
      </c>
      <c r="AC73">
        <v>4</v>
      </c>
      <c r="AE73">
        <v>0.392704</v>
      </c>
      <c r="AF73">
        <v>0.38758399999999998</v>
      </c>
      <c r="AG73" s="4">
        <f t="shared" si="10"/>
        <v>0.98696219035202082</v>
      </c>
      <c r="AI73">
        <v>0.419072</v>
      </c>
      <c r="AJ73">
        <v>0.414464</v>
      </c>
      <c r="AK73" s="4">
        <f t="shared" si="11"/>
        <v>0.98900427611484421</v>
      </c>
      <c r="AN73">
        <v>0.27289600000000003</v>
      </c>
    </row>
    <row r="74" spans="1:40" x14ac:dyDescent="0.25">
      <c r="A74" t="s">
        <v>5</v>
      </c>
      <c r="B74">
        <v>4</v>
      </c>
      <c r="C74">
        <v>128</v>
      </c>
      <c r="D74">
        <f>7168</f>
        <v>7168</v>
      </c>
      <c r="E74">
        <v>28</v>
      </c>
      <c r="F74">
        <v>4</v>
      </c>
      <c r="H74">
        <v>0.21676799999999999</v>
      </c>
      <c r="I74">
        <v>0.18726400000000001</v>
      </c>
      <c r="J74" s="4">
        <f t="shared" si="6"/>
        <v>0.86389134927664613</v>
      </c>
      <c r="K74" s="4"/>
      <c r="L74">
        <v>0.28179199999999999</v>
      </c>
      <c r="M74">
        <v>0.2336</v>
      </c>
      <c r="N74" s="4">
        <f t="shared" si="7"/>
        <v>0.82898024074494669</v>
      </c>
      <c r="P74">
        <v>0.25529600000000002</v>
      </c>
      <c r="Q74">
        <v>0.23078399999999999</v>
      </c>
      <c r="R74" s="4">
        <f t="shared" si="8"/>
        <v>0.90398596139383292</v>
      </c>
      <c r="T74">
        <v>0.31456000000000001</v>
      </c>
      <c r="U74">
        <v>0.27289600000000003</v>
      </c>
      <c r="V74" s="4">
        <f t="shared" si="9"/>
        <v>0.86754832146490346</v>
      </c>
      <c r="Y74">
        <v>4</v>
      </c>
      <c r="Z74">
        <v>576</v>
      </c>
      <c r="AA74">
        <f>7168</f>
        <v>7168</v>
      </c>
      <c r="AB74">
        <v>28</v>
      </c>
      <c r="AC74">
        <v>4</v>
      </c>
      <c r="AE74">
        <v>0.38470399999999999</v>
      </c>
      <c r="AF74">
        <v>0.38086399999999998</v>
      </c>
      <c r="AG74" s="4">
        <f t="shared" si="10"/>
        <v>0.99001829978372979</v>
      </c>
      <c r="AI74">
        <v>0.46252799999999999</v>
      </c>
      <c r="AJ74">
        <v>0.45395200000000002</v>
      </c>
      <c r="AK74" s="4">
        <f t="shared" si="11"/>
        <v>0.98145841981458426</v>
      </c>
      <c r="AN74">
        <v>0.505664</v>
      </c>
    </row>
    <row r="75" spans="1:40" x14ac:dyDescent="0.25">
      <c r="A75" t="s">
        <v>5</v>
      </c>
      <c r="B75">
        <v>8</v>
      </c>
      <c r="C75">
        <v>128</v>
      </c>
      <c r="D75">
        <f>7168</f>
        <v>7168</v>
      </c>
      <c r="E75">
        <v>28</v>
      </c>
      <c r="F75">
        <v>4</v>
      </c>
      <c r="H75">
        <v>0.37203199999999997</v>
      </c>
      <c r="I75">
        <v>0.32281599999999999</v>
      </c>
      <c r="J75" s="4">
        <f t="shared" si="6"/>
        <v>0.86771030448993636</v>
      </c>
      <c r="K75" s="4"/>
      <c r="L75">
        <v>0.52601600000000004</v>
      </c>
      <c r="M75">
        <v>0.43385600000000002</v>
      </c>
      <c r="N75" s="4">
        <f t="shared" si="7"/>
        <v>0.82479620391775155</v>
      </c>
      <c r="P75">
        <v>0.47372799999999998</v>
      </c>
      <c r="Q75">
        <v>0.41747200000000001</v>
      </c>
      <c r="R75" s="4">
        <f t="shared" si="8"/>
        <v>0.88124831126722514</v>
      </c>
      <c r="T75">
        <v>0.59584000000000004</v>
      </c>
      <c r="U75">
        <v>0.505664</v>
      </c>
      <c r="V75" s="4">
        <f t="shared" si="9"/>
        <v>0.84865735767991402</v>
      </c>
      <c r="Y75">
        <v>8</v>
      </c>
      <c r="Z75">
        <v>576</v>
      </c>
      <c r="AA75">
        <f>7168</f>
        <v>7168</v>
      </c>
      <c r="AB75">
        <v>28</v>
      </c>
      <c r="AC75">
        <v>4</v>
      </c>
      <c r="AE75">
        <v>0.71065599999999995</v>
      </c>
      <c r="AF75">
        <v>0.70259199999999999</v>
      </c>
      <c r="AG75" s="4">
        <f t="shared" si="10"/>
        <v>0.98865273775216145</v>
      </c>
      <c r="AI75">
        <v>0.84460800000000003</v>
      </c>
      <c r="AJ75">
        <v>0.84051200000000004</v>
      </c>
      <c r="AK75" s="4">
        <f t="shared" si="11"/>
        <v>0.99515041297264528</v>
      </c>
      <c r="AN75">
        <v>0.96940800000000005</v>
      </c>
    </row>
    <row r="76" spans="1:40" x14ac:dyDescent="0.25">
      <c r="A76" t="s">
        <v>5</v>
      </c>
      <c r="B76">
        <v>16</v>
      </c>
      <c r="C76">
        <v>128</v>
      </c>
      <c r="D76">
        <f>7168</f>
        <v>7168</v>
      </c>
      <c r="E76">
        <v>28</v>
      </c>
      <c r="F76">
        <v>4</v>
      </c>
      <c r="H76">
        <v>0.67776000000000003</v>
      </c>
      <c r="I76">
        <v>0.55366400000000004</v>
      </c>
      <c r="J76" s="4">
        <f t="shared" si="6"/>
        <v>0.81690273843248351</v>
      </c>
      <c r="K76" s="4"/>
      <c r="L76">
        <v>1.0056959999999999</v>
      </c>
      <c r="M76">
        <v>0.82067199999999996</v>
      </c>
      <c r="N76" s="4">
        <f t="shared" si="7"/>
        <v>0.81602392770777654</v>
      </c>
      <c r="P76">
        <v>0.83238400000000001</v>
      </c>
      <c r="Q76">
        <v>0.73760000000000003</v>
      </c>
      <c r="R76" s="4">
        <f t="shared" si="8"/>
        <v>0.88612947870213754</v>
      </c>
      <c r="T76">
        <v>1.1335040000000001</v>
      </c>
      <c r="U76">
        <v>0.96940800000000005</v>
      </c>
      <c r="V76" s="4">
        <f t="shared" si="9"/>
        <v>0.8552312122409802</v>
      </c>
      <c r="Y76">
        <v>16</v>
      </c>
      <c r="Z76">
        <v>576</v>
      </c>
      <c r="AA76">
        <f>7168</f>
        <v>7168</v>
      </c>
      <c r="AB76">
        <v>28</v>
      </c>
      <c r="AC76">
        <v>4</v>
      </c>
      <c r="AE76">
        <v>1.899008</v>
      </c>
      <c r="AF76">
        <v>1.8924160000000001</v>
      </c>
      <c r="AG76" s="4">
        <f t="shared" si="10"/>
        <v>0.99652871393906717</v>
      </c>
      <c r="AI76">
        <v>1.607424</v>
      </c>
      <c r="AJ76">
        <v>1.6062080000000001</v>
      </c>
      <c r="AK76" s="4">
        <f t="shared" si="11"/>
        <v>0.99924351011307544</v>
      </c>
      <c r="AN76">
        <v>1.8911359999999999</v>
      </c>
    </row>
    <row r="77" spans="1:40" x14ac:dyDescent="0.25">
      <c r="A77" t="s">
        <v>5</v>
      </c>
      <c r="B77">
        <v>32</v>
      </c>
      <c r="C77">
        <v>128</v>
      </c>
      <c r="D77">
        <f>7168</f>
        <v>7168</v>
      </c>
      <c r="E77">
        <v>28</v>
      </c>
      <c r="F77">
        <v>4</v>
      </c>
      <c r="H77">
        <v>1.2294400000000001</v>
      </c>
      <c r="I77">
        <v>0.99929599999999996</v>
      </c>
      <c r="J77" s="4">
        <f t="shared" si="6"/>
        <v>0.81280583029672038</v>
      </c>
      <c r="K77" s="4"/>
      <c r="L77">
        <v>1.9539200000000001</v>
      </c>
      <c r="M77">
        <v>1.697792</v>
      </c>
      <c r="N77" s="4">
        <f t="shared" si="7"/>
        <v>0.86891582050442184</v>
      </c>
      <c r="P77">
        <v>1.612608</v>
      </c>
      <c r="Q77">
        <v>1.412288</v>
      </c>
      <c r="R77" s="4">
        <f t="shared" si="8"/>
        <v>0.87577886256300352</v>
      </c>
      <c r="T77">
        <v>2.1928960000000002</v>
      </c>
      <c r="U77">
        <v>1.8911359999999999</v>
      </c>
      <c r="V77" s="4">
        <f t="shared" si="9"/>
        <v>0.86239201494279705</v>
      </c>
      <c r="Y77">
        <v>32</v>
      </c>
      <c r="Z77">
        <v>576</v>
      </c>
      <c r="AA77">
        <f>7168</f>
        <v>7168</v>
      </c>
      <c r="AB77">
        <v>28</v>
      </c>
      <c r="AC77">
        <v>4</v>
      </c>
      <c r="AE77">
        <v>3.8751359999999999</v>
      </c>
      <c r="AF77">
        <v>3.904064</v>
      </c>
      <c r="AG77" s="4">
        <f t="shared" si="10"/>
        <v>1.0074650283241673</v>
      </c>
      <c r="AI77">
        <v>3.1496960000000001</v>
      </c>
      <c r="AJ77">
        <v>3.1463679999999998</v>
      </c>
      <c r="AK77" s="4">
        <f t="shared" si="11"/>
        <v>0.99894339009225008</v>
      </c>
      <c r="AN77">
        <v>3.7312639999999999</v>
      </c>
    </row>
    <row r="78" spans="1:40" x14ac:dyDescent="0.25">
      <c r="A78" t="s">
        <v>5</v>
      </c>
      <c r="B78">
        <v>64</v>
      </c>
      <c r="C78">
        <v>128</v>
      </c>
      <c r="D78">
        <f>7168</f>
        <v>7168</v>
      </c>
      <c r="E78">
        <v>28</v>
      </c>
      <c r="F78">
        <v>4</v>
      </c>
      <c r="H78">
        <v>2.3798400000000002</v>
      </c>
      <c r="I78">
        <v>1.8924160000000001</v>
      </c>
      <c r="J78" s="4">
        <f t="shared" si="6"/>
        <v>0.79518623100712649</v>
      </c>
      <c r="K78" s="4"/>
      <c r="L78">
        <v>3.8288639999999998</v>
      </c>
      <c r="M78">
        <v>3.1111680000000002</v>
      </c>
      <c r="N78" s="4">
        <f t="shared" si="7"/>
        <v>0.81255641359943842</v>
      </c>
      <c r="P78">
        <v>3.1208320000000001</v>
      </c>
      <c r="Q78">
        <v>2.7411840000000001</v>
      </c>
      <c r="R78" s="4">
        <f t="shared" si="8"/>
        <v>0.87835038861431824</v>
      </c>
      <c r="T78">
        <v>4.2881919999999996</v>
      </c>
      <c r="U78">
        <v>3.7312639999999999</v>
      </c>
      <c r="V78" s="4">
        <f t="shared" si="9"/>
        <v>0.87012521827380873</v>
      </c>
      <c r="Y78">
        <v>64</v>
      </c>
      <c r="Z78">
        <v>576</v>
      </c>
      <c r="AA78">
        <f>7168</f>
        <v>7168</v>
      </c>
      <c r="AB78">
        <v>28</v>
      </c>
      <c r="AC78">
        <v>4</v>
      </c>
      <c r="AE78">
        <v>4.5785600000000004</v>
      </c>
      <c r="AF78">
        <v>4.5826560000000001</v>
      </c>
      <c r="AG78" s="4">
        <f t="shared" si="10"/>
        <v>1.0008946044171092</v>
      </c>
      <c r="AI78">
        <v>6.232831</v>
      </c>
      <c r="AJ78">
        <v>6.2308479999999999</v>
      </c>
      <c r="AK78" s="4">
        <f t="shared" si="11"/>
        <v>0.99968184601828602</v>
      </c>
      <c r="AN78">
        <v>0.267648</v>
      </c>
    </row>
    <row r="79" spans="1:40" x14ac:dyDescent="0.25">
      <c r="A79" t="s">
        <v>5</v>
      </c>
      <c r="B79">
        <v>1</v>
      </c>
      <c r="C79">
        <v>128</v>
      </c>
      <c r="D79">
        <f>8192</f>
        <v>8192</v>
      </c>
      <c r="E79">
        <v>28</v>
      </c>
      <c r="F79">
        <v>4</v>
      </c>
      <c r="H79">
        <v>0.240896</v>
      </c>
      <c r="I79">
        <v>0.20019200000000001</v>
      </c>
      <c r="J79" s="4">
        <f t="shared" si="6"/>
        <v>0.83103081827842729</v>
      </c>
      <c r="K79" s="4"/>
      <c r="L79">
        <v>0.31763200000000003</v>
      </c>
      <c r="M79">
        <v>0.26207999999999998</v>
      </c>
      <c r="N79" s="4">
        <f t="shared" si="7"/>
        <v>0.82510578279266555</v>
      </c>
      <c r="P79">
        <v>0.238784</v>
      </c>
      <c r="Q79">
        <v>0.20230400000000001</v>
      </c>
      <c r="R79" s="4">
        <f t="shared" si="8"/>
        <v>0.84722594478692048</v>
      </c>
      <c r="T79">
        <v>0.32179200000000002</v>
      </c>
      <c r="U79">
        <v>0.267648</v>
      </c>
      <c r="V79" s="4">
        <f t="shared" si="9"/>
        <v>0.83174224343675407</v>
      </c>
      <c r="Y79">
        <v>1</v>
      </c>
      <c r="Z79">
        <v>576</v>
      </c>
      <c r="AA79">
        <f>8192</f>
        <v>8192</v>
      </c>
      <c r="AB79">
        <v>28</v>
      </c>
      <c r="AC79">
        <v>4</v>
      </c>
      <c r="AE79">
        <v>0.43859199999999998</v>
      </c>
      <c r="AF79">
        <v>0.43795200000000001</v>
      </c>
      <c r="AG79" s="4">
        <f t="shared" si="10"/>
        <v>0.9985407850576391</v>
      </c>
      <c r="AI79">
        <v>0.44191999999999998</v>
      </c>
      <c r="AJ79">
        <v>0.43635200000000002</v>
      </c>
      <c r="AK79" s="4">
        <f t="shared" si="11"/>
        <v>0.98740043446777703</v>
      </c>
      <c r="AN79">
        <v>0.28499200000000002</v>
      </c>
    </row>
    <row r="80" spans="1:40" x14ac:dyDescent="0.25">
      <c r="A80" t="s">
        <v>5</v>
      </c>
      <c r="B80">
        <v>2</v>
      </c>
      <c r="C80">
        <v>128</v>
      </c>
      <c r="D80">
        <f>8192</f>
        <v>8192</v>
      </c>
      <c r="E80">
        <v>28</v>
      </c>
      <c r="F80">
        <v>4</v>
      </c>
      <c r="H80">
        <v>0.236288</v>
      </c>
      <c r="I80">
        <v>0.19897599999999999</v>
      </c>
      <c r="J80" s="4">
        <f t="shared" si="6"/>
        <v>0.84209100758396527</v>
      </c>
      <c r="K80" s="4"/>
      <c r="L80">
        <v>0.31756800000000002</v>
      </c>
      <c r="M80">
        <v>0.26246399999999998</v>
      </c>
      <c r="N80" s="4">
        <f t="shared" si="7"/>
        <v>0.8264812575574364</v>
      </c>
      <c r="P80">
        <v>0.27782400000000002</v>
      </c>
      <c r="Q80">
        <v>0.242816</v>
      </c>
      <c r="R80" s="4">
        <f t="shared" si="8"/>
        <v>0.87399216770329413</v>
      </c>
      <c r="T80">
        <v>0.33862399999999998</v>
      </c>
      <c r="U80">
        <v>0.28499200000000002</v>
      </c>
      <c r="V80" s="4">
        <f t="shared" si="9"/>
        <v>0.8416178416178417</v>
      </c>
      <c r="Y80">
        <v>2</v>
      </c>
      <c r="Z80">
        <v>576</v>
      </c>
      <c r="AA80">
        <f>8192</f>
        <v>8192</v>
      </c>
      <c r="AB80">
        <v>28</v>
      </c>
      <c r="AC80">
        <v>4</v>
      </c>
      <c r="AE80">
        <v>0.44070399999999998</v>
      </c>
      <c r="AF80">
        <v>0.43187199999999998</v>
      </c>
      <c r="AG80" s="4">
        <f t="shared" si="10"/>
        <v>0.97995933778681377</v>
      </c>
      <c r="AI80">
        <v>0.46694400000000003</v>
      </c>
      <c r="AJ80">
        <v>0.46566400000000002</v>
      </c>
      <c r="AK80" s="4">
        <f t="shared" si="11"/>
        <v>0.99725877192982459</v>
      </c>
      <c r="AN80">
        <v>0.303232</v>
      </c>
    </row>
    <row r="81" spans="1:40" x14ac:dyDescent="0.25">
      <c r="A81" t="s">
        <v>5</v>
      </c>
      <c r="B81">
        <v>4</v>
      </c>
      <c r="C81">
        <v>128</v>
      </c>
      <c r="D81">
        <f>8192</f>
        <v>8192</v>
      </c>
      <c r="E81">
        <v>28</v>
      </c>
      <c r="F81">
        <v>4</v>
      </c>
      <c r="H81">
        <v>0.23782400000000001</v>
      </c>
      <c r="I81">
        <v>0.20710400000000001</v>
      </c>
      <c r="J81" s="4">
        <f t="shared" si="6"/>
        <v>0.87082884822389672</v>
      </c>
      <c r="K81" s="4"/>
      <c r="L81">
        <v>0.31724799999999997</v>
      </c>
      <c r="M81">
        <v>0.26368000000000003</v>
      </c>
      <c r="N81" s="4">
        <f t="shared" si="7"/>
        <v>0.83114787169659088</v>
      </c>
      <c r="P81">
        <v>0.29024</v>
      </c>
      <c r="Q81">
        <v>0.25951999999999997</v>
      </c>
      <c r="R81" s="4">
        <f t="shared" si="8"/>
        <v>0.89415656008820277</v>
      </c>
      <c r="T81">
        <v>0.35564800000000002</v>
      </c>
      <c r="U81">
        <v>0.303232</v>
      </c>
      <c r="V81" s="4">
        <f t="shared" si="9"/>
        <v>0.85261831923699838</v>
      </c>
      <c r="Y81">
        <v>4</v>
      </c>
      <c r="Z81">
        <v>576</v>
      </c>
      <c r="AA81">
        <f>8192</f>
        <v>8192</v>
      </c>
      <c r="AB81">
        <v>28</v>
      </c>
      <c r="AC81">
        <v>4</v>
      </c>
      <c r="AE81">
        <v>0.432064</v>
      </c>
      <c r="AF81">
        <v>0.42880000000000001</v>
      </c>
      <c r="AG81" s="4">
        <f t="shared" si="10"/>
        <v>0.99244556362020442</v>
      </c>
      <c r="AI81">
        <v>0.51212800000000003</v>
      </c>
      <c r="AJ81">
        <v>0.51193599999999995</v>
      </c>
      <c r="AK81" s="4">
        <f t="shared" si="11"/>
        <v>0.99962509372656816</v>
      </c>
      <c r="AN81">
        <v>0.57273600000000002</v>
      </c>
    </row>
    <row r="82" spans="1:40" x14ac:dyDescent="0.25">
      <c r="A82" t="s">
        <v>5</v>
      </c>
      <c r="B82">
        <v>8</v>
      </c>
      <c r="C82">
        <v>128</v>
      </c>
      <c r="D82">
        <f>8192</f>
        <v>8192</v>
      </c>
      <c r="E82">
        <v>28</v>
      </c>
      <c r="F82">
        <v>4</v>
      </c>
      <c r="H82">
        <v>0.41881600000000002</v>
      </c>
      <c r="I82">
        <v>0.35417599999999999</v>
      </c>
      <c r="J82" s="4">
        <f t="shared" si="6"/>
        <v>0.84566014669926648</v>
      </c>
      <c r="K82" s="4"/>
      <c r="L82">
        <v>0.58585600000000004</v>
      </c>
      <c r="M82">
        <v>0.47603200000000001</v>
      </c>
      <c r="N82" s="4">
        <f t="shared" si="7"/>
        <v>0.81254096569805545</v>
      </c>
      <c r="P82">
        <v>0.52639999999999998</v>
      </c>
      <c r="Q82">
        <v>0.45721600000000001</v>
      </c>
      <c r="R82" s="4">
        <f t="shared" si="8"/>
        <v>0.86857142857142866</v>
      </c>
      <c r="T82">
        <v>0.67148799999999997</v>
      </c>
      <c r="U82">
        <v>0.57273600000000002</v>
      </c>
      <c r="V82" s="4">
        <f t="shared" si="9"/>
        <v>0.8529355699580633</v>
      </c>
      <c r="Y82">
        <v>8</v>
      </c>
      <c r="Z82">
        <v>576</v>
      </c>
      <c r="AA82">
        <f>8192</f>
        <v>8192</v>
      </c>
      <c r="AB82">
        <v>28</v>
      </c>
      <c r="AC82">
        <v>4</v>
      </c>
      <c r="AE82">
        <v>0.74105600000000005</v>
      </c>
      <c r="AF82">
        <v>0.73305600000000004</v>
      </c>
      <c r="AG82" s="4">
        <f t="shared" si="10"/>
        <v>0.98920459452457032</v>
      </c>
      <c r="AI82">
        <v>0.94995200000000002</v>
      </c>
      <c r="AJ82">
        <v>0.94540800000000003</v>
      </c>
      <c r="AK82" s="4">
        <f t="shared" si="11"/>
        <v>0.99521660041770532</v>
      </c>
      <c r="AN82">
        <v>1.1024</v>
      </c>
    </row>
    <row r="83" spans="1:40" x14ac:dyDescent="0.25">
      <c r="A83" t="s">
        <v>5</v>
      </c>
      <c r="B83">
        <v>16</v>
      </c>
      <c r="C83">
        <v>128</v>
      </c>
      <c r="D83">
        <f>8192</f>
        <v>8192</v>
      </c>
      <c r="E83">
        <v>28</v>
      </c>
      <c r="F83">
        <v>4</v>
      </c>
      <c r="H83">
        <v>0.75507199999999997</v>
      </c>
      <c r="I83">
        <v>0.61401600000000001</v>
      </c>
      <c r="J83" s="4">
        <f t="shared" si="6"/>
        <v>0.81318867604678768</v>
      </c>
      <c r="K83" s="4"/>
      <c r="L83">
        <v>1.125184</v>
      </c>
      <c r="M83">
        <v>0.91020800000000002</v>
      </c>
      <c r="N83" s="4">
        <f t="shared" si="7"/>
        <v>0.80894147090609181</v>
      </c>
      <c r="P83">
        <v>0.95987199999999995</v>
      </c>
      <c r="Q83">
        <v>0.84652799999999995</v>
      </c>
      <c r="R83" s="4">
        <f t="shared" si="8"/>
        <v>0.88191758901186823</v>
      </c>
      <c r="T83">
        <v>1.2751999999999999</v>
      </c>
      <c r="U83">
        <v>1.1024</v>
      </c>
      <c r="V83" s="4">
        <f t="shared" si="9"/>
        <v>0.86449184441656224</v>
      </c>
      <c r="Y83">
        <v>16</v>
      </c>
      <c r="Z83">
        <v>576</v>
      </c>
      <c r="AA83">
        <f>8192</f>
        <v>8192</v>
      </c>
      <c r="AB83">
        <v>28</v>
      </c>
      <c r="AC83">
        <v>4</v>
      </c>
      <c r="AE83">
        <v>1.377856</v>
      </c>
      <c r="AF83">
        <v>1.3761920000000001</v>
      </c>
      <c r="AG83" s="4">
        <f t="shared" si="10"/>
        <v>0.99879232662919792</v>
      </c>
      <c r="AI83">
        <v>1.827008</v>
      </c>
      <c r="AJ83">
        <v>1.817088</v>
      </c>
      <c r="AK83" s="4">
        <f t="shared" si="11"/>
        <v>0.99457035765579571</v>
      </c>
      <c r="AN83">
        <v>2.1482239999999999</v>
      </c>
    </row>
    <row r="84" spans="1:40" x14ac:dyDescent="0.25">
      <c r="A84" t="s">
        <v>5</v>
      </c>
      <c r="B84">
        <v>32</v>
      </c>
      <c r="C84">
        <v>128</v>
      </c>
      <c r="D84">
        <f>8192</f>
        <v>8192</v>
      </c>
      <c r="E84">
        <v>28</v>
      </c>
      <c r="F84">
        <v>4</v>
      </c>
      <c r="H84">
        <v>1.4001920000000001</v>
      </c>
      <c r="I84">
        <v>1.1230720000000001</v>
      </c>
      <c r="J84" s="4">
        <f t="shared" si="6"/>
        <v>0.80208428558369138</v>
      </c>
      <c r="K84" s="4"/>
      <c r="L84">
        <v>2.182464</v>
      </c>
      <c r="M84">
        <v>1.783744</v>
      </c>
      <c r="N84" s="4">
        <f t="shared" si="7"/>
        <v>0.81730741033987275</v>
      </c>
      <c r="P84">
        <v>1.8097920000000001</v>
      </c>
      <c r="Q84">
        <v>1.6224000000000001</v>
      </c>
      <c r="R84" s="4">
        <f t="shared" si="8"/>
        <v>0.89645660937831528</v>
      </c>
      <c r="T84">
        <v>2.4810880000000002</v>
      </c>
      <c r="U84">
        <v>2.1482239999999999</v>
      </c>
      <c r="V84" s="4">
        <f t="shared" si="9"/>
        <v>0.86583950266979637</v>
      </c>
      <c r="Y84">
        <v>32</v>
      </c>
      <c r="Z84">
        <v>576</v>
      </c>
      <c r="AA84">
        <f>8192</f>
        <v>8192</v>
      </c>
      <c r="AB84">
        <v>28</v>
      </c>
      <c r="AC84">
        <v>4</v>
      </c>
      <c r="AE84">
        <v>2.6704639999999999</v>
      </c>
      <c r="AF84">
        <v>2.6506880000000002</v>
      </c>
      <c r="AG84" s="4">
        <f t="shared" si="10"/>
        <v>0.99259454536739689</v>
      </c>
      <c r="AI84">
        <v>3.58656</v>
      </c>
      <c r="AJ84">
        <v>3.5720960000000002</v>
      </c>
      <c r="AK84" s="4">
        <f t="shared" si="11"/>
        <v>0.99596716630977877</v>
      </c>
      <c r="AN84">
        <v>4.2378239999999998</v>
      </c>
    </row>
    <row r="85" spans="1:40" x14ac:dyDescent="0.25">
      <c r="A85" t="s">
        <v>5</v>
      </c>
      <c r="B85">
        <v>64</v>
      </c>
      <c r="C85">
        <v>128</v>
      </c>
      <c r="D85">
        <f>8192</f>
        <v>8192</v>
      </c>
      <c r="E85">
        <v>28</v>
      </c>
      <c r="F85">
        <v>4</v>
      </c>
      <c r="H85">
        <v>2.7056640000000001</v>
      </c>
      <c r="I85">
        <v>2.155456</v>
      </c>
      <c r="J85" s="4">
        <f t="shared" si="6"/>
        <v>0.79664585107389529</v>
      </c>
      <c r="K85" s="4"/>
      <c r="L85">
        <v>4.3517440000000001</v>
      </c>
      <c r="M85">
        <v>3.5578880000000002</v>
      </c>
      <c r="N85" s="4">
        <f t="shared" si="7"/>
        <v>0.81757750455909173</v>
      </c>
      <c r="P85">
        <v>3.503104</v>
      </c>
      <c r="Q85">
        <v>3.095936</v>
      </c>
      <c r="R85" s="4">
        <f t="shared" si="8"/>
        <v>0.88376936568254894</v>
      </c>
      <c r="T85">
        <v>4.895232</v>
      </c>
      <c r="U85">
        <v>4.2378239999999998</v>
      </c>
      <c r="V85" s="4">
        <f t="shared" si="9"/>
        <v>0.86570442422340754</v>
      </c>
      <c r="Y85">
        <v>64</v>
      </c>
      <c r="Z85">
        <v>576</v>
      </c>
      <c r="AA85">
        <f>8192</f>
        <v>8192</v>
      </c>
      <c r="AB85">
        <v>28</v>
      </c>
      <c r="AC85">
        <v>4</v>
      </c>
      <c r="AE85">
        <v>5.2088960000000002</v>
      </c>
      <c r="AF85">
        <v>5.2009600000000002</v>
      </c>
      <c r="AG85" s="4">
        <f t="shared" si="10"/>
        <v>0.99847645259187356</v>
      </c>
      <c r="AI85">
        <v>7.0946559999999996</v>
      </c>
      <c r="AJ85">
        <v>7.0831999999999997</v>
      </c>
      <c r="AK85" s="4">
        <f t="shared" si="11"/>
        <v>0.99838526349973844</v>
      </c>
      <c r="AN85">
        <v>4.5311999999999998E-2</v>
      </c>
    </row>
    <row r="86" spans="1:40" x14ac:dyDescent="0.25">
      <c r="A86" t="s">
        <v>31</v>
      </c>
      <c r="B86">
        <v>1</v>
      </c>
      <c r="C86">
        <v>128</v>
      </c>
      <c r="D86">
        <v>64</v>
      </c>
      <c r="E86">
        <v>28</v>
      </c>
      <c r="F86">
        <v>4</v>
      </c>
      <c r="H86">
        <v>4.3583999999999998E-2</v>
      </c>
      <c r="I86">
        <v>4.4096000000000003E-2</v>
      </c>
      <c r="J86" s="4">
        <f t="shared" si="6"/>
        <v>1.011747430249633</v>
      </c>
      <c r="K86" s="4"/>
      <c r="L86">
        <v>4.5376E-2</v>
      </c>
      <c r="M86">
        <v>4.4479999999999999E-2</v>
      </c>
      <c r="N86" s="4">
        <f t="shared" si="7"/>
        <v>0.98025387870239777</v>
      </c>
      <c r="P86">
        <v>4.3903999999999999E-2</v>
      </c>
      <c r="Q86">
        <v>4.3456000000000002E-2</v>
      </c>
      <c r="R86" s="4">
        <f t="shared" si="8"/>
        <v>0.98979591836734704</v>
      </c>
      <c r="T86">
        <v>4.4735999999999998E-2</v>
      </c>
      <c r="U86">
        <v>4.5311999999999998E-2</v>
      </c>
      <c r="V86" s="4">
        <f t="shared" si="9"/>
        <v>1.0128755364806867</v>
      </c>
      <c r="Y86">
        <v>1</v>
      </c>
      <c r="Z86">
        <v>576</v>
      </c>
      <c r="AA86">
        <v>64</v>
      </c>
      <c r="AB86">
        <v>28</v>
      </c>
      <c r="AC86">
        <v>4</v>
      </c>
      <c r="AE86">
        <v>6.2591999999999995E-2</v>
      </c>
      <c r="AF86">
        <v>6.1567999999999998E-2</v>
      </c>
      <c r="AG86" s="4">
        <f t="shared" si="10"/>
        <v>0.98364008179959106</v>
      </c>
      <c r="AI86">
        <v>6.2656000000000003E-2</v>
      </c>
      <c r="AJ86">
        <v>6.2528E-2</v>
      </c>
      <c r="AK86" s="4">
        <f t="shared" si="11"/>
        <v>0.99795709908069452</v>
      </c>
      <c r="AN86">
        <v>4.4928000000000003E-2</v>
      </c>
    </row>
    <row r="87" spans="1:40" x14ac:dyDescent="0.25">
      <c r="A87" t="s">
        <v>31</v>
      </c>
      <c r="B87">
        <v>2</v>
      </c>
      <c r="C87">
        <v>128</v>
      </c>
      <c r="D87">
        <v>64</v>
      </c>
      <c r="E87">
        <v>28</v>
      </c>
      <c r="F87">
        <v>4</v>
      </c>
      <c r="H87">
        <v>4.3712000000000001E-2</v>
      </c>
      <c r="I87">
        <v>4.3968E-2</v>
      </c>
      <c r="J87" s="4">
        <f t="shared" si="6"/>
        <v>1.0058565153733527</v>
      </c>
      <c r="K87" s="4"/>
      <c r="L87">
        <v>4.48E-2</v>
      </c>
      <c r="M87">
        <v>4.4223999999999999E-2</v>
      </c>
      <c r="N87" s="4">
        <f t="shared" si="7"/>
        <v>0.9871428571428571</v>
      </c>
      <c r="P87">
        <v>4.4032000000000002E-2</v>
      </c>
      <c r="Q87">
        <v>4.3071999999999999E-2</v>
      </c>
      <c r="R87" s="4">
        <f t="shared" si="8"/>
        <v>0.97819767441860461</v>
      </c>
      <c r="T87">
        <v>4.5311999999999998E-2</v>
      </c>
      <c r="U87">
        <v>4.4928000000000003E-2</v>
      </c>
      <c r="V87" s="4">
        <f t="shared" si="9"/>
        <v>0.99152542372881369</v>
      </c>
      <c r="Y87">
        <v>2</v>
      </c>
      <c r="Z87">
        <v>576</v>
      </c>
      <c r="AA87">
        <v>64</v>
      </c>
      <c r="AB87">
        <v>28</v>
      </c>
      <c r="AC87">
        <v>4</v>
      </c>
      <c r="AE87">
        <v>6.2911999999999996E-2</v>
      </c>
      <c r="AF87">
        <v>6.1567999999999998E-2</v>
      </c>
      <c r="AG87" s="4">
        <f t="shared" si="10"/>
        <v>0.97863682604272639</v>
      </c>
      <c r="AI87">
        <v>6.5920000000000006E-2</v>
      </c>
      <c r="AJ87">
        <v>6.4448000000000005E-2</v>
      </c>
      <c r="AK87" s="4">
        <f t="shared" si="11"/>
        <v>0.97766990291262135</v>
      </c>
      <c r="AN87">
        <v>4.5440000000000001E-2</v>
      </c>
    </row>
    <row r="88" spans="1:40" x14ac:dyDescent="0.25">
      <c r="A88" t="s">
        <v>31</v>
      </c>
      <c r="B88">
        <v>4</v>
      </c>
      <c r="C88">
        <v>128</v>
      </c>
      <c r="D88">
        <v>64</v>
      </c>
      <c r="E88">
        <v>28</v>
      </c>
      <c r="F88">
        <v>4</v>
      </c>
      <c r="H88">
        <v>4.3520000000000003E-2</v>
      </c>
      <c r="I88">
        <v>4.4032000000000002E-2</v>
      </c>
      <c r="J88" s="4">
        <f t="shared" si="6"/>
        <v>1.0117647058823529</v>
      </c>
      <c r="K88" s="4"/>
      <c r="L88">
        <v>4.4479999999999999E-2</v>
      </c>
      <c r="M88">
        <v>4.3712000000000001E-2</v>
      </c>
      <c r="N88" s="4">
        <f t="shared" si="7"/>
        <v>0.98273381294964035</v>
      </c>
      <c r="P88">
        <v>4.4544E-2</v>
      </c>
      <c r="Q88">
        <v>4.3839999999999997E-2</v>
      </c>
      <c r="R88" s="4">
        <f t="shared" si="8"/>
        <v>0.9841954022988505</v>
      </c>
      <c r="T88">
        <v>4.4991999999999997E-2</v>
      </c>
      <c r="U88">
        <v>4.5440000000000001E-2</v>
      </c>
      <c r="V88" s="4">
        <f t="shared" si="9"/>
        <v>1.0099573257467995</v>
      </c>
      <c r="Y88">
        <v>4</v>
      </c>
      <c r="Z88">
        <v>576</v>
      </c>
      <c r="AA88">
        <v>64</v>
      </c>
      <c r="AB88">
        <v>28</v>
      </c>
      <c r="AC88">
        <v>4</v>
      </c>
      <c r="AE88">
        <v>5.9712000000000001E-2</v>
      </c>
      <c r="AF88">
        <v>5.8048000000000002E-2</v>
      </c>
      <c r="AG88" s="4">
        <f t="shared" si="10"/>
        <v>0.97213290460878887</v>
      </c>
      <c r="AI88">
        <v>6.6559999999999994E-2</v>
      </c>
      <c r="AJ88">
        <v>6.4832000000000001E-2</v>
      </c>
      <c r="AK88" s="4">
        <f t="shared" si="11"/>
        <v>0.97403846153846163</v>
      </c>
      <c r="AN88">
        <v>5.0687999999999997E-2</v>
      </c>
    </row>
    <row r="89" spans="1:40" x14ac:dyDescent="0.25">
      <c r="A89" t="s">
        <v>31</v>
      </c>
      <c r="B89">
        <v>8</v>
      </c>
      <c r="C89">
        <v>128</v>
      </c>
      <c r="D89">
        <v>64</v>
      </c>
      <c r="E89">
        <v>28</v>
      </c>
      <c r="F89">
        <v>4</v>
      </c>
      <c r="H89">
        <v>4.7424000000000001E-2</v>
      </c>
      <c r="I89">
        <v>4.5823999999999997E-2</v>
      </c>
      <c r="J89" s="4">
        <f t="shared" si="6"/>
        <v>0.96626180836707143</v>
      </c>
      <c r="K89" s="4"/>
      <c r="L89">
        <v>4.8703999999999997E-2</v>
      </c>
      <c r="M89">
        <v>4.8256E-2</v>
      </c>
      <c r="N89" s="4">
        <f t="shared" si="7"/>
        <v>0.99080157687253623</v>
      </c>
      <c r="P89">
        <v>4.8127999999999997E-2</v>
      </c>
      <c r="Q89">
        <v>4.8512E-2</v>
      </c>
      <c r="R89" s="4">
        <f t="shared" si="8"/>
        <v>1.0079787234042554</v>
      </c>
      <c r="T89">
        <v>4.9984000000000001E-2</v>
      </c>
      <c r="U89">
        <v>5.0687999999999997E-2</v>
      </c>
      <c r="V89" s="4">
        <f t="shared" si="9"/>
        <v>1.0140845070422535</v>
      </c>
      <c r="Y89">
        <v>8</v>
      </c>
      <c r="Z89">
        <v>576</v>
      </c>
      <c r="AA89">
        <v>64</v>
      </c>
      <c r="AB89">
        <v>28</v>
      </c>
      <c r="AC89">
        <v>4</v>
      </c>
      <c r="AE89">
        <v>6.6047999999999996E-2</v>
      </c>
      <c r="AF89">
        <v>6.7327999999999999E-2</v>
      </c>
      <c r="AG89" s="4">
        <f t="shared" si="10"/>
        <v>1.0193798449612403</v>
      </c>
      <c r="AI89">
        <v>7.8528000000000001E-2</v>
      </c>
      <c r="AJ89">
        <v>7.7951999999999994E-2</v>
      </c>
      <c r="AK89" s="4">
        <f t="shared" si="11"/>
        <v>0.99266503667481654</v>
      </c>
      <c r="AN89">
        <v>6.0479999999999999E-2</v>
      </c>
    </row>
    <row r="90" spans="1:40" x14ac:dyDescent="0.25">
      <c r="A90" t="s">
        <v>31</v>
      </c>
      <c r="B90">
        <v>16</v>
      </c>
      <c r="C90">
        <v>128</v>
      </c>
      <c r="D90">
        <v>64</v>
      </c>
      <c r="E90">
        <v>28</v>
      </c>
      <c r="F90">
        <v>4</v>
      </c>
      <c r="H90">
        <v>6.4000000000000001E-2</v>
      </c>
      <c r="I90">
        <v>5.4975999999999997E-2</v>
      </c>
      <c r="J90" s="4">
        <f t="shared" si="6"/>
        <v>0.85899999999999999</v>
      </c>
      <c r="K90" s="4"/>
      <c r="L90">
        <v>5.6127999999999997E-2</v>
      </c>
      <c r="M90">
        <v>5.7664E-2</v>
      </c>
      <c r="N90" s="4">
        <f t="shared" si="7"/>
        <v>1.0273660205245154</v>
      </c>
      <c r="P90">
        <v>5.7855999999999998E-2</v>
      </c>
      <c r="Q90">
        <v>5.8048000000000002E-2</v>
      </c>
      <c r="R90" s="4">
        <f t="shared" si="8"/>
        <v>1.0033185840707965</v>
      </c>
      <c r="T90">
        <v>5.8048000000000002E-2</v>
      </c>
      <c r="U90">
        <v>6.0479999999999999E-2</v>
      </c>
      <c r="V90" s="4">
        <f t="shared" si="9"/>
        <v>1.0418963616317529</v>
      </c>
      <c r="Y90">
        <v>16</v>
      </c>
      <c r="Z90">
        <v>576</v>
      </c>
      <c r="AA90">
        <v>64</v>
      </c>
      <c r="AB90">
        <v>28</v>
      </c>
      <c r="AC90">
        <v>4</v>
      </c>
      <c r="AE90">
        <v>8.9791999999999997E-2</v>
      </c>
      <c r="AF90">
        <v>8.7807999999999997E-2</v>
      </c>
      <c r="AG90" s="4">
        <f t="shared" si="10"/>
        <v>0.97790449037776195</v>
      </c>
      <c r="AI90">
        <v>0.10656</v>
      </c>
      <c r="AJ90">
        <v>0.10528</v>
      </c>
      <c r="AK90" s="4">
        <f t="shared" si="11"/>
        <v>0.98798798798798793</v>
      </c>
      <c r="AN90">
        <v>8.0640000000000003E-2</v>
      </c>
    </row>
    <row r="91" spans="1:40" x14ac:dyDescent="0.25">
      <c r="A91" t="s">
        <v>31</v>
      </c>
      <c r="B91">
        <v>32</v>
      </c>
      <c r="C91">
        <v>128</v>
      </c>
      <c r="D91">
        <v>64</v>
      </c>
      <c r="E91">
        <v>28</v>
      </c>
      <c r="F91">
        <v>4</v>
      </c>
      <c r="H91">
        <v>8.9151999999999995E-2</v>
      </c>
      <c r="I91">
        <v>6.8671999999999997E-2</v>
      </c>
      <c r="J91" s="4">
        <f t="shared" si="6"/>
        <v>0.77027997128499637</v>
      </c>
      <c r="K91" s="4"/>
      <c r="L91">
        <v>7.3344000000000006E-2</v>
      </c>
      <c r="M91">
        <v>7.6415999999999998E-2</v>
      </c>
      <c r="N91" s="4">
        <f t="shared" si="7"/>
        <v>1.0418848167539265</v>
      </c>
      <c r="P91">
        <v>7.4368000000000004E-2</v>
      </c>
      <c r="Q91">
        <v>7.6095999999999997E-2</v>
      </c>
      <c r="R91" s="4">
        <f t="shared" si="8"/>
        <v>1.0232358003442339</v>
      </c>
      <c r="T91">
        <v>7.6607999999999996E-2</v>
      </c>
      <c r="U91">
        <v>8.0640000000000003E-2</v>
      </c>
      <c r="V91" s="4">
        <f t="shared" si="9"/>
        <v>1.0526315789473686</v>
      </c>
      <c r="Y91">
        <v>32</v>
      </c>
      <c r="Z91">
        <v>576</v>
      </c>
      <c r="AA91">
        <v>64</v>
      </c>
      <c r="AB91">
        <v>28</v>
      </c>
      <c r="AC91">
        <v>4</v>
      </c>
      <c r="AE91">
        <v>0.15481600000000001</v>
      </c>
      <c r="AF91">
        <v>0.15007999999999999</v>
      </c>
      <c r="AG91" s="4">
        <f t="shared" si="10"/>
        <v>0.96940884663083904</v>
      </c>
      <c r="AI91">
        <v>0.16768</v>
      </c>
      <c r="AJ91">
        <v>0.16896</v>
      </c>
      <c r="AK91" s="4">
        <f t="shared" si="11"/>
        <v>1.0076335877862597</v>
      </c>
      <c r="AN91">
        <v>0.118144</v>
      </c>
    </row>
    <row r="92" spans="1:40" x14ac:dyDescent="0.25">
      <c r="A92" t="s">
        <v>31</v>
      </c>
      <c r="B92">
        <v>64</v>
      </c>
      <c r="C92">
        <v>128</v>
      </c>
      <c r="D92">
        <v>64</v>
      </c>
      <c r="E92">
        <v>28</v>
      </c>
      <c r="F92">
        <v>4</v>
      </c>
      <c r="H92">
        <v>0.122624</v>
      </c>
      <c r="I92">
        <v>9.9711999999999995E-2</v>
      </c>
      <c r="J92" s="4">
        <f t="shared" si="6"/>
        <v>0.81315240083507301</v>
      </c>
      <c r="K92" s="4"/>
      <c r="L92">
        <v>0.10963199999999999</v>
      </c>
      <c r="M92">
        <v>0.113728</v>
      </c>
      <c r="N92" s="4">
        <f t="shared" si="7"/>
        <v>1.0373613543490952</v>
      </c>
      <c r="P92">
        <v>0.108224</v>
      </c>
      <c r="Q92">
        <v>0.10911999999999999</v>
      </c>
      <c r="R92" s="4">
        <f t="shared" si="8"/>
        <v>1.0082791247782377</v>
      </c>
      <c r="T92">
        <v>0.112704</v>
      </c>
      <c r="U92">
        <v>0.118144</v>
      </c>
      <c r="V92" s="4">
        <f t="shared" si="9"/>
        <v>1.0482680295286768</v>
      </c>
      <c r="Y92">
        <v>64</v>
      </c>
      <c r="Z92">
        <v>576</v>
      </c>
      <c r="AA92">
        <v>64</v>
      </c>
      <c r="AB92">
        <v>28</v>
      </c>
      <c r="AC92">
        <v>4</v>
      </c>
      <c r="AE92">
        <v>0.24889600000000001</v>
      </c>
      <c r="AF92">
        <v>0.25702399999999997</v>
      </c>
      <c r="AG92" s="4">
        <f t="shared" si="10"/>
        <v>1.0326562098225764</v>
      </c>
      <c r="AI92">
        <v>0.28249600000000002</v>
      </c>
      <c r="AJ92">
        <v>0.28416000000000002</v>
      </c>
      <c r="AK92" s="4">
        <f t="shared" si="11"/>
        <v>1.0058903488898958</v>
      </c>
      <c r="AN92">
        <v>4.6848000000000001E-2</v>
      </c>
    </row>
    <row r="93" spans="1:40" x14ac:dyDescent="0.25">
      <c r="A93" t="s">
        <v>31</v>
      </c>
      <c r="B93">
        <v>1</v>
      </c>
      <c r="C93">
        <v>128</v>
      </c>
      <c r="D93">
        <v>128</v>
      </c>
      <c r="E93">
        <v>28</v>
      </c>
      <c r="F93">
        <v>4</v>
      </c>
      <c r="H93">
        <v>4.6143999999999998E-2</v>
      </c>
      <c r="I93">
        <v>4.5504000000000003E-2</v>
      </c>
      <c r="J93" s="4">
        <f t="shared" si="6"/>
        <v>0.98613037447988916</v>
      </c>
      <c r="K93" s="4"/>
      <c r="L93">
        <v>4.7744000000000002E-2</v>
      </c>
      <c r="M93">
        <v>4.6592000000000001E-2</v>
      </c>
      <c r="N93" s="4">
        <f t="shared" si="7"/>
        <v>0.97587131367292224</v>
      </c>
      <c r="P93">
        <v>4.6336000000000002E-2</v>
      </c>
      <c r="Q93">
        <v>4.5887999999999998E-2</v>
      </c>
      <c r="R93" s="4">
        <f t="shared" si="8"/>
        <v>0.99033149171270707</v>
      </c>
      <c r="T93">
        <v>4.8447999999999998E-2</v>
      </c>
      <c r="U93">
        <v>4.6848000000000001E-2</v>
      </c>
      <c r="V93" s="4">
        <f t="shared" si="9"/>
        <v>0.96697490092470284</v>
      </c>
      <c r="Y93">
        <v>1</v>
      </c>
      <c r="Z93">
        <v>576</v>
      </c>
      <c r="AA93">
        <v>128</v>
      </c>
      <c r="AB93">
        <v>28</v>
      </c>
      <c r="AC93">
        <v>4</v>
      </c>
      <c r="AE93">
        <v>6.4768000000000006E-2</v>
      </c>
      <c r="AF93">
        <v>6.4128000000000004E-2</v>
      </c>
      <c r="AG93" s="4">
        <f t="shared" si="10"/>
        <v>0.99011857707509876</v>
      </c>
      <c r="AI93">
        <v>6.5087999999999993E-2</v>
      </c>
      <c r="AJ93">
        <v>6.4768000000000006E-2</v>
      </c>
      <c r="AK93" s="4">
        <f t="shared" si="11"/>
        <v>0.99508357915437584</v>
      </c>
      <c r="AN93">
        <v>4.768E-2</v>
      </c>
    </row>
    <row r="94" spans="1:40" x14ac:dyDescent="0.25">
      <c r="A94" t="s">
        <v>31</v>
      </c>
      <c r="B94">
        <v>2</v>
      </c>
      <c r="C94">
        <v>128</v>
      </c>
      <c r="D94">
        <v>128</v>
      </c>
      <c r="E94">
        <v>28</v>
      </c>
      <c r="F94">
        <v>4</v>
      </c>
      <c r="H94">
        <v>0.61126400000000003</v>
      </c>
      <c r="I94">
        <v>4.5823999999999997E-2</v>
      </c>
      <c r="J94" s="4">
        <f t="shared" si="6"/>
        <v>7.496597214951313E-2</v>
      </c>
      <c r="K94" s="4"/>
      <c r="L94">
        <v>4.7295999999999998E-2</v>
      </c>
      <c r="M94">
        <v>4.6975999999999997E-2</v>
      </c>
      <c r="N94" s="4">
        <f t="shared" si="7"/>
        <v>0.99323410013531799</v>
      </c>
      <c r="P94">
        <v>4.6399999999999997E-2</v>
      </c>
      <c r="Q94">
        <v>4.6080000000000003E-2</v>
      </c>
      <c r="R94" s="4">
        <f t="shared" si="8"/>
        <v>0.99310344827586217</v>
      </c>
      <c r="T94">
        <v>4.7551999999999997E-2</v>
      </c>
      <c r="U94">
        <v>4.768E-2</v>
      </c>
      <c r="V94" s="4">
        <f t="shared" si="9"/>
        <v>1.0026917900403769</v>
      </c>
      <c r="Y94">
        <v>2</v>
      </c>
      <c r="Z94">
        <v>576</v>
      </c>
      <c r="AA94">
        <v>128</v>
      </c>
      <c r="AB94">
        <v>28</v>
      </c>
      <c r="AC94">
        <v>4</v>
      </c>
      <c r="AE94">
        <v>6.4512E-2</v>
      </c>
      <c r="AF94">
        <v>6.4383999999999997E-2</v>
      </c>
      <c r="AG94" s="4">
        <f t="shared" si="10"/>
        <v>0.99801587301587302</v>
      </c>
      <c r="AI94">
        <v>6.8543999999999994E-2</v>
      </c>
      <c r="AJ94">
        <v>6.8224000000000007E-2</v>
      </c>
      <c r="AK94" s="4">
        <f t="shared" si="11"/>
        <v>0.99533146591970145</v>
      </c>
      <c r="AN94">
        <v>4.7871999999999998E-2</v>
      </c>
    </row>
    <row r="95" spans="1:40" x14ac:dyDescent="0.25">
      <c r="A95" t="s">
        <v>31</v>
      </c>
      <c r="B95">
        <v>4</v>
      </c>
      <c r="C95">
        <v>128</v>
      </c>
      <c r="D95">
        <v>128</v>
      </c>
      <c r="E95">
        <v>28</v>
      </c>
      <c r="F95">
        <v>4</v>
      </c>
      <c r="H95">
        <v>4.5823999999999997E-2</v>
      </c>
      <c r="I95">
        <v>4.6207999999999999E-2</v>
      </c>
      <c r="J95" s="4">
        <f t="shared" si="6"/>
        <v>1.0083798882681565</v>
      </c>
      <c r="K95" s="4"/>
      <c r="L95">
        <v>4.6719999999999998E-2</v>
      </c>
      <c r="M95">
        <v>4.6656000000000003E-2</v>
      </c>
      <c r="N95" s="4">
        <f t="shared" si="7"/>
        <v>0.99863013698630143</v>
      </c>
      <c r="P95">
        <v>4.6399999999999997E-2</v>
      </c>
      <c r="Q95">
        <v>4.6528E-2</v>
      </c>
      <c r="R95" s="4">
        <f t="shared" si="8"/>
        <v>1.0027586206896553</v>
      </c>
      <c r="T95">
        <v>4.7935999999999999E-2</v>
      </c>
      <c r="U95">
        <v>4.7871999999999998E-2</v>
      </c>
      <c r="V95" s="4">
        <f t="shared" si="9"/>
        <v>0.99866488651535379</v>
      </c>
      <c r="Y95">
        <v>4</v>
      </c>
      <c r="Z95">
        <v>576</v>
      </c>
      <c r="AA95">
        <v>128</v>
      </c>
      <c r="AB95">
        <v>28</v>
      </c>
      <c r="AC95">
        <v>4</v>
      </c>
      <c r="AE95">
        <v>6.1184000000000002E-2</v>
      </c>
      <c r="AF95">
        <v>6.1120000000000001E-2</v>
      </c>
      <c r="AG95" s="4">
        <f t="shared" si="10"/>
        <v>0.9989539748953975</v>
      </c>
      <c r="AI95">
        <v>6.7904000000000006E-2</v>
      </c>
      <c r="AJ95">
        <v>6.88E-2</v>
      </c>
      <c r="AK95" s="4">
        <f t="shared" si="11"/>
        <v>1.0131950989632421</v>
      </c>
      <c r="AN95">
        <v>5.4975999999999997E-2</v>
      </c>
    </row>
    <row r="96" spans="1:40" x14ac:dyDescent="0.25">
      <c r="A96" t="s">
        <v>31</v>
      </c>
      <c r="B96">
        <v>8</v>
      </c>
      <c r="C96">
        <v>128</v>
      </c>
      <c r="D96">
        <v>128</v>
      </c>
      <c r="E96">
        <v>28</v>
      </c>
      <c r="F96">
        <v>4</v>
      </c>
      <c r="H96">
        <v>5.0944000000000003E-2</v>
      </c>
      <c r="I96">
        <v>5.0751999999999999E-2</v>
      </c>
      <c r="J96" s="4">
        <f t="shared" si="6"/>
        <v>0.99623115577889443</v>
      </c>
      <c r="K96" s="4"/>
      <c r="L96">
        <v>5.3952E-2</v>
      </c>
      <c r="M96">
        <v>5.3120000000000001E-2</v>
      </c>
      <c r="N96" s="4">
        <f t="shared" si="7"/>
        <v>0.98457888493475687</v>
      </c>
      <c r="P96">
        <v>5.1903999999999999E-2</v>
      </c>
      <c r="Q96">
        <v>5.1968E-2</v>
      </c>
      <c r="R96" s="4">
        <f t="shared" si="8"/>
        <v>1.0012330456226881</v>
      </c>
      <c r="T96">
        <v>5.4848000000000001E-2</v>
      </c>
      <c r="U96">
        <v>5.4975999999999997E-2</v>
      </c>
      <c r="V96" s="4">
        <f t="shared" si="9"/>
        <v>1.0023337222870479</v>
      </c>
      <c r="Y96">
        <v>8</v>
      </c>
      <c r="Z96">
        <v>576</v>
      </c>
      <c r="AA96">
        <v>128</v>
      </c>
      <c r="AB96">
        <v>28</v>
      </c>
      <c r="AC96">
        <v>4</v>
      </c>
      <c r="AE96">
        <v>7.2064000000000003E-2</v>
      </c>
      <c r="AF96">
        <v>6.7968000000000001E-2</v>
      </c>
      <c r="AG96" s="4">
        <f t="shared" si="10"/>
        <v>0.94316163410301945</v>
      </c>
      <c r="AI96">
        <v>8.0063999999999996E-2</v>
      </c>
      <c r="AJ96">
        <v>7.9488000000000003E-2</v>
      </c>
      <c r="AK96" s="4">
        <f t="shared" si="11"/>
        <v>0.9928057553956835</v>
      </c>
      <c r="AN96">
        <v>6.9248000000000004E-2</v>
      </c>
    </row>
    <row r="97" spans="1:40" x14ac:dyDescent="0.25">
      <c r="A97" t="s">
        <v>31</v>
      </c>
      <c r="B97">
        <v>16</v>
      </c>
      <c r="C97">
        <v>128</v>
      </c>
      <c r="D97">
        <v>128</v>
      </c>
      <c r="E97">
        <v>28</v>
      </c>
      <c r="F97">
        <v>4</v>
      </c>
      <c r="H97">
        <v>6.3808000000000004E-2</v>
      </c>
      <c r="I97">
        <v>6.2016000000000002E-2</v>
      </c>
      <c r="J97" s="4">
        <f t="shared" si="6"/>
        <v>0.97191574724172514</v>
      </c>
      <c r="K97" s="4"/>
      <c r="L97">
        <v>6.5472000000000002E-2</v>
      </c>
      <c r="M97">
        <v>6.5727999999999995E-2</v>
      </c>
      <c r="N97" s="4">
        <f t="shared" si="7"/>
        <v>1.0039100684261972</v>
      </c>
      <c r="P97">
        <v>6.3871999999999998E-2</v>
      </c>
      <c r="Q97">
        <v>6.4960000000000004E-2</v>
      </c>
      <c r="R97" s="4">
        <f t="shared" si="8"/>
        <v>1.0170340681362726</v>
      </c>
      <c r="T97">
        <v>6.9311999999999999E-2</v>
      </c>
      <c r="U97">
        <v>6.9248000000000004E-2</v>
      </c>
      <c r="V97" s="4">
        <f t="shared" si="9"/>
        <v>0.99907663896583576</v>
      </c>
      <c r="Y97">
        <v>16</v>
      </c>
      <c r="Z97">
        <v>576</v>
      </c>
      <c r="AA97">
        <v>128</v>
      </c>
      <c r="AB97">
        <v>28</v>
      </c>
      <c r="AC97">
        <v>4</v>
      </c>
      <c r="AE97">
        <v>9.1904E-2</v>
      </c>
      <c r="AF97">
        <v>8.7999999999999995E-2</v>
      </c>
      <c r="AG97" s="4">
        <f t="shared" si="10"/>
        <v>0.95752089136490248</v>
      </c>
      <c r="AI97">
        <v>0.11616</v>
      </c>
      <c r="AJ97">
        <v>0.11475200000000001</v>
      </c>
      <c r="AK97" s="4">
        <f t="shared" si="11"/>
        <v>0.98787878787878791</v>
      </c>
      <c r="AN97">
        <v>9.6768000000000007E-2</v>
      </c>
    </row>
    <row r="98" spans="1:40" x14ac:dyDescent="0.25">
      <c r="A98" t="s">
        <v>31</v>
      </c>
      <c r="B98">
        <v>32</v>
      </c>
      <c r="C98">
        <v>128</v>
      </c>
      <c r="D98">
        <v>128</v>
      </c>
      <c r="E98">
        <v>28</v>
      </c>
      <c r="F98">
        <v>4</v>
      </c>
      <c r="H98">
        <v>8.9471999999999996E-2</v>
      </c>
      <c r="I98">
        <v>8.6527999999999994E-2</v>
      </c>
      <c r="J98" s="4">
        <f t="shared" si="6"/>
        <v>0.96709585121602282</v>
      </c>
      <c r="K98" s="4"/>
      <c r="L98">
        <v>9.3439999999999995E-2</v>
      </c>
      <c r="M98">
        <v>9.2480000000000007E-2</v>
      </c>
      <c r="N98" s="4">
        <f t="shared" si="7"/>
        <v>0.98972602739726034</v>
      </c>
      <c r="P98">
        <v>8.6527999999999994E-2</v>
      </c>
      <c r="Q98">
        <v>8.7679999999999994E-2</v>
      </c>
      <c r="R98" s="4">
        <f t="shared" si="8"/>
        <v>1.0133136094674555</v>
      </c>
      <c r="T98">
        <v>9.3951999999999994E-2</v>
      </c>
      <c r="U98">
        <v>9.6768000000000007E-2</v>
      </c>
      <c r="V98" s="4">
        <f t="shared" si="9"/>
        <v>1.0299727520435968</v>
      </c>
      <c r="Y98">
        <v>32</v>
      </c>
      <c r="Z98">
        <v>576</v>
      </c>
      <c r="AA98">
        <v>128</v>
      </c>
      <c r="AB98">
        <v>28</v>
      </c>
      <c r="AC98">
        <v>4</v>
      </c>
      <c r="AE98">
        <v>0.15615999999999999</v>
      </c>
      <c r="AF98">
        <v>0.156608</v>
      </c>
      <c r="AG98" s="4">
        <f t="shared" si="10"/>
        <v>1.0028688524590164</v>
      </c>
      <c r="AI98">
        <v>0.18271999999999999</v>
      </c>
      <c r="AJ98">
        <v>0.18015999999999999</v>
      </c>
      <c r="AK98" s="4">
        <f t="shared" si="11"/>
        <v>0.98598949211908926</v>
      </c>
      <c r="AN98">
        <v>0.153088</v>
      </c>
    </row>
    <row r="99" spans="1:40" ht="14.4" customHeight="1" x14ac:dyDescent="0.25">
      <c r="A99" t="s">
        <v>31</v>
      </c>
      <c r="B99">
        <v>64</v>
      </c>
      <c r="C99">
        <v>128</v>
      </c>
      <c r="D99">
        <v>128</v>
      </c>
      <c r="E99">
        <v>28</v>
      </c>
      <c r="F99">
        <v>4</v>
      </c>
      <c r="H99">
        <v>0.139712</v>
      </c>
      <c r="I99">
        <v>0.13056000000000001</v>
      </c>
      <c r="J99" s="4">
        <f>I99/H99</f>
        <v>0.93449381584974811</v>
      </c>
      <c r="K99" s="4"/>
      <c r="L99">
        <v>0.145792</v>
      </c>
      <c r="M99">
        <v>0.14860799999999999</v>
      </c>
      <c r="N99" s="4">
        <f t="shared" si="7"/>
        <v>1.0193151887620719</v>
      </c>
      <c r="P99">
        <v>0.13568</v>
      </c>
      <c r="Q99">
        <v>0.13523199999999999</v>
      </c>
      <c r="R99" s="4">
        <f t="shared" si="8"/>
        <v>0.99669811320754709</v>
      </c>
      <c r="T99">
        <v>0.14899200000000001</v>
      </c>
      <c r="U99">
        <v>0.153088</v>
      </c>
      <c r="V99" s="4">
        <f t="shared" si="9"/>
        <v>1.0274914089347078</v>
      </c>
      <c r="Y99">
        <v>64</v>
      </c>
      <c r="Z99">
        <v>576</v>
      </c>
      <c r="AA99">
        <v>128</v>
      </c>
      <c r="AB99">
        <v>28</v>
      </c>
      <c r="AC99">
        <v>4</v>
      </c>
      <c r="AE99">
        <v>0.26912000000000003</v>
      </c>
      <c r="AF99">
        <v>0.26995200000000003</v>
      </c>
      <c r="AG99" s="4">
        <f t="shared" si="10"/>
        <v>1.0030915576694412</v>
      </c>
      <c r="AI99">
        <v>0.31673600000000002</v>
      </c>
      <c r="AJ99">
        <v>0.31622400000000001</v>
      </c>
      <c r="AK99" s="4">
        <f t="shared" si="11"/>
        <v>0.99838351182056972</v>
      </c>
      <c r="AN99">
        <v>7.0272000000000001E-2</v>
      </c>
    </row>
    <row r="100" spans="1:40" x14ac:dyDescent="0.25">
      <c r="A100" t="s">
        <v>31</v>
      </c>
      <c r="B100">
        <v>1</v>
      </c>
      <c r="C100">
        <v>128</v>
      </c>
      <c r="D100">
        <v>256</v>
      </c>
      <c r="E100">
        <v>28</v>
      </c>
      <c r="F100">
        <v>4</v>
      </c>
      <c r="H100">
        <v>5.1647999999999999E-2</v>
      </c>
      <c r="I100">
        <v>5.0816E-2</v>
      </c>
      <c r="J100" s="4">
        <f t="shared" ref="J100:J163" si="12">I100/H100</f>
        <v>0.98389095415117722</v>
      </c>
      <c r="K100" s="4"/>
      <c r="L100">
        <v>5.1583999999999998E-2</v>
      </c>
      <c r="M100">
        <v>5.1327999999999999E-2</v>
      </c>
      <c r="N100" s="4">
        <f t="shared" si="7"/>
        <v>0.99503722084367252</v>
      </c>
      <c r="P100">
        <v>5.1392E-2</v>
      </c>
      <c r="Q100">
        <v>6.2848000000000001E-2</v>
      </c>
      <c r="R100" s="4">
        <f t="shared" si="8"/>
        <v>1.2229140722291407</v>
      </c>
      <c r="T100">
        <v>5.2608000000000002E-2</v>
      </c>
      <c r="U100">
        <v>7.0272000000000001E-2</v>
      </c>
      <c r="V100" s="4">
        <f t="shared" si="9"/>
        <v>1.3357664233576643</v>
      </c>
      <c r="Y100">
        <v>1</v>
      </c>
      <c r="Z100">
        <v>576</v>
      </c>
      <c r="AA100">
        <v>256</v>
      </c>
      <c r="AB100">
        <v>28</v>
      </c>
      <c r="AC100">
        <v>4</v>
      </c>
      <c r="AE100">
        <v>7.2511999999999993E-2</v>
      </c>
      <c r="AF100">
        <v>7.2767999999999999E-2</v>
      </c>
      <c r="AG100" s="4">
        <f t="shared" si="10"/>
        <v>1.0035304501323921</v>
      </c>
      <c r="AI100">
        <v>7.3856000000000005E-2</v>
      </c>
      <c r="AJ100">
        <v>7.3599999999999999E-2</v>
      </c>
      <c r="AK100" s="4">
        <f t="shared" si="11"/>
        <v>0.99653379549393406</v>
      </c>
      <c r="AN100">
        <v>6.8543999999999994E-2</v>
      </c>
    </row>
    <row r="101" spans="1:40" x14ac:dyDescent="0.25">
      <c r="A101" t="s">
        <v>31</v>
      </c>
      <c r="B101">
        <v>2</v>
      </c>
      <c r="C101">
        <v>128</v>
      </c>
      <c r="D101">
        <v>256</v>
      </c>
      <c r="E101">
        <v>28</v>
      </c>
      <c r="F101">
        <v>4</v>
      </c>
      <c r="H101">
        <v>4.9984000000000001E-2</v>
      </c>
      <c r="I101">
        <v>5.0816E-2</v>
      </c>
      <c r="J101" s="4">
        <f t="shared" si="12"/>
        <v>1.0166453265044815</v>
      </c>
      <c r="K101" s="4"/>
      <c r="L101">
        <v>5.2096000000000003E-2</v>
      </c>
      <c r="M101">
        <v>5.0751999999999999E-2</v>
      </c>
      <c r="N101" s="4">
        <f t="shared" si="7"/>
        <v>0.97420147420147407</v>
      </c>
      <c r="P101">
        <v>5.2735999999999998E-2</v>
      </c>
      <c r="Q101">
        <v>5.1392E-2</v>
      </c>
      <c r="R101" s="4">
        <f t="shared" si="8"/>
        <v>0.97451456310679618</v>
      </c>
      <c r="T101">
        <v>5.3247999999999997E-2</v>
      </c>
      <c r="U101">
        <v>6.8543999999999994E-2</v>
      </c>
      <c r="V101" s="4">
        <f t="shared" si="9"/>
        <v>1.2872596153846154</v>
      </c>
      <c r="Y101">
        <v>2</v>
      </c>
      <c r="Z101">
        <v>576</v>
      </c>
      <c r="AA101">
        <v>256</v>
      </c>
      <c r="AB101">
        <v>28</v>
      </c>
      <c r="AC101">
        <v>4</v>
      </c>
      <c r="AE101">
        <v>7.2511999999999993E-2</v>
      </c>
      <c r="AF101">
        <v>7.2064000000000003E-2</v>
      </c>
      <c r="AG101" s="4">
        <f t="shared" si="10"/>
        <v>0.99382171226831439</v>
      </c>
      <c r="AI101">
        <v>8.1087999999999993E-2</v>
      </c>
      <c r="AJ101">
        <v>7.9935999999999993E-2</v>
      </c>
      <c r="AK101" s="4">
        <f t="shared" si="11"/>
        <v>0.98579321231254935</v>
      </c>
      <c r="AN101">
        <v>6.1504000000000003E-2</v>
      </c>
    </row>
    <row r="102" spans="1:40" x14ac:dyDescent="0.25">
      <c r="A102" t="s">
        <v>31</v>
      </c>
      <c r="B102">
        <v>4</v>
      </c>
      <c r="C102">
        <v>128</v>
      </c>
      <c r="D102">
        <v>256</v>
      </c>
      <c r="E102">
        <v>28</v>
      </c>
      <c r="F102">
        <v>4</v>
      </c>
      <c r="H102">
        <v>5.1776000000000003E-2</v>
      </c>
      <c r="I102">
        <v>5.0816E-2</v>
      </c>
      <c r="J102" s="4">
        <f t="shared" si="12"/>
        <v>0.98145859085290477</v>
      </c>
      <c r="K102" s="4"/>
      <c r="L102">
        <v>5.3311999999999998E-2</v>
      </c>
      <c r="M102">
        <v>5.1456000000000002E-2</v>
      </c>
      <c r="N102" s="4">
        <f t="shared" si="7"/>
        <v>0.965186074429772</v>
      </c>
      <c r="P102">
        <v>5.2671999999999997E-2</v>
      </c>
      <c r="Q102">
        <v>5.2735999999999998E-2</v>
      </c>
      <c r="R102" s="4">
        <f t="shared" si="8"/>
        <v>1.0012150668286757</v>
      </c>
      <c r="T102">
        <v>5.3887999999999998E-2</v>
      </c>
      <c r="U102">
        <v>6.1504000000000003E-2</v>
      </c>
      <c r="V102" s="4">
        <f t="shared" si="9"/>
        <v>1.141330166270784</v>
      </c>
      <c r="Y102">
        <v>4</v>
      </c>
      <c r="Z102">
        <v>576</v>
      </c>
      <c r="AA102">
        <v>256</v>
      </c>
      <c r="AB102">
        <v>28</v>
      </c>
      <c r="AC102">
        <v>4</v>
      </c>
      <c r="AE102">
        <v>6.8928000000000003E-2</v>
      </c>
      <c r="AF102">
        <v>6.7072000000000007E-2</v>
      </c>
      <c r="AG102" s="4">
        <f t="shared" si="10"/>
        <v>0.97307335190343547</v>
      </c>
      <c r="AI102">
        <v>8.3648E-2</v>
      </c>
      <c r="AJ102">
        <v>8.1472000000000003E-2</v>
      </c>
      <c r="AK102" s="4">
        <f t="shared" si="11"/>
        <v>0.97398622800306045</v>
      </c>
      <c r="AN102">
        <v>6.5343999999999999E-2</v>
      </c>
    </row>
    <row r="103" spans="1:40" x14ac:dyDescent="0.25">
      <c r="A103" t="s">
        <v>31</v>
      </c>
      <c r="B103">
        <v>8</v>
      </c>
      <c r="C103">
        <v>128</v>
      </c>
      <c r="D103">
        <v>256</v>
      </c>
      <c r="E103">
        <v>28</v>
      </c>
      <c r="F103">
        <v>4</v>
      </c>
      <c r="H103">
        <v>5.9648E-2</v>
      </c>
      <c r="I103">
        <v>5.9712000000000001E-2</v>
      </c>
      <c r="J103" s="4">
        <f t="shared" si="12"/>
        <v>1.0010729613733906</v>
      </c>
      <c r="K103" s="4"/>
      <c r="L103">
        <v>6.3231999999999997E-2</v>
      </c>
      <c r="M103">
        <v>6.2528E-2</v>
      </c>
      <c r="N103" s="4">
        <f t="shared" si="7"/>
        <v>0.98886639676113364</v>
      </c>
      <c r="P103">
        <v>6.2143999999999998E-2</v>
      </c>
      <c r="Q103">
        <v>6.3936000000000007E-2</v>
      </c>
      <c r="R103" s="4">
        <f t="shared" si="8"/>
        <v>1.0288362512873328</v>
      </c>
      <c r="T103">
        <v>6.6047999999999996E-2</v>
      </c>
      <c r="U103">
        <v>6.5343999999999999E-2</v>
      </c>
      <c r="V103" s="4">
        <f t="shared" si="9"/>
        <v>0.98934108527131792</v>
      </c>
      <c r="Y103">
        <v>8</v>
      </c>
      <c r="Z103">
        <v>576</v>
      </c>
      <c r="AA103">
        <v>256</v>
      </c>
      <c r="AB103">
        <v>28</v>
      </c>
      <c r="AC103">
        <v>4</v>
      </c>
      <c r="AE103">
        <v>8.1152000000000002E-2</v>
      </c>
      <c r="AF103">
        <v>8.2047999999999996E-2</v>
      </c>
      <c r="AG103" s="4">
        <f t="shared" si="10"/>
        <v>1.0110410094637223</v>
      </c>
      <c r="AI103">
        <v>0.10073600000000001</v>
      </c>
      <c r="AJ103">
        <v>0.10156800000000001</v>
      </c>
      <c r="AK103" s="4">
        <f t="shared" si="11"/>
        <v>1.008259212198221</v>
      </c>
      <c r="AN103">
        <v>9.0495999999999993E-2</v>
      </c>
    </row>
    <row r="104" spans="1:40" x14ac:dyDescent="0.25">
      <c r="A104" t="s">
        <v>31</v>
      </c>
      <c r="B104">
        <v>16</v>
      </c>
      <c r="C104">
        <v>128</v>
      </c>
      <c r="D104">
        <v>256</v>
      </c>
      <c r="E104">
        <v>28</v>
      </c>
      <c r="F104">
        <v>4</v>
      </c>
      <c r="H104">
        <v>8.3199999999999996E-2</v>
      </c>
      <c r="I104">
        <v>7.9743999999999995E-2</v>
      </c>
      <c r="J104" s="4">
        <f t="shared" si="12"/>
        <v>0.95846153846153848</v>
      </c>
      <c r="K104" s="4"/>
      <c r="L104">
        <v>8.5632E-2</v>
      </c>
      <c r="M104">
        <v>8.5375999999999994E-2</v>
      </c>
      <c r="N104" s="4">
        <f t="shared" si="7"/>
        <v>0.99701046337817634</v>
      </c>
      <c r="P104">
        <v>8.3391999999999994E-2</v>
      </c>
      <c r="Q104">
        <v>8.3327999999999999E-2</v>
      </c>
      <c r="R104" s="4">
        <f t="shared" si="8"/>
        <v>0.99923254029163477</v>
      </c>
      <c r="T104">
        <v>9.0495999999999993E-2</v>
      </c>
      <c r="U104">
        <v>9.0495999999999993E-2</v>
      </c>
      <c r="V104" s="4">
        <f t="shared" si="9"/>
        <v>1</v>
      </c>
      <c r="Y104">
        <v>16</v>
      </c>
      <c r="Z104">
        <v>576</v>
      </c>
      <c r="AA104">
        <v>256</v>
      </c>
      <c r="AB104">
        <v>28</v>
      </c>
      <c r="AC104">
        <v>4</v>
      </c>
      <c r="AE104">
        <v>0.12396799999999999</v>
      </c>
      <c r="AF104">
        <v>0.121408</v>
      </c>
      <c r="AG104" s="4">
        <f t="shared" si="10"/>
        <v>0.97934950955085187</v>
      </c>
      <c r="AI104">
        <v>0.15615999999999999</v>
      </c>
      <c r="AJ104">
        <v>0.15270400000000001</v>
      </c>
      <c r="AK104" s="4">
        <f t="shared" si="11"/>
        <v>0.97786885245901645</v>
      </c>
      <c r="AN104">
        <v>0.13983999999999999</v>
      </c>
    </row>
    <row r="105" spans="1:40" x14ac:dyDescent="0.25">
      <c r="A105" t="s">
        <v>31</v>
      </c>
      <c r="B105">
        <v>32</v>
      </c>
      <c r="C105">
        <v>128</v>
      </c>
      <c r="D105">
        <v>256</v>
      </c>
      <c r="E105">
        <v>28</v>
      </c>
      <c r="F105">
        <v>4</v>
      </c>
      <c r="H105">
        <v>0.12710399999999999</v>
      </c>
      <c r="I105">
        <v>0.117312</v>
      </c>
      <c r="J105" s="4">
        <f t="shared" si="12"/>
        <v>0.92296072507552873</v>
      </c>
      <c r="K105" s="4"/>
      <c r="L105">
        <v>0.13331200000000001</v>
      </c>
      <c r="M105">
        <v>0.13286400000000001</v>
      </c>
      <c r="N105" s="4">
        <f t="shared" si="7"/>
        <v>0.99663946231397016</v>
      </c>
      <c r="P105">
        <v>0.123392</v>
      </c>
      <c r="Q105">
        <v>0.12166399999999999</v>
      </c>
      <c r="R105" s="4">
        <f t="shared" si="8"/>
        <v>0.98599585062240658</v>
      </c>
      <c r="T105">
        <v>0.139264</v>
      </c>
      <c r="U105">
        <v>0.13983999999999999</v>
      </c>
      <c r="V105" s="4">
        <f t="shared" si="9"/>
        <v>1.0041360294117647</v>
      </c>
      <c r="Y105">
        <v>32</v>
      </c>
      <c r="Z105">
        <v>576</v>
      </c>
      <c r="AA105">
        <v>256</v>
      </c>
      <c r="AB105">
        <v>28</v>
      </c>
      <c r="AC105">
        <v>4</v>
      </c>
      <c r="AE105">
        <v>0.19481599999999999</v>
      </c>
      <c r="AF105">
        <v>0.19392000000000001</v>
      </c>
      <c r="AG105" s="4">
        <f t="shared" si="10"/>
        <v>0.99540078843626822</v>
      </c>
      <c r="AI105">
        <v>0.26816000000000001</v>
      </c>
      <c r="AJ105">
        <v>0.26508799999999999</v>
      </c>
      <c r="AK105" s="4">
        <f t="shared" si="11"/>
        <v>0.98854415274463003</v>
      </c>
      <c r="AN105">
        <v>0.23718400000000001</v>
      </c>
    </row>
    <row r="106" spans="1:40" x14ac:dyDescent="0.25">
      <c r="A106" t="s">
        <v>31</v>
      </c>
      <c r="B106">
        <v>64</v>
      </c>
      <c r="C106">
        <v>128</v>
      </c>
      <c r="D106">
        <v>256</v>
      </c>
      <c r="E106">
        <v>28</v>
      </c>
      <c r="F106">
        <v>4</v>
      </c>
      <c r="H106">
        <v>0.207232</v>
      </c>
      <c r="I106">
        <v>0.19308800000000001</v>
      </c>
      <c r="J106" s="4">
        <f t="shared" si="12"/>
        <v>0.93174799258801733</v>
      </c>
      <c r="K106" s="4"/>
      <c r="L106">
        <v>0.22547200000000001</v>
      </c>
      <c r="M106">
        <v>0.227328</v>
      </c>
      <c r="N106" s="4">
        <f t="shared" si="7"/>
        <v>1.0082316207777462</v>
      </c>
      <c r="P106">
        <v>0.20883199999999999</v>
      </c>
      <c r="Q106">
        <v>0.204096</v>
      </c>
      <c r="R106" s="4">
        <f t="shared" si="8"/>
        <v>0.97732148329757895</v>
      </c>
      <c r="T106">
        <v>0.237568</v>
      </c>
      <c r="U106">
        <v>0.23718400000000001</v>
      </c>
      <c r="V106" s="4">
        <f t="shared" si="9"/>
        <v>0.99838362068965514</v>
      </c>
      <c r="Y106">
        <v>64</v>
      </c>
      <c r="Z106">
        <v>576</v>
      </c>
      <c r="AA106">
        <v>256</v>
      </c>
      <c r="AB106">
        <v>28</v>
      </c>
      <c r="AC106">
        <v>4</v>
      </c>
      <c r="AE106">
        <v>0.38707200000000003</v>
      </c>
      <c r="AF106">
        <v>0.387264</v>
      </c>
      <c r="AG106" s="4">
        <f t="shared" si="10"/>
        <v>1.0004960317460316</v>
      </c>
      <c r="AI106">
        <v>0.49996800000000002</v>
      </c>
      <c r="AJ106">
        <v>0.49619200000000002</v>
      </c>
      <c r="AK106" s="4">
        <f t="shared" si="11"/>
        <v>0.99244751664106501</v>
      </c>
      <c r="AN106">
        <v>7.5008000000000005E-2</v>
      </c>
    </row>
    <row r="107" spans="1:40" x14ac:dyDescent="0.25">
      <c r="A107" t="s">
        <v>31</v>
      </c>
      <c r="B107">
        <v>1</v>
      </c>
      <c r="C107">
        <v>128</v>
      </c>
      <c r="D107">
        <v>512</v>
      </c>
      <c r="E107">
        <v>28</v>
      </c>
      <c r="F107">
        <v>4</v>
      </c>
      <c r="H107">
        <v>6.1887999999999999E-2</v>
      </c>
      <c r="I107">
        <v>6.0288000000000001E-2</v>
      </c>
      <c r="J107" s="4">
        <f t="shared" si="12"/>
        <v>0.97414684591520173</v>
      </c>
      <c r="K107" s="4"/>
      <c r="L107">
        <v>6.2591999999999995E-2</v>
      </c>
      <c r="M107">
        <v>6.1247999999999997E-2</v>
      </c>
      <c r="N107" s="4">
        <f t="shared" si="7"/>
        <v>0.9785276073619632</v>
      </c>
      <c r="P107">
        <v>5.9903999999999999E-2</v>
      </c>
      <c r="Q107">
        <v>5.9648E-2</v>
      </c>
      <c r="R107" s="4">
        <f t="shared" si="8"/>
        <v>0.99572649572649574</v>
      </c>
      <c r="T107">
        <v>6.3488000000000003E-2</v>
      </c>
      <c r="U107">
        <v>7.5008000000000005E-2</v>
      </c>
      <c r="V107" s="4">
        <f t="shared" si="9"/>
        <v>1.1814516129032258</v>
      </c>
      <c r="Y107">
        <v>1</v>
      </c>
      <c r="Z107">
        <v>576</v>
      </c>
      <c r="AA107">
        <v>512</v>
      </c>
      <c r="AB107">
        <v>28</v>
      </c>
      <c r="AC107">
        <v>4</v>
      </c>
      <c r="AE107">
        <v>9.1520000000000004E-2</v>
      </c>
      <c r="AF107">
        <v>9.3376000000000001E-2</v>
      </c>
      <c r="AG107" s="4">
        <f t="shared" si="10"/>
        <v>1.0202797202797202</v>
      </c>
      <c r="AI107">
        <v>9.2672000000000004E-2</v>
      </c>
      <c r="AJ107">
        <v>9.2415999999999998E-2</v>
      </c>
      <c r="AK107" s="4">
        <f t="shared" si="11"/>
        <v>0.99723756906077343</v>
      </c>
      <c r="AN107">
        <v>6.3743999999999995E-2</v>
      </c>
    </row>
    <row r="108" spans="1:40" x14ac:dyDescent="0.25">
      <c r="A108" t="s">
        <v>31</v>
      </c>
      <c r="B108">
        <v>2</v>
      </c>
      <c r="C108">
        <v>128</v>
      </c>
      <c r="D108">
        <v>512</v>
      </c>
      <c r="E108">
        <v>28</v>
      </c>
      <c r="F108">
        <v>4</v>
      </c>
      <c r="H108">
        <v>6.08E-2</v>
      </c>
      <c r="I108">
        <v>6.0352000000000003E-2</v>
      </c>
      <c r="J108" s="4">
        <f t="shared" si="12"/>
        <v>0.99263157894736842</v>
      </c>
      <c r="K108" s="4"/>
      <c r="L108">
        <v>6.2399999999999997E-2</v>
      </c>
      <c r="M108">
        <v>6.1631999999999999E-2</v>
      </c>
      <c r="N108" s="4">
        <f t="shared" si="7"/>
        <v>0.98769230769230776</v>
      </c>
      <c r="P108">
        <v>8.2047999999999996E-2</v>
      </c>
      <c r="Q108">
        <v>6.1760000000000002E-2</v>
      </c>
      <c r="R108" s="4">
        <f t="shared" si="8"/>
        <v>0.75273010920436823</v>
      </c>
      <c r="T108">
        <v>6.4320000000000002E-2</v>
      </c>
      <c r="U108">
        <v>6.3743999999999995E-2</v>
      </c>
      <c r="V108" s="4">
        <f t="shared" si="9"/>
        <v>0.99104477611940289</v>
      </c>
      <c r="Y108">
        <v>2</v>
      </c>
      <c r="Z108">
        <v>576</v>
      </c>
      <c r="AA108">
        <v>512</v>
      </c>
      <c r="AB108">
        <v>28</v>
      </c>
      <c r="AC108">
        <v>4</v>
      </c>
      <c r="AE108">
        <v>9.0495999999999993E-2</v>
      </c>
      <c r="AF108">
        <v>9.3759999999999996E-2</v>
      </c>
      <c r="AG108" s="4">
        <f t="shared" si="10"/>
        <v>1.036067892503536</v>
      </c>
      <c r="AI108">
        <v>0.105728</v>
      </c>
      <c r="AJ108">
        <v>0.10656</v>
      </c>
      <c r="AK108" s="4">
        <f t="shared" si="11"/>
        <v>1.007869249394673</v>
      </c>
      <c r="AN108">
        <v>6.4575999999999995E-2</v>
      </c>
    </row>
    <row r="109" spans="1:40" x14ac:dyDescent="0.25">
      <c r="A109" t="s">
        <v>31</v>
      </c>
      <c r="B109">
        <v>4</v>
      </c>
      <c r="C109">
        <v>128</v>
      </c>
      <c r="D109">
        <v>512</v>
      </c>
      <c r="E109">
        <v>28</v>
      </c>
      <c r="F109">
        <v>4</v>
      </c>
      <c r="H109">
        <v>6.0864000000000001E-2</v>
      </c>
      <c r="I109">
        <v>6.0991999999999998E-2</v>
      </c>
      <c r="J109" s="4">
        <f t="shared" si="12"/>
        <v>1.0021030494216614</v>
      </c>
      <c r="K109" s="4"/>
      <c r="L109">
        <v>6.1376E-2</v>
      </c>
      <c r="M109">
        <v>6.0735999999999998E-2</v>
      </c>
      <c r="N109" s="4">
        <f t="shared" si="7"/>
        <v>0.98957247132429615</v>
      </c>
      <c r="P109">
        <v>6.5215999999999996E-2</v>
      </c>
      <c r="Q109">
        <v>6.6752000000000006E-2</v>
      </c>
      <c r="R109" s="4">
        <f t="shared" si="8"/>
        <v>1.0235525024533858</v>
      </c>
      <c r="T109">
        <v>6.5664E-2</v>
      </c>
      <c r="U109">
        <v>6.4575999999999995E-2</v>
      </c>
      <c r="V109" s="4">
        <f t="shared" si="9"/>
        <v>0.98343079922027277</v>
      </c>
      <c r="Y109">
        <v>4</v>
      </c>
      <c r="Z109">
        <v>576</v>
      </c>
      <c r="AA109">
        <v>512</v>
      </c>
      <c r="AB109">
        <v>28</v>
      </c>
      <c r="AC109">
        <v>4</v>
      </c>
      <c r="AE109">
        <v>8.7167999999999995E-2</v>
      </c>
      <c r="AF109">
        <v>8.7295999999999999E-2</v>
      </c>
      <c r="AG109" s="4">
        <f t="shared" si="10"/>
        <v>1.0014684287812041</v>
      </c>
      <c r="AI109">
        <v>0.110848</v>
      </c>
      <c r="AJ109">
        <v>0.111424</v>
      </c>
      <c r="AK109" s="4">
        <f t="shared" si="11"/>
        <v>1.0051963048498844</v>
      </c>
      <c r="AN109">
        <v>8.6592000000000002E-2</v>
      </c>
    </row>
    <row r="110" spans="1:40" x14ac:dyDescent="0.25">
      <c r="A110" t="s">
        <v>31</v>
      </c>
      <c r="B110">
        <v>8</v>
      </c>
      <c r="C110">
        <v>128</v>
      </c>
      <c r="D110">
        <v>512</v>
      </c>
      <c r="E110">
        <v>28</v>
      </c>
      <c r="F110">
        <v>4</v>
      </c>
      <c r="H110">
        <v>7.8911999999999996E-2</v>
      </c>
      <c r="I110">
        <v>7.7055999999999999E-2</v>
      </c>
      <c r="J110" s="4">
        <f t="shared" si="12"/>
        <v>0.97648012976480136</v>
      </c>
      <c r="K110" s="4"/>
      <c r="L110">
        <v>8.2559999999999995E-2</v>
      </c>
      <c r="M110">
        <v>8.1792000000000004E-2</v>
      </c>
      <c r="N110" s="4">
        <f t="shared" si="7"/>
        <v>0.99069767441860479</v>
      </c>
      <c r="P110">
        <v>8.2752000000000006E-2</v>
      </c>
      <c r="Q110">
        <v>8.3456000000000002E-2</v>
      </c>
      <c r="R110" s="4">
        <f t="shared" si="8"/>
        <v>1.008507347254447</v>
      </c>
      <c r="T110">
        <v>8.8768E-2</v>
      </c>
      <c r="U110">
        <v>8.6592000000000002E-2</v>
      </c>
      <c r="V110" s="4">
        <f t="shared" si="9"/>
        <v>0.97548666186012978</v>
      </c>
      <c r="Y110">
        <v>8</v>
      </c>
      <c r="Z110">
        <v>576</v>
      </c>
      <c r="AA110">
        <v>512</v>
      </c>
      <c r="AB110">
        <v>28</v>
      </c>
      <c r="AC110">
        <v>4</v>
      </c>
      <c r="AE110">
        <v>0.11673600000000001</v>
      </c>
      <c r="AF110">
        <v>0.11712</v>
      </c>
      <c r="AG110" s="4">
        <f t="shared" si="10"/>
        <v>1.0032894736842104</v>
      </c>
      <c r="AI110">
        <v>0.14848</v>
      </c>
      <c r="AJ110">
        <v>0.145152</v>
      </c>
      <c r="AK110" s="4">
        <f t="shared" si="11"/>
        <v>0.97758620689655173</v>
      </c>
      <c r="AN110">
        <v>0.13350400000000001</v>
      </c>
    </row>
    <row r="111" spans="1:40" x14ac:dyDescent="0.25">
      <c r="A111" t="s">
        <v>31</v>
      </c>
      <c r="B111">
        <v>16</v>
      </c>
      <c r="C111">
        <v>128</v>
      </c>
      <c r="D111">
        <v>512</v>
      </c>
      <c r="E111">
        <v>28</v>
      </c>
      <c r="F111">
        <v>4</v>
      </c>
      <c r="H111">
        <v>0.115968</v>
      </c>
      <c r="I111">
        <v>0.111744</v>
      </c>
      <c r="J111" s="4">
        <f t="shared" si="12"/>
        <v>0.96357615894039728</v>
      </c>
      <c r="K111" s="4"/>
      <c r="L111">
        <v>0.126912</v>
      </c>
      <c r="M111">
        <v>0.126528</v>
      </c>
      <c r="N111" s="4">
        <f t="shared" si="7"/>
        <v>0.99697428139183064</v>
      </c>
      <c r="P111">
        <v>0.12281599999999999</v>
      </c>
      <c r="Q111">
        <v>0.121472</v>
      </c>
      <c r="R111" s="4">
        <f t="shared" si="8"/>
        <v>0.98905680041688382</v>
      </c>
      <c r="T111">
        <v>0.13664000000000001</v>
      </c>
      <c r="U111">
        <v>0.13350400000000001</v>
      </c>
      <c r="V111" s="4">
        <f t="shared" si="9"/>
        <v>0.9770491803278688</v>
      </c>
      <c r="Y111">
        <v>16</v>
      </c>
      <c r="Z111">
        <v>576</v>
      </c>
      <c r="AA111">
        <v>512</v>
      </c>
      <c r="AB111">
        <v>28</v>
      </c>
      <c r="AC111">
        <v>4</v>
      </c>
      <c r="AE111">
        <v>0.18240000000000001</v>
      </c>
      <c r="AF111">
        <v>0.17376</v>
      </c>
      <c r="AG111" s="4">
        <f t="shared" si="10"/>
        <v>0.95263157894736838</v>
      </c>
      <c r="AI111">
        <v>0.24671999999999999</v>
      </c>
      <c r="AJ111">
        <v>0.24307200000000001</v>
      </c>
      <c r="AK111" s="4">
        <f t="shared" si="11"/>
        <v>0.98521400778210122</v>
      </c>
      <c r="AN111">
        <v>0.23008000000000001</v>
      </c>
    </row>
    <row r="112" spans="1:40" x14ac:dyDescent="0.25">
      <c r="A112" t="s">
        <v>31</v>
      </c>
      <c r="B112">
        <v>32</v>
      </c>
      <c r="C112">
        <v>128</v>
      </c>
      <c r="D112">
        <v>512</v>
      </c>
      <c r="E112">
        <v>28</v>
      </c>
      <c r="F112">
        <v>4</v>
      </c>
      <c r="H112">
        <v>0.19187199999999999</v>
      </c>
      <c r="I112">
        <v>0.17996799999999999</v>
      </c>
      <c r="J112" s="4">
        <f t="shared" si="12"/>
        <v>0.93795863909272847</v>
      </c>
      <c r="K112" s="4"/>
      <c r="L112">
        <v>0.21792</v>
      </c>
      <c r="M112">
        <v>0.21779200000000001</v>
      </c>
      <c r="N112" s="4">
        <f t="shared" si="7"/>
        <v>0.99941262848751844</v>
      </c>
      <c r="P112">
        <v>0.20044799999999999</v>
      </c>
      <c r="Q112">
        <v>0.19334399999999999</v>
      </c>
      <c r="R112" s="4">
        <f t="shared" si="8"/>
        <v>0.96455938697318011</v>
      </c>
      <c r="T112">
        <v>0.23033600000000001</v>
      </c>
      <c r="U112">
        <v>0.23008000000000001</v>
      </c>
      <c r="V112" s="4">
        <f t="shared" si="9"/>
        <v>0.99888858016115589</v>
      </c>
      <c r="Y112">
        <v>32</v>
      </c>
      <c r="Z112">
        <v>576</v>
      </c>
      <c r="AA112">
        <v>512</v>
      </c>
      <c r="AB112">
        <v>28</v>
      </c>
      <c r="AC112">
        <v>4</v>
      </c>
      <c r="AE112">
        <v>0.30220799999999998</v>
      </c>
      <c r="AF112">
        <v>0.29747200000000001</v>
      </c>
      <c r="AG112" s="4">
        <f t="shared" si="10"/>
        <v>0.98432867429055493</v>
      </c>
      <c r="AI112">
        <v>0.44159999999999999</v>
      </c>
      <c r="AJ112">
        <v>0.44070399999999998</v>
      </c>
      <c r="AK112" s="4">
        <f t="shared" si="11"/>
        <v>0.99797101449275361</v>
      </c>
      <c r="AN112">
        <v>0.41222399999999998</v>
      </c>
    </row>
    <row r="113" spans="1:40" x14ac:dyDescent="0.25">
      <c r="A113" t="s">
        <v>31</v>
      </c>
      <c r="B113">
        <v>64</v>
      </c>
      <c r="C113">
        <v>128</v>
      </c>
      <c r="D113">
        <v>512</v>
      </c>
      <c r="E113">
        <v>28</v>
      </c>
      <c r="F113">
        <v>4</v>
      </c>
      <c r="H113">
        <v>0.33369599999999999</v>
      </c>
      <c r="I113">
        <v>0.31334400000000001</v>
      </c>
      <c r="J113" s="4">
        <f t="shared" si="12"/>
        <v>0.93901035673187583</v>
      </c>
      <c r="K113" s="4"/>
      <c r="L113">
        <v>0.39232</v>
      </c>
      <c r="M113">
        <v>0.39001599999999997</v>
      </c>
      <c r="N113" s="4">
        <f t="shared" si="7"/>
        <v>0.99412724306688416</v>
      </c>
      <c r="P113">
        <v>0.34310400000000002</v>
      </c>
      <c r="Q113">
        <v>0.32768000000000003</v>
      </c>
      <c r="R113" s="4">
        <f t="shared" si="8"/>
        <v>0.95504570042902448</v>
      </c>
      <c r="T113">
        <v>0.41580800000000001</v>
      </c>
      <c r="U113">
        <v>0.41222399999999998</v>
      </c>
      <c r="V113" s="4">
        <f t="shared" si="9"/>
        <v>0.99138063721717706</v>
      </c>
      <c r="Y113">
        <v>64</v>
      </c>
      <c r="Z113">
        <v>576</v>
      </c>
      <c r="AA113">
        <v>512</v>
      </c>
      <c r="AB113">
        <v>28</v>
      </c>
      <c r="AC113">
        <v>4</v>
      </c>
      <c r="AE113">
        <v>0.67315199999999997</v>
      </c>
      <c r="AF113">
        <v>0.68627199999999999</v>
      </c>
      <c r="AG113" s="4">
        <f t="shared" si="10"/>
        <v>1.0194903974139571</v>
      </c>
      <c r="AI113">
        <v>0.82598400000000005</v>
      </c>
      <c r="AJ113">
        <v>0.82111999999999996</v>
      </c>
      <c r="AK113" s="4">
        <f t="shared" si="11"/>
        <v>0.99411126607779321</v>
      </c>
      <c r="AN113">
        <v>8.5375999999999994E-2</v>
      </c>
    </row>
    <row r="114" spans="1:40" x14ac:dyDescent="0.25">
      <c r="A114" t="s">
        <v>31</v>
      </c>
      <c r="B114">
        <v>1</v>
      </c>
      <c r="C114">
        <v>128</v>
      </c>
      <c r="D114">
        <f>1024</f>
        <v>1024</v>
      </c>
      <c r="E114">
        <v>28</v>
      </c>
      <c r="F114">
        <v>4</v>
      </c>
      <c r="H114">
        <v>8.4351999999999996E-2</v>
      </c>
      <c r="I114">
        <v>8.1792000000000004E-2</v>
      </c>
      <c r="J114" s="4">
        <f t="shared" si="12"/>
        <v>0.96965098634294389</v>
      </c>
      <c r="K114" s="4"/>
      <c r="L114">
        <v>8.4031999999999996E-2</v>
      </c>
      <c r="M114">
        <v>8.3199999999999996E-2</v>
      </c>
      <c r="N114" s="4">
        <f t="shared" si="7"/>
        <v>0.99009900990099009</v>
      </c>
      <c r="P114">
        <v>8.0320000000000003E-2</v>
      </c>
      <c r="Q114">
        <v>7.9808000000000004E-2</v>
      </c>
      <c r="R114" s="4">
        <f t="shared" si="8"/>
        <v>0.99362549800796818</v>
      </c>
      <c r="T114">
        <v>8.6592000000000002E-2</v>
      </c>
      <c r="U114">
        <v>8.5375999999999994E-2</v>
      </c>
      <c r="V114" s="4">
        <f t="shared" si="9"/>
        <v>0.98595713229859561</v>
      </c>
      <c r="Y114">
        <v>1</v>
      </c>
      <c r="Z114">
        <v>576</v>
      </c>
      <c r="AA114">
        <f>1024</f>
        <v>1024</v>
      </c>
      <c r="AB114">
        <v>28</v>
      </c>
      <c r="AC114">
        <v>4</v>
      </c>
      <c r="AE114">
        <v>0.13632</v>
      </c>
      <c r="AF114">
        <v>0.152448</v>
      </c>
      <c r="AG114" s="4">
        <f t="shared" si="10"/>
        <v>1.1183098591549296</v>
      </c>
      <c r="AI114">
        <v>0.132992</v>
      </c>
      <c r="AJ114">
        <v>0.13228799999999999</v>
      </c>
      <c r="AK114" s="4">
        <f t="shared" si="11"/>
        <v>0.99470644850818091</v>
      </c>
      <c r="AN114">
        <v>8.6272000000000001E-2</v>
      </c>
    </row>
    <row r="115" spans="1:40" x14ac:dyDescent="0.25">
      <c r="A115" t="s">
        <v>31</v>
      </c>
      <c r="B115">
        <v>2</v>
      </c>
      <c r="C115">
        <v>128</v>
      </c>
      <c r="D115">
        <f>1024</f>
        <v>1024</v>
      </c>
      <c r="E115">
        <v>28</v>
      </c>
      <c r="F115">
        <v>4</v>
      </c>
      <c r="H115">
        <v>8.0768000000000006E-2</v>
      </c>
      <c r="I115">
        <v>8.0255999999999994E-2</v>
      </c>
      <c r="J115" s="4">
        <f t="shared" si="12"/>
        <v>0.99366085578446894</v>
      </c>
      <c r="K115" s="4"/>
      <c r="L115">
        <v>8.5503999999999997E-2</v>
      </c>
      <c r="M115">
        <v>8.2304000000000002E-2</v>
      </c>
      <c r="N115" s="4">
        <f t="shared" si="7"/>
        <v>0.96257485029940126</v>
      </c>
      <c r="P115">
        <v>8.6527999999999994E-2</v>
      </c>
      <c r="Q115">
        <v>8.7167999999999995E-2</v>
      </c>
      <c r="R115" s="4">
        <f t="shared" si="8"/>
        <v>1.0073964497041421</v>
      </c>
      <c r="T115">
        <v>8.8384000000000004E-2</v>
      </c>
      <c r="U115">
        <v>8.6272000000000001E-2</v>
      </c>
      <c r="V115" s="4">
        <f t="shared" si="9"/>
        <v>0.97610427226647356</v>
      </c>
      <c r="Y115">
        <v>2</v>
      </c>
      <c r="Z115">
        <v>576</v>
      </c>
      <c r="AA115">
        <f>1024</f>
        <v>1024</v>
      </c>
      <c r="AB115">
        <v>28</v>
      </c>
      <c r="AC115">
        <v>4</v>
      </c>
      <c r="AE115">
        <v>0.14195199999999999</v>
      </c>
      <c r="AF115">
        <v>0.13977600000000001</v>
      </c>
      <c r="AG115" s="4">
        <f t="shared" si="10"/>
        <v>0.98467087466185765</v>
      </c>
      <c r="AI115">
        <v>0.161664</v>
      </c>
      <c r="AJ115">
        <v>0.158528</v>
      </c>
      <c r="AK115" s="4">
        <f t="shared" si="11"/>
        <v>0.98060174188440219</v>
      </c>
      <c r="AN115">
        <v>8.8576000000000002E-2</v>
      </c>
    </row>
    <row r="116" spans="1:40" x14ac:dyDescent="0.25">
      <c r="A116" t="s">
        <v>31</v>
      </c>
      <c r="B116">
        <v>4</v>
      </c>
      <c r="C116">
        <v>128</v>
      </c>
      <c r="D116">
        <f>1024</f>
        <v>1024</v>
      </c>
      <c r="E116">
        <v>28</v>
      </c>
      <c r="F116">
        <v>4</v>
      </c>
      <c r="H116">
        <v>8.0512E-2</v>
      </c>
      <c r="I116">
        <v>8.0383999999999997E-2</v>
      </c>
      <c r="J116" s="4">
        <f t="shared" si="12"/>
        <v>0.99841017488076311</v>
      </c>
      <c r="K116" s="4"/>
      <c r="L116">
        <v>8.4351999999999996E-2</v>
      </c>
      <c r="M116">
        <v>8.1792000000000004E-2</v>
      </c>
      <c r="N116" s="4">
        <f t="shared" si="7"/>
        <v>0.96965098634294389</v>
      </c>
      <c r="P116">
        <v>8.9536000000000004E-2</v>
      </c>
      <c r="Q116">
        <v>8.8896000000000003E-2</v>
      </c>
      <c r="R116" s="4">
        <f t="shared" si="8"/>
        <v>0.99285203716940673</v>
      </c>
      <c r="T116">
        <v>9.0623999999999996E-2</v>
      </c>
      <c r="U116">
        <v>8.8576000000000002E-2</v>
      </c>
      <c r="V116" s="4">
        <f t="shared" si="9"/>
        <v>0.97740112994350292</v>
      </c>
      <c r="Y116">
        <v>4</v>
      </c>
      <c r="Z116">
        <v>576</v>
      </c>
      <c r="AA116">
        <f>1024</f>
        <v>1024</v>
      </c>
      <c r="AB116">
        <v>28</v>
      </c>
      <c r="AC116">
        <v>4</v>
      </c>
      <c r="AE116">
        <v>0.133632</v>
      </c>
      <c r="AF116">
        <v>0.140736</v>
      </c>
      <c r="AG116" s="4">
        <f t="shared" si="10"/>
        <v>1.0531609195402298</v>
      </c>
      <c r="AI116">
        <v>0.17612800000000001</v>
      </c>
      <c r="AJ116">
        <v>0.17119999999999999</v>
      </c>
      <c r="AK116" s="4">
        <f t="shared" si="11"/>
        <v>0.97202034883720922</v>
      </c>
      <c r="AN116">
        <v>0.130496</v>
      </c>
    </row>
    <row r="117" spans="1:40" x14ac:dyDescent="0.25">
      <c r="A117" t="s">
        <v>31</v>
      </c>
      <c r="B117">
        <v>8</v>
      </c>
      <c r="C117">
        <v>128</v>
      </c>
      <c r="D117">
        <f>1024</f>
        <v>1024</v>
      </c>
      <c r="E117">
        <v>28</v>
      </c>
      <c r="F117">
        <v>4</v>
      </c>
      <c r="H117">
        <v>0.11648</v>
      </c>
      <c r="I117">
        <v>0.11097600000000001</v>
      </c>
      <c r="J117" s="4">
        <f t="shared" si="12"/>
        <v>0.9527472527472528</v>
      </c>
      <c r="K117" s="4"/>
      <c r="L117">
        <v>0.123584</v>
      </c>
      <c r="M117">
        <v>0.121216</v>
      </c>
      <c r="N117" s="4">
        <f t="shared" si="7"/>
        <v>0.98083894355256351</v>
      </c>
      <c r="P117">
        <v>0.12479999999999999</v>
      </c>
      <c r="Q117">
        <v>0.122752</v>
      </c>
      <c r="R117" s="4">
        <f t="shared" si="8"/>
        <v>0.9835897435897436</v>
      </c>
      <c r="T117">
        <v>0.13433600000000001</v>
      </c>
      <c r="U117">
        <v>0.130496</v>
      </c>
      <c r="V117" s="4">
        <f t="shared" si="9"/>
        <v>0.97141495950452594</v>
      </c>
      <c r="Y117">
        <v>8</v>
      </c>
      <c r="Z117">
        <v>576</v>
      </c>
      <c r="AA117">
        <f>1024</f>
        <v>1024</v>
      </c>
      <c r="AB117">
        <v>28</v>
      </c>
      <c r="AC117">
        <v>4</v>
      </c>
      <c r="AE117">
        <v>0.19334399999999999</v>
      </c>
      <c r="AF117">
        <v>0.17017599999999999</v>
      </c>
      <c r="AG117" s="4">
        <f t="shared" si="10"/>
        <v>0.88017212843429327</v>
      </c>
      <c r="AI117">
        <v>0.25529600000000002</v>
      </c>
      <c r="AJ117">
        <v>0.25241599999999997</v>
      </c>
      <c r="AK117" s="4">
        <f t="shared" si="11"/>
        <v>0.98871897718726476</v>
      </c>
      <c r="AN117">
        <v>0.21907199999999999</v>
      </c>
    </row>
    <row r="118" spans="1:40" x14ac:dyDescent="0.25">
      <c r="A118" t="s">
        <v>31</v>
      </c>
      <c r="B118">
        <v>16</v>
      </c>
      <c r="C118">
        <v>128</v>
      </c>
      <c r="D118">
        <f>1024</f>
        <v>1024</v>
      </c>
      <c r="E118">
        <v>28</v>
      </c>
      <c r="F118">
        <v>4</v>
      </c>
      <c r="H118">
        <v>0.17785599999999999</v>
      </c>
      <c r="I118">
        <v>0.17119999999999999</v>
      </c>
      <c r="J118" s="4">
        <f t="shared" si="12"/>
        <v>0.96257646635480387</v>
      </c>
      <c r="K118" s="4"/>
      <c r="L118">
        <v>0.21043200000000001</v>
      </c>
      <c r="M118">
        <v>0.2064</v>
      </c>
      <c r="N118" s="4">
        <f t="shared" si="7"/>
        <v>0.98083941605839409</v>
      </c>
      <c r="P118">
        <v>0.19078400000000001</v>
      </c>
      <c r="Q118">
        <v>0.18534400000000001</v>
      </c>
      <c r="R118" s="4">
        <f t="shared" si="8"/>
        <v>0.97148607849714863</v>
      </c>
      <c r="T118">
        <v>0.223552</v>
      </c>
      <c r="U118">
        <v>0.21907199999999999</v>
      </c>
      <c r="V118" s="4">
        <f t="shared" si="9"/>
        <v>0.97995991983967934</v>
      </c>
      <c r="Y118">
        <v>16</v>
      </c>
      <c r="Z118">
        <v>576</v>
      </c>
      <c r="AA118">
        <f>1024</f>
        <v>1024</v>
      </c>
      <c r="AB118">
        <v>28</v>
      </c>
      <c r="AC118">
        <v>4</v>
      </c>
      <c r="AE118">
        <v>0.31379200000000002</v>
      </c>
      <c r="AF118">
        <v>0.29971199999999998</v>
      </c>
      <c r="AG118" s="4">
        <f t="shared" si="10"/>
        <v>0.95512951254334066</v>
      </c>
      <c r="AI118">
        <v>0.436224</v>
      </c>
      <c r="AJ118">
        <v>0.43257600000000002</v>
      </c>
      <c r="AK118" s="4">
        <f t="shared" si="11"/>
        <v>0.991637323943662</v>
      </c>
      <c r="AN118">
        <v>0.39967999999999998</v>
      </c>
    </row>
    <row r="119" spans="1:40" x14ac:dyDescent="0.25">
      <c r="A119" t="s">
        <v>31</v>
      </c>
      <c r="B119">
        <v>32</v>
      </c>
      <c r="C119">
        <v>128</v>
      </c>
      <c r="D119">
        <f>1024</f>
        <v>1024</v>
      </c>
      <c r="E119">
        <v>28</v>
      </c>
      <c r="F119">
        <v>4</v>
      </c>
      <c r="H119">
        <v>0.31193599999999999</v>
      </c>
      <c r="I119">
        <v>0.29382399999999997</v>
      </c>
      <c r="J119" s="4">
        <f t="shared" si="12"/>
        <v>0.94193680755026665</v>
      </c>
      <c r="K119" s="4"/>
      <c r="L119">
        <v>0.37625599999999998</v>
      </c>
      <c r="M119">
        <v>0.69977599999999995</v>
      </c>
      <c r="N119" s="4">
        <f t="shared" si="7"/>
        <v>1.8598401088620513</v>
      </c>
      <c r="P119">
        <v>0.33312000000000003</v>
      </c>
      <c r="Q119">
        <v>0.317056</v>
      </c>
      <c r="R119" s="4">
        <f t="shared" si="8"/>
        <v>0.95177713736791536</v>
      </c>
      <c r="T119">
        <v>0.40339199999999997</v>
      </c>
      <c r="U119">
        <v>0.39967999999999998</v>
      </c>
      <c r="V119" s="4">
        <f t="shared" si="9"/>
        <v>0.99079803268284949</v>
      </c>
      <c r="Y119">
        <v>32</v>
      </c>
      <c r="Z119">
        <v>576</v>
      </c>
      <c r="AA119">
        <f>1024</f>
        <v>1024</v>
      </c>
      <c r="AB119">
        <v>28</v>
      </c>
      <c r="AC119">
        <v>4</v>
      </c>
      <c r="AE119">
        <v>0.66476800000000003</v>
      </c>
      <c r="AF119">
        <v>0.66700800000000005</v>
      </c>
      <c r="AG119" s="4">
        <f t="shared" si="10"/>
        <v>1.0033695966111487</v>
      </c>
      <c r="AI119">
        <v>0.85587199999999997</v>
      </c>
      <c r="AJ119">
        <v>0.849472</v>
      </c>
      <c r="AK119" s="4">
        <f t="shared" si="11"/>
        <v>0.99252224631720631</v>
      </c>
      <c r="AN119">
        <v>0.74508799999999997</v>
      </c>
    </row>
    <row r="120" spans="1:40" x14ac:dyDescent="0.25">
      <c r="A120" t="s">
        <v>31</v>
      </c>
      <c r="B120">
        <v>64</v>
      </c>
      <c r="C120">
        <v>128</v>
      </c>
      <c r="D120">
        <f>1024</f>
        <v>1024</v>
      </c>
      <c r="E120">
        <v>28</v>
      </c>
      <c r="F120">
        <v>4</v>
      </c>
      <c r="H120">
        <v>0.57798400000000005</v>
      </c>
      <c r="I120">
        <v>0.54310400000000003</v>
      </c>
      <c r="J120" s="4">
        <f t="shared" si="12"/>
        <v>0.93965230871442806</v>
      </c>
      <c r="K120" s="4"/>
      <c r="L120">
        <v>0.69452800000000003</v>
      </c>
      <c r="M120">
        <v>0.68300799999999995</v>
      </c>
      <c r="N120" s="4">
        <f t="shared" si="7"/>
        <v>0.98341319572429031</v>
      </c>
      <c r="P120">
        <v>0.62060800000000005</v>
      </c>
      <c r="Q120">
        <v>0.56140800000000002</v>
      </c>
      <c r="R120" s="4">
        <f t="shared" si="8"/>
        <v>0.90460967309477158</v>
      </c>
      <c r="T120">
        <v>0.75737600000000005</v>
      </c>
      <c r="U120">
        <v>0.74508799999999997</v>
      </c>
      <c r="V120" s="4">
        <f t="shared" si="9"/>
        <v>0.98377556194017224</v>
      </c>
      <c r="Y120">
        <v>64</v>
      </c>
      <c r="Z120">
        <v>576</v>
      </c>
      <c r="AA120">
        <f>1024</f>
        <v>1024</v>
      </c>
      <c r="AB120">
        <v>28</v>
      </c>
      <c r="AC120">
        <v>4</v>
      </c>
      <c r="AE120">
        <v>1.1986559999999999</v>
      </c>
      <c r="AF120">
        <v>1.203776</v>
      </c>
      <c r="AG120" s="4">
        <f t="shared" si="10"/>
        <v>1.0042714506914412</v>
      </c>
      <c r="AI120">
        <v>1.6341760000000001</v>
      </c>
      <c r="AJ120">
        <v>1.6218239999999999</v>
      </c>
      <c r="AK120" s="4">
        <f t="shared" si="11"/>
        <v>0.99244145061486633</v>
      </c>
      <c r="AN120">
        <v>0.12831999999999999</v>
      </c>
    </row>
    <row r="121" spans="1:40" x14ac:dyDescent="0.25">
      <c r="A121" t="s">
        <v>31</v>
      </c>
      <c r="B121">
        <v>1</v>
      </c>
      <c r="C121">
        <v>128</v>
      </c>
      <c r="D121">
        <f>2048</f>
        <v>2048</v>
      </c>
      <c r="E121">
        <v>28</v>
      </c>
      <c r="F121">
        <v>4</v>
      </c>
      <c r="H121">
        <v>0.12595200000000001</v>
      </c>
      <c r="I121">
        <v>0.12499200000000001</v>
      </c>
      <c r="J121" s="4">
        <f t="shared" si="12"/>
        <v>0.99237804878048774</v>
      </c>
      <c r="K121" s="4"/>
      <c r="L121">
        <v>0.12959999999999999</v>
      </c>
      <c r="M121">
        <v>0.12684799999999999</v>
      </c>
      <c r="N121" s="4">
        <f t="shared" si="7"/>
        <v>0.97876543209876543</v>
      </c>
      <c r="P121">
        <v>0.121152</v>
      </c>
      <c r="Q121">
        <v>0.117632</v>
      </c>
      <c r="R121" s="4">
        <f t="shared" si="8"/>
        <v>0.97094558901215011</v>
      </c>
      <c r="T121">
        <v>0.13036800000000001</v>
      </c>
      <c r="U121">
        <v>0.12831999999999999</v>
      </c>
      <c r="V121" s="4">
        <f t="shared" si="9"/>
        <v>0.98429062346588103</v>
      </c>
      <c r="Y121">
        <v>1</v>
      </c>
      <c r="Z121">
        <v>576</v>
      </c>
      <c r="AA121">
        <f>2048</f>
        <v>2048</v>
      </c>
      <c r="AB121">
        <v>28</v>
      </c>
      <c r="AC121">
        <v>4</v>
      </c>
      <c r="AE121">
        <v>0.224</v>
      </c>
      <c r="AF121">
        <v>0.23219200000000001</v>
      </c>
      <c r="AG121" s="4">
        <f t="shared" si="10"/>
        <v>1.0365714285714287</v>
      </c>
      <c r="AI121">
        <v>0.21248</v>
      </c>
      <c r="AJ121">
        <v>0.20774400000000001</v>
      </c>
      <c r="AK121" s="4">
        <f t="shared" si="11"/>
        <v>0.97771084337349401</v>
      </c>
      <c r="AN121">
        <v>0.131968</v>
      </c>
    </row>
    <row r="122" spans="1:40" x14ac:dyDescent="0.25">
      <c r="A122" t="s">
        <v>31</v>
      </c>
      <c r="B122">
        <v>2</v>
      </c>
      <c r="C122">
        <v>128</v>
      </c>
      <c r="D122">
        <f>2048</f>
        <v>2048</v>
      </c>
      <c r="E122">
        <v>28</v>
      </c>
      <c r="F122">
        <v>4</v>
      </c>
      <c r="H122">
        <v>0.12512000000000001</v>
      </c>
      <c r="I122">
        <v>0.12332799999999999</v>
      </c>
      <c r="J122" s="4">
        <f t="shared" si="12"/>
        <v>0.9856777493606137</v>
      </c>
      <c r="K122" s="4"/>
      <c r="L122">
        <v>0.13036800000000001</v>
      </c>
      <c r="M122">
        <v>0.12723200000000001</v>
      </c>
      <c r="N122" s="4">
        <f t="shared" si="7"/>
        <v>0.97594501718213056</v>
      </c>
      <c r="P122">
        <v>0.13292799999999999</v>
      </c>
      <c r="Q122">
        <v>0.129408</v>
      </c>
      <c r="R122" s="4">
        <f t="shared" si="8"/>
        <v>0.97351949927780457</v>
      </c>
      <c r="T122">
        <v>0.13472000000000001</v>
      </c>
      <c r="U122">
        <v>0.131968</v>
      </c>
      <c r="V122" s="4">
        <f t="shared" si="9"/>
        <v>0.97957244655581943</v>
      </c>
      <c r="Y122">
        <v>2</v>
      </c>
      <c r="Z122">
        <v>576</v>
      </c>
      <c r="AA122">
        <f>2048</f>
        <v>2048</v>
      </c>
      <c r="AB122">
        <v>28</v>
      </c>
      <c r="AC122">
        <v>4</v>
      </c>
      <c r="AE122">
        <v>0.21651200000000001</v>
      </c>
      <c r="AF122">
        <v>0.23475199999999999</v>
      </c>
      <c r="AG122" s="4">
        <f t="shared" si="10"/>
        <v>1.0842447531776529</v>
      </c>
      <c r="AI122">
        <v>0.269312</v>
      </c>
      <c r="AJ122">
        <v>0.263872</v>
      </c>
      <c r="AK122" s="4">
        <f t="shared" si="11"/>
        <v>0.97980038022813687</v>
      </c>
      <c r="AN122">
        <v>0.13555200000000001</v>
      </c>
    </row>
    <row r="123" spans="1:40" x14ac:dyDescent="0.25">
      <c r="A123" t="s">
        <v>31</v>
      </c>
      <c r="B123">
        <v>4</v>
      </c>
      <c r="C123">
        <v>128</v>
      </c>
      <c r="D123">
        <f>2048</f>
        <v>2048</v>
      </c>
      <c r="E123">
        <v>28</v>
      </c>
      <c r="F123">
        <v>4</v>
      </c>
      <c r="H123">
        <v>0.124224</v>
      </c>
      <c r="I123">
        <v>0.12288</v>
      </c>
      <c r="J123" s="4">
        <f t="shared" si="12"/>
        <v>0.98918083462132922</v>
      </c>
      <c r="K123" s="4"/>
      <c r="L123">
        <v>0.130304</v>
      </c>
      <c r="M123">
        <v>0.12646399999999999</v>
      </c>
      <c r="N123" s="4">
        <f t="shared" si="7"/>
        <v>0.97053045186640463</v>
      </c>
      <c r="P123">
        <v>0.14624000000000001</v>
      </c>
      <c r="Q123">
        <v>0.14060800000000001</v>
      </c>
      <c r="R123" s="4">
        <f t="shared" si="8"/>
        <v>0.96148796498905909</v>
      </c>
      <c r="T123">
        <v>0.13855999999999999</v>
      </c>
      <c r="U123">
        <v>0.13555200000000001</v>
      </c>
      <c r="V123" s="4">
        <f t="shared" si="9"/>
        <v>0.97829099307159362</v>
      </c>
      <c r="Y123">
        <v>4</v>
      </c>
      <c r="Z123">
        <v>576</v>
      </c>
      <c r="AA123">
        <f>2048</f>
        <v>2048</v>
      </c>
      <c r="AB123">
        <v>28</v>
      </c>
      <c r="AC123">
        <v>4</v>
      </c>
      <c r="AE123">
        <v>0.22470399999999999</v>
      </c>
      <c r="AF123">
        <v>0.20499200000000001</v>
      </c>
      <c r="AG123" s="4">
        <f t="shared" si="10"/>
        <v>0.9122757049273712</v>
      </c>
      <c r="AI123">
        <v>0.30419200000000002</v>
      </c>
      <c r="AJ123">
        <v>0.30003200000000002</v>
      </c>
      <c r="AK123" s="4">
        <f t="shared" si="11"/>
        <v>0.98632442667788767</v>
      </c>
      <c r="AN123">
        <v>0.21779200000000001</v>
      </c>
    </row>
    <row r="124" spans="1:40" x14ac:dyDescent="0.25">
      <c r="A124" t="s">
        <v>31</v>
      </c>
      <c r="B124">
        <v>8</v>
      </c>
      <c r="C124">
        <v>128</v>
      </c>
      <c r="D124">
        <f>2048</f>
        <v>2048</v>
      </c>
      <c r="E124">
        <v>28</v>
      </c>
      <c r="F124">
        <v>4</v>
      </c>
      <c r="H124">
        <v>0.18828800000000001</v>
      </c>
      <c r="I124">
        <v>0.17971200000000001</v>
      </c>
      <c r="J124" s="4">
        <f t="shared" si="12"/>
        <v>0.95445275322909584</v>
      </c>
      <c r="K124" s="4"/>
      <c r="L124">
        <v>0.208256</v>
      </c>
      <c r="M124">
        <v>0.202624</v>
      </c>
      <c r="N124" s="4">
        <f t="shared" si="7"/>
        <v>0.97295636140135222</v>
      </c>
      <c r="P124">
        <v>0.215616</v>
      </c>
      <c r="Q124">
        <v>0.2016</v>
      </c>
      <c r="R124" s="4">
        <f t="shared" si="8"/>
        <v>0.93499554764024928</v>
      </c>
      <c r="T124">
        <v>0.224</v>
      </c>
      <c r="U124">
        <v>0.21779200000000001</v>
      </c>
      <c r="V124" s="4">
        <f t="shared" si="9"/>
        <v>0.97228571428571431</v>
      </c>
      <c r="Y124">
        <v>8</v>
      </c>
      <c r="Z124">
        <v>576</v>
      </c>
      <c r="AA124">
        <f>2048</f>
        <v>2048</v>
      </c>
      <c r="AB124">
        <v>28</v>
      </c>
      <c r="AC124">
        <v>4</v>
      </c>
      <c r="AE124">
        <v>0.31980799999999998</v>
      </c>
      <c r="AF124">
        <v>0.29420800000000003</v>
      </c>
      <c r="AG124" s="4">
        <f t="shared" si="10"/>
        <v>0.91995197118270977</v>
      </c>
      <c r="AI124">
        <v>0.44544</v>
      </c>
      <c r="AJ124">
        <v>0.44851200000000002</v>
      </c>
      <c r="AK124" s="4">
        <f t="shared" si="11"/>
        <v>1.0068965517241379</v>
      </c>
      <c r="AN124">
        <v>0.39091199999999998</v>
      </c>
    </row>
    <row r="125" spans="1:40" x14ac:dyDescent="0.25">
      <c r="A125" t="s">
        <v>31</v>
      </c>
      <c r="B125">
        <v>16</v>
      </c>
      <c r="C125">
        <v>128</v>
      </c>
      <c r="D125">
        <f>2048</f>
        <v>2048</v>
      </c>
      <c r="E125">
        <v>28</v>
      </c>
      <c r="F125">
        <v>4</v>
      </c>
      <c r="H125">
        <v>0.31193599999999999</v>
      </c>
      <c r="I125">
        <v>0.29568</v>
      </c>
      <c r="J125" s="4">
        <f t="shared" si="12"/>
        <v>0.94788674599917933</v>
      </c>
      <c r="K125" s="4"/>
      <c r="L125">
        <v>0.37254399999999999</v>
      </c>
      <c r="M125">
        <v>0.364288</v>
      </c>
      <c r="N125" s="4">
        <f t="shared" si="7"/>
        <v>0.97783885930252534</v>
      </c>
      <c r="P125">
        <v>0.34521600000000002</v>
      </c>
      <c r="Q125">
        <v>0.33535999999999999</v>
      </c>
      <c r="R125" s="4">
        <f t="shared" si="8"/>
        <v>0.9714497589914719</v>
      </c>
      <c r="T125">
        <v>0.40057599999999999</v>
      </c>
      <c r="U125">
        <v>0.39091199999999998</v>
      </c>
      <c r="V125" s="4">
        <f t="shared" si="9"/>
        <v>0.97587474037386157</v>
      </c>
      <c r="Y125">
        <v>16</v>
      </c>
      <c r="Z125">
        <v>576</v>
      </c>
      <c r="AA125">
        <f>2048</f>
        <v>2048</v>
      </c>
      <c r="AB125">
        <v>28</v>
      </c>
      <c r="AC125">
        <v>4</v>
      </c>
      <c r="AE125">
        <v>0.68012799999999995</v>
      </c>
      <c r="AF125">
        <v>0.64307199999999998</v>
      </c>
      <c r="AG125" s="4">
        <f t="shared" si="10"/>
        <v>0.94551613813870328</v>
      </c>
      <c r="AI125">
        <v>0.90617599999999998</v>
      </c>
      <c r="AJ125">
        <v>0.89766400000000002</v>
      </c>
      <c r="AK125" s="4">
        <f t="shared" si="11"/>
        <v>0.99060668126280105</v>
      </c>
      <c r="AN125">
        <v>0.72940799999999995</v>
      </c>
    </row>
    <row r="126" spans="1:40" x14ac:dyDescent="0.25">
      <c r="A126" t="s">
        <v>31</v>
      </c>
      <c r="B126">
        <v>32</v>
      </c>
      <c r="C126">
        <v>128</v>
      </c>
      <c r="D126">
        <f>2048</f>
        <v>2048</v>
      </c>
      <c r="E126">
        <v>28</v>
      </c>
      <c r="F126">
        <v>4</v>
      </c>
      <c r="H126">
        <v>0.56467199999999995</v>
      </c>
      <c r="I126">
        <v>0.53651199999999999</v>
      </c>
      <c r="J126" s="4">
        <f t="shared" si="12"/>
        <v>0.95013034115380257</v>
      </c>
      <c r="K126" s="4"/>
      <c r="L126">
        <v>0.69363200000000003</v>
      </c>
      <c r="M126">
        <v>0.67398400000000003</v>
      </c>
      <c r="N126" s="4">
        <f t="shared" si="7"/>
        <v>0.97167374054253552</v>
      </c>
      <c r="P126">
        <v>0.60230399999999995</v>
      </c>
      <c r="Q126">
        <v>0.58003199999999999</v>
      </c>
      <c r="R126" s="4">
        <f t="shared" si="8"/>
        <v>0.96302199553713741</v>
      </c>
      <c r="T126">
        <v>0.74783999999999995</v>
      </c>
      <c r="U126">
        <v>0.72940799999999995</v>
      </c>
      <c r="V126" s="4">
        <f t="shared" si="9"/>
        <v>0.97535301668806162</v>
      </c>
      <c r="Y126">
        <v>32</v>
      </c>
      <c r="Z126">
        <v>576</v>
      </c>
      <c r="AA126">
        <f>2048</f>
        <v>2048</v>
      </c>
      <c r="AB126">
        <v>28</v>
      </c>
      <c r="AC126">
        <v>4</v>
      </c>
      <c r="AE126">
        <v>1.2452479999999999</v>
      </c>
      <c r="AF126">
        <v>1.2334719999999999</v>
      </c>
      <c r="AG126" s="4">
        <f t="shared" si="10"/>
        <v>0.99054324921622039</v>
      </c>
      <c r="AI126">
        <v>1.7870079999999999</v>
      </c>
      <c r="AJ126">
        <v>1.788864</v>
      </c>
      <c r="AK126" s="4">
        <f t="shared" si="11"/>
        <v>1.0010386075496025</v>
      </c>
      <c r="AN126">
        <v>1.4007039999999999</v>
      </c>
    </row>
    <row r="127" spans="1:40" x14ac:dyDescent="0.25">
      <c r="A127" t="s">
        <v>31</v>
      </c>
      <c r="B127">
        <v>64</v>
      </c>
      <c r="C127">
        <v>128</v>
      </c>
      <c r="D127">
        <f>2048</f>
        <v>2048</v>
      </c>
      <c r="E127">
        <v>28</v>
      </c>
      <c r="F127">
        <v>4</v>
      </c>
      <c r="H127">
        <v>1.083008</v>
      </c>
      <c r="I127">
        <v>1.0076160000000001</v>
      </c>
      <c r="J127" s="4">
        <f t="shared" si="12"/>
        <v>0.93038647913958172</v>
      </c>
      <c r="K127" s="4"/>
      <c r="L127">
        <v>1.3473280000000001</v>
      </c>
      <c r="M127">
        <v>1.3064960000000001</v>
      </c>
      <c r="N127" s="4">
        <f t="shared" si="7"/>
        <v>0.96969409082272473</v>
      </c>
      <c r="P127">
        <v>1.131264</v>
      </c>
      <c r="Q127">
        <v>1.330368</v>
      </c>
      <c r="R127" s="4">
        <f t="shared" si="8"/>
        <v>1.1760013577732518</v>
      </c>
      <c r="T127">
        <v>1.4350719999999999</v>
      </c>
      <c r="U127">
        <v>1.4007039999999999</v>
      </c>
      <c r="V127" s="4">
        <f t="shared" si="9"/>
        <v>0.9760513758194711</v>
      </c>
      <c r="Y127">
        <v>64</v>
      </c>
      <c r="Z127">
        <v>576</v>
      </c>
      <c r="AA127">
        <f>2048</f>
        <v>2048</v>
      </c>
      <c r="AB127">
        <v>28</v>
      </c>
      <c r="AC127">
        <v>4</v>
      </c>
      <c r="AE127">
        <v>2.2599040000000001</v>
      </c>
      <c r="AF127">
        <v>2.2687360000000001</v>
      </c>
      <c r="AG127" s="4">
        <f t="shared" si="10"/>
        <v>1.0039081306108577</v>
      </c>
      <c r="AI127">
        <v>3.5447039999999999</v>
      </c>
      <c r="AJ127">
        <v>3.5703040000000001</v>
      </c>
      <c r="AK127" s="4">
        <f t="shared" si="11"/>
        <v>1.0072220416711806</v>
      </c>
      <c r="AN127">
        <v>0.17068800000000001</v>
      </c>
    </row>
    <row r="128" spans="1:40" x14ac:dyDescent="0.25">
      <c r="A128" t="s">
        <v>31</v>
      </c>
      <c r="B128">
        <v>1</v>
      </c>
      <c r="C128">
        <v>128</v>
      </c>
      <c r="D128">
        <f>3072</f>
        <v>3072</v>
      </c>
      <c r="E128">
        <v>28</v>
      </c>
      <c r="F128">
        <v>4</v>
      </c>
      <c r="H128">
        <v>0.16991999999999999</v>
      </c>
      <c r="I128">
        <v>0.16633600000000001</v>
      </c>
      <c r="J128" s="4">
        <f t="shared" si="12"/>
        <v>0.97890772128060277</v>
      </c>
      <c r="K128" s="4"/>
      <c r="L128">
        <v>0.172288</v>
      </c>
      <c r="M128">
        <v>0.16953599999999999</v>
      </c>
      <c r="N128" s="4">
        <f t="shared" si="7"/>
        <v>0.98402674591381867</v>
      </c>
      <c r="P128">
        <v>0.16544</v>
      </c>
      <c r="Q128">
        <v>0.15635199999999999</v>
      </c>
      <c r="R128" s="4">
        <f t="shared" si="8"/>
        <v>0.94506769825918757</v>
      </c>
      <c r="T128">
        <v>0.175232</v>
      </c>
      <c r="U128">
        <v>0.17068800000000001</v>
      </c>
      <c r="V128" s="4">
        <f t="shared" si="9"/>
        <v>0.97406866325785246</v>
      </c>
      <c r="Y128">
        <v>1</v>
      </c>
      <c r="Z128">
        <v>576</v>
      </c>
      <c r="AA128">
        <f>3072</f>
        <v>3072</v>
      </c>
      <c r="AB128">
        <v>28</v>
      </c>
      <c r="AC128">
        <v>4</v>
      </c>
      <c r="AE128">
        <v>0.28595199999999998</v>
      </c>
      <c r="AF128">
        <v>0.334976</v>
      </c>
      <c r="AG128" s="4">
        <f t="shared" si="10"/>
        <v>1.1714413607878247</v>
      </c>
      <c r="AI128">
        <v>0.29036800000000001</v>
      </c>
      <c r="AJ128">
        <v>0.28595199999999998</v>
      </c>
      <c r="AK128" s="4">
        <f t="shared" si="11"/>
        <v>0.98479171258540876</v>
      </c>
      <c r="AN128">
        <v>0.17702399999999999</v>
      </c>
    </row>
    <row r="129" spans="1:40" x14ac:dyDescent="0.25">
      <c r="A129" t="s">
        <v>31</v>
      </c>
      <c r="B129">
        <v>2</v>
      </c>
      <c r="C129">
        <v>128</v>
      </c>
      <c r="D129">
        <f>3072</f>
        <v>3072</v>
      </c>
      <c r="E129">
        <v>28</v>
      </c>
      <c r="F129">
        <v>4</v>
      </c>
      <c r="H129">
        <v>0.169984</v>
      </c>
      <c r="I129">
        <v>0.16467200000000001</v>
      </c>
      <c r="J129" s="4">
        <f t="shared" si="12"/>
        <v>0.96875000000000011</v>
      </c>
      <c r="K129" s="4"/>
      <c r="L129">
        <v>0.173952</v>
      </c>
      <c r="M129">
        <v>0.16832</v>
      </c>
      <c r="N129" s="4">
        <f t="shared" si="7"/>
        <v>0.96762325239146429</v>
      </c>
      <c r="P129">
        <v>0.18182400000000001</v>
      </c>
      <c r="Q129">
        <v>0.175872</v>
      </c>
      <c r="R129" s="4">
        <f t="shared" si="8"/>
        <v>0.9672650475184793</v>
      </c>
      <c r="T129">
        <v>0.18182400000000001</v>
      </c>
      <c r="U129">
        <v>0.17702399999999999</v>
      </c>
      <c r="V129" s="4">
        <f t="shared" si="9"/>
        <v>0.97360084477296716</v>
      </c>
      <c r="Y129">
        <v>2</v>
      </c>
      <c r="Z129">
        <v>576</v>
      </c>
      <c r="AA129">
        <f>3072</f>
        <v>3072</v>
      </c>
      <c r="AB129">
        <v>28</v>
      </c>
      <c r="AC129">
        <v>4</v>
      </c>
      <c r="AE129">
        <v>0.328768</v>
      </c>
      <c r="AF129">
        <v>0.303232</v>
      </c>
      <c r="AG129" s="4">
        <f t="shared" si="10"/>
        <v>0.92232820712478103</v>
      </c>
      <c r="AI129">
        <v>0.37670399999999998</v>
      </c>
      <c r="AJ129">
        <v>0.36876799999999998</v>
      </c>
      <c r="AK129" s="4">
        <f t="shared" si="11"/>
        <v>0.97893306150186887</v>
      </c>
      <c r="AN129">
        <v>0.18496000000000001</v>
      </c>
    </row>
    <row r="130" spans="1:40" x14ac:dyDescent="0.25">
      <c r="A130" t="s">
        <v>31</v>
      </c>
      <c r="B130">
        <v>4</v>
      </c>
      <c r="C130">
        <v>128</v>
      </c>
      <c r="D130">
        <f>3072</f>
        <v>3072</v>
      </c>
      <c r="E130">
        <v>28</v>
      </c>
      <c r="F130">
        <v>4</v>
      </c>
      <c r="H130">
        <v>0.171904</v>
      </c>
      <c r="I130">
        <v>0.16511999999999999</v>
      </c>
      <c r="J130" s="4">
        <f t="shared" si="12"/>
        <v>0.96053611317944887</v>
      </c>
      <c r="K130" s="4"/>
      <c r="L130">
        <v>0.17350399999999999</v>
      </c>
      <c r="M130">
        <v>0.16947200000000001</v>
      </c>
      <c r="N130" s="4">
        <f t="shared" si="7"/>
        <v>0.97676134267797876</v>
      </c>
      <c r="P130">
        <v>0.19724800000000001</v>
      </c>
      <c r="Q130">
        <v>0.19244800000000001</v>
      </c>
      <c r="R130" s="4">
        <f t="shared" si="8"/>
        <v>0.97566515249837771</v>
      </c>
      <c r="T130">
        <v>0.18918399999999999</v>
      </c>
      <c r="U130">
        <v>0.18496000000000001</v>
      </c>
      <c r="V130" s="4">
        <f t="shared" si="9"/>
        <v>0.97767253044654956</v>
      </c>
      <c r="Y130">
        <v>4</v>
      </c>
      <c r="Z130">
        <v>576</v>
      </c>
      <c r="AA130">
        <f>3072</f>
        <v>3072</v>
      </c>
      <c r="AB130">
        <v>28</v>
      </c>
      <c r="AC130">
        <v>4</v>
      </c>
      <c r="AE130">
        <v>0.29593599999999998</v>
      </c>
      <c r="AF130">
        <v>0.27398400000000001</v>
      </c>
      <c r="AG130" s="4">
        <f t="shared" si="10"/>
        <v>0.9258217993079586</v>
      </c>
      <c r="AI130">
        <v>0.42304000000000003</v>
      </c>
      <c r="AJ130">
        <v>0.417792</v>
      </c>
      <c r="AK130" s="4">
        <f t="shared" si="11"/>
        <v>0.98759455370650517</v>
      </c>
      <c r="AN130">
        <v>0.30918400000000001</v>
      </c>
    </row>
    <row r="131" spans="1:40" x14ac:dyDescent="0.25">
      <c r="A131" t="s">
        <v>31</v>
      </c>
      <c r="B131">
        <v>8</v>
      </c>
      <c r="C131">
        <v>128</v>
      </c>
      <c r="D131">
        <f>3072</f>
        <v>3072</v>
      </c>
      <c r="E131">
        <v>28</v>
      </c>
      <c r="F131">
        <v>4</v>
      </c>
      <c r="H131">
        <v>0.26483200000000001</v>
      </c>
      <c r="I131">
        <v>0.25465599999999999</v>
      </c>
      <c r="J131" s="4">
        <f t="shared" si="12"/>
        <v>0.96157564040599319</v>
      </c>
      <c r="K131" s="4"/>
      <c r="L131">
        <v>0.29222399999999998</v>
      </c>
      <c r="M131">
        <v>0.28486400000000001</v>
      </c>
      <c r="N131" s="4">
        <f t="shared" ref="N131:N169" si="13">M131/L131</f>
        <v>0.97481384143670613</v>
      </c>
      <c r="P131">
        <v>0.29932799999999998</v>
      </c>
      <c r="Q131">
        <v>0.28339199999999998</v>
      </c>
      <c r="R131" s="4">
        <f t="shared" ref="R131:R169" si="14">Q131/P131</f>
        <v>0.9467607440667094</v>
      </c>
      <c r="T131">
        <v>0.31686399999999998</v>
      </c>
      <c r="U131">
        <v>0.30918400000000001</v>
      </c>
      <c r="V131" s="4">
        <f t="shared" ref="V131:V169" si="15">U131/T131</f>
        <v>0.97576247222783286</v>
      </c>
      <c r="Y131">
        <v>8</v>
      </c>
      <c r="Z131">
        <v>576</v>
      </c>
      <c r="AA131">
        <f>3072</f>
        <v>3072</v>
      </c>
      <c r="AB131">
        <v>28</v>
      </c>
      <c r="AC131">
        <v>4</v>
      </c>
      <c r="AE131">
        <v>0.51731199999999999</v>
      </c>
      <c r="AF131">
        <v>0.5232</v>
      </c>
      <c r="AG131" s="4">
        <f t="shared" ref="AG131:AG169" si="16">AF131/AE131</f>
        <v>1.011381912656192</v>
      </c>
      <c r="AI131">
        <v>0.70822399999999996</v>
      </c>
      <c r="AJ131">
        <v>0.71212799999999998</v>
      </c>
      <c r="AK131" s="4">
        <f t="shared" ref="AK131:AK169" si="17">AJ131/AI131</f>
        <v>1.0055123802638712</v>
      </c>
      <c r="AN131">
        <v>0.56076800000000004</v>
      </c>
    </row>
    <row r="132" spans="1:40" x14ac:dyDescent="0.25">
      <c r="A132" t="s">
        <v>31</v>
      </c>
      <c r="B132">
        <v>16</v>
      </c>
      <c r="C132">
        <v>128</v>
      </c>
      <c r="D132">
        <f>3072</f>
        <v>3072</v>
      </c>
      <c r="E132">
        <v>28</v>
      </c>
      <c r="F132">
        <v>4</v>
      </c>
      <c r="H132">
        <v>0.45446399999999998</v>
      </c>
      <c r="I132">
        <v>0.42227199999999998</v>
      </c>
      <c r="J132" s="4">
        <f t="shared" si="12"/>
        <v>0.92916490635121818</v>
      </c>
      <c r="K132" s="4"/>
      <c r="L132">
        <v>0.53529599999999999</v>
      </c>
      <c r="M132">
        <v>0.52204799999999996</v>
      </c>
      <c r="N132" s="4">
        <f t="shared" si="13"/>
        <v>0.97525107604017214</v>
      </c>
      <c r="P132">
        <v>0.48748799999999998</v>
      </c>
      <c r="Q132">
        <v>0.45951999999999998</v>
      </c>
      <c r="R132" s="4">
        <f t="shared" si="14"/>
        <v>0.94262833136405411</v>
      </c>
      <c r="T132">
        <v>0.57376000000000005</v>
      </c>
      <c r="U132">
        <v>0.56076800000000004</v>
      </c>
      <c r="V132" s="4">
        <f t="shared" si="15"/>
        <v>0.97735638594534302</v>
      </c>
      <c r="Y132">
        <v>16</v>
      </c>
      <c r="Z132">
        <v>576</v>
      </c>
      <c r="AA132">
        <f>3072</f>
        <v>3072</v>
      </c>
      <c r="AB132">
        <v>28</v>
      </c>
      <c r="AC132">
        <v>4</v>
      </c>
      <c r="AE132">
        <v>0.95289599999999997</v>
      </c>
      <c r="AF132">
        <v>0.93068799999999996</v>
      </c>
      <c r="AG132" s="4">
        <f t="shared" si="16"/>
        <v>0.9766942037745987</v>
      </c>
      <c r="AI132">
        <v>1.3977599999999999</v>
      </c>
      <c r="AJ132">
        <v>1.3875839999999999</v>
      </c>
      <c r="AK132" s="4">
        <f t="shared" si="17"/>
        <v>0.99271978021978025</v>
      </c>
      <c r="AN132">
        <v>1.064128</v>
      </c>
    </row>
    <row r="133" spans="1:40" x14ac:dyDescent="0.25">
      <c r="A133" t="s">
        <v>31</v>
      </c>
      <c r="B133">
        <v>32</v>
      </c>
      <c r="C133">
        <v>128</v>
      </c>
      <c r="D133">
        <f>3072</f>
        <v>3072</v>
      </c>
      <c r="E133">
        <v>28</v>
      </c>
      <c r="F133">
        <v>4</v>
      </c>
      <c r="H133">
        <v>0.82432000000000005</v>
      </c>
      <c r="I133">
        <v>0.77587200000000001</v>
      </c>
      <c r="J133" s="4">
        <f t="shared" si="12"/>
        <v>0.94122670807453412</v>
      </c>
      <c r="K133" s="4"/>
      <c r="L133">
        <v>1.025984</v>
      </c>
      <c r="M133">
        <v>1.0025599999999999</v>
      </c>
      <c r="N133" s="4">
        <f t="shared" si="13"/>
        <v>0.97716923460794702</v>
      </c>
      <c r="P133">
        <v>0.87648000000000004</v>
      </c>
      <c r="Q133">
        <v>0.83257599999999998</v>
      </c>
      <c r="R133" s="4">
        <f t="shared" si="14"/>
        <v>0.9499087258123402</v>
      </c>
      <c r="T133">
        <v>1.0909439999999999</v>
      </c>
      <c r="U133">
        <v>1.064128</v>
      </c>
      <c r="V133" s="4">
        <f t="shared" si="15"/>
        <v>0.9754194532441629</v>
      </c>
      <c r="Y133">
        <v>32</v>
      </c>
      <c r="Z133">
        <v>576</v>
      </c>
      <c r="AA133">
        <f>3072</f>
        <v>3072</v>
      </c>
      <c r="AB133">
        <v>28</v>
      </c>
      <c r="AC133">
        <v>4</v>
      </c>
      <c r="AE133">
        <v>1.7439359999999999</v>
      </c>
      <c r="AF133">
        <v>1.724736</v>
      </c>
      <c r="AG133" s="4">
        <f t="shared" si="16"/>
        <v>0.98899042166685025</v>
      </c>
      <c r="AI133">
        <v>2.7639680000000002</v>
      </c>
      <c r="AJ133">
        <v>2.7852160000000001</v>
      </c>
      <c r="AK133" s="4">
        <f t="shared" si="17"/>
        <v>1.0076874985528053</v>
      </c>
      <c r="AN133">
        <v>2.0548479999999998</v>
      </c>
    </row>
    <row r="134" spans="1:40" x14ac:dyDescent="0.25">
      <c r="A134" t="s">
        <v>31</v>
      </c>
      <c r="B134">
        <v>64</v>
      </c>
      <c r="C134">
        <v>128</v>
      </c>
      <c r="D134">
        <f>3072</f>
        <v>3072</v>
      </c>
      <c r="E134">
        <v>28</v>
      </c>
      <c r="F134">
        <v>4</v>
      </c>
      <c r="H134">
        <v>1.5807359999999999</v>
      </c>
      <c r="I134">
        <v>1.4688000000000001</v>
      </c>
      <c r="J134" s="4">
        <f t="shared" si="12"/>
        <v>0.92918741649459502</v>
      </c>
      <c r="K134" s="4"/>
      <c r="L134">
        <v>1.983168</v>
      </c>
      <c r="M134">
        <v>1.9281919999999999</v>
      </c>
      <c r="N134" s="4">
        <f t="shared" si="13"/>
        <v>0.97227869751831408</v>
      </c>
      <c r="P134">
        <v>1.6235520000000001</v>
      </c>
      <c r="Q134">
        <v>1.528192</v>
      </c>
      <c r="R134" s="4">
        <f t="shared" si="14"/>
        <v>0.94126458530432033</v>
      </c>
      <c r="T134">
        <v>2.10528</v>
      </c>
      <c r="U134">
        <v>2.0548479999999998</v>
      </c>
      <c r="V134" s="4">
        <f t="shared" si="15"/>
        <v>0.97604499164006675</v>
      </c>
      <c r="Y134">
        <v>64</v>
      </c>
      <c r="Z134">
        <v>576</v>
      </c>
      <c r="AA134">
        <f>3072</f>
        <v>3072</v>
      </c>
      <c r="AB134">
        <v>28</v>
      </c>
      <c r="AC134">
        <v>4</v>
      </c>
      <c r="AE134">
        <v>3.2821120000000001</v>
      </c>
      <c r="AF134">
        <v>3.28416</v>
      </c>
      <c r="AG134" s="4">
        <f t="shared" si="16"/>
        <v>1.0006239884562136</v>
      </c>
      <c r="AI134">
        <v>5.4967040000000003</v>
      </c>
      <c r="AJ134">
        <v>5.4943999999999997</v>
      </c>
      <c r="AK134" s="4">
        <f t="shared" si="17"/>
        <v>0.99958083971776535</v>
      </c>
      <c r="AN134">
        <v>0.21401600000000001</v>
      </c>
    </row>
    <row r="135" spans="1:40" x14ac:dyDescent="0.25">
      <c r="A135" t="s">
        <v>31</v>
      </c>
      <c r="B135">
        <v>1</v>
      </c>
      <c r="C135">
        <v>128</v>
      </c>
      <c r="D135">
        <f>4096</f>
        <v>4096</v>
      </c>
      <c r="E135">
        <v>28</v>
      </c>
      <c r="F135">
        <v>4</v>
      </c>
      <c r="H135">
        <v>0.21407999999999999</v>
      </c>
      <c r="I135">
        <v>0.207232</v>
      </c>
      <c r="J135" s="4">
        <f t="shared" si="12"/>
        <v>0.96801195814648733</v>
      </c>
      <c r="K135" s="4"/>
      <c r="L135">
        <v>0.21734400000000001</v>
      </c>
      <c r="M135">
        <v>0.21209600000000001</v>
      </c>
      <c r="N135" s="4">
        <f t="shared" si="13"/>
        <v>0.97585394581861007</v>
      </c>
      <c r="P135">
        <v>0.20255999999999999</v>
      </c>
      <c r="Q135">
        <v>0.19814399999999999</v>
      </c>
      <c r="R135" s="4">
        <f t="shared" si="14"/>
        <v>0.97819905213270142</v>
      </c>
      <c r="T135">
        <v>0.21900800000000001</v>
      </c>
      <c r="U135">
        <v>0.21401600000000001</v>
      </c>
      <c r="V135" s="4">
        <f t="shared" si="15"/>
        <v>0.9772063120981882</v>
      </c>
      <c r="Y135">
        <v>1</v>
      </c>
      <c r="Z135">
        <v>576</v>
      </c>
      <c r="AA135">
        <f>4096</f>
        <v>4096</v>
      </c>
      <c r="AB135">
        <v>28</v>
      </c>
      <c r="AC135">
        <v>4</v>
      </c>
      <c r="AE135">
        <v>0.40422400000000003</v>
      </c>
      <c r="AF135">
        <v>0.41983999999999999</v>
      </c>
      <c r="AG135" s="4">
        <f t="shared" si="16"/>
        <v>1.0386320455984799</v>
      </c>
      <c r="AI135">
        <v>0.37113600000000002</v>
      </c>
      <c r="AJ135">
        <v>0.364288</v>
      </c>
      <c r="AK135" s="4">
        <f t="shared" si="17"/>
        <v>0.98154854285221582</v>
      </c>
      <c r="AN135">
        <v>0.22617599999999999</v>
      </c>
    </row>
    <row r="136" spans="1:40" x14ac:dyDescent="0.25">
      <c r="A136" t="s">
        <v>31</v>
      </c>
      <c r="B136">
        <v>2</v>
      </c>
      <c r="C136">
        <v>128</v>
      </c>
      <c r="D136">
        <f>4096</f>
        <v>4096</v>
      </c>
      <c r="E136">
        <v>28</v>
      </c>
      <c r="F136">
        <v>4</v>
      </c>
      <c r="H136">
        <v>0.213312</v>
      </c>
      <c r="I136">
        <v>0.20799999999999999</v>
      </c>
      <c r="J136" s="4">
        <f t="shared" si="12"/>
        <v>0.97509750975097509</v>
      </c>
      <c r="K136" s="4"/>
      <c r="L136">
        <v>0.21657599999999999</v>
      </c>
      <c r="M136">
        <v>0.21196799999999999</v>
      </c>
      <c r="N136" s="4">
        <f t="shared" si="13"/>
        <v>0.97872340425531912</v>
      </c>
      <c r="P136">
        <v>0.22726399999999999</v>
      </c>
      <c r="Q136">
        <v>0.22118399999999999</v>
      </c>
      <c r="R136" s="4">
        <f t="shared" si="14"/>
        <v>0.97324697268375104</v>
      </c>
      <c r="T136">
        <v>0.23052800000000001</v>
      </c>
      <c r="U136">
        <v>0.22617599999999999</v>
      </c>
      <c r="V136" s="4">
        <f t="shared" si="15"/>
        <v>0.98112159911160457</v>
      </c>
      <c r="Y136">
        <v>2</v>
      </c>
      <c r="Z136">
        <v>576</v>
      </c>
      <c r="AA136">
        <f>4096</f>
        <v>4096</v>
      </c>
      <c r="AB136">
        <v>28</v>
      </c>
      <c r="AC136">
        <v>4</v>
      </c>
      <c r="AE136">
        <v>0.42982399999999998</v>
      </c>
      <c r="AF136">
        <v>0.36851200000000001</v>
      </c>
      <c r="AG136" s="4">
        <f t="shared" si="16"/>
        <v>0.85735556879094699</v>
      </c>
      <c r="AI136">
        <v>0.48512</v>
      </c>
      <c r="AJ136">
        <v>0.47820800000000002</v>
      </c>
      <c r="AK136" s="4">
        <f t="shared" si="17"/>
        <v>0.98575197889182065</v>
      </c>
      <c r="AN136">
        <v>0.23552000000000001</v>
      </c>
    </row>
    <row r="137" spans="1:40" x14ac:dyDescent="0.25">
      <c r="A137" t="s">
        <v>31</v>
      </c>
      <c r="B137">
        <v>4</v>
      </c>
      <c r="C137">
        <v>128</v>
      </c>
      <c r="D137">
        <f>4096</f>
        <v>4096</v>
      </c>
      <c r="E137">
        <v>28</v>
      </c>
      <c r="F137">
        <v>4</v>
      </c>
      <c r="H137">
        <v>0.213952</v>
      </c>
      <c r="I137">
        <v>0.20947199999999999</v>
      </c>
      <c r="J137" s="4">
        <f t="shared" si="12"/>
        <v>0.97906072390068799</v>
      </c>
      <c r="K137" s="4"/>
      <c r="L137">
        <v>0.21574399999999999</v>
      </c>
      <c r="M137">
        <v>0.211648</v>
      </c>
      <c r="N137" s="4">
        <f t="shared" si="13"/>
        <v>0.98101453574606945</v>
      </c>
      <c r="P137">
        <v>0.25107200000000002</v>
      </c>
      <c r="Q137">
        <v>0.244032</v>
      </c>
      <c r="R137" s="4">
        <f t="shared" si="14"/>
        <v>0.97196023451440217</v>
      </c>
      <c r="T137">
        <v>0.23980799999999999</v>
      </c>
      <c r="U137">
        <v>0.23552000000000001</v>
      </c>
      <c r="V137" s="4">
        <f t="shared" si="15"/>
        <v>0.98211902855617839</v>
      </c>
      <c r="Y137">
        <v>4</v>
      </c>
      <c r="Z137">
        <v>576</v>
      </c>
      <c r="AA137">
        <f>4096</f>
        <v>4096</v>
      </c>
      <c r="AB137">
        <v>28</v>
      </c>
      <c r="AC137">
        <v>4</v>
      </c>
      <c r="AE137">
        <v>0.39257599999999998</v>
      </c>
      <c r="AF137">
        <v>0.37158400000000003</v>
      </c>
      <c r="AG137" s="4">
        <f t="shared" si="16"/>
        <v>0.94652755135311395</v>
      </c>
      <c r="AI137">
        <v>0.54457599999999995</v>
      </c>
      <c r="AJ137">
        <v>0.54412799999999995</v>
      </c>
      <c r="AK137" s="4">
        <f t="shared" si="17"/>
        <v>0.99917734163826533</v>
      </c>
      <c r="AN137">
        <v>0.39737600000000001</v>
      </c>
    </row>
    <row r="138" spans="1:40" x14ac:dyDescent="0.25">
      <c r="A138" t="s">
        <v>31</v>
      </c>
      <c r="B138">
        <v>8</v>
      </c>
      <c r="C138">
        <v>128</v>
      </c>
      <c r="D138">
        <f>4096</f>
        <v>4096</v>
      </c>
      <c r="E138">
        <v>28</v>
      </c>
      <c r="F138">
        <v>4</v>
      </c>
      <c r="H138">
        <v>0.33516800000000002</v>
      </c>
      <c r="I138">
        <v>0.32006400000000002</v>
      </c>
      <c r="J138" s="4">
        <f t="shared" si="12"/>
        <v>0.95493603207943478</v>
      </c>
      <c r="K138" s="4"/>
      <c r="L138">
        <v>0.373888</v>
      </c>
      <c r="M138">
        <v>0.36422399999999999</v>
      </c>
      <c r="N138" s="4">
        <f t="shared" si="13"/>
        <v>0.97415268743580963</v>
      </c>
      <c r="P138">
        <v>0.389376</v>
      </c>
      <c r="Q138">
        <v>0.36857600000000001</v>
      </c>
      <c r="R138" s="4">
        <f t="shared" si="14"/>
        <v>0.94658119658119666</v>
      </c>
      <c r="T138">
        <v>0.40793600000000002</v>
      </c>
      <c r="U138">
        <v>0.39737600000000001</v>
      </c>
      <c r="V138" s="4">
        <f t="shared" si="15"/>
        <v>0.97411358644493251</v>
      </c>
      <c r="Y138">
        <v>8</v>
      </c>
      <c r="Z138">
        <v>576</v>
      </c>
      <c r="AA138">
        <f>4096</f>
        <v>4096</v>
      </c>
      <c r="AB138">
        <v>28</v>
      </c>
      <c r="AC138">
        <v>4</v>
      </c>
      <c r="AE138">
        <v>0.70572800000000002</v>
      </c>
      <c r="AF138">
        <v>0.60025600000000001</v>
      </c>
      <c r="AG138" s="4">
        <f t="shared" si="16"/>
        <v>0.85054865330552276</v>
      </c>
      <c r="AI138">
        <v>0.97184000000000004</v>
      </c>
      <c r="AJ138">
        <v>0.97587199999999996</v>
      </c>
      <c r="AK138" s="4">
        <f t="shared" si="17"/>
        <v>1.0041488310833058</v>
      </c>
      <c r="AN138">
        <v>0.72985599999999995</v>
      </c>
    </row>
    <row r="139" spans="1:40" x14ac:dyDescent="0.25">
      <c r="A139" t="s">
        <v>31</v>
      </c>
      <c r="B139">
        <v>16</v>
      </c>
      <c r="C139">
        <v>128</v>
      </c>
      <c r="D139">
        <f>4096</f>
        <v>4096</v>
      </c>
      <c r="E139">
        <v>28</v>
      </c>
      <c r="F139">
        <v>4</v>
      </c>
      <c r="H139">
        <v>0.58278399999999997</v>
      </c>
      <c r="I139">
        <v>0.54924799999999996</v>
      </c>
      <c r="J139" s="4">
        <f t="shared" si="12"/>
        <v>0.9424555238304414</v>
      </c>
      <c r="K139" s="4"/>
      <c r="L139">
        <v>0.69120000000000004</v>
      </c>
      <c r="M139">
        <v>0.67168000000000005</v>
      </c>
      <c r="N139" s="4">
        <f t="shared" si="13"/>
        <v>0.97175925925925932</v>
      </c>
      <c r="P139">
        <v>0.65971199999999997</v>
      </c>
      <c r="Q139">
        <v>0.61811199999999999</v>
      </c>
      <c r="R139" s="4">
        <f t="shared" si="14"/>
        <v>0.93694218083042302</v>
      </c>
      <c r="T139">
        <v>0.75014400000000003</v>
      </c>
      <c r="U139">
        <v>0.72985599999999995</v>
      </c>
      <c r="V139" s="4">
        <f t="shared" si="15"/>
        <v>0.97295452606432886</v>
      </c>
      <c r="Y139">
        <v>16</v>
      </c>
      <c r="Z139">
        <v>576</v>
      </c>
      <c r="AA139">
        <f>4096</f>
        <v>4096</v>
      </c>
      <c r="AB139">
        <v>28</v>
      </c>
      <c r="AC139">
        <v>4</v>
      </c>
      <c r="AE139">
        <v>1.278016</v>
      </c>
      <c r="AF139">
        <v>1.249344</v>
      </c>
      <c r="AG139" s="4">
        <f t="shared" si="16"/>
        <v>0.97756522610045571</v>
      </c>
      <c r="AI139">
        <v>1.900544</v>
      </c>
      <c r="AJ139">
        <v>1.9139839999999999</v>
      </c>
      <c r="AK139" s="4">
        <f t="shared" si="17"/>
        <v>1.0070716594827587</v>
      </c>
      <c r="AN139">
        <v>1.3948799999999999</v>
      </c>
    </row>
    <row r="140" spans="1:40" x14ac:dyDescent="0.25">
      <c r="A140" t="s">
        <v>31</v>
      </c>
      <c r="B140">
        <v>32</v>
      </c>
      <c r="C140">
        <v>128</v>
      </c>
      <c r="D140">
        <f>4096</f>
        <v>4096</v>
      </c>
      <c r="E140">
        <v>28</v>
      </c>
      <c r="F140">
        <v>4</v>
      </c>
      <c r="H140">
        <v>1.0743039999999999</v>
      </c>
      <c r="I140">
        <v>1.015296</v>
      </c>
      <c r="J140" s="4">
        <f t="shared" si="12"/>
        <v>0.94507327534850472</v>
      </c>
      <c r="K140" s="4"/>
      <c r="L140">
        <v>1.3295999999999999</v>
      </c>
      <c r="M140">
        <v>1.295104</v>
      </c>
      <c r="N140" s="4">
        <f t="shared" si="13"/>
        <v>0.97405535499398321</v>
      </c>
      <c r="P140">
        <v>1.15968</v>
      </c>
      <c r="Q140">
        <v>1.08352</v>
      </c>
      <c r="R140" s="4">
        <f t="shared" si="14"/>
        <v>0.9343267108167771</v>
      </c>
      <c r="T140">
        <v>1.43072</v>
      </c>
      <c r="U140">
        <v>1.3948799999999999</v>
      </c>
      <c r="V140" s="4">
        <f t="shared" si="15"/>
        <v>0.97494967568776558</v>
      </c>
      <c r="Y140">
        <v>32</v>
      </c>
      <c r="Z140">
        <v>576</v>
      </c>
      <c r="AA140">
        <f>4096</f>
        <v>4096</v>
      </c>
      <c r="AB140">
        <v>28</v>
      </c>
      <c r="AC140">
        <v>4</v>
      </c>
      <c r="AE140">
        <v>2.3617279999999998</v>
      </c>
      <c r="AF140">
        <v>2.4012799999999999</v>
      </c>
      <c r="AG140" s="4">
        <f t="shared" si="16"/>
        <v>1.0167470597799577</v>
      </c>
      <c r="AI140">
        <v>3.7700480000000001</v>
      </c>
      <c r="AJ140">
        <v>3.7817599999999998</v>
      </c>
      <c r="AK140" s="4">
        <f t="shared" si="17"/>
        <v>1.003106591746312</v>
      </c>
      <c r="AN140">
        <v>2.7048320000000001</v>
      </c>
    </row>
    <row r="141" spans="1:40" x14ac:dyDescent="0.25">
      <c r="A141" t="s">
        <v>31</v>
      </c>
      <c r="B141">
        <v>64</v>
      </c>
      <c r="C141">
        <v>128</v>
      </c>
      <c r="D141">
        <f>4096</f>
        <v>4096</v>
      </c>
      <c r="E141">
        <v>28</v>
      </c>
      <c r="F141">
        <v>4</v>
      </c>
      <c r="H141">
        <v>2.0526719999999998</v>
      </c>
      <c r="I141">
        <v>1.926912</v>
      </c>
      <c r="J141" s="4">
        <f t="shared" si="12"/>
        <v>0.93873351417079798</v>
      </c>
      <c r="K141" s="4"/>
      <c r="L141">
        <v>2.6143360000000002</v>
      </c>
      <c r="M141">
        <v>2.5462400000000001</v>
      </c>
      <c r="N141" s="4">
        <f t="shared" si="13"/>
        <v>0.97395285074298021</v>
      </c>
      <c r="P141">
        <v>2.112384</v>
      </c>
      <c r="Q141">
        <v>1.99712</v>
      </c>
      <c r="R141" s="4">
        <f t="shared" si="14"/>
        <v>0.94543416348542686</v>
      </c>
      <c r="T141">
        <v>2.783296</v>
      </c>
      <c r="U141">
        <v>2.7048320000000001</v>
      </c>
      <c r="V141" s="4">
        <f t="shared" si="15"/>
        <v>0.97180896318609311</v>
      </c>
      <c r="Y141">
        <v>64</v>
      </c>
      <c r="Z141">
        <v>576</v>
      </c>
      <c r="AA141">
        <f>4096</f>
        <v>4096</v>
      </c>
      <c r="AB141">
        <v>28</v>
      </c>
      <c r="AC141">
        <v>4</v>
      </c>
      <c r="AE141">
        <v>4.3526400000000001</v>
      </c>
      <c r="AF141">
        <v>4.3025919999999998</v>
      </c>
      <c r="AG141" s="4">
        <f t="shared" si="16"/>
        <v>0.98850169092780471</v>
      </c>
      <c r="AI141">
        <v>7.4104320000000001</v>
      </c>
      <c r="AJ141">
        <v>7.4246400000000001</v>
      </c>
      <c r="AK141" s="4">
        <f t="shared" si="17"/>
        <v>1.0019172971292363</v>
      </c>
      <c r="AN141">
        <v>0.25836799999999999</v>
      </c>
    </row>
    <row r="142" spans="1:40" x14ac:dyDescent="0.25">
      <c r="A142" t="s">
        <v>31</v>
      </c>
      <c r="B142">
        <v>1</v>
      </c>
      <c r="C142">
        <v>128</v>
      </c>
      <c r="D142">
        <f>5120</f>
        <v>5120</v>
      </c>
      <c r="E142">
        <v>28</v>
      </c>
      <c r="F142">
        <v>4</v>
      </c>
      <c r="H142">
        <v>0.25798399999999999</v>
      </c>
      <c r="I142">
        <v>0.24876799999999999</v>
      </c>
      <c r="J142" s="4">
        <f t="shared" si="12"/>
        <v>0.96427685437856614</v>
      </c>
      <c r="K142" s="4"/>
      <c r="L142">
        <v>0.26131199999999999</v>
      </c>
      <c r="M142">
        <v>0.25529600000000002</v>
      </c>
      <c r="N142" s="4">
        <f t="shared" si="13"/>
        <v>0.97697771246632392</v>
      </c>
      <c r="P142">
        <v>0.24620800000000001</v>
      </c>
      <c r="Q142">
        <v>0.236096</v>
      </c>
      <c r="R142" s="4">
        <f t="shared" si="14"/>
        <v>0.95892903561216525</v>
      </c>
      <c r="T142">
        <v>0.26380799999999999</v>
      </c>
      <c r="U142">
        <v>0.25836799999999999</v>
      </c>
      <c r="V142" s="4">
        <f t="shared" si="15"/>
        <v>0.97937894226103828</v>
      </c>
      <c r="Y142">
        <v>1</v>
      </c>
      <c r="Z142">
        <v>576</v>
      </c>
      <c r="AA142">
        <f>5120</f>
        <v>5120</v>
      </c>
      <c r="AB142">
        <v>28</v>
      </c>
      <c r="AC142">
        <v>4</v>
      </c>
      <c r="AE142">
        <v>0.55232000000000003</v>
      </c>
      <c r="AF142">
        <v>0.56332800000000005</v>
      </c>
      <c r="AG142" s="4">
        <f t="shared" si="16"/>
        <v>1.0199304750869063</v>
      </c>
      <c r="AI142">
        <v>0.44902399999999998</v>
      </c>
      <c r="AJ142">
        <v>0.44236799999999998</v>
      </c>
      <c r="AK142" s="4">
        <f t="shared" si="17"/>
        <v>0.98517673888255419</v>
      </c>
      <c r="AN142">
        <v>0.27110400000000001</v>
      </c>
    </row>
    <row r="143" spans="1:40" x14ac:dyDescent="0.25">
      <c r="A143" t="s">
        <v>31</v>
      </c>
      <c r="B143">
        <v>2</v>
      </c>
      <c r="C143">
        <v>128</v>
      </c>
      <c r="D143">
        <f>5120</f>
        <v>5120</v>
      </c>
      <c r="E143">
        <v>28</v>
      </c>
      <c r="F143">
        <v>4</v>
      </c>
      <c r="H143">
        <v>0.256768</v>
      </c>
      <c r="I143">
        <v>0.24972800000000001</v>
      </c>
      <c r="J143" s="4">
        <f t="shared" si="12"/>
        <v>0.97258225324027925</v>
      </c>
      <c r="K143" s="4"/>
      <c r="L143">
        <v>0.26105600000000001</v>
      </c>
      <c r="M143">
        <v>0.25606400000000001</v>
      </c>
      <c r="N143" s="4">
        <f t="shared" si="13"/>
        <v>0.98087766609463101</v>
      </c>
      <c r="P143">
        <v>0.27411200000000002</v>
      </c>
      <c r="Q143">
        <v>0.26521600000000001</v>
      </c>
      <c r="R143" s="4">
        <f t="shared" si="14"/>
        <v>0.96754611253794065</v>
      </c>
      <c r="T143">
        <v>0.27654400000000001</v>
      </c>
      <c r="U143">
        <v>0.27110400000000001</v>
      </c>
      <c r="V143" s="4">
        <f t="shared" si="15"/>
        <v>0.98032862763249251</v>
      </c>
      <c r="Y143">
        <v>2</v>
      </c>
      <c r="Z143">
        <v>576</v>
      </c>
      <c r="AA143">
        <f>5120</f>
        <v>5120</v>
      </c>
      <c r="AB143">
        <v>28</v>
      </c>
      <c r="AC143">
        <v>4</v>
      </c>
      <c r="AE143">
        <v>0.58816000000000002</v>
      </c>
      <c r="AF143">
        <v>0.57599999999999996</v>
      </c>
      <c r="AG143" s="4">
        <f t="shared" si="16"/>
        <v>0.97932535364526652</v>
      </c>
      <c r="AI143">
        <v>0.59392</v>
      </c>
      <c r="AJ143">
        <v>0.58496000000000004</v>
      </c>
      <c r="AK143" s="4">
        <f t="shared" si="17"/>
        <v>0.98491379310344829</v>
      </c>
      <c r="AN143">
        <v>0.28364800000000001</v>
      </c>
    </row>
    <row r="144" spans="1:40" x14ac:dyDescent="0.25">
      <c r="A144" t="s">
        <v>31</v>
      </c>
      <c r="B144">
        <v>4</v>
      </c>
      <c r="C144">
        <v>128</v>
      </c>
      <c r="D144">
        <f>5120</f>
        <v>5120</v>
      </c>
      <c r="E144">
        <v>28</v>
      </c>
      <c r="F144">
        <v>4</v>
      </c>
      <c r="H144">
        <v>0.25856000000000001</v>
      </c>
      <c r="I144">
        <v>0.25075199999999997</v>
      </c>
      <c r="J144" s="4">
        <f t="shared" si="12"/>
        <v>0.96980198019801966</v>
      </c>
      <c r="K144" s="4"/>
      <c r="L144">
        <v>0.26291199999999998</v>
      </c>
      <c r="M144">
        <v>0.25696000000000002</v>
      </c>
      <c r="N144" s="4">
        <f t="shared" si="13"/>
        <v>0.97736124634858823</v>
      </c>
      <c r="P144">
        <v>0.30412800000000001</v>
      </c>
      <c r="Q144">
        <v>0.29427199999999998</v>
      </c>
      <c r="R144" s="4">
        <f t="shared" si="14"/>
        <v>0.96759259259259245</v>
      </c>
      <c r="T144">
        <v>0.28761599999999998</v>
      </c>
      <c r="U144">
        <v>0.28364800000000001</v>
      </c>
      <c r="V144" s="4">
        <f t="shared" si="15"/>
        <v>0.98620382732532275</v>
      </c>
      <c r="Y144">
        <v>4</v>
      </c>
      <c r="Z144">
        <v>576</v>
      </c>
      <c r="AA144">
        <f>5120</f>
        <v>5120</v>
      </c>
      <c r="AB144">
        <v>28</v>
      </c>
      <c r="AC144">
        <v>4</v>
      </c>
      <c r="AE144">
        <v>0.52076800000000001</v>
      </c>
      <c r="AF144">
        <v>0.49952000000000002</v>
      </c>
      <c r="AG144" s="4">
        <f t="shared" si="16"/>
        <v>0.95919872188767363</v>
      </c>
      <c r="AI144">
        <v>0.68991999999999998</v>
      </c>
      <c r="AJ144">
        <v>0.67679999999999996</v>
      </c>
      <c r="AK144" s="4">
        <f t="shared" si="17"/>
        <v>0.98098330241187381</v>
      </c>
      <c r="AN144">
        <v>0.485568</v>
      </c>
    </row>
    <row r="145" spans="1:40" x14ac:dyDescent="0.25">
      <c r="A145" t="s">
        <v>31</v>
      </c>
      <c r="B145">
        <v>8</v>
      </c>
      <c r="C145">
        <v>128</v>
      </c>
      <c r="D145">
        <f>5120</f>
        <v>5120</v>
      </c>
      <c r="E145">
        <v>28</v>
      </c>
      <c r="F145">
        <v>4</v>
      </c>
      <c r="H145">
        <v>0.41222399999999998</v>
      </c>
      <c r="I145">
        <v>0.39110400000000001</v>
      </c>
      <c r="J145" s="4">
        <f t="shared" si="12"/>
        <v>0.94876571960875644</v>
      </c>
      <c r="K145" s="4"/>
      <c r="L145">
        <v>0.45676800000000001</v>
      </c>
      <c r="M145">
        <v>0.44390400000000002</v>
      </c>
      <c r="N145" s="4">
        <f t="shared" si="13"/>
        <v>0.97183690626313579</v>
      </c>
      <c r="P145">
        <v>0.46707199999999999</v>
      </c>
      <c r="Q145">
        <v>0.44672000000000001</v>
      </c>
      <c r="R145" s="4">
        <f t="shared" si="14"/>
        <v>0.95642641819676633</v>
      </c>
      <c r="T145">
        <v>0.49849599999999999</v>
      </c>
      <c r="U145">
        <v>0.485568</v>
      </c>
      <c r="V145" s="4">
        <f t="shared" si="15"/>
        <v>0.97406599049942222</v>
      </c>
      <c r="Y145">
        <v>8</v>
      </c>
      <c r="Z145">
        <v>576</v>
      </c>
      <c r="AA145">
        <f>5120</f>
        <v>5120</v>
      </c>
      <c r="AB145">
        <v>28</v>
      </c>
      <c r="AC145">
        <v>4</v>
      </c>
      <c r="AE145">
        <v>0.82387200000000005</v>
      </c>
      <c r="AF145">
        <v>0.74118399999999995</v>
      </c>
      <c r="AG145" s="4">
        <f t="shared" si="16"/>
        <v>0.8996348947409305</v>
      </c>
      <c r="AI145">
        <v>1.226496</v>
      </c>
      <c r="AJ145">
        <v>1.25024</v>
      </c>
      <c r="AK145" s="4">
        <f t="shared" si="17"/>
        <v>1.0193592151951576</v>
      </c>
      <c r="AN145">
        <v>0.90156800000000004</v>
      </c>
    </row>
    <row r="146" spans="1:40" x14ac:dyDescent="0.25">
      <c r="A146" t="s">
        <v>31</v>
      </c>
      <c r="B146">
        <v>16</v>
      </c>
      <c r="C146">
        <v>128</v>
      </c>
      <c r="D146">
        <f>5120</f>
        <v>5120</v>
      </c>
      <c r="E146">
        <v>28</v>
      </c>
      <c r="F146">
        <v>4</v>
      </c>
      <c r="H146">
        <v>0.71507200000000004</v>
      </c>
      <c r="I146">
        <v>0.67609600000000003</v>
      </c>
      <c r="J146" s="4">
        <f t="shared" si="12"/>
        <v>0.94549360064441057</v>
      </c>
      <c r="K146" s="4"/>
      <c r="L146">
        <v>0.86291200000000001</v>
      </c>
      <c r="M146">
        <v>0.83667199999999997</v>
      </c>
      <c r="N146" s="4">
        <f t="shared" si="13"/>
        <v>0.96959133723948676</v>
      </c>
      <c r="P146">
        <v>0.77721600000000002</v>
      </c>
      <c r="Q146">
        <v>0.73619199999999996</v>
      </c>
      <c r="R146" s="4">
        <f t="shared" si="14"/>
        <v>0.94721673254281946</v>
      </c>
      <c r="T146">
        <v>0.92793599999999998</v>
      </c>
      <c r="U146">
        <v>0.90156800000000004</v>
      </c>
      <c r="V146" s="4">
        <f t="shared" si="15"/>
        <v>0.97158424718946135</v>
      </c>
      <c r="Y146">
        <v>16</v>
      </c>
      <c r="Z146">
        <v>576</v>
      </c>
      <c r="AA146">
        <f>5120</f>
        <v>5120</v>
      </c>
      <c r="AB146">
        <v>28</v>
      </c>
      <c r="AC146">
        <v>4</v>
      </c>
      <c r="AE146">
        <v>1.504704</v>
      </c>
      <c r="AF146">
        <v>1.4734080000000001</v>
      </c>
      <c r="AG146" s="4">
        <f t="shared" si="16"/>
        <v>0.97920122495853001</v>
      </c>
      <c r="AI146">
        <v>2.4096000000000002</v>
      </c>
      <c r="AJ146">
        <v>2.4092159999999998</v>
      </c>
      <c r="AK146" s="4">
        <f t="shared" si="17"/>
        <v>0.99984063745019902</v>
      </c>
      <c r="AN146">
        <v>1.72736</v>
      </c>
    </row>
    <row r="147" spans="1:40" x14ac:dyDescent="0.25">
      <c r="A147" t="s">
        <v>31</v>
      </c>
      <c r="B147">
        <v>32</v>
      </c>
      <c r="C147">
        <v>128</v>
      </c>
      <c r="D147">
        <f>5120</f>
        <v>5120</v>
      </c>
      <c r="E147">
        <v>28</v>
      </c>
      <c r="F147">
        <v>4</v>
      </c>
      <c r="H147">
        <v>1.3193600000000001</v>
      </c>
      <c r="I147">
        <v>1.2527360000000001</v>
      </c>
      <c r="J147" s="4">
        <f t="shared" si="12"/>
        <v>0.9495027892311424</v>
      </c>
      <c r="K147" s="4"/>
      <c r="L147">
        <v>1.67232</v>
      </c>
      <c r="M147">
        <v>2.267712</v>
      </c>
      <c r="N147" s="4">
        <f t="shared" si="13"/>
        <v>1.3560275545350171</v>
      </c>
      <c r="P147">
        <v>1.417664</v>
      </c>
      <c r="Q147">
        <v>1.33152</v>
      </c>
      <c r="R147" s="4">
        <f t="shared" si="14"/>
        <v>0.93923524897295829</v>
      </c>
      <c r="T147">
        <v>1.7836799999999999</v>
      </c>
      <c r="U147">
        <v>1.72736</v>
      </c>
      <c r="V147" s="4">
        <f t="shared" si="15"/>
        <v>0.96842482956584142</v>
      </c>
      <c r="Y147">
        <v>32</v>
      </c>
      <c r="Z147">
        <v>576</v>
      </c>
      <c r="AA147">
        <f>5120</f>
        <v>5120</v>
      </c>
      <c r="AB147">
        <v>28</v>
      </c>
      <c r="AC147">
        <v>4</v>
      </c>
      <c r="AE147">
        <v>2.7658239999999998</v>
      </c>
      <c r="AF147">
        <v>2.7262719999999998</v>
      </c>
      <c r="AG147" s="4">
        <f t="shared" si="16"/>
        <v>0.98569974083672718</v>
      </c>
      <c r="AI147">
        <v>4.7367679999999996</v>
      </c>
      <c r="AJ147">
        <v>4.7658880000000003</v>
      </c>
      <c r="AK147" s="4">
        <f t="shared" si="17"/>
        <v>1.0061476517321517</v>
      </c>
      <c r="AN147">
        <v>3.3744000000000001</v>
      </c>
    </row>
    <row r="148" spans="1:40" x14ac:dyDescent="0.25">
      <c r="A148" t="s">
        <v>31</v>
      </c>
      <c r="B148">
        <v>64</v>
      </c>
      <c r="C148">
        <v>128</v>
      </c>
      <c r="D148">
        <f>5120</f>
        <v>5120</v>
      </c>
      <c r="E148">
        <v>28</v>
      </c>
      <c r="F148">
        <v>4</v>
      </c>
      <c r="H148">
        <v>2.5482239999999998</v>
      </c>
      <c r="I148">
        <v>2.3950079999999998</v>
      </c>
      <c r="J148" s="4">
        <f t="shared" si="12"/>
        <v>0.939873417721519</v>
      </c>
      <c r="K148" s="4"/>
      <c r="L148">
        <v>3.2574079999999999</v>
      </c>
      <c r="M148">
        <v>3.1637119999999999</v>
      </c>
      <c r="N148" s="4">
        <f t="shared" si="13"/>
        <v>0.97123602569896061</v>
      </c>
      <c r="P148">
        <v>2.6533120000000001</v>
      </c>
      <c r="Q148">
        <v>2.4642559999999998</v>
      </c>
      <c r="R148" s="4">
        <f t="shared" si="14"/>
        <v>0.92874716580635808</v>
      </c>
      <c r="T148">
        <v>3.4611200000000002</v>
      </c>
      <c r="U148">
        <v>3.3744000000000001</v>
      </c>
      <c r="V148" s="4">
        <f t="shared" si="15"/>
        <v>0.97494452662721887</v>
      </c>
      <c r="Y148">
        <v>64</v>
      </c>
      <c r="Z148">
        <v>576</v>
      </c>
      <c r="AA148">
        <f>5120</f>
        <v>5120</v>
      </c>
      <c r="AB148">
        <v>28</v>
      </c>
      <c r="AC148">
        <v>4</v>
      </c>
      <c r="AE148">
        <v>5.386304</v>
      </c>
      <c r="AF148">
        <v>5.2840959999999999</v>
      </c>
      <c r="AG148" s="4">
        <f t="shared" si="16"/>
        <v>0.98102446501348606</v>
      </c>
      <c r="AI148">
        <v>9.2926079999999995</v>
      </c>
      <c r="AJ148">
        <v>9.3416320000000006</v>
      </c>
      <c r="AK148" s="4">
        <f t="shared" si="17"/>
        <v>1.0052755910934801</v>
      </c>
      <c r="AN148">
        <v>0.30284800000000001</v>
      </c>
    </row>
    <row r="149" spans="1:40" x14ac:dyDescent="0.25">
      <c r="A149" t="s">
        <v>31</v>
      </c>
      <c r="B149">
        <v>1</v>
      </c>
      <c r="C149">
        <v>128</v>
      </c>
      <c r="D149">
        <f>6144</f>
        <v>6144</v>
      </c>
      <c r="E149">
        <v>28</v>
      </c>
      <c r="F149">
        <v>4</v>
      </c>
      <c r="H149">
        <v>0.29996800000000001</v>
      </c>
      <c r="I149">
        <v>0.29126400000000002</v>
      </c>
      <c r="J149" s="4">
        <f t="shared" si="12"/>
        <v>0.97098357158096871</v>
      </c>
      <c r="K149" s="4"/>
      <c r="L149">
        <v>0.30476799999999998</v>
      </c>
      <c r="M149">
        <v>0.29849599999999998</v>
      </c>
      <c r="N149" s="4">
        <f t="shared" si="13"/>
        <v>0.97942041159176818</v>
      </c>
      <c r="P149">
        <v>0.28582400000000002</v>
      </c>
      <c r="Q149">
        <v>0.36812800000000001</v>
      </c>
      <c r="R149" s="4">
        <f t="shared" si="14"/>
        <v>1.2879534258844603</v>
      </c>
      <c r="T149">
        <v>0.30931199999999998</v>
      </c>
      <c r="U149">
        <v>0.30284800000000001</v>
      </c>
      <c r="V149" s="4">
        <f t="shared" si="15"/>
        <v>0.97910200703496808</v>
      </c>
      <c r="Y149">
        <v>1</v>
      </c>
      <c r="Z149">
        <v>576</v>
      </c>
      <c r="AA149">
        <f>6144</f>
        <v>6144</v>
      </c>
      <c r="AB149">
        <v>28</v>
      </c>
      <c r="AC149">
        <v>4</v>
      </c>
      <c r="AE149">
        <v>0.70304</v>
      </c>
      <c r="AF149">
        <v>0.67609600000000003</v>
      </c>
      <c r="AG149" s="4">
        <f t="shared" si="16"/>
        <v>0.96167501137915345</v>
      </c>
      <c r="AI149">
        <v>0.53036799999999995</v>
      </c>
      <c r="AJ149">
        <v>0.52236800000000005</v>
      </c>
      <c r="AK149" s="4">
        <f t="shared" si="17"/>
        <v>0.98491613370339104</v>
      </c>
      <c r="AN149">
        <v>0.31609599999999999</v>
      </c>
    </row>
    <row r="150" spans="1:40" x14ac:dyDescent="0.25">
      <c r="A150" t="s">
        <v>31</v>
      </c>
      <c r="B150">
        <v>2</v>
      </c>
      <c r="C150">
        <v>128</v>
      </c>
      <c r="D150">
        <f>6144</f>
        <v>6144</v>
      </c>
      <c r="E150">
        <v>28</v>
      </c>
      <c r="F150">
        <v>4</v>
      </c>
      <c r="H150">
        <v>0.30559999999999998</v>
      </c>
      <c r="I150">
        <v>0.29619200000000001</v>
      </c>
      <c r="J150" s="4">
        <f t="shared" si="12"/>
        <v>0.96921465968586396</v>
      </c>
      <c r="K150" s="4"/>
      <c r="L150">
        <v>0.305728</v>
      </c>
      <c r="M150">
        <v>0.299072</v>
      </c>
      <c r="N150" s="4">
        <f t="shared" si="13"/>
        <v>0.97822901402553908</v>
      </c>
      <c r="P150">
        <v>0.32089600000000001</v>
      </c>
      <c r="Q150">
        <v>0.31321599999999999</v>
      </c>
      <c r="R150" s="4">
        <f t="shared" si="14"/>
        <v>0.97606701236537685</v>
      </c>
      <c r="T150">
        <v>0.32416</v>
      </c>
      <c r="U150">
        <v>0.31609599999999999</v>
      </c>
      <c r="V150" s="4">
        <f t="shared" si="15"/>
        <v>0.97512339585389929</v>
      </c>
      <c r="Y150">
        <v>2</v>
      </c>
      <c r="Z150">
        <v>576</v>
      </c>
      <c r="AA150">
        <f>6144</f>
        <v>6144</v>
      </c>
      <c r="AB150">
        <v>28</v>
      </c>
      <c r="AC150">
        <v>4</v>
      </c>
      <c r="AE150">
        <v>0.64691200000000004</v>
      </c>
      <c r="AF150">
        <v>0.72108799999999995</v>
      </c>
      <c r="AG150" s="4">
        <f t="shared" si="16"/>
        <v>1.1146616541353382</v>
      </c>
      <c r="AI150">
        <v>0.70086400000000004</v>
      </c>
      <c r="AJ150">
        <v>0.69184000000000001</v>
      </c>
      <c r="AK150" s="4">
        <f t="shared" si="17"/>
        <v>0.98712446351931327</v>
      </c>
      <c r="AN150">
        <v>0.33088000000000001</v>
      </c>
    </row>
    <row r="151" spans="1:40" x14ac:dyDescent="0.25">
      <c r="A151" t="s">
        <v>31</v>
      </c>
      <c r="B151">
        <v>4</v>
      </c>
      <c r="C151">
        <v>128</v>
      </c>
      <c r="D151">
        <f>6144</f>
        <v>6144</v>
      </c>
      <c r="E151">
        <v>28</v>
      </c>
      <c r="F151">
        <v>4</v>
      </c>
      <c r="H151">
        <v>0.30188799999999999</v>
      </c>
      <c r="I151">
        <v>0.29324800000000001</v>
      </c>
      <c r="J151" s="4">
        <f t="shared" si="12"/>
        <v>0.97138011447954209</v>
      </c>
      <c r="K151" s="4"/>
      <c r="L151">
        <v>0.30566399999999999</v>
      </c>
      <c r="M151">
        <v>0.29926399999999997</v>
      </c>
      <c r="N151" s="4">
        <f t="shared" si="13"/>
        <v>0.97906197654941363</v>
      </c>
      <c r="P151">
        <v>0.35871999999999998</v>
      </c>
      <c r="Q151">
        <v>0.34771200000000002</v>
      </c>
      <c r="R151" s="4">
        <f t="shared" si="14"/>
        <v>0.96931311329170389</v>
      </c>
      <c r="T151">
        <v>0.33663999999999999</v>
      </c>
      <c r="U151">
        <v>0.33088000000000001</v>
      </c>
      <c r="V151" s="4">
        <f t="shared" si="15"/>
        <v>0.9828897338403042</v>
      </c>
      <c r="Y151">
        <v>4</v>
      </c>
      <c r="Z151">
        <v>576</v>
      </c>
      <c r="AA151">
        <f>6144</f>
        <v>6144</v>
      </c>
      <c r="AB151">
        <v>28</v>
      </c>
      <c r="AC151">
        <v>4</v>
      </c>
      <c r="AE151">
        <v>0.67283199999999999</v>
      </c>
      <c r="AF151">
        <v>0.681728</v>
      </c>
      <c r="AG151" s="4">
        <f t="shared" si="16"/>
        <v>1.0132217254827356</v>
      </c>
      <c r="AI151">
        <v>0.83084800000000003</v>
      </c>
      <c r="AJ151">
        <v>0.82079999999999997</v>
      </c>
      <c r="AK151" s="4">
        <f t="shared" si="17"/>
        <v>0.98790633184409171</v>
      </c>
      <c r="AN151">
        <v>0.57158399999999998</v>
      </c>
    </row>
    <row r="152" spans="1:40" x14ac:dyDescent="0.25">
      <c r="A152" t="s">
        <v>31</v>
      </c>
      <c r="B152">
        <v>8</v>
      </c>
      <c r="C152">
        <v>128</v>
      </c>
      <c r="D152">
        <f>6144</f>
        <v>6144</v>
      </c>
      <c r="E152">
        <v>28</v>
      </c>
      <c r="F152">
        <v>4</v>
      </c>
      <c r="H152">
        <v>0.483904</v>
      </c>
      <c r="I152">
        <v>0.46054400000000001</v>
      </c>
      <c r="J152" s="4">
        <f t="shared" si="12"/>
        <v>0.9517259621743156</v>
      </c>
      <c r="K152" s="4"/>
      <c r="L152">
        <v>0.53990400000000005</v>
      </c>
      <c r="M152">
        <v>0.52428799999999998</v>
      </c>
      <c r="N152" s="4">
        <f t="shared" si="13"/>
        <v>0.97107633949739203</v>
      </c>
      <c r="P152">
        <v>0.55820800000000004</v>
      </c>
      <c r="Q152">
        <v>0.53228799999999998</v>
      </c>
      <c r="R152" s="4">
        <f t="shared" si="14"/>
        <v>0.95356569594129781</v>
      </c>
      <c r="T152">
        <v>0.58873600000000004</v>
      </c>
      <c r="U152">
        <v>0.57158399999999998</v>
      </c>
      <c r="V152" s="4">
        <f t="shared" si="15"/>
        <v>0.9708663985215783</v>
      </c>
      <c r="Y152">
        <v>8</v>
      </c>
      <c r="Z152">
        <v>576</v>
      </c>
      <c r="AA152">
        <f>6144</f>
        <v>6144</v>
      </c>
      <c r="AB152">
        <v>28</v>
      </c>
      <c r="AC152">
        <v>4</v>
      </c>
      <c r="AE152">
        <v>0.93331200000000003</v>
      </c>
      <c r="AF152">
        <v>0.87942399999999998</v>
      </c>
      <c r="AG152" s="4">
        <f t="shared" si="16"/>
        <v>0.94226153740656926</v>
      </c>
      <c r="AI152">
        <v>1.4925440000000001</v>
      </c>
      <c r="AJ152">
        <v>1.4634879999999999</v>
      </c>
      <c r="AK152" s="4">
        <f t="shared" si="17"/>
        <v>0.98053256721409876</v>
      </c>
      <c r="AN152">
        <v>1.074624</v>
      </c>
    </row>
    <row r="153" spans="1:40" x14ac:dyDescent="0.25">
      <c r="A153" t="s">
        <v>31</v>
      </c>
      <c r="B153">
        <v>16</v>
      </c>
      <c r="C153">
        <v>128</v>
      </c>
      <c r="D153">
        <f>6144</f>
        <v>6144</v>
      </c>
      <c r="E153">
        <v>28</v>
      </c>
      <c r="F153">
        <v>4</v>
      </c>
      <c r="H153">
        <v>0.84499199999999997</v>
      </c>
      <c r="I153">
        <v>0.79987200000000003</v>
      </c>
      <c r="J153" s="4">
        <f t="shared" si="12"/>
        <v>0.94660304476255408</v>
      </c>
      <c r="K153" s="4"/>
      <c r="L153">
        <v>1.023744</v>
      </c>
      <c r="M153">
        <v>0.996224</v>
      </c>
      <c r="N153" s="4">
        <f t="shared" si="13"/>
        <v>0.9731182795698925</v>
      </c>
      <c r="P153">
        <v>0.94528000000000001</v>
      </c>
      <c r="Q153">
        <v>0.91046400000000005</v>
      </c>
      <c r="R153" s="4">
        <f t="shared" si="14"/>
        <v>0.96316858496953284</v>
      </c>
      <c r="T153">
        <v>1.101696</v>
      </c>
      <c r="U153">
        <v>1.074624</v>
      </c>
      <c r="V153" s="4">
        <f t="shared" si="15"/>
        <v>0.97542697804112932</v>
      </c>
      <c r="Y153">
        <v>16</v>
      </c>
      <c r="Z153">
        <v>576</v>
      </c>
      <c r="AA153">
        <f>6144</f>
        <v>6144</v>
      </c>
      <c r="AB153">
        <v>28</v>
      </c>
      <c r="AC153">
        <v>4</v>
      </c>
      <c r="AE153">
        <v>1.776896</v>
      </c>
      <c r="AF153">
        <v>1.8362240000000001</v>
      </c>
      <c r="AG153" s="4">
        <f t="shared" si="16"/>
        <v>1.0333885607261202</v>
      </c>
      <c r="AI153">
        <v>2.8639999999999999</v>
      </c>
      <c r="AJ153">
        <v>2.864128</v>
      </c>
      <c r="AK153" s="4">
        <f t="shared" si="17"/>
        <v>1.0000446927374302</v>
      </c>
      <c r="AN153">
        <v>2.0625279999999999</v>
      </c>
    </row>
    <row r="154" spans="1:40" x14ac:dyDescent="0.25">
      <c r="A154" t="s">
        <v>31</v>
      </c>
      <c r="B154">
        <v>32</v>
      </c>
      <c r="C154">
        <v>128</v>
      </c>
      <c r="D154">
        <f>6144</f>
        <v>6144</v>
      </c>
      <c r="E154">
        <v>28</v>
      </c>
      <c r="F154">
        <v>4</v>
      </c>
      <c r="H154">
        <v>1.5731839999999999</v>
      </c>
      <c r="I154">
        <v>1.4926079999999999</v>
      </c>
      <c r="J154" s="4">
        <f t="shared" si="12"/>
        <v>0.94878157926854079</v>
      </c>
      <c r="K154" s="4"/>
      <c r="L154">
        <v>1.9706239999999999</v>
      </c>
      <c r="M154">
        <v>1.9093119999999999</v>
      </c>
      <c r="N154" s="4">
        <f t="shared" si="13"/>
        <v>0.96888701243869957</v>
      </c>
      <c r="P154">
        <v>1.662784</v>
      </c>
      <c r="Q154">
        <v>1.5844480000000001</v>
      </c>
      <c r="R154" s="4">
        <f t="shared" si="14"/>
        <v>0.95288864939763673</v>
      </c>
      <c r="T154">
        <v>2.4468480000000001</v>
      </c>
      <c r="U154">
        <v>2.0625279999999999</v>
      </c>
      <c r="V154" s="4">
        <f t="shared" si="15"/>
        <v>0.84293262188742402</v>
      </c>
      <c r="Y154">
        <v>32</v>
      </c>
      <c r="Z154">
        <v>576</v>
      </c>
      <c r="AA154">
        <f>6144</f>
        <v>6144</v>
      </c>
      <c r="AB154">
        <v>28</v>
      </c>
      <c r="AC154">
        <v>4</v>
      </c>
      <c r="AE154">
        <v>3.5314559999999999</v>
      </c>
      <c r="AF154">
        <v>3.512</v>
      </c>
      <c r="AG154" s="4">
        <f t="shared" si="16"/>
        <v>0.9944906576777397</v>
      </c>
      <c r="AI154">
        <v>5.7101439999999997</v>
      </c>
      <c r="AJ154">
        <v>5.7214720000000003</v>
      </c>
      <c r="AK154" s="4">
        <f t="shared" si="17"/>
        <v>1.0019838378856998</v>
      </c>
      <c r="AN154">
        <v>4.054144</v>
      </c>
    </row>
    <row r="155" spans="1:40" x14ac:dyDescent="0.25">
      <c r="A155" t="s">
        <v>31</v>
      </c>
      <c r="B155">
        <v>64</v>
      </c>
      <c r="C155">
        <v>128</v>
      </c>
      <c r="D155">
        <f>6144</f>
        <v>6144</v>
      </c>
      <c r="E155">
        <v>28</v>
      </c>
      <c r="F155">
        <v>4</v>
      </c>
      <c r="H155">
        <v>3.0334080000000001</v>
      </c>
      <c r="I155">
        <v>2.8542079999999999</v>
      </c>
      <c r="J155" s="4">
        <f t="shared" si="12"/>
        <v>0.94092453108846541</v>
      </c>
      <c r="K155" s="4"/>
      <c r="L155">
        <v>3.904064</v>
      </c>
      <c r="M155">
        <v>3.7896320000000001</v>
      </c>
      <c r="N155" s="4">
        <f t="shared" si="13"/>
        <v>0.97068900509827716</v>
      </c>
      <c r="P155">
        <v>3.1072000000000002</v>
      </c>
      <c r="Q155">
        <v>2.9340160000000002</v>
      </c>
      <c r="R155" s="4">
        <f t="shared" si="14"/>
        <v>0.94426364572605559</v>
      </c>
      <c r="T155">
        <v>4.168704</v>
      </c>
      <c r="U155">
        <v>4.054144</v>
      </c>
      <c r="V155" s="4">
        <f t="shared" si="15"/>
        <v>0.97251903709162368</v>
      </c>
      <c r="Y155">
        <v>64</v>
      </c>
      <c r="Z155">
        <v>576</v>
      </c>
      <c r="AA155">
        <f>6144</f>
        <v>6144</v>
      </c>
      <c r="AB155">
        <v>28</v>
      </c>
      <c r="AC155">
        <v>4</v>
      </c>
      <c r="AE155">
        <v>6.4256000000000002</v>
      </c>
      <c r="AF155">
        <v>6.3688320000000003</v>
      </c>
      <c r="AG155" s="4">
        <f t="shared" si="16"/>
        <v>0.99116533864541834</v>
      </c>
      <c r="AI155">
        <v>11.227904000000001</v>
      </c>
      <c r="AJ155">
        <v>11.237311999999999</v>
      </c>
      <c r="AK155" s="4">
        <f t="shared" si="17"/>
        <v>1.0008379124011035</v>
      </c>
      <c r="AN155">
        <v>0.34655999999999998</v>
      </c>
    </row>
    <row r="156" spans="1:40" x14ac:dyDescent="0.25">
      <c r="A156" t="s">
        <v>31</v>
      </c>
      <c r="B156">
        <v>1</v>
      </c>
      <c r="C156">
        <v>128</v>
      </c>
      <c r="D156">
        <f>7168</f>
        <v>7168</v>
      </c>
      <c r="E156">
        <v>28</v>
      </c>
      <c r="F156">
        <v>4</v>
      </c>
      <c r="H156">
        <v>0.34822399999999998</v>
      </c>
      <c r="I156">
        <v>0.337536</v>
      </c>
      <c r="J156" s="4">
        <f t="shared" si="12"/>
        <v>0.96930711266311342</v>
      </c>
      <c r="K156" s="4"/>
      <c r="L156">
        <v>0.34700799999999998</v>
      </c>
      <c r="M156">
        <v>0.34144000000000002</v>
      </c>
      <c r="N156" s="4">
        <f t="shared" si="13"/>
        <v>0.98395426042050915</v>
      </c>
      <c r="P156">
        <v>0.32364799999999999</v>
      </c>
      <c r="Q156">
        <v>0.313664</v>
      </c>
      <c r="R156" s="4">
        <f t="shared" si="14"/>
        <v>0.96915167095115684</v>
      </c>
      <c r="T156">
        <v>0.35404799999999997</v>
      </c>
      <c r="U156">
        <v>0.34655999999999998</v>
      </c>
      <c r="V156" s="4">
        <f t="shared" si="15"/>
        <v>0.97885032537960959</v>
      </c>
      <c r="Y156">
        <v>1</v>
      </c>
      <c r="Z156">
        <v>576</v>
      </c>
      <c r="AA156">
        <f>7168</f>
        <v>7168</v>
      </c>
      <c r="AB156">
        <v>28</v>
      </c>
      <c r="AC156">
        <v>4</v>
      </c>
      <c r="AE156">
        <v>0.76038399999999995</v>
      </c>
      <c r="AF156">
        <v>0.77107199999999998</v>
      </c>
      <c r="AG156" s="4">
        <f t="shared" si="16"/>
        <v>1.0140560558875515</v>
      </c>
      <c r="AI156">
        <v>0.60691200000000001</v>
      </c>
      <c r="AJ156">
        <v>0.59782400000000002</v>
      </c>
      <c r="AK156" s="4">
        <f t="shared" si="17"/>
        <v>0.98502583570600022</v>
      </c>
      <c r="AN156">
        <v>0.36422399999999999</v>
      </c>
    </row>
    <row r="157" spans="1:40" x14ac:dyDescent="0.25">
      <c r="A157" t="s">
        <v>31</v>
      </c>
      <c r="B157">
        <v>2</v>
      </c>
      <c r="C157">
        <v>128</v>
      </c>
      <c r="D157">
        <f>7168</f>
        <v>7168</v>
      </c>
      <c r="E157">
        <v>28</v>
      </c>
      <c r="F157">
        <v>4</v>
      </c>
      <c r="H157">
        <v>0.35193600000000003</v>
      </c>
      <c r="I157">
        <v>0.34079999999999999</v>
      </c>
      <c r="J157" s="4">
        <f t="shared" si="12"/>
        <v>0.96835788325150018</v>
      </c>
      <c r="K157" s="4"/>
      <c r="L157">
        <v>0.34956799999999999</v>
      </c>
      <c r="M157">
        <v>0.34150399999999997</v>
      </c>
      <c r="N157" s="4">
        <f t="shared" si="13"/>
        <v>0.97693152691321861</v>
      </c>
      <c r="P157">
        <v>0.36454399999999998</v>
      </c>
      <c r="Q157">
        <v>0.35513600000000001</v>
      </c>
      <c r="R157" s="4">
        <f t="shared" si="14"/>
        <v>0.9741924157303371</v>
      </c>
      <c r="T157">
        <v>0.37286399999999997</v>
      </c>
      <c r="U157">
        <v>0.36422399999999999</v>
      </c>
      <c r="V157" s="4">
        <f t="shared" si="15"/>
        <v>0.97682801235839345</v>
      </c>
      <c r="Y157">
        <v>2</v>
      </c>
      <c r="Z157">
        <v>576</v>
      </c>
      <c r="AA157">
        <f>7168</f>
        <v>7168</v>
      </c>
      <c r="AB157">
        <v>28</v>
      </c>
      <c r="AC157">
        <v>4</v>
      </c>
      <c r="AE157">
        <v>0.81401599999999996</v>
      </c>
      <c r="AF157">
        <v>0.77017599999999997</v>
      </c>
      <c r="AG157" s="4">
        <f t="shared" si="16"/>
        <v>0.94614356474565608</v>
      </c>
      <c r="AI157">
        <v>0.81126399999999999</v>
      </c>
      <c r="AJ157">
        <v>0.80211200000000005</v>
      </c>
      <c r="AK157" s="4">
        <f t="shared" si="17"/>
        <v>0.98871883875039457</v>
      </c>
      <c r="AN157">
        <v>0.37593599999999999</v>
      </c>
    </row>
    <row r="158" spans="1:40" x14ac:dyDescent="0.25">
      <c r="A158" t="s">
        <v>31</v>
      </c>
      <c r="B158">
        <v>4</v>
      </c>
      <c r="C158">
        <v>128</v>
      </c>
      <c r="D158">
        <f>7168</f>
        <v>7168</v>
      </c>
      <c r="E158">
        <v>28</v>
      </c>
      <c r="F158">
        <v>4</v>
      </c>
      <c r="H158">
        <v>0.34681600000000001</v>
      </c>
      <c r="I158">
        <v>0.33516800000000002</v>
      </c>
      <c r="J158" s="4">
        <f t="shared" si="12"/>
        <v>0.96641446761395089</v>
      </c>
      <c r="K158" s="4"/>
      <c r="L158">
        <v>0.349632</v>
      </c>
      <c r="M158">
        <v>0.34028799999999998</v>
      </c>
      <c r="N158" s="4">
        <f t="shared" si="13"/>
        <v>0.97327475745927139</v>
      </c>
      <c r="P158">
        <v>0.40729599999999999</v>
      </c>
      <c r="Q158">
        <v>0.393152</v>
      </c>
      <c r="R158" s="4">
        <f t="shared" si="14"/>
        <v>0.96527341294783153</v>
      </c>
      <c r="T158">
        <v>0.38662400000000002</v>
      </c>
      <c r="U158">
        <v>0.37593599999999999</v>
      </c>
      <c r="V158" s="4">
        <f t="shared" si="15"/>
        <v>0.97235557026982278</v>
      </c>
      <c r="Y158">
        <v>4</v>
      </c>
      <c r="Z158">
        <v>576</v>
      </c>
      <c r="AA158">
        <f>7168</f>
        <v>7168</v>
      </c>
      <c r="AB158">
        <v>28</v>
      </c>
      <c r="AC158">
        <v>4</v>
      </c>
      <c r="AE158">
        <v>0.72255999999999998</v>
      </c>
      <c r="AF158">
        <v>0.78649599999999997</v>
      </c>
      <c r="AG158" s="4">
        <f t="shared" si="16"/>
        <v>1.0884853852967227</v>
      </c>
      <c r="AI158">
        <v>0.95974400000000004</v>
      </c>
      <c r="AJ158">
        <v>0.95366399999999996</v>
      </c>
      <c r="AK158" s="4">
        <f t="shared" si="17"/>
        <v>0.9936649773272872</v>
      </c>
      <c r="AN158">
        <v>0.66220800000000002</v>
      </c>
    </row>
    <row r="159" spans="1:40" x14ac:dyDescent="0.25">
      <c r="A159" t="s">
        <v>31</v>
      </c>
      <c r="B159">
        <v>8</v>
      </c>
      <c r="C159">
        <v>128</v>
      </c>
      <c r="D159">
        <f>7168</f>
        <v>7168</v>
      </c>
      <c r="E159">
        <v>28</v>
      </c>
      <c r="F159">
        <v>4</v>
      </c>
      <c r="H159">
        <v>0.56262400000000001</v>
      </c>
      <c r="I159">
        <v>0.53465600000000002</v>
      </c>
      <c r="J159" s="4">
        <f t="shared" si="12"/>
        <v>0.95029006938914795</v>
      </c>
      <c r="K159" s="4"/>
      <c r="L159">
        <v>0.62662399999999996</v>
      </c>
      <c r="M159">
        <v>0.60640000000000005</v>
      </c>
      <c r="N159" s="4">
        <f t="shared" si="13"/>
        <v>0.96772546215912592</v>
      </c>
      <c r="P159">
        <v>0.640768</v>
      </c>
      <c r="Q159">
        <v>0.61420799999999998</v>
      </c>
      <c r="R159" s="4">
        <f t="shared" si="14"/>
        <v>0.95854974031162599</v>
      </c>
      <c r="T159">
        <v>0.68128</v>
      </c>
      <c r="U159">
        <v>0.66220800000000002</v>
      </c>
      <c r="V159" s="4">
        <f t="shared" si="15"/>
        <v>0.97200563644903715</v>
      </c>
      <c r="Y159">
        <v>8</v>
      </c>
      <c r="Z159">
        <v>576</v>
      </c>
      <c r="AA159">
        <f>7168</f>
        <v>7168</v>
      </c>
      <c r="AB159">
        <v>28</v>
      </c>
      <c r="AC159">
        <v>4</v>
      </c>
      <c r="AE159">
        <v>1.1477759999999999</v>
      </c>
      <c r="AF159">
        <v>1.17344</v>
      </c>
      <c r="AG159" s="4">
        <f t="shared" si="16"/>
        <v>1.0223597635775623</v>
      </c>
      <c r="AI159">
        <v>1.7192320000000001</v>
      </c>
      <c r="AJ159">
        <v>1.710016</v>
      </c>
      <c r="AK159" s="4">
        <f t="shared" si="17"/>
        <v>0.99463946692476635</v>
      </c>
      <c r="AN159">
        <v>1.2419199999999999</v>
      </c>
    </row>
    <row r="160" spans="1:40" x14ac:dyDescent="0.25">
      <c r="A160" t="s">
        <v>31</v>
      </c>
      <c r="B160">
        <v>16</v>
      </c>
      <c r="C160">
        <v>128</v>
      </c>
      <c r="D160">
        <f>7168</f>
        <v>7168</v>
      </c>
      <c r="E160">
        <v>28</v>
      </c>
      <c r="F160">
        <v>4</v>
      </c>
      <c r="H160">
        <v>0.98393600000000003</v>
      </c>
      <c r="I160">
        <v>0.92729600000000001</v>
      </c>
      <c r="J160" s="4">
        <f t="shared" si="12"/>
        <v>0.94243528034343693</v>
      </c>
      <c r="K160" s="4"/>
      <c r="L160">
        <v>1.1872640000000001</v>
      </c>
      <c r="M160">
        <v>1.1523840000000001</v>
      </c>
      <c r="N160" s="4">
        <f t="shared" si="13"/>
        <v>0.9706215298366665</v>
      </c>
      <c r="P160">
        <v>1.0709759999999999</v>
      </c>
      <c r="Q160">
        <v>1.0185599999999999</v>
      </c>
      <c r="R160" s="4">
        <f t="shared" si="14"/>
        <v>0.95105772678379341</v>
      </c>
      <c r="T160">
        <v>1.2858879999999999</v>
      </c>
      <c r="U160">
        <v>1.2419199999999999</v>
      </c>
      <c r="V160" s="4">
        <f t="shared" si="15"/>
        <v>0.96580728648218195</v>
      </c>
      <c r="Y160">
        <v>16</v>
      </c>
      <c r="Z160">
        <v>576</v>
      </c>
      <c r="AA160">
        <f>7168</f>
        <v>7168</v>
      </c>
      <c r="AB160">
        <v>28</v>
      </c>
      <c r="AC160">
        <v>4</v>
      </c>
      <c r="AE160">
        <v>1.9548160000000001</v>
      </c>
      <c r="AF160">
        <v>1.9564159999999999</v>
      </c>
      <c r="AG160" s="4">
        <f t="shared" si="16"/>
        <v>1.0008184913567313</v>
      </c>
      <c r="AI160">
        <v>3.3260160000000001</v>
      </c>
      <c r="AJ160">
        <v>3.3580160000000001</v>
      </c>
      <c r="AK160" s="4">
        <f t="shared" si="17"/>
        <v>1.0096211202832457</v>
      </c>
      <c r="AN160">
        <v>2.4051200000000001</v>
      </c>
    </row>
    <row r="161" spans="1:40" x14ac:dyDescent="0.25">
      <c r="A161" t="s">
        <v>31</v>
      </c>
      <c r="B161">
        <v>32</v>
      </c>
      <c r="C161">
        <v>128</v>
      </c>
      <c r="D161">
        <f>7168</f>
        <v>7168</v>
      </c>
      <c r="E161">
        <v>28</v>
      </c>
      <c r="F161">
        <v>4</v>
      </c>
      <c r="H161">
        <v>1.8215680000000001</v>
      </c>
      <c r="I161">
        <v>1.728704</v>
      </c>
      <c r="J161" s="4">
        <f t="shared" si="12"/>
        <v>0.94901974562574654</v>
      </c>
      <c r="K161" s="4"/>
      <c r="L161">
        <v>2.3159679999999998</v>
      </c>
      <c r="M161">
        <v>2.2511999999999999</v>
      </c>
      <c r="N161" s="4">
        <f t="shared" si="13"/>
        <v>0.97203415591234421</v>
      </c>
      <c r="P161">
        <v>1.930496</v>
      </c>
      <c r="Q161">
        <v>1.831232</v>
      </c>
      <c r="R161" s="4">
        <f t="shared" si="14"/>
        <v>0.94858109004110858</v>
      </c>
      <c r="T161">
        <v>2.4801920000000002</v>
      </c>
      <c r="U161">
        <v>2.4051200000000001</v>
      </c>
      <c r="V161" s="4">
        <f t="shared" si="15"/>
        <v>0.96973137563543466</v>
      </c>
      <c r="Y161">
        <v>32</v>
      </c>
      <c r="Z161">
        <v>576</v>
      </c>
      <c r="AA161">
        <f>7168</f>
        <v>7168</v>
      </c>
      <c r="AB161">
        <v>28</v>
      </c>
      <c r="AC161">
        <v>4</v>
      </c>
      <c r="AE161">
        <v>3.7883520000000002</v>
      </c>
      <c r="AF161">
        <v>3.7498239999999998</v>
      </c>
      <c r="AG161" s="4">
        <f t="shared" si="16"/>
        <v>0.98982987853293458</v>
      </c>
      <c r="AI161">
        <v>6.6776949999999999</v>
      </c>
      <c r="AJ161">
        <v>6.6970239999999999</v>
      </c>
      <c r="AK161" s="4">
        <f t="shared" si="17"/>
        <v>1.0028945616713552</v>
      </c>
      <c r="AN161">
        <v>4.6757759999999999</v>
      </c>
    </row>
    <row r="162" spans="1:40" x14ac:dyDescent="0.25">
      <c r="A162" t="s">
        <v>31</v>
      </c>
      <c r="B162">
        <v>64</v>
      </c>
      <c r="C162">
        <v>128</v>
      </c>
      <c r="D162">
        <f>7168</f>
        <v>7168</v>
      </c>
      <c r="E162">
        <v>28</v>
      </c>
      <c r="F162">
        <v>4</v>
      </c>
      <c r="H162">
        <v>3.5251839999999999</v>
      </c>
      <c r="I162">
        <v>3.3136640000000002</v>
      </c>
      <c r="J162" s="4">
        <f t="shared" si="12"/>
        <v>0.93999745828870218</v>
      </c>
      <c r="K162" s="4"/>
      <c r="L162">
        <v>4.5491190000000001</v>
      </c>
      <c r="M162">
        <v>4.4078080000000002</v>
      </c>
      <c r="N162" s="4">
        <f t="shared" si="13"/>
        <v>0.96893662267353309</v>
      </c>
      <c r="P162">
        <v>3.6139519999999998</v>
      </c>
      <c r="Q162">
        <v>3.422784</v>
      </c>
      <c r="R162" s="4">
        <f t="shared" si="14"/>
        <v>0.9471027838775945</v>
      </c>
      <c r="T162">
        <v>4.8207360000000001</v>
      </c>
      <c r="U162">
        <v>4.6757759999999999</v>
      </c>
      <c r="V162" s="4">
        <f t="shared" si="15"/>
        <v>0.96992990281981839</v>
      </c>
      <c r="Y162">
        <v>64</v>
      </c>
      <c r="Z162">
        <v>576</v>
      </c>
      <c r="AA162">
        <f>7168</f>
        <v>7168</v>
      </c>
      <c r="AB162">
        <v>28</v>
      </c>
      <c r="AC162">
        <v>4</v>
      </c>
      <c r="AE162">
        <v>7.3966710000000004</v>
      </c>
      <c r="AF162">
        <v>7.2837750000000003</v>
      </c>
      <c r="AG162" s="4">
        <f t="shared" si="16"/>
        <v>0.9847369174592191</v>
      </c>
      <c r="AI162">
        <v>13.147902999999999</v>
      </c>
      <c r="AJ162">
        <v>13.216191</v>
      </c>
      <c r="AK162" s="4">
        <f t="shared" si="17"/>
        <v>1.005193832050632</v>
      </c>
      <c r="AN162">
        <v>0.389376</v>
      </c>
    </row>
    <row r="163" spans="1:40" x14ac:dyDescent="0.25">
      <c r="A163" t="s">
        <v>31</v>
      </c>
      <c r="B163">
        <v>1</v>
      </c>
      <c r="C163">
        <v>128</v>
      </c>
      <c r="D163">
        <f>8192</f>
        <v>8192</v>
      </c>
      <c r="E163">
        <v>28</v>
      </c>
      <c r="F163">
        <v>4</v>
      </c>
      <c r="H163">
        <v>0.386048</v>
      </c>
      <c r="I163">
        <v>0.37254399999999999</v>
      </c>
      <c r="J163" s="4">
        <f t="shared" si="12"/>
        <v>0.96501989389920417</v>
      </c>
      <c r="K163" s="4"/>
      <c r="L163">
        <v>0.39263999999999999</v>
      </c>
      <c r="M163">
        <v>0.38368000000000002</v>
      </c>
      <c r="N163" s="4">
        <f t="shared" si="13"/>
        <v>0.97718011409942962</v>
      </c>
      <c r="P163">
        <v>0.364736</v>
      </c>
      <c r="Q163">
        <v>0.353408</v>
      </c>
      <c r="R163" s="4">
        <f t="shared" si="14"/>
        <v>0.96894191963502363</v>
      </c>
      <c r="T163">
        <v>0.40492800000000001</v>
      </c>
      <c r="U163">
        <v>0.389376</v>
      </c>
      <c r="V163" s="4">
        <f t="shared" si="15"/>
        <v>0.96159317211948792</v>
      </c>
      <c r="Y163">
        <v>1</v>
      </c>
      <c r="Z163">
        <v>576</v>
      </c>
      <c r="AA163">
        <f>8192</f>
        <v>8192</v>
      </c>
      <c r="AB163">
        <v>28</v>
      </c>
      <c r="AC163">
        <v>4</v>
      </c>
      <c r="AE163">
        <v>0.88409599999999999</v>
      </c>
      <c r="AF163">
        <v>0.88940799999999998</v>
      </c>
      <c r="AG163" s="4">
        <f t="shared" si="16"/>
        <v>1.0060083972781235</v>
      </c>
      <c r="AI163">
        <v>0.68748799999999999</v>
      </c>
      <c r="AJ163">
        <v>0.677504</v>
      </c>
      <c r="AK163" s="4">
        <f t="shared" si="17"/>
        <v>0.98547756469931114</v>
      </c>
      <c r="AN163">
        <v>0.40870400000000001</v>
      </c>
    </row>
    <row r="164" spans="1:40" x14ac:dyDescent="0.25">
      <c r="A164" t="s">
        <v>31</v>
      </c>
      <c r="B164">
        <v>2</v>
      </c>
      <c r="C164">
        <v>128</v>
      </c>
      <c r="D164">
        <f>8192</f>
        <v>8192</v>
      </c>
      <c r="E164">
        <v>28</v>
      </c>
      <c r="F164">
        <v>4</v>
      </c>
      <c r="H164">
        <v>0.39027200000000001</v>
      </c>
      <c r="I164">
        <v>0.37593599999999999</v>
      </c>
      <c r="J164" s="4">
        <f t="shared" ref="J164:J169" si="18">I164/H164</f>
        <v>0.9632666448015742</v>
      </c>
      <c r="K164" s="4"/>
      <c r="L164">
        <v>0.39328000000000002</v>
      </c>
      <c r="M164">
        <v>0.386432</v>
      </c>
      <c r="N164" s="4">
        <f t="shared" si="13"/>
        <v>0.98258746948738807</v>
      </c>
      <c r="P164">
        <v>0.41254400000000002</v>
      </c>
      <c r="Q164">
        <v>0.40012799999999998</v>
      </c>
      <c r="R164" s="4">
        <f t="shared" si="14"/>
        <v>0.96990381632019851</v>
      </c>
      <c r="T164">
        <v>0.42220800000000003</v>
      </c>
      <c r="U164">
        <v>0.40870400000000001</v>
      </c>
      <c r="V164" s="4">
        <f t="shared" si="15"/>
        <v>0.96801576474154916</v>
      </c>
      <c r="Y164">
        <v>2</v>
      </c>
      <c r="Z164">
        <v>576</v>
      </c>
      <c r="AA164">
        <f>8192</f>
        <v>8192</v>
      </c>
      <c r="AB164">
        <v>28</v>
      </c>
      <c r="AC164">
        <v>4</v>
      </c>
      <c r="AE164">
        <v>0.88921600000000001</v>
      </c>
      <c r="AF164">
        <v>0.87046400000000002</v>
      </c>
      <c r="AG164" s="4">
        <f t="shared" si="16"/>
        <v>0.97891176047214623</v>
      </c>
      <c r="AI164">
        <v>0.91705599999999998</v>
      </c>
      <c r="AJ164">
        <v>0.905088</v>
      </c>
      <c r="AK164" s="4">
        <f t="shared" si="17"/>
        <v>0.98694954288505832</v>
      </c>
      <c r="AN164">
        <v>0.42438399999999998</v>
      </c>
    </row>
    <row r="165" spans="1:40" x14ac:dyDescent="0.25">
      <c r="A165" t="s">
        <v>31</v>
      </c>
      <c r="B165">
        <v>4</v>
      </c>
      <c r="C165">
        <v>128</v>
      </c>
      <c r="D165">
        <f>8192</f>
        <v>8192</v>
      </c>
      <c r="E165">
        <v>28</v>
      </c>
      <c r="F165">
        <v>4</v>
      </c>
      <c r="H165">
        <v>0.38515199999999999</v>
      </c>
      <c r="I165">
        <v>0.37631999999999999</v>
      </c>
      <c r="J165" s="4">
        <f t="shared" si="18"/>
        <v>0.97706879361914256</v>
      </c>
      <c r="K165" s="4"/>
      <c r="L165">
        <v>0.39641599999999999</v>
      </c>
      <c r="M165">
        <v>0.38457599999999997</v>
      </c>
      <c r="N165" s="4">
        <f t="shared" si="13"/>
        <v>0.97013238618017428</v>
      </c>
      <c r="P165">
        <v>0.46655999999999997</v>
      </c>
      <c r="Q165">
        <v>0.45062400000000002</v>
      </c>
      <c r="R165" s="4">
        <f t="shared" si="14"/>
        <v>0.96584362139917701</v>
      </c>
      <c r="T165">
        <v>0.44089600000000001</v>
      </c>
      <c r="U165">
        <v>0.42438399999999998</v>
      </c>
      <c r="V165" s="4">
        <f t="shared" si="15"/>
        <v>0.96254899114530401</v>
      </c>
      <c r="Y165">
        <v>4</v>
      </c>
      <c r="Z165">
        <v>576</v>
      </c>
      <c r="AA165">
        <f>8192</f>
        <v>8192</v>
      </c>
      <c r="AB165">
        <v>28</v>
      </c>
      <c r="AC165">
        <v>4</v>
      </c>
      <c r="AE165">
        <v>0.89881599999999995</v>
      </c>
      <c r="AF165">
        <v>0.84185600000000005</v>
      </c>
      <c r="AG165" s="4">
        <f t="shared" si="16"/>
        <v>0.93662774138422111</v>
      </c>
      <c r="AI165">
        <v>1.104768</v>
      </c>
      <c r="AJ165">
        <v>1.083968</v>
      </c>
      <c r="AK165" s="4">
        <f t="shared" si="17"/>
        <v>0.98117251766886815</v>
      </c>
      <c r="AN165">
        <v>0.74956800000000001</v>
      </c>
    </row>
    <row r="166" spans="1:40" x14ac:dyDescent="0.25">
      <c r="A166" t="s">
        <v>31</v>
      </c>
      <c r="B166">
        <v>8</v>
      </c>
      <c r="C166">
        <v>128</v>
      </c>
      <c r="D166">
        <f>8192</f>
        <v>8192</v>
      </c>
      <c r="E166">
        <v>28</v>
      </c>
      <c r="F166">
        <v>4</v>
      </c>
      <c r="H166">
        <v>0.62687999999999999</v>
      </c>
      <c r="I166">
        <v>0.59660800000000003</v>
      </c>
      <c r="J166" s="4">
        <f t="shared" si="18"/>
        <v>0.95171005615109761</v>
      </c>
      <c r="K166" s="4"/>
      <c r="L166">
        <v>0.70252800000000004</v>
      </c>
      <c r="M166">
        <v>0.68223999999999996</v>
      </c>
      <c r="N166" s="4">
        <f t="shared" si="13"/>
        <v>0.97112143572925191</v>
      </c>
      <c r="P166">
        <v>0.73638400000000004</v>
      </c>
      <c r="Q166">
        <v>0.70496000000000003</v>
      </c>
      <c r="R166" s="4">
        <f t="shared" si="14"/>
        <v>0.95732661220232917</v>
      </c>
      <c r="T166">
        <v>0.78892799999999996</v>
      </c>
      <c r="U166">
        <v>0.74956800000000001</v>
      </c>
      <c r="V166" s="4">
        <f t="shared" si="15"/>
        <v>0.95010951569725</v>
      </c>
      <c r="Y166">
        <v>8</v>
      </c>
      <c r="Z166">
        <v>576</v>
      </c>
      <c r="AA166">
        <f>8192</f>
        <v>8192</v>
      </c>
      <c r="AB166">
        <v>28</v>
      </c>
      <c r="AC166">
        <v>4</v>
      </c>
      <c r="AE166">
        <v>1.4297599999999999</v>
      </c>
      <c r="AF166">
        <v>1.168768</v>
      </c>
      <c r="AG166" s="4">
        <f t="shared" si="16"/>
        <v>0.81745747538048352</v>
      </c>
      <c r="AI166">
        <v>1.951616</v>
      </c>
      <c r="AJ166">
        <v>1.938688</v>
      </c>
      <c r="AK166" s="4">
        <f t="shared" si="17"/>
        <v>0.99337574604840295</v>
      </c>
      <c r="AN166">
        <v>1.410496</v>
      </c>
    </row>
    <row r="167" spans="1:40" x14ac:dyDescent="0.25">
      <c r="A167" t="s">
        <v>31</v>
      </c>
      <c r="B167">
        <v>16</v>
      </c>
      <c r="C167">
        <v>128</v>
      </c>
      <c r="D167">
        <f>8192</f>
        <v>8192</v>
      </c>
      <c r="E167">
        <v>28</v>
      </c>
      <c r="F167">
        <v>4</v>
      </c>
      <c r="H167">
        <v>1.108992</v>
      </c>
      <c r="I167">
        <v>1.0511360000000001</v>
      </c>
      <c r="J167" s="4">
        <f t="shared" si="18"/>
        <v>0.94783010156971381</v>
      </c>
      <c r="K167" s="4"/>
      <c r="L167">
        <v>1.3346560000000001</v>
      </c>
      <c r="M167">
        <v>1.2945279999999999</v>
      </c>
      <c r="N167" s="4">
        <f t="shared" si="13"/>
        <v>0.96993382564496011</v>
      </c>
      <c r="P167">
        <v>1.2287360000000001</v>
      </c>
      <c r="Q167">
        <v>1.1702399999999999</v>
      </c>
      <c r="R167" s="4">
        <f t="shared" si="14"/>
        <v>0.95239335382051138</v>
      </c>
      <c r="T167">
        <v>1.4723200000000001</v>
      </c>
      <c r="U167">
        <v>1.410496</v>
      </c>
      <c r="V167" s="4">
        <f t="shared" si="15"/>
        <v>0.95800912845033681</v>
      </c>
      <c r="Y167">
        <v>16</v>
      </c>
      <c r="Z167">
        <v>576</v>
      </c>
      <c r="AA167">
        <f>8192</f>
        <v>8192</v>
      </c>
      <c r="AB167">
        <v>28</v>
      </c>
      <c r="AC167">
        <v>4</v>
      </c>
      <c r="AE167">
        <v>2.4909439999999998</v>
      </c>
      <c r="AF167">
        <v>2.333504</v>
      </c>
      <c r="AG167" s="4">
        <f t="shared" si="16"/>
        <v>0.93679504637599242</v>
      </c>
      <c r="AI167">
        <v>3.8136960000000002</v>
      </c>
      <c r="AJ167">
        <v>3.8407680000000002</v>
      </c>
      <c r="AK167" s="4">
        <f t="shared" si="17"/>
        <v>1.007098625585259</v>
      </c>
      <c r="AN167">
        <v>2.724736</v>
      </c>
    </row>
    <row r="168" spans="1:40" x14ac:dyDescent="0.25">
      <c r="A168" t="s">
        <v>31</v>
      </c>
      <c r="B168">
        <v>32</v>
      </c>
      <c r="C168">
        <v>128</v>
      </c>
      <c r="D168">
        <f>8192</f>
        <v>8192</v>
      </c>
      <c r="E168">
        <v>28</v>
      </c>
      <c r="F168">
        <v>4</v>
      </c>
      <c r="H168">
        <v>2.0859519999999998</v>
      </c>
      <c r="I168">
        <v>1.986688</v>
      </c>
      <c r="J168" s="4">
        <f t="shared" si="18"/>
        <v>0.95241309483631464</v>
      </c>
      <c r="K168" s="4"/>
      <c r="L168">
        <v>2.61632</v>
      </c>
      <c r="M168">
        <v>2.5375999999999999</v>
      </c>
      <c r="N168" s="4">
        <f t="shared" si="13"/>
        <v>0.96991193737769077</v>
      </c>
      <c r="P168">
        <v>2.204736</v>
      </c>
      <c r="Q168">
        <v>2.086144</v>
      </c>
      <c r="R168" s="4">
        <f t="shared" si="14"/>
        <v>0.94621033992278436</v>
      </c>
      <c r="T168">
        <v>2.811264</v>
      </c>
      <c r="U168">
        <v>2.724736</v>
      </c>
      <c r="V168" s="4">
        <f t="shared" si="15"/>
        <v>0.96922096252788781</v>
      </c>
      <c r="Y168">
        <v>32</v>
      </c>
      <c r="Z168">
        <v>576</v>
      </c>
      <c r="AA168">
        <f>8192</f>
        <v>8192</v>
      </c>
      <c r="AB168">
        <v>28</v>
      </c>
      <c r="AC168">
        <v>4</v>
      </c>
      <c r="AE168">
        <v>4.6961919999999999</v>
      </c>
      <c r="AF168">
        <v>4.6256000000000004</v>
      </c>
      <c r="AG168" s="4">
        <f t="shared" si="16"/>
        <v>0.98496824661342641</v>
      </c>
      <c r="AI168">
        <v>7.5952010000000003</v>
      </c>
      <c r="AJ168">
        <v>7.6189439999999999</v>
      </c>
      <c r="AK168" s="4">
        <f t="shared" si="17"/>
        <v>1.0031260528852364</v>
      </c>
      <c r="AN168">
        <v>5.3301759999999998</v>
      </c>
    </row>
    <row r="169" spans="1:40" x14ac:dyDescent="0.25">
      <c r="A169" t="s">
        <v>31</v>
      </c>
      <c r="B169">
        <v>64</v>
      </c>
      <c r="C169">
        <v>128</v>
      </c>
      <c r="D169">
        <f>8192</f>
        <v>8192</v>
      </c>
      <c r="E169">
        <v>28</v>
      </c>
      <c r="F169">
        <v>4</v>
      </c>
      <c r="H169">
        <v>4.0192639999999997</v>
      </c>
      <c r="I169">
        <v>3.775744</v>
      </c>
      <c r="J169" s="4">
        <f t="shared" si="18"/>
        <v>0.93941179280584708</v>
      </c>
      <c r="K169" s="4"/>
      <c r="L169">
        <v>5.1950719999999997</v>
      </c>
      <c r="M169">
        <v>5.0333439999999996</v>
      </c>
      <c r="N169" s="4">
        <f t="shared" si="13"/>
        <v>0.96886895889027136</v>
      </c>
      <c r="P169">
        <v>4.128768</v>
      </c>
      <c r="Q169">
        <v>3.884544</v>
      </c>
      <c r="R169" s="4">
        <f t="shared" si="14"/>
        <v>0.9408482142857143</v>
      </c>
      <c r="T169">
        <v>5.4993930000000004</v>
      </c>
      <c r="U169">
        <v>5.3301759999999998</v>
      </c>
      <c r="V169" s="4">
        <f t="shared" si="15"/>
        <v>0.96922987682458761</v>
      </c>
      <c r="Y169">
        <v>64</v>
      </c>
      <c r="Z169">
        <v>576</v>
      </c>
      <c r="AA169">
        <f>8192</f>
        <v>8192</v>
      </c>
      <c r="AB169">
        <v>28</v>
      </c>
      <c r="AC169">
        <v>4</v>
      </c>
      <c r="AE169">
        <v>8.5763200000000008</v>
      </c>
      <c r="AF169">
        <v>8.4709120000000002</v>
      </c>
      <c r="AG169" s="4">
        <f t="shared" si="16"/>
        <v>0.98770941382784216</v>
      </c>
      <c r="AI169">
        <v>15.029759</v>
      </c>
      <c r="AJ169">
        <v>15.097217000000001</v>
      </c>
      <c r="AK169" s="4">
        <f t="shared" si="17"/>
        <v>1.0044882955209062</v>
      </c>
    </row>
    <row r="205" spans="2:25" x14ac:dyDescent="0.25">
      <c r="B205" s="1"/>
      <c r="Y205" s="1"/>
    </row>
    <row r="206" spans="2:25" x14ac:dyDescent="0.25">
      <c r="B206" s="1"/>
      <c r="Y206" s="1"/>
    </row>
    <row r="207" spans="2:25" x14ac:dyDescent="0.25">
      <c r="B207" s="1"/>
      <c r="Y207" s="1"/>
    </row>
    <row r="208" spans="2:25" x14ac:dyDescent="0.25">
      <c r="B208" s="1"/>
      <c r="Y208" s="1"/>
    </row>
    <row r="209" spans="2:25" x14ac:dyDescent="0.25">
      <c r="B209" s="1"/>
      <c r="Y209" s="1"/>
    </row>
    <row r="210" spans="2:25" x14ac:dyDescent="0.25">
      <c r="B210" s="1"/>
      <c r="Y210" s="1"/>
    </row>
    <row r="211" spans="2:25" x14ac:dyDescent="0.25">
      <c r="B211" s="1"/>
      <c r="Y211" s="1"/>
    </row>
    <row r="212" spans="2:25" x14ac:dyDescent="0.25">
      <c r="B212" s="1"/>
      <c r="Y212" s="1"/>
    </row>
    <row r="213" spans="2:25" x14ac:dyDescent="0.25">
      <c r="B213" s="1"/>
      <c r="Y213" s="1"/>
    </row>
    <row r="214" spans="2:25" x14ac:dyDescent="0.25">
      <c r="B214" s="1"/>
      <c r="Y214" s="1"/>
    </row>
    <row r="215" spans="2:25" x14ac:dyDescent="0.25">
      <c r="B215" s="1"/>
      <c r="Y215" s="1"/>
    </row>
    <row r="216" spans="2:25" x14ac:dyDescent="0.25">
      <c r="B216" s="1"/>
      <c r="Y216" s="1"/>
    </row>
    <row r="217" spans="2:25" x14ac:dyDescent="0.25">
      <c r="B217" s="1"/>
      <c r="Y217" s="1"/>
    </row>
    <row r="218" spans="2:25" x14ac:dyDescent="0.25">
      <c r="B218" s="1"/>
      <c r="Y218" s="1"/>
    </row>
    <row r="219" spans="2:25" x14ac:dyDescent="0.25">
      <c r="B219" s="1"/>
      <c r="Y219" s="1"/>
    </row>
    <row r="220" spans="2:25" x14ac:dyDescent="0.25">
      <c r="B220" s="1"/>
      <c r="Y220" s="1"/>
    </row>
    <row r="221" spans="2:25" x14ac:dyDescent="0.25">
      <c r="B221" s="1"/>
      <c r="Y221" s="1"/>
    </row>
    <row r="222" spans="2:25" x14ac:dyDescent="0.25">
      <c r="B222" s="1"/>
      <c r="Y222" s="1"/>
    </row>
    <row r="223" spans="2:25" x14ac:dyDescent="0.25">
      <c r="B223" s="1"/>
      <c r="Y223" s="1"/>
    </row>
    <row r="224" spans="2:25" x14ac:dyDescent="0.25">
      <c r="B224" s="1"/>
      <c r="Y224" s="1"/>
    </row>
    <row r="225" spans="2:25" x14ac:dyDescent="0.25">
      <c r="B225" s="1"/>
      <c r="Y225" s="1"/>
    </row>
    <row r="226" spans="2:25" x14ac:dyDescent="0.25">
      <c r="B226" s="1"/>
      <c r="Y226" s="1"/>
    </row>
    <row r="227" spans="2:25" x14ac:dyDescent="0.25">
      <c r="B227" s="1"/>
      <c r="Y227" s="1"/>
    </row>
    <row r="228" spans="2:25" x14ac:dyDescent="0.25">
      <c r="B228" s="1"/>
      <c r="Y228" s="1"/>
    </row>
    <row r="229" spans="2:25" x14ac:dyDescent="0.25">
      <c r="B229" s="1"/>
      <c r="Y229" s="1"/>
    </row>
    <row r="230" spans="2:25" x14ac:dyDescent="0.25">
      <c r="B230" s="1"/>
      <c r="Y230" s="1"/>
    </row>
    <row r="231" spans="2:25" x14ac:dyDescent="0.25">
      <c r="B231" s="1"/>
      <c r="Y231" s="1"/>
    </row>
    <row r="232" spans="2:25" x14ac:dyDescent="0.25">
      <c r="B232" s="1"/>
      <c r="Y232" s="1"/>
    </row>
    <row r="233" spans="2:25" x14ac:dyDescent="0.25">
      <c r="B233" s="1"/>
      <c r="Y233" s="1"/>
    </row>
    <row r="234" spans="2:25" x14ac:dyDescent="0.25">
      <c r="B234" s="1"/>
      <c r="Y234" s="1"/>
    </row>
    <row r="235" spans="2:25" x14ac:dyDescent="0.25">
      <c r="B235" s="1"/>
      <c r="Y235" s="1"/>
    </row>
    <row r="236" spans="2:25" x14ac:dyDescent="0.25">
      <c r="B236" s="1"/>
      <c r="Y236" s="1"/>
    </row>
    <row r="237" spans="2:25" x14ac:dyDescent="0.25">
      <c r="B237" s="1"/>
      <c r="Y237" s="1"/>
    </row>
    <row r="238" spans="2:25" x14ac:dyDescent="0.25">
      <c r="B238" s="1"/>
      <c r="Y238" s="1"/>
    </row>
    <row r="239" spans="2:25" x14ac:dyDescent="0.25">
      <c r="B239" s="1"/>
      <c r="Y239" s="1"/>
    </row>
    <row r="240" spans="2:25" x14ac:dyDescent="0.25">
      <c r="B240" s="1"/>
      <c r="Y240" s="1"/>
    </row>
    <row r="241" spans="2:25" x14ac:dyDescent="0.25">
      <c r="B241" s="1"/>
      <c r="Y241" s="1"/>
    </row>
    <row r="242" spans="2:25" x14ac:dyDescent="0.25">
      <c r="B242" s="1"/>
      <c r="Y242" s="1"/>
    </row>
    <row r="243" spans="2:25" x14ac:dyDescent="0.25">
      <c r="B243" s="1"/>
      <c r="Y243" s="1"/>
    </row>
    <row r="244" spans="2:25" x14ac:dyDescent="0.25">
      <c r="B244" s="1"/>
      <c r="Y244" s="1"/>
    </row>
    <row r="245" spans="2:25" x14ac:dyDescent="0.25">
      <c r="B245" s="1"/>
      <c r="Y245" s="1"/>
    </row>
    <row r="246" spans="2:25" x14ac:dyDescent="0.25">
      <c r="B246" s="1"/>
      <c r="Y246" s="1"/>
    </row>
    <row r="247" spans="2:25" x14ac:dyDescent="0.25">
      <c r="B247" s="1"/>
      <c r="Y247" s="1"/>
    </row>
    <row r="248" spans="2:25" x14ac:dyDescent="0.25">
      <c r="B248" s="1"/>
      <c r="Y248" s="1"/>
    </row>
    <row r="249" spans="2:25" x14ac:dyDescent="0.25">
      <c r="B249" s="1"/>
      <c r="Y249" s="1"/>
    </row>
    <row r="250" spans="2:25" x14ac:dyDescent="0.25">
      <c r="B250" s="1"/>
      <c r="Y250" s="1"/>
    </row>
    <row r="251" spans="2:25" x14ac:dyDescent="0.25">
      <c r="B251" s="1"/>
      <c r="Y251" s="1"/>
    </row>
    <row r="252" spans="2:25" x14ac:dyDescent="0.25">
      <c r="B252" s="1"/>
      <c r="Y252" s="1"/>
    </row>
    <row r="253" spans="2:25" x14ac:dyDescent="0.25">
      <c r="B253" s="1"/>
      <c r="Y253" s="1"/>
    </row>
    <row r="254" spans="2:25" x14ac:dyDescent="0.25">
      <c r="B254" s="1"/>
      <c r="Y254" s="1"/>
    </row>
    <row r="255" spans="2:25" x14ac:dyDescent="0.25">
      <c r="B255" s="1"/>
      <c r="Y255" s="1"/>
    </row>
    <row r="256" spans="2:25" x14ac:dyDescent="0.25">
      <c r="B256" s="1"/>
      <c r="Y256" s="1"/>
    </row>
    <row r="257" spans="2:25" x14ac:dyDescent="0.25">
      <c r="B257" s="1"/>
      <c r="Y257" s="1"/>
    </row>
    <row r="258" spans="2:25" x14ac:dyDescent="0.25">
      <c r="B258" s="1"/>
      <c r="Y258" s="1"/>
    </row>
    <row r="259" spans="2:25" x14ac:dyDescent="0.25">
      <c r="B259" s="1"/>
      <c r="Y259" s="1"/>
    </row>
    <row r="260" spans="2:25" x14ac:dyDescent="0.25">
      <c r="B260" s="1"/>
      <c r="Y260" s="1"/>
    </row>
    <row r="261" spans="2:25" x14ac:dyDescent="0.25">
      <c r="B261" s="1"/>
      <c r="Y261" s="1"/>
    </row>
    <row r="262" spans="2:25" x14ac:dyDescent="0.25">
      <c r="B262" s="1"/>
      <c r="Y262" s="1"/>
    </row>
    <row r="263" spans="2:25" x14ac:dyDescent="0.25">
      <c r="B263" s="1"/>
      <c r="Y263" s="1"/>
    </row>
    <row r="264" spans="2:25" x14ac:dyDescent="0.25">
      <c r="B264" s="1"/>
      <c r="Y264" s="1"/>
    </row>
    <row r="265" spans="2:25" x14ac:dyDescent="0.25">
      <c r="B265" s="1"/>
      <c r="Y265" s="1"/>
    </row>
    <row r="266" spans="2:25" x14ac:dyDescent="0.25">
      <c r="B266" s="1"/>
      <c r="Y266" s="1"/>
    </row>
    <row r="267" spans="2:25" x14ac:dyDescent="0.25">
      <c r="B267" s="1"/>
      <c r="Y267" s="1"/>
    </row>
    <row r="268" spans="2:25" x14ac:dyDescent="0.25">
      <c r="B268" s="1"/>
      <c r="Y268" s="1"/>
    </row>
    <row r="269" spans="2:25" x14ac:dyDescent="0.25">
      <c r="B269" s="1"/>
      <c r="Y269" s="1"/>
    </row>
    <row r="270" spans="2:25" x14ac:dyDescent="0.25">
      <c r="B270" s="1"/>
      <c r="Y270" s="1"/>
    </row>
    <row r="271" spans="2:25" x14ac:dyDescent="0.25">
      <c r="B271" s="1"/>
      <c r="Y271" s="1"/>
    </row>
    <row r="272" spans="2:25" x14ac:dyDescent="0.25">
      <c r="B272" s="1"/>
      <c r="Y272" s="1"/>
    </row>
    <row r="273" spans="2:25" x14ac:dyDescent="0.25">
      <c r="B273" s="1"/>
      <c r="Y273" s="1"/>
    </row>
    <row r="274" spans="2:25" x14ac:dyDescent="0.25">
      <c r="B274" s="1"/>
      <c r="Y274" s="1"/>
    </row>
    <row r="275" spans="2:25" x14ac:dyDescent="0.25">
      <c r="B275" s="1"/>
      <c r="Y275" s="1"/>
    </row>
    <row r="276" spans="2:25" x14ac:dyDescent="0.25">
      <c r="B276" s="1"/>
      <c r="Y276" s="1"/>
    </row>
    <row r="277" spans="2:25" x14ac:dyDescent="0.25">
      <c r="B277" s="1"/>
      <c r="Y277" s="1"/>
    </row>
    <row r="278" spans="2:25" x14ac:dyDescent="0.25">
      <c r="B278" s="1"/>
      <c r="Y278" s="1"/>
    </row>
    <row r="279" spans="2:25" x14ac:dyDescent="0.25">
      <c r="B279" s="1"/>
      <c r="Y279" s="1"/>
    </row>
    <row r="280" spans="2:25" x14ac:dyDescent="0.25">
      <c r="B280" s="1"/>
      <c r="Y280" s="1"/>
    </row>
    <row r="281" spans="2:25" x14ac:dyDescent="0.25">
      <c r="B281" s="1"/>
      <c r="Y281" s="1"/>
    </row>
    <row r="282" spans="2:25" x14ac:dyDescent="0.25">
      <c r="B282" s="1"/>
      <c r="Y282" s="1"/>
    </row>
    <row r="283" spans="2:25" x14ac:dyDescent="0.25">
      <c r="B283" s="1"/>
      <c r="Y283" s="1"/>
    </row>
    <row r="284" spans="2:25" x14ac:dyDescent="0.25">
      <c r="B284" s="1"/>
      <c r="Y284" s="1"/>
    </row>
    <row r="285" spans="2:25" x14ac:dyDescent="0.25">
      <c r="B285" s="1"/>
      <c r="Y285" s="1"/>
    </row>
    <row r="286" spans="2:25" x14ac:dyDescent="0.25">
      <c r="B286" s="1"/>
      <c r="Y286" s="1"/>
    </row>
    <row r="287" spans="2:25" x14ac:dyDescent="0.25">
      <c r="B287" s="1"/>
      <c r="Y287" s="1"/>
    </row>
    <row r="288" spans="2:25" x14ac:dyDescent="0.25">
      <c r="B288" s="1"/>
      <c r="Y288" s="1"/>
    </row>
    <row r="289" spans="2:25" x14ac:dyDescent="0.25">
      <c r="B289" s="1"/>
      <c r="Y289" s="1"/>
    </row>
    <row r="290" spans="2:25" x14ac:dyDescent="0.25">
      <c r="B290" s="1"/>
      <c r="Y290" s="1"/>
    </row>
    <row r="291" spans="2:25" x14ac:dyDescent="0.25">
      <c r="B291" s="1"/>
      <c r="Y291" s="1"/>
    </row>
    <row r="292" spans="2:25" x14ac:dyDescent="0.25">
      <c r="B292" s="1"/>
      <c r="Y292" s="1"/>
    </row>
    <row r="293" spans="2:25" x14ac:dyDescent="0.25">
      <c r="B293" s="1"/>
      <c r="Y293" s="1"/>
    </row>
    <row r="294" spans="2:25" x14ac:dyDescent="0.25">
      <c r="B294" s="1"/>
      <c r="Y294" s="1"/>
    </row>
    <row r="295" spans="2:25" x14ac:dyDescent="0.25">
      <c r="B295" s="1"/>
      <c r="Y295" s="1"/>
    </row>
    <row r="296" spans="2:25" x14ac:dyDescent="0.25">
      <c r="B296" s="1"/>
      <c r="Y296" s="1"/>
    </row>
    <row r="297" spans="2:25" x14ac:dyDescent="0.25">
      <c r="B297" s="1"/>
      <c r="Y297" s="1"/>
    </row>
    <row r="298" spans="2:25" x14ac:dyDescent="0.25">
      <c r="B298" s="1"/>
      <c r="Y298" s="1"/>
    </row>
    <row r="299" spans="2:25" x14ac:dyDescent="0.25">
      <c r="B299" s="1"/>
      <c r="Y299" s="1"/>
    </row>
    <row r="300" spans="2:25" x14ac:dyDescent="0.25">
      <c r="B300" s="1"/>
      <c r="Y300" s="1"/>
    </row>
    <row r="301" spans="2:25" x14ac:dyDescent="0.25">
      <c r="B301" s="1"/>
      <c r="Y301" s="1"/>
    </row>
    <row r="302" spans="2:25" x14ac:dyDescent="0.25">
      <c r="B302" s="1"/>
      <c r="Y302" s="1"/>
    </row>
    <row r="303" spans="2:25" x14ac:dyDescent="0.25">
      <c r="B303" s="1"/>
      <c r="Y303" s="1"/>
    </row>
    <row r="304" spans="2:25" x14ac:dyDescent="0.25">
      <c r="B304" s="1"/>
      <c r="Y304" s="1"/>
    </row>
    <row r="305" spans="2:25" x14ac:dyDescent="0.25">
      <c r="B305" s="1"/>
      <c r="Y305" s="1"/>
    </row>
    <row r="306" spans="2:25" x14ac:dyDescent="0.25">
      <c r="B306" s="1"/>
      <c r="Y306" s="1"/>
    </row>
    <row r="307" spans="2:25" x14ac:dyDescent="0.25">
      <c r="B307" s="1"/>
      <c r="Y307" s="1"/>
    </row>
    <row r="308" spans="2:25" x14ac:dyDescent="0.25">
      <c r="B308" s="1"/>
      <c r="Y308" s="1"/>
    </row>
    <row r="309" spans="2:25" x14ac:dyDescent="0.25">
      <c r="B309" s="1"/>
      <c r="Y309" s="1"/>
    </row>
    <row r="310" spans="2:25" x14ac:dyDescent="0.25">
      <c r="B310" s="1"/>
      <c r="Y310" s="1"/>
    </row>
    <row r="311" spans="2:25" x14ac:dyDescent="0.25">
      <c r="B311" s="1"/>
      <c r="Y311" s="1"/>
    </row>
    <row r="312" spans="2:25" x14ac:dyDescent="0.25">
      <c r="B312" s="1"/>
      <c r="Y312" s="1"/>
    </row>
    <row r="313" spans="2:25" x14ac:dyDescent="0.25">
      <c r="B313" s="1"/>
      <c r="Y313" s="1"/>
    </row>
    <row r="314" spans="2:25" x14ac:dyDescent="0.25">
      <c r="B314" s="1"/>
      <c r="Y314" s="1"/>
    </row>
    <row r="315" spans="2:25" x14ac:dyDescent="0.25">
      <c r="B315" s="1"/>
      <c r="Y315" s="1"/>
    </row>
    <row r="316" spans="2:25" x14ac:dyDescent="0.25">
      <c r="B316" s="1"/>
      <c r="Y316" s="1"/>
    </row>
    <row r="317" spans="2:25" x14ac:dyDescent="0.25">
      <c r="B317" s="1"/>
      <c r="Y317" s="1"/>
    </row>
    <row r="318" spans="2:25" x14ac:dyDescent="0.25">
      <c r="B318" s="1"/>
      <c r="Y318" s="1"/>
    </row>
    <row r="319" spans="2:25" x14ac:dyDescent="0.25">
      <c r="B319" s="1"/>
      <c r="Y319" s="1"/>
    </row>
    <row r="320" spans="2:25" x14ac:dyDescent="0.25">
      <c r="B320" s="1"/>
      <c r="Y320" s="1"/>
    </row>
    <row r="321" spans="2:25" x14ac:dyDescent="0.25">
      <c r="B321" s="1"/>
      <c r="Y321" s="1"/>
    </row>
    <row r="322" spans="2:25" x14ac:dyDescent="0.25">
      <c r="B322" s="1"/>
      <c r="Y322" s="1"/>
    </row>
    <row r="323" spans="2:25" x14ac:dyDescent="0.25">
      <c r="B323" s="1"/>
      <c r="Y323" s="1"/>
    </row>
    <row r="324" spans="2:25" x14ac:dyDescent="0.25">
      <c r="B324" s="1"/>
      <c r="Y324" s="1"/>
    </row>
    <row r="325" spans="2:25" x14ac:dyDescent="0.25">
      <c r="B325" s="1"/>
      <c r="Y325" s="1"/>
    </row>
    <row r="326" spans="2:25" x14ac:dyDescent="0.25">
      <c r="B326" s="1"/>
      <c r="Y326" s="1"/>
    </row>
    <row r="327" spans="2:25" x14ac:dyDescent="0.25">
      <c r="B327" s="1"/>
      <c r="Y327" s="1"/>
    </row>
    <row r="328" spans="2:25" x14ac:dyDescent="0.25">
      <c r="B328" s="1"/>
      <c r="Y328" s="1"/>
    </row>
    <row r="329" spans="2:25" x14ac:dyDescent="0.25">
      <c r="B329" s="1"/>
      <c r="Y329" s="1"/>
    </row>
    <row r="330" spans="2:25" x14ac:dyDescent="0.25">
      <c r="B330" s="1"/>
      <c r="Y330" s="1"/>
    </row>
    <row r="331" spans="2:25" x14ac:dyDescent="0.25">
      <c r="B331" s="1"/>
      <c r="Y331" s="1"/>
    </row>
    <row r="332" spans="2:25" x14ac:dyDescent="0.25">
      <c r="B332" s="1"/>
      <c r="Y332" s="1"/>
    </row>
    <row r="333" spans="2:25" x14ac:dyDescent="0.25">
      <c r="B333" s="1"/>
      <c r="Y333" s="1"/>
    </row>
    <row r="334" spans="2:25" x14ac:dyDescent="0.25">
      <c r="B334" s="1"/>
      <c r="Y334" s="1"/>
    </row>
    <row r="335" spans="2:25" x14ac:dyDescent="0.25">
      <c r="B335" s="1"/>
      <c r="Y335" s="1"/>
    </row>
    <row r="336" spans="2:25" x14ac:dyDescent="0.25">
      <c r="B336" s="1"/>
      <c r="Y336" s="1"/>
    </row>
    <row r="337" spans="2:25" x14ac:dyDescent="0.25">
      <c r="B337" s="1"/>
      <c r="Y337" s="1"/>
    </row>
    <row r="338" spans="2:25" x14ac:dyDescent="0.25">
      <c r="B338" s="1"/>
      <c r="Y338" s="1"/>
    </row>
    <row r="339" spans="2:25" x14ac:dyDescent="0.25">
      <c r="B339" s="1"/>
      <c r="Y339" s="1"/>
    </row>
    <row r="340" spans="2:25" x14ac:dyDescent="0.25">
      <c r="B340" s="1"/>
      <c r="Y340" s="1"/>
    </row>
    <row r="341" spans="2:25" x14ac:dyDescent="0.25">
      <c r="B341" s="1"/>
      <c r="Y341" s="1"/>
    </row>
    <row r="342" spans="2:25" x14ac:dyDescent="0.25">
      <c r="B342" s="1"/>
      <c r="Y342" s="1"/>
    </row>
    <row r="343" spans="2:25" x14ac:dyDescent="0.25">
      <c r="B343" s="1"/>
      <c r="Y343" s="1"/>
    </row>
    <row r="344" spans="2:25" x14ac:dyDescent="0.25">
      <c r="B344" s="1"/>
      <c r="Y344" s="1"/>
    </row>
    <row r="345" spans="2:25" x14ac:dyDescent="0.25">
      <c r="B345" s="1"/>
      <c r="Y345" s="1"/>
    </row>
    <row r="346" spans="2:25" x14ac:dyDescent="0.25">
      <c r="B346" s="1"/>
      <c r="Y346" s="1"/>
    </row>
    <row r="347" spans="2:25" x14ac:dyDescent="0.25">
      <c r="B347" s="1"/>
      <c r="Y347" s="1"/>
    </row>
    <row r="348" spans="2:25" x14ac:dyDescent="0.25">
      <c r="B348" s="1"/>
      <c r="Y348" s="1"/>
    </row>
    <row r="349" spans="2:25" x14ac:dyDescent="0.25">
      <c r="B349" s="1"/>
      <c r="Y349" s="1"/>
    </row>
    <row r="350" spans="2:25" x14ac:dyDescent="0.25">
      <c r="B350" s="1"/>
      <c r="Y350" s="1"/>
    </row>
    <row r="351" spans="2:25" x14ac:dyDescent="0.25">
      <c r="B351" s="1"/>
      <c r="Y351" s="1"/>
    </row>
    <row r="352" spans="2:25" x14ac:dyDescent="0.25">
      <c r="B352" s="1"/>
      <c r="Y352" s="1"/>
    </row>
    <row r="353" spans="2:25" x14ac:dyDescent="0.25">
      <c r="B353" s="1"/>
      <c r="Y353" s="1"/>
    </row>
    <row r="354" spans="2:25" x14ac:dyDescent="0.25">
      <c r="B354" s="1"/>
      <c r="Y354" s="1"/>
    </row>
    <row r="355" spans="2:25" x14ac:dyDescent="0.25">
      <c r="B355" s="1"/>
      <c r="Y355" s="1"/>
    </row>
    <row r="356" spans="2:25" x14ac:dyDescent="0.25">
      <c r="B356" s="1"/>
      <c r="Y356" s="1"/>
    </row>
    <row r="357" spans="2:25" x14ac:dyDescent="0.25">
      <c r="B357" s="1"/>
      <c r="Y357" s="1"/>
    </row>
    <row r="358" spans="2:25" x14ac:dyDescent="0.25">
      <c r="B358" s="1"/>
      <c r="Y358" s="1"/>
    </row>
    <row r="359" spans="2:25" x14ac:dyDescent="0.25">
      <c r="B359" s="1"/>
      <c r="Y359" s="1"/>
    </row>
    <row r="360" spans="2:25" x14ac:dyDescent="0.25">
      <c r="B360" s="1"/>
      <c r="Y360" s="1"/>
    </row>
    <row r="361" spans="2:25" x14ac:dyDescent="0.25">
      <c r="B361" s="1"/>
      <c r="Y361" s="1"/>
    </row>
    <row r="362" spans="2:25" x14ac:dyDescent="0.25">
      <c r="B362" s="1"/>
      <c r="Y362" s="1"/>
    </row>
    <row r="363" spans="2:25" x14ac:dyDescent="0.25">
      <c r="B363" s="1"/>
      <c r="Y363" s="1"/>
    </row>
    <row r="364" spans="2:25" x14ac:dyDescent="0.25">
      <c r="B364" s="1"/>
      <c r="Y364" s="1"/>
    </row>
    <row r="365" spans="2:25" x14ac:dyDescent="0.25">
      <c r="B365" s="1"/>
      <c r="Y365" s="1"/>
    </row>
    <row r="366" spans="2:25" x14ac:dyDescent="0.25">
      <c r="B366" s="1"/>
      <c r="Y366" s="1"/>
    </row>
    <row r="367" spans="2:25" x14ac:dyDescent="0.25">
      <c r="B367" s="1"/>
      <c r="Y367" s="1"/>
    </row>
    <row r="368" spans="2:25" x14ac:dyDescent="0.25">
      <c r="B368" s="1"/>
      <c r="Y368" s="1"/>
    </row>
    <row r="369" spans="2:25" x14ac:dyDescent="0.25">
      <c r="B369" s="1"/>
      <c r="Y369" s="1"/>
    </row>
    <row r="370" spans="2:25" x14ac:dyDescent="0.25">
      <c r="B370" s="1"/>
      <c r="Y370" s="1"/>
    </row>
    <row r="371" spans="2:25" x14ac:dyDescent="0.25">
      <c r="B371" s="1"/>
      <c r="Y371" s="1"/>
    </row>
    <row r="372" spans="2:25" x14ac:dyDescent="0.25">
      <c r="B372" s="1"/>
      <c r="Y372" s="1"/>
    </row>
    <row r="373" spans="2:25" x14ac:dyDescent="0.25">
      <c r="B373" s="1"/>
      <c r="Y373" s="1"/>
    </row>
    <row r="374" spans="2:25" x14ac:dyDescent="0.25">
      <c r="B374" s="1"/>
      <c r="Y374" s="1"/>
    </row>
    <row r="375" spans="2:25" x14ac:dyDescent="0.25">
      <c r="B375" s="1"/>
      <c r="Y375" s="1"/>
    </row>
    <row r="376" spans="2:25" x14ac:dyDescent="0.25">
      <c r="B376" s="1"/>
      <c r="Y376" s="1"/>
    </row>
    <row r="377" spans="2:25" x14ac:dyDescent="0.25">
      <c r="B377" s="1"/>
      <c r="Y377" s="1"/>
    </row>
    <row r="378" spans="2:25" x14ac:dyDescent="0.25">
      <c r="B378" s="1"/>
      <c r="Y378" s="1"/>
    </row>
    <row r="379" spans="2:25" x14ac:dyDescent="0.25">
      <c r="B379" s="1"/>
      <c r="Y379" s="1"/>
    </row>
    <row r="380" spans="2:25" x14ac:dyDescent="0.25">
      <c r="B380" s="1"/>
      <c r="Y380" s="1"/>
    </row>
    <row r="381" spans="2:25" x14ac:dyDescent="0.25">
      <c r="B381" s="1"/>
      <c r="Y381" s="1"/>
    </row>
    <row r="382" spans="2:25" x14ac:dyDescent="0.25">
      <c r="B382" s="1"/>
      <c r="Y382" s="1"/>
    </row>
    <row r="383" spans="2:25" x14ac:dyDescent="0.25">
      <c r="B383" s="1"/>
      <c r="Y383" s="1"/>
    </row>
    <row r="384" spans="2:25" x14ac:dyDescent="0.25">
      <c r="B384" s="1"/>
      <c r="Y384" s="1"/>
    </row>
    <row r="385" spans="2:25" x14ac:dyDescent="0.25">
      <c r="B385" s="1"/>
      <c r="Y385" s="1"/>
    </row>
    <row r="386" spans="2:25" x14ac:dyDescent="0.25">
      <c r="B386" s="1"/>
      <c r="Y386" s="1"/>
    </row>
    <row r="387" spans="2:25" x14ac:dyDescent="0.25">
      <c r="B387" s="1"/>
      <c r="Y387" s="1"/>
    </row>
    <row r="388" spans="2:25" x14ac:dyDescent="0.25">
      <c r="B388" s="1"/>
      <c r="Y388" s="1"/>
    </row>
    <row r="389" spans="2:25" x14ac:dyDescent="0.25">
      <c r="B389" s="1"/>
      <c r="Y389" s="1"/>
    </row>
    <row r="390" spans="2:25" x14ac:dyDescent="0.25">
      <c r="B390" s="1"/>
      <c r="Y390" s="1"/>
    </row>
    <row r="391" spans="2:25" x14ac:dyDescent="0.25">
      <c r="B391" s="1"/>
      <c r="Y391" s="1"/>
    </row>
    <row r="392" spans="2:25" x14ac:dyDescent="0.25">
      <c r="B392" s="1"/>
      <c r="Y392" s="1"/>
    </row>
    <row r="393" spans="2:25" x14ac:dyDescent="0.25">
      <c r="B393" s="1"/>
      <c r="Y393" s="1"/>
    </row>
    <row r="394" spans="2:25" x14ac:dyDescent="0.25">
      <c r="B394" s="1"/>
      <c r="Y394" s="1"/>
    </row>
    <row r="395" spans="2:25" x14ac:dyDescent="0.25">
      <c r="B395" s="1"/>
      <c r="Y395" s="1"/>
    </row>
    <row r="396" spans="2:25" x14ac:dyDescent="0.25">
      <c r="B396" s="1"/>
      <c r="Y396" s="1"/>
    </row>
    <row r="397" spans="2:25" x14ac:dyDescent="0.25">
      <c r="B397" s="1"/>
      <c r="Y397" s="1"/>
    </row>
    <row r="398" spans="2:25" x14ac:dyDescent="0.25">
      <c r="B398" s="1"/>
      <c r="Y398" s="1"/>
    </row>
    <row r="399" spans="2:25" x14ac:dyDescent="0.25">
      <c r="B399" s="1"/>
      <c r="Y399" s="1"/>
    </row>
    <row r="400" spans="2:25" x14ac:dyDescent="0.25">
      <c r="B400" s="1"/>
      <c r="Y400" s="1"/>
    </row>
    <row r="401" spans="2:25" x14ac:dyDescent="0.25">
      <c r="B401" s="1"/>
      <c r="Y401" s="1"/>
    </row>
    <row r="402" spans="2:25" x14ac:dyDescent="0.25">
      <c r="B402" s="1"/>
      <c r="Y402" s="1"/>
    </row>
    <row r="403" spans="2:25" x14ac:dyDescent="0.25">
      <c r="B403" s="1"/>
      <c r="Y403" s="1"/>
    </row>
    <row r="404" spans="2:25" x14ac:dyDescent="0.25">
      <c r="B404" s="1"/>
      <c r="Y404" s="1"/>
    </row>
    <row r="405" spans="2:25" x14ac:dyDescent="0.25">
      <c r="B405" s="1"/>
      <c r="Y405" s="1"/>
    </row>
    <row r="406" spans="2:25" x14ac:dyDescent="0.25">
      <c r="B406" s="1"/>
      <c r="Y406" s="1"/>
    </row>
    <row r="407" spans="2:25" x14ac:dyDescent="0.25">
      <c r="B407" s="1"/>
      <c r="Y407" s="1"/>
    </row>
    <row r="408" spans="2:25" x14ac:dyDescent="0.25">
      <c r="B408" s="1"/>
      <c r="Y408" s="1"/>
    </row>
    <row r="409" spans="2:25" x14ac:dyDescent="0.25">
      <c r="B409" s="1"/>
      <c r="Y409" s="1"/>
    </row>
    <row r="410" spans="2:25" x14ac:dyDescent="0.25">
      <c r="B410" s="1"/>
      <c r="Y410" s="1"/>
    </row>
    <row r="411" spans="2:25" x14ac:dyDescent="0.25">
      <c r="B411" s="1"/>
      <c r="Y411" s="1"/>
    </row>
    <row r="412" spans="2:25" x14ac:dyDescent="0.25">
      <c r="B412" s="1"/>
      <c r="Y412" s="1"/>
    </row>
    <row r="413" spans="2:25" x14ac:dyDescent="0.25">
      <c r="B413" s="1"/>
      <c r="Y413" s="1"/>
    </row>
    <row r="414" spans="2:25" x14ac:dyDescent="0.25">
      <c r="B414" s="1"/>
      <c r="Y414" s="1"/>
    </row>
    <row r="415" spans="2:25" x14ac:dyDescent="0.25">
      <c r="B415" s="1"/>
      <c r="Y415" s="1"/>
    </row>
    <row r="416" spans="2:25" x14ac:dyDescent="0.25">
      <c r="B416" s="1"/>
      <c r="Y416" s="1"/>
    </row>
    <row r="417" spans="2:25" x14ac:dyDescent="0.25">
      <c r="B417" s="1"/>
      <c r="Y417" s="1"/>
    </row>
    <row r="418" spans="2:25" x14ac:dyDescent="0.25">
      <c r="B418" s="1"/>
      <c r="Y418" s="1"/>
    </row>
    <row r="419" spans="2:25" x14ac:dyDescent="0.25">
      <c r="B419" s="1"/>
      <c r="Y419" s="1"/>
    </row>
    <row r="420" spans="2:25" x14ac:dyDescent="0.25">
      <c r="B420" s="1"/>
      <c r="Y420" s="1"/>
    </row>
    <row r="421" spans="2:25" x14ac:dyDescent="0.25">
      <c r="B421" s="1"/>
      <c r="Y421" s="1"/>
    </row>
    <row r="422" spans="2:25" x14ac:dyDescent="0.25">
      <c r="B422" s="1"/>
      <c r="Y422" s="1"/>
    </row>
    <row r="423" spans="2:25" x14ac:dyDescent="0.25">
      <c r="B423" s="1"/>
      <c r="Y423" s="1"/>
    </row>
    <row r="424" spans="2:25" x14ac:dyDescent="0.25">
      <c r="B424" s="1"/>
      <c r="Y424" s="1"/>
    </row>
    <row r="425" spans="2:25" x14ac:dyDescent="0.25">
      <c r="B425" s="1"/>
      <c r="Y425" s="1"/>
    </row>
    <row r="426" spans="2:25" x14ac:dyDescent="0.25">
      <c r="B426" s="1"/>
      <c r="Y426" s="1"/>
    </row>
    <row r="427" spans="2:25" x14ac:dyDescent="0.25">
      <c r="B427" s="1"/>
      <c r="Y427" s="1"/>
    </row>
    <row r="428" spans="2:25" x14ac:dyDescent="0.25">
      <c r="B428" s="1"/>
      <c r="Y428" s="1"/>
    </row>
    <row r="429" spans="2:25" x14ac:dyDescent="0.25">
      <c r="B429" s="1"/>
      <c r="Y429" s="1"/>
    </row>
    <row r="430" spans="2:25" x14ac:dyDescent="0.25">
      <c r="B430" s="1"/>
      <c r="Y430" s="1"/>
    </row>
    <row r="431" spans="2:25" x14ac:dyDescent="0.25">
      <c r="B431" s="1"/>
      <c r="Y431" s="1"/>
    </row>
    <row r="432" spans="2:25" x14ac:dyDescent="0.25">
      <c r="B432" s="1"/>
      <c r="Y432" s="1"/>
    </row>
    <row r="433" spans="2:25" x14ac:dyDescent="0.25">
      <c r="B433" s="1"/>
      <c r="Y433" s="1"/>
    </row>
    <row r="434" spans="2:25" x14ac:dyDescent="0.25">
      <c r="B434" s="1"/>
      <c r="Y434" s="1"/>
    </row>
    <row r="435" spans="2:25" x14ac:dyDescent="0.25">
      <c r="B435" s="1"/>
      <c r="Y435" s="1"/>
    </row>
    <row r="436" spans="2:25" x14ac:dyDescent="0.25">
      <c r="B436" s="1"/>
      <c r="Y436" s="1"/>
    </row>
    <row r="437" spans="2:25" x14ac:dyDescent="0.25">
      <c r="B437" s="1"/>
      <c r="Y437" s="1"/>
    </row>
    <row r="438" spans="2:25" x14ac:dyDescent="0.25">
      <c r="B438" s="1"/>
      <c r="Y438" s="1"/>
    </row>
    <row r="439" spans="2:25" x14ac:dyDescent="0.25">
      <c r="B439" s="1"/>
      <c r="Y439" s="1"/>
    </row>
    <row r="440" spans="2:25" x14ac:dyDescent="0.25">
      <c r="B440" s="1"/>
      <c r="Y440" s="1"/>
    </row>
    <row r="441" spans="2:25" x14ac:dyDescent="0.25">
      <c r="B441" s="1"/>
      <c r="Y441" s="1"/>
    </row>
    <row r="442" spans="2:25" x14ac:dyDescent="0.25">
      <c r="B442" s="1"/>
      <c r="Y442" s="1"/>
    </row>
    <row r="443" spans="2:25" x14ac:dyDescent="0.25">
      <c r="B443" s="1"/>
      <c r="Y443" s="1"/>
    </row>
    <row r="444" spans="2:25" x14ac:dyDescent="0.25">
      <c r="B444" s="1"/>
      <c r="Y444" s="1"/>
    </row>
    <row r="445" spans="2:25" x14ac:dyDescent="0.25">
      <c r="B445" s="1"/>
      <c r="Y445" s="1"/>
    </row>
    <row r="446" spans="2:25" x14ac:dyDescent="0.25">
      <c r="B446" s="1"/>
      <c r="Y446" s="1"/>
    </row>
    <row r="447" spans="2:25" x14ac:dyDescent="0.25">
      <c r="B447" s="1"/>
      <c r="Y447" s="1"/>
    </row>
    <row r="448" spans="2:25" x14ac:dyDescent="0.25">
      <c r="B448" s="1"/>
      <c r="Y448" s="1"/>
    </row>
    <row r="449" spans="2:25" x14ac:dyDescent="0.25">
      <c r="B449" s="1"/>
      <c r="Y449" s="1"/>
    </row>
    <row r="450" spans="2:25" x14ac:dyDescent="0.25">
      <c r="B450" s="1"/>
      <c r="Y450" s="1"/>
    </row>
    <row r="451" spans="2:25" x14ac:dyDescent="0.25">
      <c r="B451" s="1"/>
      <c r="Y451" s="1"/>
    </row>
    <row r="452" spans="2:25" x14ac:dyDescent="0.25">
      <c r="B452" s="1"/>
      <c r="Y452" s="1"/>
    </row>
    <row r="453" spans="2:25" x14ac:dyDescent="0.25">
      <c r="B453" s="1"/>
      <c r="Y453" s="1"/>
    </row>
    <row r="454" spans="2:25" x14ac:dyDescent="0.25">
      <c r="B454" s="1"/>
      <c r="Y454" s="1"/>
    </row>
    <row r="455" spans="2:25" x14ac:dyDescent="0.25">
      <c r="B455" s="1"/>
      <c r="Y455" s="1"/>
    </row>
    <row r="456" spans="2:25" x14ac:dyDescent="0.25">
      <c r="B456" s="1"/>
      <c r="Y456" s="1"/>
    </row>
    <row r="457" spans="2:25" x14ac:dyDescent="0.25">
      <c r="B457" s="1"/>
      <c r="Y457" s="1"/>
    </row>
    <row r="458" spans="2:25" x14ac:dyDescent="0.25">
      <c r="B458" s="1"/>
      <c r="Y458" s="1"/>
    </row>
    <row r="459" spans="2:25" x14ac:dyDescent="0.25">
      <c r="B459" s="1"/>
      <c r="Y459" s="1"/>
    </row>
    <row r="460" spans="2:25" x14ac:dyDescent="0.25">
      <c r="B460" s="1"/>
      <c r="Y460" s="1"/>
    </row>
    <row r="461" spans="2:25" x14ac:dyDescent="0.25">
      <c r="B461" s="1"/>
      <c r="Y461" s="1"/>
    </row>
    <row r="462" spans="2:25" x14ac:dyDescent="0.25">
      <c r="B462" s="1"/>
      <c r="Y462" s="1"/>
    </row>
    <row r="463" spans="2:25" x14ac:dyDescent="0.25">
      <c r="B463" s="1"/>
      <c r="Y463" s="1"/>
    </row>
    <row r="464" spans="2:25" x14ac:dyDescent="0.25">
      <c r="B464" s="1"/>
      <c r="Y464" s="1"/>
    </row>
    <row r="465" spans="2:25" x14ac:dyDescent="0.25">
      <c r="B465" s="1"/>
      <c r="Y465" s="1"/>
    </row>
    <row r="466" spans="2:25" x14ac:dyDescent="0.25">
      <c r="B466" s="1"/>
      <c r="Y466" s="1"/>
    </row>
    <row r="467" spans="2:25" x14ac:dyDescent="0.25">
      <c r="B467" s="1"/>
      <c r="Y467" s="1"/>
    </row>
    <row r="468" spans="2:25" x14ac:dyDescent="0.25">
      <c r="B468" s="1"/>
      <c r="Y468" s="1"/>
    </row>
    <row r="469" spans="2:25" x14ac:dyDescent="0.25">
      <c r="B469" s="1"/>
      <c r="Y469" s="1"/>
    </row>
    <row r="470" spans="2:25" x14ac:dyDescent="0.25">
      <c r="B470" s="1"/>
      <c r="Y470" s="1"/>
    </row>
    <row r="471" spans="2:25" x14ac:dyDescent="0.25">
      <c r="B471" s="1"/>
      <c r="Y471" s="1"/>
    </row>
    <row r="472" spans="2:25" x14ac:dyDescent="0.25">
      <c r="B472" s="1"/>
      <c r="Y472" s="1"/>
    </row>
    <row r="473" spans="2:25" x14ac:dyDescent="0.25">
      <c r="B473" s="1"/>
      <c r="Y473" s="1"/>
    </row>
    <row r="474" spans="2:25" x14ac:dyDescent="0.25">
      <c r="B474" s="1"/>
      <c r="Y474" s="1"/>
    </row>
    <row r="475" spans="2:25" x14ac:dyDescent="0.25">
      <c r="B475" s="1"/>
      <c r="Y475" s="1"/>
    </row>
    <row r="476" spans="2:25" x14ac:dyDescent="0.25">
      <c r="B476" s="1"/>
      <c r="Y476" s="1"/>
    </row>
    <row r="477" spans="2:25" x14ac:dyDescent="0.25">
      <c r="B477" s="1"/>
      <c r="Y477" s="1"/>
    </row>
    <row r="478" spans="2:25" x14ac:dyDescent="0.25">
      <c r="B478" s="1"/>
      <c r="Y478" s="1"/>
    </row>
    <row r="479" spans="2:25" x14ac:dyDescent="0.25">
      <c r="B479" s="1"/>
      <c r="Y479" s="1"/>
    </row>
    <row r="480" spans="2:25" x14ac:dyDescent="0.25">
      <c r="B480" s="1"/>
      <c r="Y480" s="1"/>
    </row>
    <row r="481" spans="2:25" x14ac:dyDescent="0.25">
      <c r="B481" s="1"/>
      <c r="Y481" s="1"/>
    </row>
    <row r="482" spans="2:25" x14ac:dyDescent="0.25">
      <c r="B482" s="1"/>
      <c r="Y482" s="1"/>
    </row>
    <row r="483" spans="2:25" x14ac:dyDescent="0.25">
      <c r="B483" s="1"/>
      <c r="Y483" s="1"/>
    </row>
    <row r="484" spans="2:25" x14ac:dyDescent="0.25">
      <c r="B484" s="1"/>
      <c r="Y484" s="1"/>
    </row>
    <row r="485" spans="2:25" x14ac:dyDescent="0.25">
      <c r="B485" s="1"/>
      <c r="Y485" s="1"/>
    </row>
    <row r="486" spans="2:25" x14ac:dyDescent="0.25">
      <c r="B486" s="1"/>
      <c r="Y486" s="1"/>
    </row>
    <row r="487" spans="2:25" x14ac:dyDescent="0.25">
      <c r="B487" s="1"/>
      <c r="Y487" s="1"/>
    </row>
    <row r="488" spans="2:25" x14ac:dyDescent="0.25">
      <c r="B488" s="1"/>
      <c r="Y488" s="1"/>
    </row>
    <row r="489" spans="2:25" x14ac:dyDescent="0.25">
      <c r="B489" s="1"/>
      <c r="Y489" s="1"/>
    </row>
    <row r="490" spans="2:25" x14ac:dyDescent="0.25">
      <c r="B490" s="1"/>
      <c r="Y490" s="1"/>
    </row>
    <row r="491" spans="2:25" x14ac:dyDescent="0.25">
      <c r="B491" s="1"/>
      <c r="Y491" s="1"/>
    </row>
    <row r="492" spans="2:25" x14ac:dyDescent="0.25">
      <c r="B492" s="1"/>
      <c r="Y492" s="1"/>
    </row>
    <row r="493" spans="2:25" x14ac:dyDescent="0.25">
      <c r="B493" s="1"/>
      <c r="Y493" s="1"/>
    </row>
    <row r="494" spans="2:25" x14ac:dyDescent="0.25">
      <c r="B494" s="1"/>
      <c r="Y494" s="1"/>
    </row>
    <row r="495" spans="2:25" x14ac:dyDescent="0.25">
      <c r="B495" s="1"/>
      <c r="Y495" s="1"/>
    </row>
    <row r="496" spans="2:25" x14ac:dyDescent="0.25">
      <c r="B496" s="1"/>
      <c r="Y496" s="1"/>
    </row>
    <row r="497" spans="2:25" x14ac:dyDescent="0.25">
      <c r="B497" s="1"/>
      <c r="Y497" s="1"/>
    </row>
    <row r="498" spans="2:25" x14ac:dyDescent="0.25">
      <c r="B498" s="1"/>
      <c r="Y498" s="1"/>
    </row>
    <row r="499" spans="2:25" x14ac:dyDescent="0.25">
      <c r="B499" s="1"/>
      <c r="Y499" s="1"/>
    </row>
    <row r="500" spans="2:25" x14ac:dyDescent="0.25">
      <c r="B500" s="1"/>
      <c r="Y500" s="1"/>
    </row>
    <row r="501" spans="2:25" x14ac:dyDescent="0.25">
      <c r="B501" s="1"/>
      <c r="Y501" s="1"/>
    </row>
    <row r="502" spans="2:25" x14ac:dyDescent="0.25">
      <c r="B502" s="1"/>
      <c r="Y502" s="1"/>
    </row>
    <row r="503" spans="2:25" x14ac:dyDescent="0.25">
      <c r="B503" s="1"/>
      <c r="Y503" s="1"/>
    </row>
    <row r="504" spans="2:25" x14ac:dyDescent="0.25">
      <c r="B504" s="1"/>
      <c r="Y504" s="1"/>
    </row>
    <row r="505" spans="2:25" x14ac:dyDescent="0.25">
      <c r="B505" s="1"/>
      <c r="Y505" s="1"/>
    </row>
    <row r="506" spans="2:25" x14ac:dyDescent="0.25">
      <c r="B506" s="1"/>
      <c r="Y506" s="1"/>
    </row>
    <row r="507" spans="2:25" x14ac:dyDescent="0.25">
      <c r="B507" s="1"/>
      <c r="Y507" s="1"/>
    </row>
    <row r="508" spans="2:25" x14ac:dyDescent="0.25">
      <c r="B508" s="1"/>
      <c r="Y508" s="1"/>
    </row>
    <row r="509" spans="2:25" x14ac:dyDescent="0.25">
      <c r="B509" s="1"/>
      <c r="Y509" s="1"/>
    </row>
    <row r="510" spans="2:25" x14ac:dyDescent="0.25">
      <c r="B510" s="1"/>
      <c r="Y510" s="1"/>
    </row>
    <row r="511" spans="2:25" x14ac:dyDescent="0.25">
      <c r="B511" s="1"/>
      <c r="Y511" s="1"/>
    </row>
    <row r="512" spans="2:25" x14ac:dyDescent="0.25">
      <c r="B512" s="1"/>
      <c r="Y512" s="1"/>
    </row>
    <row r="513" spans="2:25" x14ac:dyDescent="0.25">
      <c r="B513" s="1"/>
      <c r="Y513" s="1"/>
    </row>
    <row r="514" spans="2:25" x14ac:dyDescent="0.25">
      <c r="B514" s="1"/>
      <c r="Y514" s="1"/>
    </row>
    <row r="515" spans="2:25" x14ac:dyDescent="0.25">
      <c r="B515" s="1"/>
      <c r="Y515" s="1"/>
    </row>
    <row r="516" spans="2:25" x14ac:dyDescent="0.25">
      <c r="B516" s="1"/>
      <c r="Y516" s="1"/>
    </row>
    <row r="517" spans="2:25" x14ac:dyDescent="0.25">
      <c r="B517" s="1"/>
      <c r="Y517" s="1"/>
    </row>
    <row r="518" spans="2:25" x14ac:dyDescent="0.25">
      <c r="B518" s="1"/>
      <c r="Y518" s="1"/>
    </row>
    <row r="519" spans="2:25" x14ac:dyDescent="0.25">
      <c r="B519" s="1"/>
      <c r="Y519" s="1"/>
    </row>
    <row r="520" spans="2:25" x14ac:dyDescent="0.25">
      <c r="B520" s="1"/>
      <c r="Y520" s="1"/>
    </row>
    <row r="521" spans="2:25" x14ac:dyDescent="0.25">
      <c r="B521" s="1"/>
      <c r="Y521" s="1"/>
    </row>
    <row r="522" spans="2:25" x14ac:dyDescent="0.25">
      <c r="B522" s="1"/>
      <c r="Y522" s="1"/>
    </row>
    <row r="523" spans="2:25" x14ac:dyDescent="0.25">
      <c r="B523" s="1"/>
      <c r="Y523" s="1"/>
    </row>
    <row r="524" spans="2:25" x14ac:dyDescent="0.25">
      <c r="B524" s="1"/>
      <c r="Y524" s="1"/>
    </row>
    <row r="525" spans="2:25" x14ac:dyDescent="0.25">
      <c r="B525" s="1"/>
      <c r="Y525" s="1"/>
    </row>
    <row r="526" spans="2:25" x14ac:dyDescent="0.25">
      <c r="B526" s="1"/>
      <c r="Y526" s="1"/>
    </row>
    <row r="527" spans="2:25" x14ac:dyDescent="0.25">
      <c r="B527" s="1"/>
      <c r="Y527" s="1"/>
    </row>
    <row r="528" spans="2:25" x14ac:dyDescent="0.25">
      <c r="B528" s="1"/>
      <c r="Y528" s="1"/>
    </row>
    <row r="529" spans="2:25" x14ac:dyDescent="0.25">
      <c r="B529" s="1"/>
      <c r="Y529" s="1"/>
    </row>
    <row r="530" spans="2:25" x14ac:dyDescent="0.25">
      <c r="B530" s="1"/>
      <c r="Y530" s="1"/>
    </row>
    <row r="531" spans="2:25" x14ac:dyDescent="0.25">
      <c r="B531" s="1"/>
      <c r="Y531" s="1"/>
    </row>
    <row r="532" spans="2:25" x14ac:dyDescent="0.25">
      <c r="B532" s="1"/>
      <c r="Y532" s="1"/>
    </row>
    <row r="533" spans="2:25" x14ac:dyDescent="0.25">
      <c r="B533" s="1"/>
      <c r="Y533" s="1"/>
    </row>
    <row r="534" spans="2:25" x14ac:dyDescent="0.25">
      <c r="B534" s="1"/>
      <c r="Y534" s="1"/>
    </row>
    <row r="535" spans="2:25" x14ac:dyDescent="0.25">
      <c r="B535" s="1"/>
      <c r="Y535" s="1"/>
    </row>
    <row r="536" spans="2:25" x14ac:dyDescent="0.25">
      <c r="B536" s="1"/>
      <c r="Y536" s="1"/>
    </row>
    <row r="537" spans="2:25" x14ac:dyDescent="0.25">
      <c r="B537" s="1"/>
      <c r="Y537" s="1"/>
    </row>
    <row r="538" spans="2:25" x14ac:dyDescent="0.25">
      <c r="B538" s="1"/>
      <c r="Y538" s="1"/>
    </row>
    <row r="539" spans="2:25" x14ac:dyDescent="0.25">
      <c r="B539" s="1"/>
      <c r="Y539" s="1"/>
    </row>
    <row r="540" spans="2:25" x14ac:dyDescent="0.25">
      <c r="B540" s="1"/>
      <c r="Y540" s="1"/>
    </row>
    <row r="541" spans="2:25" x14ac:dyDescent="0.25">
      <c r="B541" s="1"/>
      <c r="Y541" s="1"/>
    </row>
    <row r="542" spans="2:25" x14ac:dyDescent="0.25">
      <c r="B542" s="1"/>
      <c r="Y542" s="1"/>
    </row>
    <row r="543" spans="2:25" x14ac:dyDescent="0.25">
      <c r="B543" s="1"/>
      <c r="Y543" s="1"/>
    </row>
    <row r="544" spans="2:25" x14ac:dyDescent="0.25">
      <c r="B544" s="1"/>
      <c r="Y544" s="1"/>
    </row>
    <row r="545" spans="2:25" x14ac:dyDescent="0.25">
      <c r="B545" s="1"/>
      <c r="Y545" s="1"/>
    </row>
    <row r="546" spans="2:25" x14ac:dyDescent="0.25">
      <c r="B546" s="1"/>
      <c r="Y546" s="1"/>
    </row>
    <row r="547" spans="2:25" x14ac:dyDescent="0.25">
      <c r="B547" s="1"/>
      <c r="Y547" s="1"/>
    </row>
    <row r="548" spans="2:25" x14ac:dyDescent="0.25">
      <c r="B548" s="1"/>
      <c r="Y548" s="1"/>
    </row>
    <row r="549" spans="2:25" x14ac:dyDescent="0.25">
      <c r="B549" s="1"/>
      <c r="Y549" s="1"/>
    </row>
    <row r="550" spans="2:25" x14ac:dyDescent="0.25">
      <c r="B550" s="1"/>
      <c r="Y550" s="1"/>
    </row>
    <row r="551" spans="2:25" x14ac:dyDescent="0.25">
      <c r="B551" s="1"/>
      <c r="Y551" s="1"/>
    </row>
    <row r="552" spans="2:25" x14ac:dyDescent="0.25">
      <c r="B552" s="1"/>
      <c r="Y552" s="1"/>
    </row>
    <row r="553" spans="2:25" x14ac:dyDescent="0.25">
      <c r="B553" s="1"/>
      <c r="Y553" s="1"/>
    </row>
    <row r="554" spans="2:25" x14ac:dyDescent="0.25">
      <c r="B554" s="1"/>
      <c r="Y554" s="1"/>
    </row>
    <row r="555" spans="2:25" x14ac:dyDescent="0.25">
      <c r="B555" s="1"/>
      <c r="Y555" s="1"/>
    </row>
    <row r="556" spans="2:25" x14ac:dyDescent="0.25">
      <c r="B556" s="1"/>
      <c r="Y556" s="1"/>
    </row>
    <row r="557" spans="2:25" x14ac:dyDescent="0.25">
      <c r="B557" s="1"/>
      <c r="Y557" s="1"/>
    </row>
    <row r="558" spans="2:25" x14ac:dyDescent="0.25">
      <c r="B558" s="1"/>
      <c r="Y558" s="1"/>
    </row>
    <row r="559" spans="2:25" x14ac:dyDescent="0.25">
      <c r="B559" s="1"/>
      <c r="Y559" s="1"/>
    </row>
    <row r="560" spans="2:25" x14ac:dyDescent="0.25">
      <c r="B560" s="1"/>
      <c r="Y560" s="1"/>
    </row>
    <row r="561" spans="2:25" x14ac:dyDescent="0.25">
      <c r="B561" s="1"/>
      <c r="Y561" s="1"/>
    </row>
    <row r="562" spans="2:25" x14ac:dyDescent="0.25">
      <c r="B562" s="1"/>
      <c r="Y562" s="1"/>
    </row>
    <row r="563" spans="2:25" x14ac:dyDescent="0.25">
      <c r="B563" s="1"/>
      <c r="Y563" s="1"/>
    </row>
    <row r="564" spans="2:25" x14ac:dyDescent="0.25">
      <c r="B564" s="1"/>
      <c r="Y564" s="1"/>
    </row>
    <row r="565" spans="2:25" x14ac:dyDescent="0.25">
      <c r="B565" s="1"/>
      <c r="Y565" s="1"/>
    </row>
    <row r="566" spans="2:25" x14ac:dyDescent="0.25">
      <c r="B566" s="1"/>
      <c r="Y566" s="1"/>
    </row>
    <row r="567" spans="2:25" x14ac:dyDescent="0.25">
      <c r="B567" s="1"/>
      <c r="Y567" s="1"/>
    </row>
    <row r="568" spans="2:25" x14ac:dyDescent="0.25">
      <c r="B568" s="1"/>
      <c r="Y568" s="1"/>
    </row>
    <row r="569" spans="2:25" x14ac:dyDescent="0.25">
      <c r="B569" s="1"/>
      <c r="Y569" s="1"/>
    </row>
    <row r="570" spans="2:25" x14ac:dyDescent="0.25">
      <c r="B570" s="1"/>
      <c r="Y570" s="1"/>
    </row>
    <row r="571" spans="2:25" x14ac:dyDescent="0.25">
      <c r="B571" s="1"/>
      <c r="Y571" s="1"/>
    </row>
    <row r="572" spans="2:25" x14ac:dyDescent="0.25">
      <c r="B572" s="1"/>
      <c r="Y572" s="1"/>
    </row>
    <row r="573" spans="2:25" x14ac:dyDescent="0.25">
      <c r="B573" s="1"/>
      <c r="Y573" s="1"/>
    </row>
    <row r="574" spans="2:25" x14ac:dyDescent="0.25">
      <c r="B574" s="1"/>
      <c r="Y574" s="1"/>
    </row>
    <row r="575" spans="2:25" x14ac:dyDescent="0.25">
      <c r="B575" s="1"/>
      <c r="Y575" s="1"/>
    </row>
    <row r="576" spans="2:25" x14ac:dyDescent="0.25">
      <c r="B576" s="1"/>
      <c r="Y576" s="1"/>
    </row>
    <row r="577" spans="2:25" x14ac:dyDescent="0.25">
      <c r="B577" s="1"/>
      <c r="Y577" s="1"/>
    </row>
    <row r="578" spans="2:25" x14ac:dyDescent="0.25">
      <c r="B578" s="1"/>
      <c r="Y578" s="1"/>
    </row>
    <row r="579" spans="2:25" x14ac:dyDescent="0.25">
      <c r="B579" s="1"/>
      <c r="Y579" s="1"/>
    </row>
    <row r="580" spans="2:25" x14ac:dyDescent="0.25">
      <c r="B580" s="1"/>
      <c r="Y580" s="1"/>
    </row>
    <row r="581" spans="2:25" x14ac:dyDescent="0.25">
      <c r="B581" s="1"/>
      <c r="Y581" s="1"/>
    </row>
    <row r="582" spans="2:25" x14ac:dyDescent="0.25">
      <c r="B582" s="1"/>
      <c r="Y582" s="1"/>
    </row>
    <row r="583" spans="2:25" x14ac:dyDescent="0.25">
      <c r="B583" s="1"/>
      <c r="Y583" s="1"/>
    </row>
    <row r="584" spans="2:25" x14ac:dyDescent="0.25">
      <c r="B584" s="1"/>
      <c r="Y584" s="1"/>
    </row>
    <row r="585" spans="2:25" x14ac:dyDescent="0.25">
      <c r="B585" s="1"/>
      <c r="Y585" s="1"/>
    </row>
    <row r="586" spans="2:25" x14ac:dyDescent="0.25">
      <c r="B586" s="1"/>
      <c r="Y586" s="1"/>
    </row>
    <row r="587" spans="2:25" x14ac:dyDescent="0.25">
      <c r="B587" s="1"/>
      <c r="Y587" s="1"/>
    </row>
    <row r="588" spans="2:25" x14ac:dyDescent="0.25">
      <c r="B588" s="1"/>
      <c r="Y588" s="1"/>
    </row>
    <row r="589" spans="2:25" x14ac:dyDescent="0.25">
      <c r="B589" s="1"/>
      <c r="Y589" s="1"/>
    </row>
    <row r="590" spans="2:25" x14ac:dyDescent="0.25">
      <c r="B590" s="1"/>
      <c r="Y590" s="1"/>
    </row>
    <row r="591" spans="2:25" x14ac:dyDescent="0.25">
      <c r="B591" s="1"/>
      <c r="Y591" s="1"/>
    </row>
    <row r="592" spans="2:25" x14ac:dyDescent="0.25">
      <c r="B592" s="1"/>
      <c r="Y592" s="1"/>
    </row>
    <row r="593" spans="2:25" x14ac:dyDescent="0.25">
      <c r="B593" s="1"/>
      <c r="Y593" s="1"/>
    </row>
    <row r="594" spans="2:25" x14ac:dyDescent="0.25">
      <c r="B594" s="1"/>
      <c r="Y594" s="1"/>
    </row>
    <row r="595" spans="2:25" x14ac:dyDescent="0.25">
      <c r="B595" s="1"/>
      <c r="Y595" s="1"/>
    </row>
    <row r="596" spans="2:25" x14ac:dyDescent="0.25">
      <c r="B596" s="1"/>
      <c r="Y596" s="1"/>
    </row>
    <row r="597" spans="2:25" x14ac:dyDescent="0.25">
      <c r="B597" s="1"/>
      <c r="Y597" s="1"/>
    </row>
    <row r="598" spans="2:25" x14ac:dyDescent="0.25">
      <c r="B598" s="1"/>
      <c r="Y598" s="1"/>
    </row>
    <row r="599" spans="2:25" x14ac:dyDescent="0.25">
      <c r="B599" s="1"/>
      <c r="Y599" s="1"/>
    </row>
    <row r="600" spans="2:25" x14ac:dyDescent="0.25">
      <c r="B600" s="1"/>
      <c r="Y600" s="1"/>
    </row>
    <row r="601" spans="2:25" x14ac:dyDescent="0.25">
      <c r="B601" s="1"/>
      <c r="Y601" s="1"/>
    </row>
    <row r="602" spans="2:25" x14ac:dyDescent="0.25">
      <c r="B602" s="1"/>
      <c r="Y602" s="1"/>
    </row>
    <row r="603" spans="2:25" x14ac:dyDescent="0.25">
      <c r="B603" s="1"/>
      <c r="Y603" s="1"/>
    </row>
    <row r="604" spans="2:25" x14ac:dyDescent="0.25">
      <c r="B604" s="1"/>
      <c r="Y604" s="1"/>
    </row>
    <row r="605" spans="2:25" x14ac:dyDescent="0.25">
      <c r="B605" s="1"/>
      <c r="Y605" s="1"/>
    </row>
    <row r="606" spans="2:25" x14ac:dyDescent="0.25">
      <c r="B606" s="1"/>
      <c r="Y606" s="1"/>
    </row>
    <row r="607" spans="2:25" x14ac:dyDescent="0.25">
      <c r="B607" s="1"/>
      <c r="Y607" s="1"/>
    </row>
    <row r="608" spans="2:25" x14ac:dyDescent="0.25">
      <c r="B608" s="1"/>
      <c r="Y608" s="1"/>
    </row>
    <row r="609" spans="2:25" x14ac:dyDescent="0.25">
      <c r="B609" s="1"/>
      <c r="Y609" s="1"/>
    </row>
    <row r="610" spans="2:25" x14ac:dyDescent="0.25">
      <c r="B610" s="1"/>
      <c r="Y610" s="1"/>
    </row>
    <row r="611" spans="2:25" x14ac:dyDescent="0.25">
      <c r="B611" s="1"/>
      <c r="Y611" s="1"/>
    </row>
    <row r="612" spans="2:25" x14ac:dyDescent="0.25">
      <c r="B612" s="1"/>
      <c r="Y612" s="1"/>
    </row>
    <row r="613" spans="2:25" x14ac:dyDescent="0.25">
      <c r="B613" s="1"/>
      <c r="Y613" s="1"/>
    </row>
    <row r="614" spans="2:25" x14ac:dyDescent="0.25">
      <c r="B614" s="1"/>
      <c r="Y614" s="1"/>
    </row>
    <row r="615" spans="2:25" x14ac:dyDescent="0.25">
      <c r="B615" s="1"/>
      <c r="Y615" s="1"/>
    </row>
    <row r="616" spans="2:25" x14ac:dyDescent="0.25">
      <c r="B616" s="1"/>
      <c r="Y616" s="1"/>
    </row>
    <row r="617" spans="2:25" x14ac:dyDescent="0.25">
      <c r="B617" s="1"/>
      <c r="Y617" s="1"/>
    </row>
    <row r="618" spans="2:25" x14ac:dyDescent="0.25">
      <c r="B618" s="1"/>
      <c r="Y618" s="1"/>
    </row>
    <row r="619" spans="2:25" x14ac:dyDescent="0.25">
      <c r="B619" s="1"/>
      <c r="Y619" s="1"/>
    </row>
    <row r="620" spans="2:25" x14ac:dyDescent="0.25">
      <c r="B620" s="1"/>
      <c r="Y620" s="1"/>
    </row>
    <row r="621" spans="2:25" x14ac:dyDescent="0.25">
      <c r="B621" s="1"/>
      <c r="Y621" s="1"/>
    </row>
    <row r="622" spans="2:25" x14ac:dyDescent="0.25">
      <c r="B622" s="1"/>
      <c r="Y622" s="1"/>
    </row>
    <row r="623" spans="2:25" x14ac:dyDescent="0.25">
      <c r="B623" s="1"/>
      <c r="Y623" s="1"/>
    </row>
    <row r="624" spans="2:25" x14ac:dyDescent="0.25">
      <c r="B624" s="1"/>
      <c r="Y624" s="1"/>
    </row>
    <row r="625" spans="2:25" x14ac:dyDescent="0.25">
      <c r="B625" s="1"/>
      <c r="Y625" s="1"/>
    </row>
    <row r="626" spans="2:25" x14ac:dyDescent="0.25">
      <c r="B626" s="1"/>
      <c r="Y626" s="1"/>
    </row>
    <row r="627" spans="2:25" x14ac:dyDescent="0.25">
      <c r="B627" s="1"/>
      <c r="Y627" s="1"/>
    </row>
    <row r="628" spans="2:25" x14ac:dyDescent="0.25">
      <c r="B628" s="1"/>
      <c r="Y628" s="1"/>
    </row>
    <row r="629" spans="2:25" x14ac:dyDescent="0.25">
      <c r="B629" s="1"/>
      <c r="Y629" s="1"/>
    </row>
    <row r="630" spans="2:25" x14ac:dyDescent="0.25">
      <c r="B630" s="1"/>
      <c r="Y630" s="1"/>
    </row>
    <row r="631" spans="2:25" x14ac:dyDescent="0.25">
      <c r="B631" s="1"/>
      <c r="Y631" s="1"/>
    </row>
    <row r="632" spans="2:25" x14ac:dyDescent="0.25">
      <c r="B632" s="1"/>
      <c r="Y632" s="1"/>
    </row>
    <row r="633" spans="2:25" x14ac:dyDescent="0.25">
      <c r="B633" s="1"/>
      <c r="Y633" s="1"/>
    </row>
    <row r="634" spans="2:25" x14ac:dyDescent="0.25">
      <c r="B634" s="1"/>
      <c r="Y634" s="1"/>
    </row>
    <row r="635" spans="2:25" x14ac:dyDescent="0.25">
      <c r="B635" s="1"/>
      <c r="Y635" s="1"/>
    </row>
    <row r="636" spans="2:25" x14ac:dyDescent="0.25">
      <c r="B636" s="1"/>
      <c r="Y636" s="1"/>
    </row>
    <row r="637" spans="2:25" x14ac:dyDescent="0.25">
      <c r="B637" s="1"/>
      <c r="Y637" s="1"/>
    </row>
    <row r="638" spans="2:25" x14ac:dyDescent="0.25">
      <c r="B638" s="1"/>
      <c r="Y638" s="1"/>
    </row>
    <row r="639" spans="2:25" x14ac:dyDescent="0.25">
      <c r="B639" s="1"/>
      <c r="Y639" s="1"/>
    </row>
    <row r="640" spans="2:25" x14ac:dyDescent="0.25">
      <c r="B640" s="1"/>
      <c r="Y640" s="1"/>
    </row>
    <row r="641" spans="2:25" x14ac:dyDescent="0.25">
      <c r="B641" s="1"/>
      <c r="Y641" s="1"/>
    </row>
    <row r="642" spans="2:25" x14ac:dyDescent="0.25">
      <c r="B642" s="1"/>
      <c r="Y642" s="1"/>
    </row>
    <row r="643" spans="2:25" x14ac:dyDescent="0.25">
      <c r="B643" s="1"/>
      <c r="Y643" s="1"/>
    </row>
    <row r="644" spans="2:25" x14ac:dyDescent="0.25">
      <c r="B644" s="1"/>
      <c r="Y644" s="1"/>
    </row>
    <row r="645" spans="2:25" x14ac:dyDescent="0.25">
      <c r="B645" s="1"/>
      <c r="Y645" s="1"/>
    </row>
    <row r="646" spans="2:25" x14ac:dyDescent="0.25">
      <c r="B646" s="1"/>
      <c r="Y646" s="1"/>
    </row>
    <row r="647" spans="2:25" x14ac:dyDescent="0.25">
      <c r="B647" s="1"/>
      <c r="Y647" s="1"/>
    </row>
    <row r="648" spans="2:25" x14ac:dyDescent="0.25">
      <c r="B648" s="1"/>
      <c r="Y648" s="1"/>
    </row>
    <row r="649" spans="2:25" x14ac:dyDescent="0.25">
      <c r="B649" s="1"/>
      <c r="Y649" s="1"/>
    </row>
    <row r="650" spans="2:25" x14ac:dyDescent="0.25">
      <c r="B650" s="1"/>
      <c r="Y650" s="1"/>
    </row>
    <row r="651" spans="2:25" x14ac:dyDescent="0.25">
      <c r="B651" s="1"/>
      <c r="Y651" s="1"/>
    </row>
    <row r="652" spans="2:25" x14ac:dyDescent="0.25">
      <c r="B652" s="1"/>
      <c r="Y652" s="1"/>
    </row>
    <row r="653" spans="2:25" x14ac:dyDescent="0.25">
      <c r="B653" s="1"/>
      <c r="Y653" s="1"/>
    </row>
    <row r="654" spans="2:25" x14ac:dyDescent="0.25">
      <c r="B654" s="1"/>
      <c r="Y654" s="1"/>
    </row>
    <row r="655" spans="2:25" x14ac:dyDescent="0.25">
      <c r="B655" s="1"/>
      <c r="Y655" s="1"/>
    </row>
    <row r="656" spans="2:25" x14ac:dyDescent="0.25">
      <c r="B656" s="1"/>
      <c r="Y656" s="1"/>
    </row>
    <row r="657" spans="2:25" x14ac:dyDescent="0.25">
      <c r="B657" s="1"/>
      <c r="Y657" s="1"/>
    </row>
    <row r="658" spans="2:25" x14ac:dyDescent="0.25">
      <c r="B658" s="1"/>
      <c r="Y658" s="1"/>
    </row>
    <row r="659" spans="2:25" x14ac:dyDescent="0.25">
      <c r="B659" s="1"/>
      <c r="Y659" s="1"/>
    </row>
    <row r="660" spans="2:25" x14ac:dyDescent="0.25">
      <c r="B660" s="1"/>
      <c r="Y660" s="1"/>
    </row>
    <row r="661" spans="2:25" x14ac:dyDescent="0.25">
      <c r="B661" s="1"/>
      <c r="Y661" s="1"/>
    </row>
    <row r="662" spans="2:25" x14ac:dyDescent="0.25">
      <c r="B662" s="1"/>
      <c r="Y662" s="1"/>
    </row>
    <row r="663" spans="2:25" x14ac:dyDescent="0.25">
      <c r="B663" s="1"/>
      <c r="Y663" s="1"/>
    </row>
    <row r="664" spans="2:25" x14ac:dyDescent="0.25">
      <c r="B664" s="1"/>
      <c r="Y664" s="1"/>
    </row>
    <row r="665" spans="2:25" x14ac:dyDescent="0.25">
      <c r="B665" s="1"/>
      <c r="Y665" s="1"/>
    </row>
    <row r="666" spans="2:25" x14ac:dyDescent="0.25">
      <c r="B666" s="1"/>
      <c r="Y666" s="1"/>
    </row>
    <row r="667" spans="2:25" x14ac:dyDescent="0.25">
      <c r="B667" s="1"/>
      <c r="Y667" s="1"/>
    </row>
    <row r="668" spans="2:25" x14ac:dyDescent="0.25">
      <c r="B668" s="1"/>
      <c r="Y668" s="1"/>
    </row>
    <row r="669" spans="2:25" x14ac:dyDescent="0.25">
      <c r="B669" s="1"/>
      <c r="Y669" s="1"/>
    </row>
    <row r="670" spans="2:25" x14ac:dyDescent="0.25">
      <c r="B670" s="1"/>
      <c r="Y670" s="1"/>
    </row>
    <row r="671" spans="2:25" x14ac:dyDescent="0.25">
      <c r="B671" s="1"/>
      <c r="Y671" s="1"/>
    </row>
    <row r="672" spans="2:25" x14ac:dyDescent="0.25">
      <c r="B672" s="1"/>
      <c r="Y672" s="1"/>
    </row>
    <row r="673" spans="2:25" x14ac:dyDescent="0.25">
      <c r="B673" s="1"/>
      <c r="Y673" s="1"/>
    </row>
  </sheetData>
  <phoneticPr fontId="1" type="noConversion"/>
  <conditionalFormatting sqref="J2:J169">
    <cfRule type="cellIs" dxfId="9" priority="6" operator="greaterThan">
      <formula>1</formula>
    </cfRule>
  </conditionalFormatting>
  <conditionalFormatting sqref="N2:N169">
    <cfRule type="cellIs" dxfId="8" priority="5" operator="greaterThan">
      <formula>1</formula>
    </cfRule>
  </conditionalFormatting>
  <conditionalFormatting sqref="R2:R169">
    <cfRule type="cellIs" dxfId="7" priority="4" operator="greaterThan">
      <formula>1</formula>
    </cfRule>
  </conditionalFormatting>
  <conditionalFormatting sqref="V2:V169">
    <cfRule type="cellIs" dxfId="6" priority="3" operator="greaterThan">
      <formula>1</formula>
    </cfRule>
  </conditionalFormatting>
  <conditionalFormatting sqref="AG2:AG169">
    <cfRule type="cellIs" dxfId="5" priority="2" operator="greaterThan">
      <formula>1</formula>
    </cfRule>
  </conditionalFormatting>
  <conditionalFormatting sqref="AK2:AK169">
    <cfRule type="cellIs" dxfId="4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I673"/>
  <sheetViews>
    <sheetView tabSelected="1" workbookViewId="0">
      <selection activeCell="P87" sqref="P87:P94"/>
    </sheetView>
  </sheetViews>
  <sheetFormatPr defaultRowHeight="13.8" x14ac:dyDescent="0.25"/>
  <cols>
    <col min="1" max="1" width="9.5546875" customWidth="1"/>
    <col min="3" max="3" width="12.21875" bestFit="1" customWidth="1"/>
    <col min="4" max="4" width="10.21875" bestFit="1" customWidth="1"/>
    <col min="12" max="12" width="12.21875" bestFit="1" customWidth="1"/>
    <col min="13" max="13" width="12.21875" customWidth="1"/>
  </cols>
  <sheetData>
    <row r="1" spans="3:35" x14ac:dyDescent="0.25">
      <c r="D1" t="s">
        <v>0</v>
      </c>
      <c r="E1" t="s">
        <v>1</v>
      </c>
      <c r="F1" t="s">
        <v>4</v>
      </c>
      <c r="G1" t="s">
        <v>2</v>
      </c>
      <c r="H1" t="s">
        <v>3</v>
      </c>
      <c r="I1" s="41" t="s">
        <v>273</v>
      </c>
      <c r="J1" t="s">
        <v>281</v>
      </c>
      <c r="K1" t="s">
        <v>280</v>
      </c>
      <c r="M1" s="41" t="s">
        <v>274</v>
      </c>
      <c r="N1" t="s">
        <v>281</v>
      </c>
      <c r="O1" t="s">
        <v>280</v>
      </c>
      <c r="Q1" s="41" t="s">
        <v>275</v>
      </c>
      <c r="R1" t="s">
        <v>281</v>
      </c>
      <c r="S1" t="s">
        <v>280</v>
      </c>
      <c r="U1" s="41" t="s">
        <v>276</v>
      </c>
      <c r="V1" t="s">
        <v>281</v>
      </c>
      <c r="W1" t="s">
        <v>280</v>
      </c>
      <c r="AB1" t="s">
        <v>282</v>
      </c>
      <c r="AC1" t="s">
        <v>281</v>
      </c>
      <c r="AD1" t="s">
        <v>280</v>
      </c>
      <c r="AF1" t="s">
        <v>283</v>
      </c>
      <c r="AG1" t="s">
        <v>281</v>
      </c>
      <c r="AH1" t="s">
        <v>280</v>
      </c>
    </row>
    <row r="2" spans="3:35" x14ac:dyDescent="0.25">
      <c r="C2" t="s">
        <v>5</v>
      </c>
      <c r="D2">
        <v>1</v>
      </c>
      <c r="E2">
        <v>128</v>
      </c>
      <c r="F2">
        <v>64</v>
      </c>
      <c r="G2">
        <v>28</v>
      </c>
      <c r="H2">
        <v>4</v>
      </c>
      <c r="J2">
        <v>4.3327999999999998E-2</v>
      </c>
      <c r="K2">
        <v>4.3200000000000002E-2</v>
      </c>
      <c r="L2" s="4">
        <f>K2/J2</f>
        <v>0.99704579025110796</v>
      </c>
      <c r="M2" s="4"/>
      <c r="N2">
        <v>4.3968E-2</v>
      </c>
      <c r="O2">
        <v>4.4159999999999998E-2</v>
      </c>
      <c r="P2" s="4">
        <f t="shared" ref="P2" si="0">O2/N2</f>
        <v>1.0043668122270741</v>
      </c>
      <c r="R2">
        <v>4.4608000000000002E-2</v>
      </c>
      <c r="S2">
        <v>4.48E-2</v>
      </c>
      <c r="T2" s="4">
        <f t="shared" ref="T2:T50" si="1">S2/R2</f>
        <v>1.0043041606886656</v>
      </c>
      <c r="V2">
        <v>4.4608000000000002E-2</v>
      </c>
      <c r="W2">
        <v>4.5184000000000002E-2</v>
      </c>
      <c r="X2" s="4">
        <f t="shared" ref="X2:X65" si="2">W2/V2</f>
        <v>1.0129124820659972</v>
      </c>
      <c r="AC2">
        <v>7.4048000000000003E-2</v>
      </c>
      <c r="AD2">
        <v>7.1295999999999998E-2</v>
      </c>
      <c r="AE2" s="4">
        <f>AD2/AC2</f>
        <v>0.96283491789109765</v>
      </c>
      <c r="AG2">
        <v>7.1615999999999999E-2</v>
      </c>
      <c r="AH2">
        <v>6.9888000000000006E-2</v>
      </c>
      <c r="AI2" s="4">
        <f>AH2/AG2</f>
        <v>0.97587131367292235</v>
      </c>
    </row>
    <row r="3" spans="3:35" x14ac:dyDescent="0.25">
      <c r="C3" t="s">
        <v>5</v>
      </c>
      <c r="D3">
        <v>2</v>
      </c>
      <c r="E3">
        <v>128</v>
      </c>
      <c r="F3">
        <v>64</v>
      </c>
      <c r="G3">
        <v>28</v>
      </c>
      <c r="H3">
        <v>4</v>
      </c>
      <c r="J3">
        <v>4.3968E-2</v>
      </c>
      <c r="K3">
        <v>4.3007999999999998E-2</v>
      </c>
      <c r="L3" s="4">
        <f t="shared" ref="L3:L66" si="3">K3/J3</f>
        <v>0.97816593886462877</v>
      </c>
      <c r="M3" s="4"/>
      <c r="N3">
        <v>4.4735999999999998E-2</v>
      </c>
      <c r="O3">
        <v>4.3968E-2</v>
      </c>
      <c r="P3" s="4">
        <f t="shared" ref="P3:P26" si="4">O3/N3</f>
        <v>0.98283261802575117</v>
      </c>
      <c r="R3">
        <v>4.4096000000000003E-2</v>
      </c>
      <c r="S3">
        <v>4.4479999999999999E-2</v>
      </c>
      <c r="T3" s="4">
        <f t="shared" si="1"/>
        <v>1.008708272859216</v>
      </c>
      <c r="V3">
        <v>4.5055999999999999E-2</v>
      </c>
      <c r="W3">
        <v>4.5823999999999997E-2</v>
      </c>
      <c r="X3" s="4">
        <f t="shared" si="2"/>
        <v>1.0170454545454546</v>
      </c>
      <c r="AC3">
        <v>7.3663999999999993E-2</v>
      </c>
      <c r="AD3">
        <v>7.1040000000000006E-2</v>
      </c>
      <c r="AE3" s="4">
        <f t="shared" ref="AE3:AE66" si="5">AD3/AC3</f>
        <v>0.9643788010425719</v>
      </c>
      <c r="AG3">
        <v>7.2319999999999995E-2</v>
      </c>
      <c r="AH3">
        <v>7.0272000000000001E-2</v>
      </c>
      <c r="AI3" s="4">
        <f t="shared" ref="AI3:AI66" si="6">AH3/AG3</f>
        <v>0.97168141592920365</v>
      </c>
    </row>
    <row r="4" spans="3:35" x14ac:dyDescent="0.25">
      <c r="C4" t="s">
        <v>5</v>
      </c>
      <c r="D4">
        <v>4</v>
      </c>
      <c r="E4">
        <v>128</v>
      </c>
      <c r="F4">
        <v>64</v>
      </c>
      <c r="G4">
        <v>28</v>
      </c>
      <c r="H4">
        <v>4</v>
      </c>
      <c r="J4">
        <v>4.3903999999999999E-2</v>
      </c>
      <c r="K4">
        <v>4.1855999999999997E-2</v>
      </c>
      <c r="L4" s="4">
        <f t="shared" si="3"/>
        <v>0.95335276967930027</v>
      </c>
      <c r="M4" s="4"/>
      <c r="N4">
        <v>4.4288000000000001E-2</v>
      </c>
      <c r="O4">
        <v>4.3263999999999997E-2</v>
      </c>
      <c r="P4" s="4">
        <f t="shared" si="4"/>
        <v>0.97687861271676291</v>
      </c>
      <c r="R4">
        <v>4.3712000000000001E-2</v>
      </c>
      <c r="S4">
        <v>4.4288000000000001E-2</v>
      </c>
      <c r="T4" s="4">
        <f t="shared" si="1"/>
        <v>1.0131771595900438</v>
      </c>
      <c r="V4">
        <v>4.4159999999999998E-2</v>
      </c>
      <c r="W4">
        <v>4.4991999999999997E-2</v>
      </c>
      <c r="X4" s="4">
        <f t="shared" si="2"/>
        <v>1.018840579710145</v>
      </c>
      <c r="AC4">
        <v>6.9375999999999993E-2</v>
      </c>
      <c r="AD4">
        <v>6.6432000000000005E-2</v>
      </c>
      <c r="AE4" s="4">
        <f t="shared" si="5"/>
        <v>0.95756457564575659</v>
      </c>
      <c r="AG4">
        <v>7.0080000000000003E-2</v>
      </c>
      <c r="AH4">
        <v>6.7711999999999994E-2</v>
      </c>
      <c r="AI4" s="4">
        <f t="shared" si="6"/>
        <v>0.96621004566210034</v>
      </c>
    </row>
    <row r="5" spans="3:35" x14ac:dyDescent="0.25">
      <c r="C5" t="s">
        <v>5</v>
      </c>
      <c r="D5">
        <v>8</v>
      </c>
      <c r="E5">
        <v>128</v>
      </c>
      <c r="F5">
        <v>64</v>
      </c>
      <c r="G5">
        <v>28</v>
      </c>
      <c r="H5">
        <v>4</v>
      </c>
      <c r="J5">
        <v>5.0111999999999997E-2</v>
      </c>
      <c r="K5">
        <v>4.8767999999999999E-2</v>
      </c>
      <c r="L5" s="4">
        <f t="shared" si="3"/>
        <v>0.97318007662835249</v>
      </c>
      <c r="M5" s="4"/>
      <c r="N5">
        <v>5.2479999999999999E-2</v>
      </c>
      <c r="O5">
        <v>5.0560000000000001E-2</v>
      </c>
      <c r="P5" s="4">
        <f t="shared" si="4"/>
        <v>0.96341463414634154</v>
      </c>
      <c r="R5">
        <v>5.1456000000000002E-2</v>
      </c>
      <c r="S5">
        <v>5.1839999999999997E-2</v>
      </c>
      <c r="T5" s="4">
        <f t="shared" si="1"/>
        <v>1.0074626865671641</v>
      </c>
      <c r="V5">
        <v>5.2352000000000003E-2</v>
      </c>
      <c r="W5">
        <v>5.3184000000000002E-2</v>
      </c>
      <c r="X5" s="4">
        <f t="shared" si="2"/>
        <v>1.0158924205378972</v>
      </c>
      <c r="AC5">
        <v>8.5503999999999997E-2</v>
      </c>
      <c r="AD5">
        <v>8.1600000000000006E-2</v>
      </c>
      <c r="AE5" s="4">
        <f t="shared" si="5"/>
        <v>0.95434131736526961</v>
      </c>
      <c r="AG5">
        <v>8.6720000000000005E-2</v>
      </c>
      <c r="AH5">
        <v>8.4096000000000004E-2</v>
      </c>
      <c r="AI5" s="4">
        <f t="shared" si="6"/>
        <v>0.96974169741697414</v>
      </c>
    </row>
    <row r="6" spans="3:35" x14ac:dyDescent="0.25">
      <c r="C6" t="s">
        <v>5</v>
      </c>
      <c r="D6">
        <v>16</v>
      </c>
      <c r="E6">
        <v>128</v>
      </c>
      <c r="F6">
        <v>64</v>
      </c>
      <c r="G6">
        <v>28</v>
      </c>
      <c r="H6">
        <v>4</v>
      </c>
      <c r="J6">
        <v>6.3168000000000002E-2</v>
      </c>
      <c r="K6">
        <v>6.2336000000000003E-2</v>
      </c>
      <c r="L6" s="4">
        <f t="shared" si="3"/>
        <v>0.98682877406281666</v>
      </c>
      <c r="M6" s="4"/>
      <c r="N6">
        <v>6.6367999999999996E-2</v>
      </c>
      <c r="O6">
        <v>6.5600000000000006E-2</v>
      </c>
      <c r="P6" s="4">
        <f t="shared" si="4"/>
        <v>0.98842815814850549</v>
      </c>
      <c r="R6">
        <v>6.5792000000000003E-2</v>
      </c>
      <c r="S6">
        <v>6.5664E-2</v>
      </c>
      <c r="T6" s="4">
        <f t="shared" si="1"/>
        <v>0.99805447470817121</v>
      </c>
      <c r="V6">
        <v>6.8608000000000002E-2</v>
      </c>
      <c r="W6">
        <v>6.8351999999999996E-2</v>
      </c>
      <c r="X6" s="4">
        <f t="shared" si="2"/>
        <v>0.99626865671641784</v>
      </c>
      <c r="AC6">
        <v>0.119744</v>
      </c>
      <c r="AD6">
        <v>0.111488</v>
      </c>
      <c r="AE6" s="4">
        <f t="shared" si="5"/>
        <v>0.93105291288081238</v>
      </c>
      <c r="AG6">
        <v>0.119616</v>
      </c>
      <c r="AH6">
        <v>0.11584</v>
      </c>
      <c r="AI6" s="4">
        <f t="shared" si="6"/>
        <v>0.96843231674692343</v>
      </c>
    </row>
    <row r="7" spans="3:35" x14ac:dyDescent="0.25">
      <c r="C7" t="s">
        <v>5</v>
      </c>
      <c r="D7">
        <v>32</v>
      </c>
      <c r="E7">
        <v>128</v>
      </c>
      <c r="F7">
        <v>64</v>
      </c>
      <c r="G7">
        <v>28</v>
      </c>
      <c r="H7">
        <v>4</v>
      </c>
      <c r="J7">
        <v>9.0751999999999999E-2</v>
      </c>
      <c r="K7">
        <v>8.9599999999999999E-2</v>
      </c>
      <c r="L7" s="4">
        <f t="shared" si="3"/>
        <v>0.98730606488011285</v>
      </c>
      <c r="M7" s="4"/>
      <c r="N7">
        <v>9.7535999999999998E-2</v>
      </c>
      <c r="O7">
        <v>9.6895999999999996E-2</v>
      </c>
      <c r="P7" s="4">
        <f t="shared" si="4"/>
        <v>0.99343832020997369</v>
      </c>
      <c r="R7">
        <v>9.4848000000000002E-2</v>
      </c>
      <c r="S7">
        <v>9.4079999999999997E-2</v>
      </c>
      <c r="T7" s="4">
        <f t="shared" si="1"/>
        <v>0.99190283400809709</v>
      </c>
      <c r="V7">
        <v>0.101312</v>
      </c>
      <c r="W7">
        <v>0.100608</v>
      </c>
      <c r="X7" s="4">
        <f t="shared" si="2"/>
        <v>0.99305116866708787</v>
      </c>
      <c r="AC7">
        <v>0.18419199999999999</v>
      </c>
      <c r="AD7">
        <v>0.17926400000000001</v>
      </c>
      <c r="AE7" s="4">
        <f t="shared" si="5"/>
        <v>0.97324530924252961</v>
      </c>
      <c r="AG7">
        <v>0.18662400000000001</v>
      </c>
      <c r="AH7">
        <v>0.181312</v>
      </c>
      <c r="AI7" s="4">
        <f t="shared" si="6"/>
        <v>0.97153635116598069</v>
      </c>
    </row>
    <row r="8" spans="3:35" x14ac:dyDescent="0.25">
      <c r="C8" t="s">
        <v>5</v>
      </c>
      <c r="D8">
        <v>64</v>
      </c>
      <c r="E8">
        <v>128</v>
      </c>
      <c r="F8">
        <v>64</v>
      </c>
      <c r="G8">
        <v>28</v>
      </c>
      <c r="H8">
        <v>4</v>
      </c>
      <c r="J8">
        <v>0.145344</v>
      </c>
      <c r="K8">
        <v>0.14176</v>
      </c>
      <c r="L8" s="4">
        <f t="shared" si="3"/>
        <v>0.97534125935711136</v>
      </c>
      <c r="M8" s="4"/>
      <c r="N8">
        <v>0.16275200000000001</v>
      </c>
      <c r="O8">
        <v>0.15993599999999999</v>
      </c>
      <c r="P8" s="4">
        <f t="shared" si="4"/>
        <v>0.98269760125835615</v>
      </c>
      <c r="R8">
        <v>0.151808</v>
      </c>
      <c r="S8">
        <v>0.146624</v>
      </c>
      <c r="T8" s="4">
        <f t="shared" si="1"/>
        <v>0.96585160202360876</v>
      </c>
      <c r="V8">
        <v>0.165632</v>
      </c>
      <c r="W8">
        <v>0.163136</v>
      </c>
      <c r="X8" s="4">
        <f t="shared" si="2"/>
        <v>0.9849304482225657</v>
      </c>
      <c r="AC8">
        <v>0.32633600000000001</v>
      </c>
      <c r="AD8">
        <v>0.31027199999999999</v>
      </c>
      <c r="AE8" s="4">
        <f t="shared" si="5"/>
        <v>0.95077466169837221</v>
      </c>
      <c r="AG8">
        <v>0.32908799999999999</v>
      </c>
      <c r="AH8">
        <v>0.31059199999999998</v>
      </c>
      <c r="AI8" s="4">
        <f t="shared" si="6"/>
        <v>0.94379618825359779</v>
      </c>
    </row>
    <row r="9" spans="3:35" x14ac:dyDescent="0.25">
      <c r="C9" t="s">
        <v>5</v>
      </c>
      <c r="D9">
        <v>1</v>
      </c>
      <c r="E9">
        <v>128</v>
      </c>
      <c r="F9">
        <v>128</v>
      </c>
      <c r="G9">
        <v>28</v>
      </c>
      <c r="H9">
        <v>4</v>
      </c>
      <c r="J9">
        <v>4.3903999999999999E-2</v>
      </c>
      <c r="K9">
        <v>4.4223999999999999E-2</v>
      </c>
      <c r="L9" s="4">
        <f t="shared" si="3"/>
        <v>1.0072886297376094</v>
      </c>
      <c r="M9" s="4"/>
      <c r="N9">
        <v>4.5760000000000002E-2</v>
      </c>
      <c r="O9">
        <v>4.5440000000000001E-2</v>
      </c>
      <c r="P9" s="4">
        <f t="shared" si="4"/>
        <v>0.99300699300699302</v>
      </c>
      <c r="R9">
        <v>4.4864000000000001E-2</v>
      </c>
      <c r="S9">
        <v>4.5760000000000002E-2</v>
      </c>
      <c r="T9" s="4">
        <f t="shared" si="1"/>
        <v>1.0199714693295292</v>
      </c>
      <c r="V9">
        <v>4.768E-2</v>
      </c>
      <c r="W9">
        <v>4.7359999999999999E-2</v>
      </c>
      <c r="X9" s="4">
        <f t="shared" si="2"/>
        <v>0.99328859060402686</v>
      </c>
      <c r="AC9">
        <v>7.1679999999999994E-2</v>
      </c>
      <c r="AD9">
        <v>7.0655999999999997E-2</v>
      </c>
      <c r="AE9" s="4">
        <f t="shared" si="5"/>
        <v>0.98571428571428577</v>
      </c>
      <c r="AG9">
        <v>7.2959999999999997E-2</v>
      </c>
      <c r="AH9">
        <v>7.0592000000000002E-2</v>
      </c>
      <c r="AI9" s="4">
        <f t="shared" si="6"/>
        <v>0.96754385964912293</v>
      </c>
    </row>
    <row r="10" spans="3:35" x14ac:dyDescent="0.25">
      <c r="C10" t="s">
        <v>5</v>
      </c>
      <c r="D10">
        <v>2</v>
      </c>
      <c r="E10">
        <v>128</v>
      </c>
      <c r="F10">
        <v>128</v>
      </c>
      <c r="G10">
        <v>28</v>
      </c>
      <c r="H10">
        <v>4</v>
      </c>
      <c r="J10">
        <v>4.4223999999999999E-2</v>
      </c>
      <c r="K10">
        <v>4.4223999999999999E-2</v>
      </c>
      <c r="L10" s="4">
        <f t="shared" si="3"/>
        <v>1</v>
      </c>
      <c r="M10" s="4"/>
      <c r="N10">
        <v>4.5952E-2</v>
      </c>
      <c r="O10">
        <v>4.5504000000000003E-2</v>
      </c>
      <c r="P10" s="4">
        <f t="shared" si="4"/>
        <v>0.99025069637883012</v>
      </c>
      <c r="R10">
        <v>4.5504000000000003E-2</v>
      </c>
      <c r="S10">
        <v>4.6080000000000003E-2</v>
      </c>
      <c r="T10" s="4">
        <f t="shared" si="1"/>
        <v>1.0126582278481013</v>
      </c>
      <c r="V10">
        <v>4.7744000000000002E-2</v>
      </c>
      <c r="W10">
        <v>4.7295999999999998E-2</v>
      </c>
      <c r="X10" s="4">
        <f t="shared" si="2"/>
        <v>0.99061662198391409</v>
      </c>
      <c r="AC10">
        <v>7.1807999999999997E-2</v>
      </c>
      <c r="AD10">
        <v>7.0975999999999997E-2</v>
      </c>
      <c r="AE10" s="4">
        <f t="shared" si="5"/>
        <v>0.98841354723707664</v>
      </c>
      <c r="AG10">
        <v>7.3408000000000001E-2</v>
      </c>
      <c r="AH10">
        <v>7.1104000000000001E-2</v>
      </c>
      <c r="AI10" s="4">
        <f t="shared" si="6"/>
        <v>0.96861377506538793</v>
      </c>
    </row>
    <row r="11" spans="3:35" x14ac:dyDescent="0.25">
      <c r="C11" t="s">
        <v>5</v>
      </c>
      <c r="D11">
        <v>4</v>
      </c>
      <c r="E11">
        <v>128</v>
      </c>
      <c r="F11">
        <v>128</v>
      </c>
      <c r="G11">
        <v>28</v>
      </c>
      <c r="H11">
        <v>4</v>
      </c>
      <c r="J11">
        <v>4.4096000000000003E-2</v>
      </c>
      <c r="K11">
        <v>4.3071999999999999E-2</v>
      </c>
      <c r="L11" s="4">
        <f t="shared" si="3"/>
        <v>0.97677793904208987</v>
      </c>
      <c r="M11" s="4"/>
      <c r="N11">
        <v>4.5376E-2</v>
      </c>
      <c r="O11">
        <v>4.5055999999999999E-2</v>
      </c>
      <c r="P11" s="4">
        <f t="shared" si="4"/>
        <v>0.99294781382228492</v>
      </c>
      <c r="R11">
        <v>4.5055999999999999E-2</v>
      </c>
      <c r="S11">
        <v>4.5823999999999997E-2</v>
      </c>
      <c r="T11" s="4">
        <f t="shared" si="1"/>
        <v>1.0170454545454546</v>
      </c>
      <c r="V11">
        <v>4.7359999999999999E-2</v>
      </c>
      <c r="W11">
        <v>4.7104E-2</v>
      </c>
      <c r="X11" s="4">
        <f t="shared" si="2"/>
        <v>0.99459459459459465</v>
      </c>
      <c r="AC11">
        <v>6.7584000000000005E-2</v>
      </c>
      <c r="AD11">
        <v>6.6496E-2</v>
      </c>
      <c r="AE11" s="4">
        <f t="shared" si="5"/>
        <v>0.98390151515151503</v>
      </c>
      <c r="AG11">
        <v>7.1167999999999995E-2</v>
      </c>
      <c r="AH11">
        <v>6.9440000000000002E-2</v>
      </c>
      <c r="AI11" s="4">
        <f t="shared" si="6"/>
        <v>0.97571942446043169</v>
      </c>
    </row>
    <row r="12" spans="3:35" x14ac:dyDescent="0.25">
      <c r="C12" t="s">
        <v>5</v>
      </c>
      <c r="D12">
        <v>8</v>
      </c>
      <c r="E12">
        <v>128</v>
      </c>
      <c r="F12">
        <v>128</v>
      </c>
      <c r="G12">
        <v>28</v>
      </c>
      <c r="H12">
        <v>4</v>
      </c>
      <c r="J12">
        <v>5.1776000000000003E-2</v>
      </c>
      <c r="K12">
        <v>5.1136000000000001E-2</v>
      </c>
      <c r="L12" s="4">
        <f t="shared" si="3"/>
        <v>0.98763906056860318</v>
      </c>
      <c r="M12" s="4"/>
      <c r="N12">
        <v>5.4463999999999999E-2</v>
      </c>
      <c r="O12">
        <v>5.3887999999999998E-2</v>
      </c>
      <c r="P12" s="4">
        <f t="shared" si="4"/>
        <v>0.98942420681551113</v>
      </c>
      <c r="R12">
        <v>5.3311999999999998E-2</v>
      </c>
      <c r="S12">
        <v>5.4463999999999999E-2</v>
      </c>
      <c r="T12" s="4">
        <f t="shared" si="1"/>
        <v>1.021608643457383</v>
      </c>
      <c r="V12">
        <v>5.5936E-2</v>
      </c>
      <c r="W12">
        <v>5.6256E-2</v>
      </c>
      <c r="X12" s="4">
        <f t="shared" si="2"/>
        <v>1.005720823798627</v>
      </c>
      <c r="AC12">
        <v>8.3904000000000006E-2</v>
      </c>
      <c r="AD12">
        <v>8.1664E-2</v>
      </c>
      <c r="AE12" s="4">
        <f t="shared" si="5"/>
        <v>0.97330282227307396</v>
      </c>
      <c r="AG12">
        <v>8.8384000000000004E-2</v>
      </c>
      <c r="AH12">
        <v>8.5503999999999997E-2</v>
      </c>
      <c r="AI12" s="4">
        <f t="shared" si="6"/>
        <v>0.9674149167270093</v>
      </c>
    </row>
    <row r="13" spans="3:35" x14ac:dyDescent="0.25">
      <c r="C13" t="s">
        <v>5</v>
      </c>
      <c r="D13">
        <v>16</v>
      </c>
      <c r="E13">
        <v>128</v>
      </c>
      <c r="F13">
        <v>128</v>
      </c>
      <c r="G13">
        <v>28</v>
      </c>
      <c r="H13">
        <v>4</v>
      </c>
      <c r="J13">
        <v>6.7007999999999998E-2</v>
      </c>
      <c r="K13">
        <v>6.5792000000000003E-2</v>
      </c>
      <c r="L13" s="4">
        <f t="shared" si="3"/>
        <v>0.98185291308500489</v>
      </c>
      <c r="M13" s="4"/>
      <c r="N13">
        <v>7.2704000000000005E-2</v>
      </c>
      <c r="O13">
        <v>7.1936E-2</v>
      </c>
      <c r="P13" s="4">
        <f t="shared" si="4"/>
        <v>0.98943661971830976</v>
      </c>
      <c r="R13">
        <v>7.1295999999999998E-2</v>
      </c>
      <c r="S13">
        <v>7.1167999999999995E-2</v>
      </c>
      <c r="T13" s="4">
        <f t="shared" si="1"/>
        <v>0.99820466786355466</v>
      </c>
      <c r="V13">
        <v>7.5263999999999998E-2</v>
      </c>
      <c r="W13">
        <v>7.5135999999999994E-2</v>
      </c>
      <c r="X13" s="4">
        <f t="shared" si="2"/>
        <v>0.9982993197278911</v>
      </c>
      <c r="AC13">
        <v>0.11955200000000001</v>
      </c>
      <c r="AD13">
        <v>0.11558400000000001</v>
      </c>
      <c r="AE13" s="4">
        <f t="shared" si="5"/>
        <v>0.96680942184154173</v>
      </c>
      <c r="AG13">
        <v>0.12281599999999999</v>
      </c>
      <c r="AH13">
        <v>0.118336</v>
      </c>
      <c r="AI13" s="4">
        <f t="shared" si="6"/>
        <v>0.96352266805627929</v>
      </c>
    </row>
    <row r="14" spans="3:35" x14ac:dyDescent="0.25">
      <c r="C14" t="s">
        <v>5</v>
      </c>
      <c r="D14">
        <v>32</v>
      </c>
      <c r="E14">
        <v>128</v>
      </c>
      <c r="F14">
        <v>128</v>
      </c>
      <c r="G14">
        <v>28</v>
      </c>
      <c r="H14">
        <v>4</v>
      </c>
      <c r="J14">
        <v>9.8367999999999997E-2</v>
      </c>
      <c r="K14">
        <v>9.6960000000000005E-2</v>
      </c>
      <c r="L14" s="4">
        <f t="shared" si="3"/>
        <v>0.985686402081978</v>
      </c>
      <c r="M14" s="4"/>
      <c r="N14">
        <v>0.109824</v>
      </c>
      <c r="O14">
        <v>0.108864</v>
      </c>
      <c r="P14" s="4">
        <f t="shared" si="4"/>
        <v>0.99125874125874125</v>
      </c>
      <c r="R14">
        <v>0.10355200000000001</v>
      </c>
      <c r="S14">
        <v>0.102592</v>
      </c>
      <c r="T14" s="4">
        <f t="shared" si="1"/>
        <v>0.99072929542645238</v>
      </c>
      <c r="V14">
        <v>0.114048</v>
      </c>
      <c r="W14">
        <v>0.113728</v>
      </c>
      <c r="X14" s="4">
        <f t="shared" si="2"/>
        <v>0.99719416386083048</v>
      </c>
      <c r="AC14">
        <v>0.190912</v>
      </c>
      <c r="AD14">
        <v>0.186112</v>
      </c>
      <c r="AE14" s="4">
        <f t="shared" si="5"/>
        <v>0.97485752598055653</v>
      </c>
      <c r="AG14">
        <v>0.19289600000000001</v>
      </c>
      <c r="AH14">
        <v>0.18623999999999999</v>
      </c>
      <c r="AI14" s="4">
        <f t="shared" si="6"/>
        <v>0.96549435965494346</v>
      </c>
    </row>
    <row r="15" spans="3:35" x14ac:dyDescent="0.25">
      <c r="C15" t="s">
        <v>5</v>
      </c>
      <c r="D15">
        <v>64</v>
      </c>
      <c r="E15">
        <v>128</v>
      </c>
      <c r="F15">
        <v>128</v>
      </c>
      <c r="G15">
        <v>28</v>
      </c>
      <c r="H15">
        <v>4</v>
      </c>
      <c r="J15">
        <v>0.16064000000000001</v>
      </c>
      <c r="K15">
        <v>0.15718399999999999</v>
      </c>
      <c r="L15" s="4">
        <f t="shared" si="3"/>
        <v>0.97848605577689229</v>
      </c>
      <c r="M15" s="4"/>
      <c r="N15">
        <v>0.18732799999999999</v>
      </c>
      <c r="O15">
        <v>0.18323200000000001</v>
      </c>
      <c r="P15" s="4">
        <f t="shared" si="4"/>
        <v>0.97813460881448588</v>
      </c>
      <c r="R15">
        <v>0.17068800000000001</v>
      </c>
      <c r="S15">
        <v>0.16511999999999999</v>
      </c>
      <c r="T15" s="4">
        <f t="shared" si="1"/>
        <v>0.96737907761529796</v>
      </c>
      <c r="V15">
        <v>0.19129599999999999</v>
      </c>
      <c r="W15">
        <v>0.18848000000000001</v>
      </c>
      <c r="X15" s="4">
        <f t="shared" si="2"/>
        <v>0.98527935764469732</v>
      </c>
      <c r="AC15">
        <v>0.33747199999999999</v>
      </c>
      <c r="AD15">
        <v>0.322496</v>
      </c>
      <c r="AE15" s="4">
        <f t="shared" si="5"/>
        <v>0.95562298501801635</v>
      </c>
      <c r="AG15">
        <v>0.34118399999999999</v>
      </c>
      <c r="AH15">
        <v>0.32294400000000001</v>
      </c>
      <c r="AI15" s="4">
        <f t="shared" si="6"/>
        <v>0.94653911086100173</v>
      </c>
    </row>
    <row r="16" spans="3:35" x14ac:dyDescent="0.25">
      <c r="C16" t="s">
        <v>5</v>
      </c>
      <c r="D16">
        <v>1</v>
      </c>
      <c r="E16">
        <v>128</v>
      </c>
      <c r="F16">
        <v>256</v>
      </c>
      <c r="G16">
        <v>28</v>
      </c>
      <c r="H16">
        <v>4</v>
      </c>
      <c r="J16">
        <v>4.6975999999999997E-2</v>
      </c>
      <c r="K16">
        <v>4.6975999999999997E-2</v>
      </c>
      <c r="L16" s="4">
        <f t="shared" si="3"/>
        <v>1</v>
      </c>
      <c r="M16" s="4"/>
      <c r="N16">
        <v>5.1327999999999999E-2</v>
      </c>
      <c r="O16">
        <v>4.9472000000000002E-2</v>
      </c>
      <c r="P16" s="4">
        <f t="shared" si="4"/>
        <v>0.96384039900249385</v>
      </c>
      <c r="R16">
        <v>0.19488</v>
      </c>
      <c r="S16">
        <v>4.8256E-2</v>
      </c>
      <c r="T16" s="4">
        <f t="shared" si="1"/>
        <v>0.24761904761904763</v>
      </c>
      <c r="V16">
        <v>5.0111999999999997E-2</v>
      </c>
      <c r="W16">
        <v>5.1007999999999998E-2</v>
      </c>
      <c r="X16" s="4">
        <f t="shared" si="2"/>
        <v>1.0178799489144317</v>
      </c>
      <c r="AC16">
        <v>7.9231999999999997E-2</v>
      </c>
      <c r="AD16">
        <v>7.8591999999999995E-2</v>
      </c>
      <c r="AE16" s="4">
        <f t="shared" si="5"/>
        <v>0.99192245557350567</v>
      </c>
      <c r="AG16">
        <v>8.0448000000000006E-2</v>
      </c>
      <c r="AH16">
        <v>7.8016000000000002E-2</v>
      </c>
      <c r="AI16" s="4">
        <f t="shared" si="6"/>
        <v>0.96976929196499595</v>
      </c>
    </row>
    <row r="17" spans="3:35" x14ac:dyDescent="0.25">
      <c r="C17" t="s">
        <v>5</v>
      </c>
      <c r="D17">
        <v>2</v>
      </c>
      <c r="E17">
        <v>128</v>
      </c>
      <c r="F17">
        <v>256</v>
      </c>
      <c r="G17">
        <v>28</v>
      </c>
      <c r="H17">
        <v>4</v>
      </c>
      <c r="J17">
        <v>4.7168000000000002E-2</v>
      </c>
      <c r="K17">
        <v>4.6528E-2</v>
      </c>
      <c r="L17" s="4">
        <f t="shared" si="3"/>
        <v>0.98643147896879235</v>
      </c>
      <c r="M17" s="4"/>
      <c r="N17">
        <v>5.0751999999999999E-2</v>
      </c>
      <c r="O17">
        <v>4.9599999999999998E-2</v>
      </c>
      <c r="P17" s="4">
        <f t="shared" si="4"/>
        <v>0.97730138713745274</v>
      </c>
      <c r="R17">
        <v>4.8896000000000002E-2</v>
      </c>
      <c r="S17">
        <v>4.9664E-2</v>
      </c>
      <c r="T17" s="4">
        <f t="shared" si="1"/>
        <v>1.0157068062827224</v>
      </c>
      <c r="V17">
        <v>5.0495999999999999E-2</v>
      </c>
      <c r="W17">
        <v>5.1392E-2</v>
      </c>
      <c r="X17" s="4">
        <f t="shared" si="2"/>
        <v>1.017743979721166</v>
      </c>
      <c r="AC17">
        <v>7.9743999999999995E-2</v>
      </c>
      <c r="AD17">
        <v>7.8144000000000005E-2</v>
      </c>
      <c r="AE17" s="4">
        <f t="shared" si="5"/>
        <v>0.97993579454253621</v>
      </c>
      <c r="AG17">
        <v>8.1664E-2</v>
      </c>
      <c r="AH17">
        <v>7.9423999999999995E-2</v>
      </c>
      <c r="AI17" s="4">
        <f t="shared" si="6"/>
        <v>0.97257053291536044</v>
      </c>
    </row>
    <row r="18" spans="3:35" x14ac:dyDescent="0.25">
      <c r="C18" t="s">
        <v>5</v>
      </c>
      <c r="D18">
        <v>4</v>
      </c>
      <c r="E18">
        <v>128</v>
      </c>
      <c r="F18">
        <v>256</v>
      </c>
      <c r="G18">
        <v>28</v>
      </c>
      <c r="H18">
        <v>4</v>
      </c>
      <c r="J18">
        <v>4.6783999999999999E-2</v>
      </c>
      <c r="K18">
        <v>4.6016000000000001E-2</v>
      </c>
      <c r="L18" s="4">
        <f t="shared" si="3"/>
        <v>0.98358413132694944</v>
      </c>
      <c r="M18" s="4"/>
      <c r="N18">
        <v>4.9408000000000001E-2</v>
      </c>
      <c r="O18">
        <v>4.8384000000000003E-2</v>
      </c>
      <c r="P18" s="4">
        <f t="shared" si="4"/>
        <v>0.97927461139896377</v>
      </c>
      <c r="R18">
        <v>4.8959999999999997E-2</v>
      </c>
      <c r="S18">
        <v>4.9088E-2</v>
      </c>
      <c r="T18" s="4">
        <f t="shared" si="1"/>
        <v>1.0026143790849673</v>
      </c>
      <c r="V18">
        <v>5.024E-2</v>
      </c>
      <c r="W18">
        <v>5.0944000000000003E-2</v>
      </c>
      <c r="X18" s="4">
        <f t="shared" si="2"/>
        <v>1.0140127388535032</v>
      </c>
      <c r="AC18">
        <v>7.5520000000000004E-2</v>
      </c>
      <c r="AD18">
        <v>7.3599999999999999E-2</v>
      </c>
      <c r="AE18" s="4">
        <f t="shared" si="5"/>
        <v>0.97457627118644063</v>
      </c>
      <c r="AG18">
        <v>8.0640000000000003E-2</v>
      </c>
      <c r="AH18">
        <v>7.7887999999999999E-2</v>
      </c>
      <c r="AI18" s="4">
        <f t="shared" si="6"/>
        <v>0.96587301587301577</v>
      </c>
    </row>
    <row r="19" spans="3:35" x14ac:dyDescent="0.25">
      <c r="C19" t="s">
        <v>5</v>
      </c>
      <c r="D19">
        <v>8</v>
      </c>
      <c r="E19">
        <v>128</v>
      </c>
      <c r="F19">
        <v>256</v>
      </c>
      <c r="G19">
        <v>28</v>
      </c>
      <c r="H19">
        <v>4</v>
      </c>
      <c r="J19">
        <v>5.6576000000000001E-2</v>
      </c>
      <c r="K19">
        <v>5.6127999999999997E-2</v>
      </c>
      <c r="L19" s="4">
        <f t="shared" si="3"/>
        <v>0.99208144796380082</v>
      </c>
      <c r="M19" s="4"/>
      <c r="N19">
        <v>6.1696000000000001E-2</v>
      </c>
      <c r="O19">
        <v>6.1567999999999998E-2</v>
      </c>
      <c r="P19" s="4">
        <f t="shared" si="4"/>
        <v>0.9979253112033194</v>
      </c>
      <c r="R19">
        <v>6.1952E-2</v>
      </c>
      <c r="S19">
        <v>6.2080000000000003E-2</v>
      </c>
      <c r="T19" s="4">
        <f t="shared" si="1"/>
        <v>1.0020661157024795</v>
      </c>
      <c r="V19">
        <v>6.4512E-2</v>
      </c>
      <c r="W19">
        <v>6.4960000000000004E-2</v>
      </c>
      <c r="X19" s="4">
        <f t="shared" si="2"/>
        <v>1.0069444444444444</v>
      </c>
      <c r="AC19">
        <v>9.5871999999999999E-2</v>
      </c>
      <c r="AD19">
        <v>9.3119999999999994E-2</v>
      </c>
      <c r="AE19" s="4">
        <f t="shared" si="5"/>
        <v>0.9712950600801068</v>
      </c>
      <c r="AG19">
        <v>0.10048</v>
      </c>
      <c r="AH19">
        <v>9.7727999999999995E-2</v>
      </c>
      <c r="AI19" s="4">
        <f t="shared" si="6"/>
        <v>0.97261146496815287</v>
      </c>
    </row>
    <row r="20" spans="3:35" x14ac:dyDescent="0.25">
      <c r="C20" t="s">
        <v>5</v>
      </c>
      <c r="D20">
        <v>16</v>
      </c>
      <c r="E20">
        <v>128</v>
      </c>
      <c r="F20">
        <v>256</v>
      </c>
      <c r="G20">
        <v>28</v>
      </c>
      <c r="H20">
        <v>4</v>
      </c>
      <c r="J20">
        <v>7.7824000000000004E-2</v>
      </c>
      <c r="K20">
        <v>7.6352000000000003E-2</v>
      </c>
      <c r="L20" s="4">
        <f t="shared" si="3"/>
        <v>0.98108552631578949</v>
      </c>
      <c r="M20" s="4"/>
      <c r="N20">
        <v>8.7104000000000001E-2</v>
      </c>
      <c r="O20">
        <v>8.6655999999999997E-2</v>
      </c>
      <c r="P20" s="4">
        <f t="shared" si="4"/>
        <v>0.99485672299779571</v>
      </c>
      <c r="R20">
        <v>8.5248000000000004E-2</v>
      </c>
      <c r="S20">
        <v>8.4351999999999996E-2</v>
      </c>
      <c r="T20" s="4">
        <f t="shared" si="1"/>
        <v>0.98948948948948945</v>
      </c>
      <c r="V20">
        <v>9.2672000000000004E-2</v>
      </c>
      <c r="W20">
        <v>9.2415999999999998E-2</v>
      </c>
      <c r="X20" s="4">
        <f t="shared" si="2"/>
        <v>0.99723756906077343</v>
      </c>
      <c r="AC20">
        <v>0.13696</v>
      </c>
      <c r="AD20">
        <v>0.13062399999999999</v>
      </c>
      <c r="AE20" s="4">
        <f t="shared" si="5"/>
        <v>0.95373831775700924</v>
      </c>
      <c r="AG20">
        <v>0.14176</v>
      </c>
      <c r="AH20">
        <v>0.135488</v>
      </c>
      <c r="AI20" s="4">
        <f t="shared" si="6"/>
        <v>0.95575620767494351</v>
      </c>
    </row>
    <row r="21" spans="3:35" x14ac:dyDescent="0.25">
      <c r="C21" t="s">
        <v>5</v>
      </c>
      <c r="D21">
        <v>32</v>
      </c>
      <c r="E21">
        <v>128</v>
      </c>
      <c r="F21">
        <v>256</v>
      </c>
      <c r="G21">
        <v>28</v>
      </c>
      <c r="H21">
        <v>4</v>
      </c>
      <c r="J21">
        <v>0.11820799999999999</v>
      </c>
      <c r="K21">
        <v>0.115712</v>
      </c>
      <c r="L21" s="4">
        <f t="shared" si="3"/>
        <v>0.97888467785598265</v>
      </c>
      <c r="M21" s="4"/>
      <c r="N21">
        <v>0.14003199999999999</v>
      </c>
      <c r="O21">
        <v>0.13888</v>
      </c>
      <c r="P21" s="4">
        <f t="shared" si="4"/>
        <v>0.99177330895795257</v>
      </c>
      <c r="R21">
        <v>0.131968</v>
      </c>
      <c r="S21">
        <v>0.12979199999999999</v>
      </c>
      <c r="T21" s="4">
        <f t="shared" si="1"/>
        <v>0.98351115421920454</v>
      </c>
      <c r="V21">
        <v>0.14815999999999999</v>
      </c>
      <c r="W21">
        <v>0.14784</v>
      </c>
      <c r="X21" s="4">
        <f t="shared" si="2"/>
        <v>0.9978401727861772</v>
      </c>
      <c r="AC21">
        <v>0.216256</v>
      </c>
      <c r="AD21">
        <v>0.20947199999999999</v>
      </c>
      <c r="AE21" s="4">
        <f t="shared" si="5"/>
        <v>0.96862977212192947</v>
      </c>
      <c r="AG21">
        <v>0.223552</v>
      </c>
      <c r="AH21">
        <v>0.22067200000000001</v>
      </c>
      <c r="AI21" s="4">
        <f t="shared" si="6"/>
        <v>0.98711709132550818</v>
      </c>
    </row>
    <row r="22" spans="3:35" x14ac:dyDescent="0.25">
      <c r="C22" t="s">
        <v>5</v>
      </c>
      <c r="D22">
        <v>64</v>
      </c>
      <c r="E22">
        <v>128</v>
      </c>
      <c r="F22">
        <v>256</v>
      </c>
      <c r="G22">
        <v>28</v>
      </c>
      <c r="H22">
        <v>4</v>
      </c>
      <c r="J22">
        <v>0.19756799999999999</v>
      </c>
      <c r="K22">
        <v>0.19212799999999999</v>
      </c>
      <c r="L22" s="4">
        <f t="shared" si="3"/>
        <v>0.9724651765468092</v>
      </c>
      <c r="M22" s="4"/>
      <c r="N22">
        <v>0.244864</v>
      </c>
      <c r="O22">
        <v>0.241728</v>
      </c>
      <c r="P22" s="4">
        <f t="shared" si="4"/>
        <v>0.98719289074751704</v>
      </c>
      <c r="R22">
        <v>0.22752</v>
      </c>
      <c r="S22">
        <v>0.220224</v>
      </c>
      <c r="T22" s="4">
        <f t="shared" si="1"/>
        <v>0.96793248945147681</v>
      </c>
      <c r="V22">
        <v>0.258048</v>
      </c>
      <c r="W22">
        <v>0.255552</v>
      </c>
      <c r="X22" s="4">
        <f t="shared" si="2"/>
        <v>0.99032738095238093</v>
      </c>
      <c r="AC22">
        <v>0.38796799999999998</v>
      </c>
      <c r="AD22">
        <v>0.36588799999999999</v>
      </c>
      <c r="AE22" s="4">
        <f t="shared" si="5"/>
        <v>0.94308808973935998</v>
      </c>
      <c r="AG22">
        <v>0.40377600000000002</v>
      </c>
      <c r="AH22">
        <v>0.39846399999999998</v>
      </c>
      <c r="AI22" s="4">
        <f t="shared" si="6"/>
        <v>0.98684419083848463</v>
      </c>
    </row>
    <row r="23" spans="3:35" x14ac:dyDescent="0.25">
      <c r="C23" t="s">
        <v>5</v>
      </c>
      <c r="D23">
        <v>1</v>
      </c>
      <c r="E23">
        <v>128</v>
      </c>
      <c r="F23">
        <v>512</v>
      </c>
      <c r="G23">
        <v>28</v>
      </c>
      <c r="H23">
        <v>4</v>
      </c>
      <c r="J23">
        <v>5.2928000000000003E-2</v>
      </c>
      <c r="K23">
        <v>5.2544E-2</v>
      </c>
      <c r="L23" s="4">
        <f t="shared" si="3"/>
        <v>0.99274486094316805</v>
      </c>
      <c r="M23" s="4"/>
      <c r="N23">
        <v>5.8624000000000002E-2</v>
      </c>
      <c r="O23">
        <v>5.7472000000000002E-2</v>
      </c>
      <c r="P23" s="4">
        <f t="shared" si="4"/>
        <v>0.98034934497816595</v>
      </c>
      <c r="R23">
        <v>5.3184000000000002E-2</v>
      </c>
      <c r="S23">
        <v>5.3376E-2</v>
      </c>
      <c r="T23" s="4">
        <f t="shared" si="1"/>
        <v>1.0036101083032491</v>
      </c>
      <c r="V23">
        <v>5.8431999999999998E-2</v>
      </c>
      <c r="W23">
        <v>5.9007999999999998E-2</v>
      </c>
      <c r="X23" s="4">
        <f t="shared" si="2"/>
        <v>1.0098576122672509</v>
      </c>
      <c r="AC23">
        <v>9.7152000000000002E-2</v>
      </c>
      <c r="AD23">
        <v>9.536E-2</v>
      </c>
      <c r="AE23" s="4">
        <f t="shared" si="5"/>
        <v>0.98155467720685108</v>
      </c>
      <c r="AG23">
        <v>9.7344E-2</v>
      </c>
      <c r="AH23">
        <v>9.4848000000000002E-2</v>
      </c>
      <c r="AI23" s="4">
        <f t="shared" si="6"/>
        <v>0.97435897435897434</v>
      </c>
    </row>
    <row r="24" spans="3:35" x14ac:dyDescent="0.25">
      <c r="C24" t="s">
        <v>5</v>
      </c>
      <c r="D24">
        <v>2</v>
      </c>
      <c r="E24">
        <v>128</v>
      </c>
      <c r="F24">
        <v>512</v>
      </c>
      <c r="G24">
        <v>28</v>
      </c>
      <c r="H24">
        <v>4</v>
      </c>
      <c r="J24">
        <v>5.2544E-2</v>
      </c>
      <c r="K24">
        <v>5.2735999999999998E-2</v>
      </c>
      <c r="L24" s="4">
        <f t="shared" si="3"/>
        <v>1.0036540803897684</v>
      </c>
      <c r="M24" s="4"/>
      <c r="N24">
        <v>5.8880000000000002E-2</v>
      </c>
      <c r="O24">
        <v>5.7664E-2</v>
      </c>
      <c r="P24" s="4">
        <f t="shared" si="4"/>
        <v>0.97934782608695647</v>
      </c>
      <c r="R24">
        <v>5.6447999999999998E-2</v>
      </c>
      <c r="S24">
        <v>5.6576000000000001E-2</v>
      </c>
      <c r="T24" s="4">
        <f t="shared" si="1"/>
        <v>1.0022675736961453</v>
      </c>
      <c r="V24">
        <v>5.8751999999999999E-2</v>
      </c>
      <c r="W24">
        <v>5.9839999999999997E-2</v>
      </c>
      <c r="X24" s="4">
        <f t="shared" si="2"/>
        <v>1.0185185185185186</v>
      </c>
      <c r="AC24">
        <v>9.7280000000000005E-2</v>
      </c>
      <c r="AD24">
        <v>9.536E-2</v>
      </c>
      <c r="AE24" s="4">
        <f t="shared" si="5"/>
        <v>0.98026315789473684</v>
      </c>
      <c r="AG24">
        <v>9.9071999999999993E-2</v>
      </c>
      <c r="AH24">
        <v>9.6575999999999995E-2</v>
      </c>
      <c r="AI24" s="4">
        <f t="shared" si="6"/>
        <v>0.97480620155038766</v>
      </c>
    </row>
    <row r="25" spans="3:35" x14ac:dyDescent="0.25">
      <c r="C25" t="s">
        <v>5</v>
      </c>
      <c r="D25">
        <v>4</v>
      </c>
      <c r="E25">
        <v>128</v>
      </c>
      <c r="F25">
        <v>512</v>
      </c>
      <c r="G25">
        <v>28</v>
      </c>
      <c r="H25">
        <v>4</v>
      </c>
      <c r="J25">
        <v>5.1712000000000001E-2</v>
      </c>
      <c r="K25">
        <v>5.1839999999999997E-2</v>
      </c>
      <c r="L25" s="4">
        <f t="shared" si="3"/>
        <v>1.0024752475247525</v>
      </c>
      <c r="M25" s="4"/>
      <c r="N25">
        <v>5.6832000000000001E-2</v>
      </c>
      <c r="O25">
        <v>5.6767999999999999E-2</v>
      </c>
      <c r="P25" s="4">
        <f t="shared" si="4"/>
        <v>0.99887387387387383</v>
      </c>
      <c r="R25">
        <v>5.6447999999999998E-2</v>
      </c>
      <c r="S25">
        <v>5.6320000000000002E-2</v>
      </c>
      <c r="T25" s="4">
        <f t="shared" si="1"/>
        <v>0.99773242630385495</v>
      </c>
      <c r="V25">
        <v>5.9456000000000002E-2</v>
      </c>
      <c r="W25">
        <v>6.0415999999999997E-2</v>
      </c>
      <c r="X25" s="4">
        <f t="shared" si="2"/>
        <v>1.0161463939720128</v>
      </c>
      <c r="AC25">
        <v>9.4016000000000002E-2</v>
      </c>
      <c r="AD25">
        <v>9.1263999999999998E-2</v>
      </c>
      <c r="AE25" s="4">
        <f t="shared" si="5"/>
        <v>0.9707283866575902</v>
      </c>
      <c r="AG25">
        <v>9.9391999999999994E-2</v>
      </c>
      <c r="AH25">
        <v>9.7535999999999998E-2</v>
      </c>
      <c r="AI25" s="4">
        <f t="shared" si="6"/>
        <v>0.98132646490663233</v>
      </c>
    </row>
    <row r="26" spans="3:35" x14ac:dyDescent="0.25">
      <c r="C26" t="s">
        <v>5</v>
      </c>
      <c r="D26">
        <v>8</v>
      </c>
      <c r="E26">
        <v>128</v>
      </c>
      <c r="F26">
        <v>512</v>
      </c>
      <c r="G26">
        <v>28</v>
      </c>
      <c r="H26">
        <v>4</v>
      </c>
      <c r="J26">
        <v>7.0335999999999996E-2</v>
      </c>
      <c r="K26">
        <v>6.9440000000000002E-2</v>
      </c>
      <c r="L26" s="4">
        <f t="shared" si="3"/>
        <v>0.9872611464968154</v>
      </c>
      <c r="M26" s="4"/>
      <c r="N26">
        <v>7.8271999999999994E-2</v>
      </c>
      <c r="O26">
        <v>7.7312000000000006E-2</v>
      </c>
      <c r="P26" s="4">
        <f t="shared" si="4"/>
        <v>0.98773507767784152</v>
      </c>
      <c r="R26">
        <v>8.1023999999999999E-2</v>
      </c>
      <c r="S26">
        <v>7.6735999999999999E-2</v>
      </c>
      <c r="T26" s="4">
        <f t="shared" si="1"/>
        <v>0.94707740916271721</v>
      </c>
      <c r="V26">
        <v>8.2559999999999995E-2</v>
      </c>
      <c r="W26">
        <v>8.2944000000000004E-2</v>
      </c>
      <c r="X26" s="4">
        <f t="shared" si="2"/>
        <v>1.0046511627906978</v>
      </c>
      <c r="AC26">
        <v>0.121984</v>
      </c>
      <c r="AD26">
        <v>0.11935999999999999</v>
      </c>
      <c r="AE26" s="4">
        <f t="shared" si="5"/>
        <v>0.97848898216159497</v>
      </c>
      <c r="AG26">
        <v>0.13139200000000001</v>
      </c>
      <c r="AH26">
        <v>0.12959999999999999</v>
      </c>
      <c r="AI26" s="4">
        <f t="shared" si="6"/>
        <v>0.98636142230881629</v>
      </c>
    </row>
    <row r="27" spans="3:35" x14ac:dyDescent="0.25">
      <c r="C27" t="s">
        <v>5</v>
      </c>
      <c r="D27">
        <v>16</v>
      </c>
      <c r="E27">
        <v>128</v>
      </c>
      <c r="F27">
        <v>512</v>
      </c>
      <c r="G27">
        <v>28</v>
      </c>
      <c r="H27">
        <v>4</v>
      </c>
      <c r="J27">
        <v>0.10432</v>
      </c>
      <c r="K27">
        <v>0.10355200000000001</v>
      </c>
      <c r="L27" s="4">
        <f t="shared" si="3"/>
        <v>0.99263803680981599</v>
      </c>
      <c r="M27" s="4"/>
      <c r="N27">
        <v>0.12032</v>
      </c>
      <c r="O27">
        <v>0.11788800000000001</v>
      </c>
      <c r="P27" s="4">
        <f t="shared" ref="P27:P90" si="7">O27/N27</f>
        <v>0.9797872340425533</v>
      </c>
      <c r="R27">
        <v>0.119936</v>
      </c>
      <c r="S27">
        <v>0.118592</v>
      </c>
      <c r="T27" s="4">
        <f t="shared" si="1"/>
        <v>0.98879402347918888</v>
      </c>
      <c r="V27">
        <v>0.12934399999999999</v>
      </c>
      <c r="W27">
        <v>0.129856</v>
      </c>
      <c r="X27" s="4">
        <f t="shared" si="2"/>
        <v>1.0039584364176151</v>
      </c>
      <c r="AC27">
        <v>0.178176</v>
      </c>
      <c r="AD27">
        <v>0.17465600000000001</v>
      </c>
      <c r="AE27" s="4">
        <f t="shared" si="5"/>
        <v>0.9802442528735632</v>
      </c>
      <c r="AG27">
        <v>0.19347200000000001</v>
      </c>
      <c r="AH27">
        <v>0.19129599999999999</v>
      </c>
      <c r="AI27" s="4">
        <f t="shared" si="6"/>
        <v>0.98875289447568637</v>
      </c>
    </row>
    <row r="28" spans="3:35" x14ac:dyDescent="0.25">
      <c r="C28" t="s">
        <v>5</v>
      </c>
      <c r="D28">
        <v>32</v>
      </c>
      <c r="E28">
        <v>128</v>
      </c>
      <c r="F28">
        <v>512</v>
      </c>
      <c r="G28">
        <v>28</v>
      </c>
      <c r="H28">
        <v>4</v>
      </c>
      <c r="J28">
        <v>0.16736000000000001</v>
      </c>
      <c r="K28">
        <v>0.16172800000000001</v>
      </c>
      <c r="L28" s="4">
        <f t="shared" si="3"/>
        <v>0.96634799235181645</v>
      </c>
      <c r="M28" s="4"/>
      <c r="N28">
        <v>0.20230400000000001</v>
      </c>
      <c r="O28">
        <v>0.198848</v>
      </c>
      <c r="P28" s="4">
        <f t="shared" si="7"/>
        <v>0.98291679848149316</v>
      </c>
      <c r="R28">
        <v>0.19392000000000001</v>
      </c>
      <c r="S28">
        <v>0.19161600000000001</v>
      </c>
      <c r="T28" s="4">
        <f t="shared" si="1"/>
        <v>0.98811881188118811</v>
      </c>
      <c r="V28">
        <v>0.22367999999999999</v>
      </c>
      <c r="W28">
        <v>0.21971199999999999</v>
      </c>
      <c r="X28" s="4">
        <f t="shared" si="2"/>
        <v>0.98226037195994276</v>
      </c>
      <c r="AC28">
        <v>0.28979199999999999</v>
      </c>
      <c r="AD28">
        <v>0.28851199999999999</v>
      </c>
      <c r="AE28" s="4">
        <f t="shared" si="5"/>
        <v>0.99558303886925792</v>
      </c>
      <c r="AG28">
        <v>0.33350400000000002</v>
      </c>
      <c r="AH28">
        <v>0.33190399999999998</v>
      </c>
      <c r="AI28" s="4">
        <f t="shared" si="6"/>
        <v>0.9952024563423526</v>
      </c>
    </row>
    <row r="29" spans="3:35" x14ac:dyDescent="0.25">
      <c r="C29" t="s">
        <v>5</v>
      </c>
      <c r="D29">
        <v>64</v>
      </c>
      <c r="E29">
        <v>128</v>
      </c>
      <c r="F29">
        <v>512</v>
      </c>
      <c r="G29">
        <v>28</v>
      </c>
      <c r="H29">
        <v>4</v>
      </c>
      <c r="J29">
        <v>0.29030400000000001</v>
      </c>
      <c r="K29">
        <v>0.27737600000000001</v>
      </c>
      <c r="L29" s="4">
        <f t="shared" si="3"/>
        <v>0.95546737213403887</v>
      </c>
      <c r="M29" s="4"/>
      <c r="N29">
        <v>0.36665599999999998</v>
      </c>
      <c r="O29">
        <v>0.35974400000000001</v>
      </c>
      <c r="P29" s="4">
        <f t="shared" si="7"/>
        <v>0.98114854250305472</v>
      </c>
      <c r="R29">
        <v>0.33030399999999999</v>
      </c>
      <c r="S29">
        <v>0.32806400000000002</v>
      </c>
      <c r="T29" s="4">
        <f t="shared" si="1"/>
        <v>0.99321836853323009</v>
      </c>
      <c r="V29">
        <v>0.40172799999999997</v>
      </c>
      <c r="W29">
        <v>0.39788800000000002</v>
      </c>
      <c r="X29" s="4">
        <f t="shared" si="2"/>
        <v>0.99044129361159805</v>
      </c>
      <c r="AC29">
        <v>0.53715199999999996</v>
      </c>
      <c r="AD29">
        <v>0.52921600000000002</v>
      </c>
      <c r="AE29" s="4">
        <f t="shared" si="5"/>
        <v>0.98522578339092115</v>
      </c>
      <c r="AG29">
        <v>0.61151999999999995</v>
      </c>
      <c r="AH29">
        <v>0.60972800000000005</v>
      </c>
      <c r="AI29" s="4">
        <f t="shared" si="6"/>
        <v>0.99706959706959719</v>
      </c>
    </row>
    <row r="30" spans="3:35" x14ac:dyDescent="0.25">
      <c r="C30" t="s">
        <v>5</v>
      </c>
      <c r="D30">
        <v>1</v>
      </c>
      <c r="E30">
        <v>128</v>
      </c>
      <c r="F30">
        <f>1024</f>
        <v>1024</v>
      </c>
      <c r="G30">
        <v>28</v>
      </c>
      <c r="H30">
        <v>4</v>
      </c>
      <c r="J30">
        <v>6.1887999999999999E-2</v>
      </c>
      <c r="K30">
        <v>6.0928000000000003E-2</v>
      </c>
      <c r="L30" s="4">
        <f t="shared" si="3"/>
        <v>0.98448810754912108</v>
      </c>
      <c r="M30" s="4"/>
      <c r="N30">
        <v>6.7391999999999994E-2</v>
      </c>
      <c r="O30">
        <v>6.5984000000000001E-2</v>
      </c>
      <c r="P30" s="4">
        <f t="shared" si="7"/>
        <v>0.97910731244064586</v>
      </c>
      <c r="R30">
        <v>6.0479999999999999E-2</v>
      </c>
      <c r="S30">
        <v>5.9200000000000003E-2</v>
      </c>
      <c r="T30" s="4">
        <f t="shared" si="1"/>
        <v>0.97883597883597895</v>
      </c>
      <c r="V30">
        <v>6.7776000000000003E-2</v>
      </c>
      <c r="W30">
        <v>6.7264000000000004E-2</v>
      </c>
      <c r="X30" s="4">
        <f t="shared" si="2"/>
        <v>0.99244570349386219</v>
      </c>
      <c r="AC30">
        <v>0.12851199999999999</v>
      </c>
      <c r="AD30">
        <v>0.12614400000000001</v>
      </c>
      <c r="AE30" s="4">
        <f t="shared" si="5"/>
        <v>0.981573705179283</v>
      </c>
      <c r="AG30">
        <v>0.12742400000000001</v>
      </c>
      <c r="AH30">
        <v>0.123264</v>
      </c>
      <c r="AI30" s="4">
        <f t="shared" si="6"/>
        <v>0.96735308890005012</v>
      </c>
    </row>
    <row r="31" spans="3:35" x14ac:dyDescent="0.25">
      <c r="C31" t="s">
        <v>5</v>
      </c>
      <c r="D31">
        <v>2</v>
      </c>
      <c r="E31">
        <v>128</v>
      </c>
      <c r="F31">
        <f>1024</f>
        <v>1024</v>
      </c>
      <c r="G31">
        <v>28</v>
      </c>
      <c r="H31">
        <v>4</v>
      </c>
      <c r="J31">
        <v>6.2399999999999997E-2</v>
      </c>
      <c r="K31">
        <v>6.0864000000000001E-2</v>
      </c>
      <c r="L31" s="4">
        <f t="shared" si="3"/>
        <v>0.97538461538461541</v>
      </c>
      <c r="M31" s="4"/>
      <c r="N31">
        <v>6.7904000000000006E-2</v>
      </c>
      <c r="O31">
        <v>6.6112000000000004E-2</v>
      </c>
      <c r="P31" s="4">
        <f t="shared" si="7"/>
        <v>0.97360980207351555</v>
      </c>
      <c r="R31">
        <v>6.6624000000000003E-2</v>
      </c>
      <c r="S31">
        <v>6.4255999999999994E-2</v>
      </c>
      <c r="T31" s="4">
        <f t="shared" si="1"/>
        <v>0.96445725264169058</v>
      </c>
      <c r="V31">
        <v>6.9888000000000006E-2</v>
      </c>
      <c r="W31">
        <v>6.9375999999999993E-2</v>
      </c>
      <c r="X31" s="4">
        <f t="shared" si="2"/>
        <v>0.99267399267399248</v>
      </c>
      <c r="AC31">
        <v>0.129024</v>
      </c>
      <c r="AD31">
        <v>0.12614400000000001</v>
      </c>
      <c r="AE31" s="4">
        <f t="shared" si="5"/>
        <v>0.97767857142857151</v>
      </c>
      <c r="AG31">
        <v>0.13088</v>
      </c>
      <c r="AH31">
        <v>0.12723200000000001</v>
      </c>
      <c r="AI31" s="4">
        <f t="shared" si="6"/>
        <v>0.97212713936430328</v>
      </c>
    </row>
    <row r="32" spans="3:35" x14ac:dyDescent="0.25">
      <c r="C32" t="s">
        <v>5</v>
      </c>
      <c r="D32">
        <v>4</v>
      </c>
      <c r="E32">
        <v>128</v>
      </c>
      <c r="F32">
        <f>1024</f>
        <v>1024</v>
      </c>
      <c r="G32">
        <v>28</v>
      </c>
      <c r="H32">
        <v>4</v>
      </c>
      <c r="J32">
        <v>6.1247999999999997E-2</v>
      </c>
      <c r="K32">
        <v>6.0352000000000003E-2</v>
      </c>
      <c r="L32" s="4">
        <f t="shared" si="3"/>
        <v>0.98537095088819238</v>
      </c>
      <c r="M32" s="4"/>
      <c r="N32">
        <v>6.6752000000000006E-2</v>
      </c>
      <c r="O32">
        <v>6.4960000000000004E-2</v>
      </c>
      <c r="P32" s="4">
        <f t="shared" si="7"/>
        <v>0.97315436241610731</v>
      </c>
      <c r="R32">
        <v>6.9695999999999994E-2</v>
      </c>
      <c r="S32">
        <v>7.0080000000000003E-2</v>
      </c>
      <c r="T32" s="4">
        <f t="shared" si="1"/>
        <v>1.0055096418732783</v>
      </c>
      <c r="V32">
        <v>7.2127999999999998E-2</v>
      </c>
      <c r="W32">
        <v>7.1679999999999994E-2</v>
      </c>
      <c r="X32" s="4">
        <f t="shared" si="2"/>
        <v>0.99378881987577639</v>
      </c>
      <c r="AC32">
        <v>0.124864</v>
      </c>
      <c r="AD32">
        <v>0.12096</v>
      </c>
      <c r="AE32" s="4">
        <f t="shared" si="5"/>
        <v>0.96873398257303944</v>
      </c>
      <c r="AG32">
        <v>0.135296</v>
      </c>
      <c r="AH32">
        <v>0.13120000000000001</v>
      </c>
      <c r="AI32" s="4">
        <f t="shared" si="6"/>
        <v>0.96972563859981087</v>
      </c>
    </row>
    <row r="33" spans="3:35" x14ac:dyDescent="0.25">
      <c r="C33" t="s">
        <v>5</v>
      </c>
      <c r="D33">
        <v>8</v>
      </c>
      <c r="E33">
        <v>128</v>
      </c>
      <c r="F33">
        <f>1024</f>
        <v>1024</v>
      </c>
      <c r="G33">
        <v>28</v>
      </c>
      <c r="H33">
        <v>4</v>
      </c>
      <c r="J33">
        <v>8.7424000000000002E-2</v>
      </c>
      <c r="K33">
        <v>8.5632E-2</v>
      </c>
      <c r="L33" s="4">
        <f t="shared" si="3"/>
        <v>0.97950219619326495</v>
      </c>
      <c r="M33" s="4"/>
      <c r="N33">
        <v>9.8239999999999994E-2</v>
      </c>
      <c r="O33">
        <v>9.4783999999999993E-2</v>
      </c>
      <c r="P33" s="4">
        <f t="shared" si="7"/>
        <v>0.96482084690553749</v>
      </c>
      <c r="R33">
        <v>0.10464</v>
      </c>
      <c r="S33">
        <v>0.101184</v>
      </c>
      <c r="T33" s="4">
        <f t="shared" si="1"/>
        <v>0.96697247706422018</v>
      </c>
      <c r="V33">
        <v>0.109056</v>
      </c>
      <c r="W33">
        <v>0.104896</v>
      </c>
      <c r="X33" s="4">
        <f t="shared" si="2"/>
        <v>0.96185446009389675</v>
      </c>
      <c r="AC33">
        <v>0.17216000000000001</v>
      </c>
      <c r="AD33">
        <v>0.16966400000000001</v>
      </c>
      <c r="AE33" s="4">
        <f t="shared" si="5"/>
        <v>0.98550185873605944</v>
      </c>
      <c r="AG33">
        <v>0.191936</v>
      </c>
      <c r="AH33">
        <v>0.188416</v>
      </c>
      <c r="AI33" s="4">
        <f t="shared" si="6"/>
        <v>0.98166055351783932</v>
      </c>
    </row>
    <row r="34" spans="3:35" x14ac:dyDescent="0.25">
      <c r="C34" t="s">
        <v>5</v>
      </c>
      <c r="D34">
        <v>16</v>
      </c>
      <c r="E34">
        <v>128</v>
      </c>
      <c r="F34">
        <f>1024</f>
        <v>1024</v>
      </c>
      <c r="G34">
        <v>28</v>
      </c>
      <c r="H34">
        <v>4</v>
      </c>
      <c r="J34">
        <v>0.13107199999999999</v>
      </c>
      <c r="K34">
        <v>0.124096</v>
      </c>
      <c r="L34" s="4">
        <f t="shared" si="3"/>
        <v>0.94677734375</v>
      </c>
      <c r="M34" s="4"/>
      <c r="N34">
        <v>0.15615999999999999</v>
      </c>
      <c r="O34">
        <v>0.15129600000000001</v>
      </c>
      <c r="P34" s="4">
        <f t="shared" si="7"/>
        <v>0.96885245901639361</v>
      </c>
      <c r="R34">
        <v>0.15859200000000001</v>
      </c>
      <c r="S34">
        <v>0.15417600000000001</v>
      </c>
      <c r="T34" s="4">
        <f t="shared" si="1"/>
        <v>0.97215496368038734</v>
      </c>
      <c r="V34">
        <v>0.17555200000000001</v>
      </c>
      <c r="W34">
        <v>0.17152000000000001</v>
      </c>
      <c r="X34" s="4">
        <f t="shared" si="2"/>
        <v>0.977032446226759</v>
      </c>
      <c r="AC34">
        <v>0.27430399999999999</v>
      </c>
      <c r="AD34">
        <v>0.270144</v>
      </c>
      <c r="AE34" s="4">
        <f t="shared" si="5"/>
        <v>0.98483434437704154</v>
      </c>
      <c r="AG34">
        <v>0.31443199999999999</v>
      </c>
      <c r="AH34">
        <v>0.30815999999999999</v>
      </c>
      <c r="AI34" s="4">
        <f t="shared" si="6"/>
        <v>0.98005292082230822</v>
      </c>
    </row>
    <row r="35" spans="3:35" x14ac:dyDescent="0.25">
      <c r="C35" t="s">
        <v>5</v>
      </c>
      <c r="D35">
        <v>32</v>
      </c>
      <c r="E35">
        <v>128</v>
      </c>
      <c r="F35">
        <f>1024</f>
        <v>1024</v>
      </c>
      <c r="G35">
        <v>28</v>
      </c>
      <c r="H35">
        <v>4</v>
      </c>
      <c r="J35">
        <v>0.21171200000000001</v>
      </c>
      <c r="K35">
        <v>0.197824</v>
      </c>
      <c r="L35" s="4">
        <f t="shared" si="3"/>
        <v>0.93440145102781136</v>
      </c>
      <c r="M35" s="4"/>
      <c r="N35">
        <v>0.27679999999999999</v>
      </c>
      <c r="O35">
        <v>0.26502399999999998</v>
      </c>
      <c r="P35" s="4">
        <f t="shared" si="7"/>
        <v>0.95745664739884395</v>
      </c>
      <c r="R35">
        <v>0.272704</v>
      </c>
      <c r="S35">
        <v>0.25996799999999998</v>
      </c>
      <c r="T35" s="4">
        <f t="shared" si="1"/>
        <v>0.95329734804036603</v>
      </c>
      <c r="V35">
        <v>0.31552000000000002</v>
      </c>
      <c r="W35">
        <v>0.30694399999999999</v>
      </c>
      <c r="X35" s="4">
        <f t="shared" si="2"/>
        <v>0.97281947261663282</v>
      </c>
      <c r="AC35">
        <v>0.462144</v>
      </c>
      <c r="AD35">
        <v>0.46105600000000002</v>
      </c>
      <c r="AE35" s="4">
        <f t="shared" si="5"/>
        <v>0.99764575543553524</v>
      </c>
      <c r="AG35">
        <v>0.55871999999999999</v>
      </c>
      <c r="AH35">
        <v>0.55302399999999996</v>
      </c>
      <c r="AI35" s="4">
        <f t="shared" si="6"/>
        <v>0.98980526918671241</v>
      </c>
    </row>
    <row r="36" spans="3:35" x14ac:dyDescent="0.25">
      <c r="C36" t="s">
        <v>5</v>
      </c>
      <c r="D36">
        <v>64</v>
      </c>
      <c r="E36">
        <v>128</v>
      </c>
      <c r="F36">
        <f>1024</f>
        <v>1024</v>
      </c>
      <c r="G36">
        <v>28</v>
      </c>
      <c r="H36">
        <v>4</v>
      </c>
      <c r="J36">
        <v>0.36646400000000001</v>
      </c>
      <c r="K36">
        <v>0.34444799999999998</v>
      </c>
      <c r="L36" s="4">
        <f t="shared" si="3"/>
        <v>0.93992315752706945</v>
      </c>
      <c r="M36" s="4"/>
      <c r="N36">
        <v>0.50009599999999998</v>
      </c>
      <c r="O36">
        <v>0.47987200000000002</v>
      </c>
      <c r="P36" s="4">
        <f t="shared" si="7"/>
        <v>0.95955976452521119</v>
      </c>
      <c r="R36">
        <v>0.47398400000000002</v>
      </c>
      <c r="S36">
        <v>0.46540799999999999</v>
      </c>
      <c r="T36" s="4">
        <f t="shared" si="1"/>
        <v>0.98190656224682682</v>
      </c>
      <c r="V36">
        <v>0.59455999999999998</v>
      </c>
      <c r="W36">
        <v>0.57363200000000003</v>
      </c>
      <c r="X36" s="4">
        <f t="shared" si="2"/>
        <v>0.96480086114101193</v>
      </c>
      <c r="AC36">
        <v>0.8</v>
      </c>
      <c r="AD36">
        <v>0.79443200000000003</v>
      </c>
      <c r="AE36" s="4">
        <f t="shared" si="5"/>
        <v>0.99304000000000003</v>
      </c>
      <c r="AG36">
        <v>1.0509440000000001</v>
      </c>
      <c r="AH36">
        <v>1.047296</v>
      </c>
      <c r="AI36" s="4">
        <f t="shared" si="6"/>
        <v>0.99652883502831735</v>
      </c>
    </row>
    <row r="37" spans="3:35" x14ac:dyDescent="0.25">
      <c r="C37" t="s">
        <v>5</v>
      </c>
      <c r="D37">
        <v>1</v>
      </c>
      <c r="E37">
        <v>128</v>
      </c>
      <c r="F37">
        <f>2048</f>
        <v>2048</v>
      </c>
      <c r="G37">
        <v>28</v>
      </c>
      <c r="H37">
        <v>4</v>
      </c>
      <c r="J37">
        <v>8.4416000000000005E-2</v>
      </c>
      <c r="K37">
        <v>7.8336000000000003E-2</v>
      </c>
      <c r="L37" s="4">
        <f t="shared" si="3"/>
        <v>0.92797573919636089</v>
      </c>
      <c r="M37" s="4"/>
      <c r="N37">
        <v>9.4848000000000002E-2</v>
      </c>
      <c r="O37">
        <v>9.2480000000000007E-2</v>
      </c>
      <c r="P37" s="4">
        <f t="shared" si="7"/>
        <v>0.97503373819163297</v>
      </c>
      <c r="R37">
        <v>8.1600000000000006E-2</v>
      </c>
      <c r="S37">
        <v>7.7887999999999999E-2</v>
      </c>
      <c r="T37" s="4">
        <f t="shared" si="1"/>
        <v>0.95450980392156859</v>
      </c>
      <c r="V37">
        <v>9.6895999999999996E-2</v>
      </c>
      <c r="W37">
        <v>9.536E-2</v>
      </c>
      <c r="X37" s="4">
        <f t="shared" si="2"/>
        <v>0.98414795244385733</v>
      </c>
      <c r="AC37">
        <v>0.17312</v>
      </c>
      <c r="AD37">
        <v>0.168768</v>
      </c>
      <c r="AE37" s="4">
        <f t="shared" si="5"/>
        <v>0.97486136783733834</v>
      </c>
      <c r="AG37">
        <v>0.171648</v>
      </c>
      <c r="AH37">
        <v>0.167488</v>
      </c>
      <c r="AI37" s="4">
        <f t="shared" si="6"/>
        <v>0.97576435495898584</v>
      </c>
    </row>
    <row r="38" spans="3:35" x14ac:dyDescent="0.25">
      <c r="C38" t="s">
        <v>5</v>
      </c>
      <c r="D38">
        <v>2</v>
      </c>
      <c r="E38">
        <v>128</v>
      </c>
      <c r="F38">
        <f>2048</f>
        <v>2048</v>
      </c>
      <c r="G38">
        <v>28</v>
      </c>
      <c r="H38">
        <v>4</v>
      </c>
      <c r="J38">
        <v>8.5056000000000007E-2</v>
      </c>
      <c r="K38">
        <v>8.0512E-2</v>
      </c>
      <c r="L38" s="4">
        <f t="shared" si="3"/>
        <v>0.94657637321294197</v>
      </c>
      <c r="M38" s="4"/>
      <c r="N38">
        <v>9.536E-2</v>
      </c>
      <c r="O38">
        <v>9.2415999999999998E-2</v>
      </c>
      <c r="P38" s="4">
        <f t="shared" si="7"/>
        <v>0.96912751677852349</v>
      </c>
      <c r="R38">
        <v>9.4208E-2</v>
      </c>
      <c r="S38">
        <v>8.7936E-2</v>
      </c>
      <c r="T38" s="4">
        <f t="shared" si="1"/>
        <v>0.93342391304347827</v>
      </c>
      <c r="V38">
        <v>0.10073600000000001</v>
      </c>
      <c r="W38">
        <v>9.8304000000000002E-2</v>
      </c>
      <c r="X38" s="4">
        <f t="shared" si="2"/>
        <v>0.97585768742058443</v>
      </c>
      <c r="AC38">
        <v>0.17286399999999999</v>
      </c>
      <c r="AD38">
        <v>0.170048</v>
      </c>
      <c r="AE38" s="4">
        <f t="shared" si="5"/>
        <v>0.9837097371343948</v>
      </c>
      <c r="AG38">
        <v>0.17760000000000001</v>
      </c>
      <c r="AH38">
        <v>0.17433599999999999</v>
      </c>
      <c r="AI38" s="4">
        <f t="shared" si="6"/>
        <v>0.98162162162162148</v>
      </c>
    </row>
    <row r="39" spans="3:35" x14ac:dyDescent="0.25">
      <c r="C39" t="s">
        <v>5</v>
      </c>
      <c r="D39">
        <v>4</v>
      </c>
      <c r="E39">
        <v>128</v>
      </c>
      <c r="F39">
        <f>2048</f>
        <v>2048</v>
      </c>
      <c r="G39">
        <v>28</v>
      </c>
      <c r="H39">
        <v>4</v>
      </c>
      <c r="J39">
        <v>8.7167999999999995E-2</v>
      </c>
      <c r="K39">
        <v>8.2687999999999998E-2</v>
      </c>
      <c r="L39" s="4">
        <f t="shared" si="3"/>
        <v>0.94860499265785614</v>
      </c>
      <c r="M39" s="4"/>
      <c r="N39">
        <v>9.4719999999999999E-2</v>
      </c>
      <c r="O39">
        <v>9.2415999999999998E-2</v>
      </c>
      <c r="P39" s="4">
        <f t="shared" si="7"/>
        <v>0.9756756756756757</v>
      </c>
      <c r="R39">
        <v>0.105088</v>
      </c>
      <c r="S39">
        <v>9.9968000000000001E-2</v>
      </c>
      <c r="T39" s="4">
        <f t="shared" si="1"/>
        <v>0.95127892813641901</v>
      </c>
      <c r="V39">
        <v>0.104768</v>
      </c>
      <c r="W39">
        <v>0.102976</v>
      </c>
      <c r="X39" s="4">
        <f t="shared" si="2"/>
        <v>0.98289554062309104</v>
      </c>
      <c r="AC39">
        <v>0.16966400000000001</v>
      </c>
      <c r="AD39">
        <v>0.16608000000000001</v>
      </c>
      <c r="AE39" s="4">
        <f t="shared" si="5"/>
        <v>0.97887589588834401</v>
      </c>
      <c r="AG39">
        <v>0.18771199999999999</v>
      </c>
      <c r="AH39">
        <v>0.18406400000000001</v>
      </c>
      <c r="AI39" s="4">
        <f t="shared" si="6"/>
        <v>0.98056597340606899</v>
      </c>
    </row>
    <row r="40" spans="3:35" x14ac:dyDescent="0.25">
      <c r="C40" t="s">
        <v>5</v>
      </c>
      <c r="D40">
        <v>8</v>
      </c>
      <c r="E40">
        <v>128</v>
      </c>
      <c r="F40">
        <f>2048</f>
        <v>2048</v>
      </c>
      <c r="G40">
        <v>28</v>
      </c>
      <c r="H40">
        <v>4</v>
      </c>
      <c r="J40">
        <v>0.13023999999999999</v>
      </c>
      <c r="K40">
        <v>0.123456</v>
      </c>
      <c r="L40" s="4">
        <f t="shared" si="3"/>
        <v>0.94791154791154797</v>
      </c>
      <c r="M40" s="4"/>
      <c r="N40">
        <v>0.15219199999999999</v>
      </c>
      <c r="O40">
        <v>0.147456</v>
      </c>
      <c r="P40" s="4">
        <f t="shared" si="7"/>
        <v>0.96888141295206065</v>
      </c>
      <c r="R40">
        <v>0.165376</v>
      </c>
      <c r="S40">
        <v>0.15359999999999999</v>
      </c>
      <c r="T40" s="4">
        <f t="shared" si="1"/>
        <v>0.92879256965944268</v>
      </c>
      <c r="V40">
        <v>0.172928</v>
      </c>
      <c r="W40">
        <v>0.168576</v>
      </c>
      <c r="X40" s="4">
        <f t="shared" si="2"/>
        <v>0.97483345669874166</v>
      </c>
      <c r="AC40">
        <v>0.26150400000000001</v>
      </c>
      <c r="AD40">
        <v>0.25939200000000001</v>
      </c>
      <c r="AE40" s="4">
        <f t="shared" si="5"/>
        <v>0.99192364170337732</v>
      </c>
      <c r="AG40">
        <v>0.30137599999999998</v>
      </c>
      <c r="AH40">
        <v>0.29747200000000001</v>
      </c>
      <c r="AI40" s="4">
        <f t="shared" si="6"/>
        <v>0.98704608197069454</v>
      </c>
    </row>
    <row r="41" spans="3:35" x14ac:dyDescent="0.25">
      <c r="C41" t="s">
        <v>5</v>
      </c>
      <c r="D41">
        <v>16</v>
      </c>
      <c r="E41">
        <v>128</v>
      </c>
      <c r="F41">
        <f>2048</f>
        <v>2048</v>
      </c>
      <c r="G41">
        <v>28</v>
      </c>
      <c r="H41">
        <v>4</v>
      </c>
      <c r="J41">
        <v>0.21158399999999999</v>
      </c>
      <c r="K41">
        <v>0.196992</v>
      </c>
      <c r="L41" s="4">
        <f t="shared" si="3"/>
        <v>0.93103448275862066</v>
      </c>
      <c r="M41" s="4"/>
      <c r="N41">
        <v>0.26777600000000001</v>
      </c>
      <c r="O41">
        <v>0.25856000000000001</v>
      </c>
      <c r="P41" s="4">
        <f t="shared" si="7"/>
        <v>0.96558317399617588</v>
      </c>
      <c r="R41">
        <v>0.27315200000000001</v>
      </c>
      <c r="S41">
        <v>0.257664</v>
      </c>
      <c r="T41" s="4">
        <f t="shared" si="1"/>
        <v>0.94329896907216493</v>
      </c>
      <c r="V41">
        <v>0.31142399999999998</v>
      </c>
      <c r="W41">
        <v>0.302784</v>
      </c>
      <c r="X41" s="4">
        <f t="shared" si="2"/>
        <v>0.97225647348951916</v>
      </c>
      <c r="AC41">
        <v>0.45260800000000001</v>
      </c>
      <c r="AD41">
        <v>0.450432</v>
      </c>
      <c r="AE41" s="4">
        <f t="shared" si="5"/>
        <v>0.99519230769230771</v>
      </c>
      <c r="AG41">
        <v>0.53024000000000004</v>
      </c>
      <c r="AH41">
        <v>0.52646400000000004</v>
      </c>
      <c r="AI41" s="4">
        <f t="shared" si="6"/>
        <v>0.99287869643934823</v>
      </c>
    </row>
    <row r="42" spans="3:35" x14ac:dyDescent="0.25">
      <c r="C42" t="s">
        <v>5</v>
      </c>
      <c r="D42">
        <v>32</v>
      </c>
      <c r="E42">
        <v>128</v>
      </c>
      <c r="F42">
        <f>2048</f>
        <v>2048</v>
      </c>
      <c r="G42">
        <v>28</v>
      </c>
      <c r="H42">
        <v>4</v>
      </c>
      <c r="J42">
        <v>0.35628799999999999</v>
      </c>
      <c r="K42">
        <v>0.33094400000000002</v>
      </c>
      <c r="L42" s="4">
        <f t="shared" si="3"/>
        <v>0.92886653493802773</v>
      </c>
      <c r="M42" s="4"/>
      <c r="N42">
        <v>0.48691200000000001</v>
      </c>
      <c r="O42">
        <v>0.46649600000000002</v>
      </c>
      <c r="P42" s="4">
        <f t="shared" si="7"/>
        <v>0.9580704521556257</v>
      </c>
      <c r="R42">
        <v>0.47366399999999997</v>
      </c>
      <c r="S42">
        <v>0.45657599999999998</v>
      </c>
      <c r="T42" s="4">
        <f t="shared" si="1"/>
        <v>0.96392379408188089</v>
      </c>
      <c r="V42">
        <v>0.58041600000000004</v>
      </c>
      <c r="W42">
        <v>0.562496</v>
      </c>
      <c r="X42" s="4">
        <f t="shared" si="2"/>
        <v>0.96912559267835474</v>
      </c>
      <c r="AC42">
        <v>0.76364799999999999</v>
      </c>
      <c r="AD42">
        <v>0.761216</v>
      </c>
      <c r="AE42" s="4">
        <f t="shared" si="5"/>
        <v>0.99681528662420382</v>
      </c>
      <c r="AG42">
        <v>0.99155199999999999</v>
      </c>
      <c r="AH42">
        <v>0.99059200000000003</v>
      </c>
      <c r="AI42" s="4">
        <f t="shared" si="6"/>
        <v>0.9990318208223069</v>
      </c>
    </row>
    <row r="43" spans="3:35" x14ac:dyDescent="0.25">
      <c r="C43" t="s">
        <v>5</v>
      </c>
      <c r="D43">
        <v>64</v>
      </c>
      <c r="E43">
        <v>128</v>
      </c>
      <c r="F43">
        <f>2048</f>
        <v>2048</v>
      </c>
      <c r="G43">
        <v>28</v>
      </c>
      <c r="H43">
        <v>4</v>
      </c>
      <c r="J43">
        <v>0.62764799999999998</v>
      </c>
      <c r="K43">
        <v>0.59635199999999999</v>
      </c>
      <c r="L43" s="4">
        <f t="shared" si="3"/>
        <v>0.95013765677577244</v>
      </c>
      <c r="M43" s="4"/>
      <c r="N43">
        <v>0.93324799999999997</v>
      </c>
      <c r="O43">
        <v>0.89049599999999995</v>
      </c>
      <c r="P43" s="4">
        <f t="shared" si="7"/>
        <v>0.95419009738033189</v>
      </c>
      <c r="R43">
        <v>0.87295999999999996</v>
      </c>
      <c r="S43">
        <v>0.85523199999999999</v>
      </c>
      <c r="T43" s="4">
        <f t="shared" si="1"/>
        <v>0.97969208211143699</v>
      </c>
      <c r="V43">
        <v>1.1208959999999999</v>
      </c>
      <c r="W43">
        <v>1.0826880000000001</v>
      </c>
      <c r="X43" s="4">
        <f t="shared" si="2"/>
        <v>0.96591298389859559</v>
      </c>
      <c r="AC43">
        <v>1.4455039999999999</v>
      </c>
      <c r="AD43">
        <v>1.4295679999999999</v>
      </c>
      <c r="AE43" s="4">
        <f t="shared" si="5"/>
        <v>0.98897547153103693</v>
      </c>
      <c r="AG43">
        <v>1.925184</v>
      </c>
      <c r="AH43">
        <v>1.9208959999999999</v>
      </c>
      <c r="AI43" s="4">
        <f t="shared" si="6"/>
        <v>0.99777268042950695</v>
      </c>
    </row>
    <row r="44" spans="3:35" x14ac:dyDescent="0.25">
      <c r="C44" t="s">
        <v>5</v>
      </c>
      <c r="D44">
        <v>1</v>
      </c>
      <c r="E44">
        <v>128</v>
      </c>
      <c r="F44">
        <f>3072</f>
        <v>3072</v>
      </c>
      <c r="G44">
        <v>28</v>
      </c>
      <c r="H44">
        <v>4</v>
      </c>
      <c r="J44">
        <v>0.103936</v>
      </c>
      <c r="K44">
        <v>9.9007999999999999E-2</v>
      </c>
      <c r="L44" s="4">
        <f t="shared" si="3"/>
        <v>0.95258620689655171</v>
      </c>
      <c r="M44" s="4"/>
      <c r="N44">
        <v>0.12281599999999999</v>
      </c>
      <c r="O44">
        <v>0.11935999999999999</v>
      </c>
      <c r="P44" s="4">
        <f t="shared" si="7"/>
        <v>0.97186034392912979</v>
      </c>
      <c r="R44">
        <v>0.102336</v>
      </c>
      <c r="S44">
        <v>9.5871999999999999E-2</v>
      </c>
      <c r="T44" s="4">
        <f t="shared" si="1"/>
        <v>0.93683552220137589</v>
      </c>
      <c r="V44">
        <v>0.124864</v>
      </c>
      <c r="W44">
        <v>0.12166399999999999</v>
      </c>
      <c r="X44" s="4">
        <f t="shared" si="2"/>
        <v>0.97437211686314706</v>
      </c>
      <c r="AC44">
        <v>0.21555199999999999</v>
      </c>
      <c r="AD44">
        <v>0.21075199999999999</v>
      </c>
      <c r="AE44" s="4">
        <f t="shared" si="5"/>
        <v>0.97773159144893107</v>
      </c>
      <c r="AG44">
        <v>0.21491199999999999</v>
      </c>
      <c r="AH44">
        <v>0.21113599999999999</v>
      </c>
      <c r="AI44" s="4">
        <f t="shared" si="6"/>
        <v>0.98243001786777839</v>
      </c>
    </row>
    <row r="45" spans="3:35" x14ac:dyDescent="0.25">
      <c r="C45" t="s">
        <v>5</v>
      </c>
      <c r="D45">
        <v>2</v>
      </c>
      <c r="E45">
        <v>128</v>
      </c>
      <c r="F45">
        <f>3072</f>
        <v>3072</v>
      </c>
      <c r="G45">
        <v>28</v>
      </c>
      <c r="H45">
        <v>4</v>
      </c>
      <c r="J45">
        <v>0.103936</v>
      </c>
      <c r="K45">
        <v>9.8304000000000002E-2</v>
      </c>
      <c r="L45" s="4">
        <f t="shared" si="3"/>
        <v>0.94581280788177347</v>
      </c>
      <c r="M45" s="4"/>
      <c r="N45">
        <v>0.1232</v>
      </c>
      <c r="O45">
        <v>0.119168</v>
      </c>
      <c r="P45" s="4">
        <f t="shared" si="7"/>
        <v>0.96727272727272717</v>
      </c>
      <c r="R45">
        <v>0.11820799999999999</v>
      </c>
      <c r="S45">
        <v>0.11225599999999999</v>
      </c>
      <c r="T45" s="4">
        <f t="shared" si="1"/>
        <v>0.94964807796426642</v>
      </c>
      <c r="V45">
        <v>0.13088</v>
      </c>
      <c r="W45">
        <v>0.12767999999999999</v>
      </c>
      <c r="X45" s="4">
        <f t="shared" si="2"/>
        <v>0.97555012224938864</v>
      </c>
      <c r="AC45">
        <v>0.21823999999999999</v>
      </c>
      <c r="AD45">
        <v>0.21446399999999999</v>
      </c>
      <c r="AE45" s="4">
        <f t="shared" si="5"/>
        <v>0.98269794721407622</v>
      </c>
      <c r="AG45">
        <v>0.22559999999999999</v>
      </c>
      <c r="AH45">
        <v>0.22239999999999999</v>
      </c>
      <c r="AI45" s="4">
        <f t="shared" si="6"/>
        <v>0.98581560283687941</v>
      </c>
    </row>
    <row r="46" spans="3:35" x14ac:dyDescent="0.25">
      <c r="C46" t="s">
        <v>5</v>
      </c>
      <c r="D46">
        <v>4</v>
      </c>
      <c r="E46">
        <v>128</v>
      </c>
      <c r="F46">
        <f>3072</f>
        <v>3072</v>
      </c>
      <c r="G46">
        <v>28</v>
      </c>
      <c r="H46">
        <v>4</v>
      </c>
      <c r="J46">
        <v>0.104448</v>
      </c>
      <c r="K46">
        <v>9.8816000000000001E-2</v>
      </c>
      <c r="L46" s="4">
        <f t="shared" si="3"/>
        <v>0.94607843137254899</v>
      </c>
      <c r="M46" s="4"/>
      <c r="N46">
        <v>0.122048</v>
      </c>
      <c r="O46">
        <v>0.118016</v>
      </c>
      <c r="P46" s="4">
        <f t="shared" si="7"/>
        <v>0.96696381751442051</v>
      </c>
      <c r="R46">
        <v>0.127552</v>
      </c>
      <c r="S46">
        <v>0.12684799999999999</v>
      </c>
      <c r="T46" s="4">
        <f t="shared" si="1"/>
        <v>0.99448068238835918</v>
      </c>
      <c r="V46">
        <v>0.138048</v>
      </c>
      <c r="W46">
        <v>0.135296</v>
      </c>
      <c r="X46" s="4">
        <f t="shared" si="2"/>
        <v>0.9800649049605934</v>
      </c>
      <c r="AC46">
        <v>0.21043200000000001</v>
      </c>
      <c r="AD46">
        <v>0.20614399999999999</v>
      </c>
      <c r="AE46" s="4">
        <f t="shared" si="5"/>
        <v>0.97962287104622869</v>
      </c>
      <c r="AG46">
        <v>0.24096000000000001</v>
      </c>
      <c r="AH46">
        <v>0.23718400000000001</v>
      </c>
      <c r="AI46" s="4">
        <f t="shared" si="6"/>
        <v>0.98432934926958826</v>
      </c>
    </row>
    <row r="47" spans="3:35" x14ac:dyDescent="0.25">
      <c r="C47" t="s">
        <v>5</v>
      </c>
      <c r="D47">
        <v>8</v>
      </c>
      <c r="E47">
        <v>128</v>
      </c>
      <c r="F47">
        <f>3072</f>
        <v>3072</v>
      </c>
      <c r="G47">
        <v>28</v>
      </c>
      <c r="H47">
        <v>4</v>
      </c>
      <c r="J47">
        <v>0.169408</v>
      </c>
      <c r="K47">
        <v>0.15961600000000001</v>
      </c>
      <c r="L47" s="4">
        <f t="shared" si="3"/>
        <v>0.94219871552701173</v>
      </c>
      <c r="M47" s="4"/>
      <c r="N47">
        <v>0.209088</v>
      </c>
      <c r="O47">
        <v>0.2016</v>
      </c>
      <c r="P47" s="4">
        <f t="shared" si="7"/>
        <v>0.96418732782369143</v>
      </c>
      <c r="R47">
        <v>0.21273600000000001</v>
      </c>
      <c r="S47">
        <v>0.203712</v>
      </c>
      <c r="T47" s="4">
        <f t="shared" si="1"/>
        <v>0.95758122743682306</v>
      </c>
      <c r="V47">
        <v>0.245056</v>
      </c>
      <c r="W47">
        <v>0.23667199999999999</v>
      </c>
      <c r="X47" s="4">
        <f t="shared" si="2"/>
        <v>0.96578741185688166</v>
      </c>
      <c r="AC47">
        <v>0.35596800000000001</v>
      </c>
      <c r="AD47">
        <v>0.35360000000000003</v>
      </c>
      <c r="AE47" s="4">
        <f t="shared" si="5"/>
        <v>0.9933477166486876</v>
      </c>
      <c r="AG47">
        <v>0.41049600000000003</v>
      </c>
      <c r="AH47">
        <v>0.407744</v>
      </c>
      <c r="AI47" s="4">
        <f t="shared" si="6"/>
        <v>0.99329591518553162</v>
      </c>
    </row>
    <row r="48" spans="3:35" x14ac:dyDescent="0.25">
      <c r="C48" t="s">
        <v>5</v>
      </c>
      <c r="D48">
        <v>16</v>
      </c>
      <c r="E48">
        <v>128</v>
      </c>
      <c r="F48">
        <f>3072</f>
        <v>3072</v>
      </c>
      <c r="G48">
        <v>28</v>
      </c>
      <c r="H48">
        <v>4</v>
      </c>
      <c r="J48">
        <v>0.28281600000000001</v>
      </c>
      <c r="K48">
        <v>0.26297599999999999</v>
      </c>
      <c r="L48" s="4">
        <f t="shared" si="3"/>
        <v>0.92984838198687481</v>
      </c>
      <c r="M48" s="4"/>
      <c r="N48">
        <v>0.378496</v>
      </c>
      <c r="O48">
        <v>0.36396800000000001</v>
      </c>
      <c r="P48" s="4">
        <f t="shared" si="7"/>
        <v>0.96161650321271563</v>
      </c>
      <c r="R48">
        <v>0.36255999999999999</v>
      </c>
      <c r="S48">
        <v>0.350464</v>
      </c>
      <c r="T48" s="4">
        <f t="shared" si="1"/>
        <v>0.9666372462488968</v>
      </c>
      <c r="V48">
        <v>0.44044800000000001</v>
      </c>
      <c r="W48">
        <v>0.424896</v>
      </c>
      <c r="X48" s="4">
        <f t="shared" si="2"/>
        <v>0.96469049694856146</v>
      </c>
      <c r="AC48">
        <v>0.62118399999999996</v>
      </c>
      <c r="AD48">
        <v>0.61683200000000005</v>
      </c>
      <c r="AE48" s="4">
        <f t="shared" si="5"/>
        <v>0.99299402431485695</v>
      </c>
      <c r="AG48">
        <v>0.74374399999999996</v>
      </c>
      <c r="AH48">
        <v>0.74284799999999995</v>
      </c>
      <c r="AI48" s="4">
        <f t="shared" si="6"/>
        <v>0.99879528439893295</v>
      </c>
    </row>
    <row r="49" spans="3:35" x14ac:dyDescent="0.25">
      <c r="C49" t="s">
        <v>5</v>
      </c>
      <c r="D49">
        <v>32</v>
      </c>
      <c r="E49">
        <v>128</v>
      </c>
      <c r="F49">
        <f>3072</f>
        <v>3072</v>
      </c>
      <c r="G49">
        <v>28</v>
      </c>
      <c r="H49">
        <v>4</v>
      </c>
      <c r="J49">
        <v>0.48729600000000001</v>
      </c>
      <c r="K49">
        <v>0.45427200000000001</v>
      </c>
      <c r="L49" s="4">
        <f t="shared" si="3"/>
        <v>0.93223010244286841</v>
      </c>
      <c r="M49" s="4"/>
      <c r="N49">
        <v>0.72</v>
      </c>
      <c r="O49">
        <v>0.69177599999999995</v>
      </c>
      <c r="P49" s="4">
        <f t="shared" si="7"/>
        <v>0.96079999999999999</v>
      </c>
      <c r="R49">
        <v>0.66688000000000003</v>
      </c>
      <c r="S49">
        <v>0.65280000000000005</v>
      </c>
      <c r="T49" s="4">
        <f t="shared" si="1"/>
        <v>0.97888675623800392</v>
      </c>
      <c r="V49">
        <v>0.843584</v>
      </c>
      <c r="W49">
        <v>0.81286400000000003</v>
      </c>
      <c r="X49" s="4">
        <f t="shared" si="2"/>
        <v>0.96358394658978841</v>
      </c>
      <c r="AC49">
        <v>1.6700159999999999</v>
      </c>
      <c r="AD49">
        <v>1.712256</v>
      </c>
      <c r="AE49" s="4">
        <f t="shared" si="5"/>
        <v>1.0252931708438722</v>
      </c>
      <c r="AG49">
        <v>1.4270719999999999</v>
      </c>
      <c r="AH49">
        <v>1.425664</v>
      </c>
      <c r="AI49" s="4">
        <f t="shared" si="6"/>
        <v>0.99901336442730304</v>
      </c>
    </row>
    <row r="50" spans="3:35" x14ac:dyDescent="0.25">
      <c r="C50" t="s">
        <v>5</v>
      </c>
      <c r="D50">
        <v>64</v>
      </c>
      <c r="E50">
        <v>128</v>
      </c>
      <c r="F50">
        <f>3072</f>
        <v>3072</v>
      </c>
      <c r="G50">
        <v>28</v>
      </c>
      <c r="H50">
        <v>4</v>
      </c>
      <c r="J50">
        <v>0.88473599999999997</v>
      </c>
      <c r="K50">
        <v>0.84371200000000002</v>
      </c>
      <c r="L50" s="4">
        <f t="shared" si="3"/>
        <v>0.95363136574074081</v>
      </c>
      <c r="M50" s="4"/>
      <c r="N50">
        <v>1.3555200000000001</v>
      </c>
      <c r="O50">
        <v>1.3018879999999999</v>
      </c>
      <c r="P50" s="4">
        <f t="shared" si="7"/>
        <v>0.96043437204910287</v>
      </c>
      <c r="R50">
        <v>1.257088</v>
      </c>
      <c r="S50">
        <v>1.2452479999999999</v>
      </c>
      <c r="T50" s="4">
        <f t="shared" si="1"/>
        <v>0.99058140718867727</v>
      </c>
      <c r="V50">
        <v>1.64</v>
      </c>
      <c r="W50">
        <v>1.5831040000000001</v>
      </c>
      <c r="X50" s="4">
        <f t="shared" si="2"/>
        <v>0.96530731707317086</v>
      </c>
      <c r="AC50">
        <v>2.0685440000000002</v>
      </c>
      <c r="AD50">
        <v>2.0593279999999998</v>
      </c>
      <c r="AE50" s="4">
        <f t="shared" si="5"/>
        <v>0.99554469230531217</v>
      </c>
      <c r="AG50">
        <v>2.785536</v>
      </c>
      <c r="AH50">
        <v>2.7759999999999998</v>
      </c>
      <c r="AI50" s="4">
        <f t="shared" si="6"/>
        <v>0.99657660141531101</v>
      </c>
    </row>
    <row r="51" spans="3:35" x14ac:dyDescent="0.25">
      <c r="C51" t="s">
        <v>5</v>
      </c>
      <c r="D51">
        <v>1</v>
      </c>
      <c r="E51">
        <v>128</v>
      </c>
      <c r="F51">
        <f>4096</f>
        <v>4096</v>
      </c>
      <c r="G51">
        <v>28</v>
      </c>
      <c r="H51">
        <v>4</v>
      </c>
      <c r="J51">
        <v>0.12595200000000001</v>
      </c>
      <c r="K51">
        <v>0.115008</v>
      </c>
      <c r="L51" s="4">
        <f t="shared" si="3"/>
        <v>0.91310975609756095</v>
      </c>
      <c r="M51" s="4"/>
      <c r="N51">
        <v>0.15071999999999999</v>
      </c>
      <c r="O51">
        <v>0.14566399999999999</v>
      </c>
      <c r="P51" s="4">
        <f t="shared" si="7"/>
        <v>0.9664543524416136</v>
      </c>
      <c r="R51">
        <v>0.122432</v>
      </c>
      <c r="S51">
        <v>0.114368</v>
      </c>
      <c r="T51" s="4">
        <f t="shared" ref="T51:T114" si="8">S51/R51</f>
        <v>0.93413486670151591</v>
      </c>
      <c r="V51">
        <v>0.15296000000000001</v>
      </c>
      <c r="W51">
        <v>0.14822399999999999</v>
      </c>
      <c r="X51" s="4">
        <f t="shared" si="2"/>
        <v>0.96903765690376553</v>
      </c>
      <c r="AC51">
        <v>0.25811200000000001</v>
      </c>
      <c r="AD51">
        <v>0.25491200000000003</v>
      </c>
      <c r="AE51" s="4">
        <f t="shared" si="5"/>
        <v>0.98760228118026294</v>
      </c>
      <c r="AG51">
        <v>0.25977600000000001</v>
      </c>
      <c r="AH51">
        <v>0.255552</v>
      </c>
      <c r="AI51" s="4">
        <f t="shared" si="6"/>
        <v>0.98373983739837401</v>
      </c>
    </row>
    <row r="52" spans="3:35" x14ac:dyDescent="0.25">
      <c r="C52" t="s">
        <v>5</v>
      </c>
      <c r="D52">
        <v>2</v>
      </c>
      <c r="E52">
        <v>128</v>
      </c>
      <c r="F52">
        <f>4096</f>
        <v>4096</v>
      </c>
      <c r="G52">
        <v>28</v>
      </c>
      <c r="H52">
        <v>4</v>
      </c>
      <c r="J52">
        <v>0.12384000000000001</v>
      </c>
      <c r="K52">
        <v>0.119424</v>
      </c>
      <c r="L52" s="4">
        <f t="shared" si="3"/>
        <v>0.96434108527131779</v>
      </c>
      <c r="M52" s="4"/>
      <c r="N52">
        <v>0.15129600000000001</v>
      </c>
      <c r="O52">
        <v>0.145984</v>
      </c>
      <c r="P52" s="4">
        <f t="shared" si="7"/>
        <v>0.96489001692047371</v>
      </c>
      <c r="R52">
        <v>0.14329600000000001</v>
      </c>
      <c r="S52">
        <v>0.134912</v>
      </c>
      <c r="T52" s="4">
        <f t="shared" si="8"/>
        <v>0.94149173738276015</v>
      </c>
      <c r="V52">
        <v>0.16326399999999999</v>
      </c>
      <c r="W52">
        <v>0.15961600000000001</v>
      </c>
      <c r="X52" s="4">
        <f t="shared" si="2"/>
        <v>0.97765582124657002</v>
      </c>
      <c r="AC52">
        <v>0.26240000000000002</v>
      </c>
      <c r="AD52">
        <v>0.25856000000000001</v>
      </c>
      <c r="AE52" s="4">
        <f t="shared" si="5"/>
        <v>0.98536585365853657</v>
      </c>
      <c r="AG52">
        <v>0.27251199999999998</v>
      </c>
      <c r="AH52">
        <v>0.269376</v>
      </c>
      <c r="AI52" s="4">
        <f t="shared" si="6"/>
        <v>0.98849224988257411</v>
      </c>
    </row>
    <row r="53" spans="3:35" x14ac:dyDescent="0.25">
      <c r="C53" t="s">
        <v>5</v>
      </c>
      <c r="D53">
        <v>4</v>
      </c>
      <c r="E53">
        <v>128</v>
      </c>
      <c r="F53">
        <f>4096</f>
        <v>4096</v>
      </c>
      <c r="G53">
        <v>28</v>
      </c>
      <c r="H53">
        <v>4</v>
      </c>
      <c r="J53">
        <v>0.12665599999999999</v>
      </c>
      <c r="K53">
        <v>0.12096</v>
      </c>
      <c r="L53" s="4">
        <f t="shared" si="3"/>
        <v>0.95502779181404751</v>
      </c>
      <c r="M53" s="4"/>
      <c r="N53">
        <v>0.15020800000000001</v>
      </c>
      <c r="O53">
        <v>0.144896</v>
      </c>
      <c r="P53" s="4">
        <f t="shared" si="7"/>
        <v>0.96463570515551766</v>
      </c>
      <c r="R53">
        <v>0.15820799999999999</v>
      </c>
      <c r="S53">
        <v>0.15359999999999999</v>
      </c>
      <c r="T53" s="4">
        <f t="shared" si="8"/>
        <v>0.970873786407767</v>
      </c>
      <c r="V53">
        <v>0.17363200000000001</v>
      </c>
      <c r="W53">
        <v>0.16908799999999999</v>
      </c>
      <c r="X53" s="4">
        <f t="shared" si="2"/>
        <v>0.97382970880943598</v>
      </c>
      <c r="AC53">
        <v>0.25856000000000001</v>
      </c>
      <c r="AD53">
        <v>0.255104</v>
      </c>
      <c r="AE53" s="4">
        <f t="shared" si="5"/>
        <v>0.98663366336633662</v>
      </c>
      <c r="AG53">
        <v>0.29350399999999999</v>
      </c>
      <c r="AH53">
        <v>0.291072</v>
      </c>
      <c r="AI53" s="4">
        <f t="shared" si="6"/>
        <v>0.99171391190580027</v>
      </c>
    </row>
    <row r="54" spans="3:35" x14ac:dyDescent="0.25">
      <c r="C54" t="s">
        <v>5</v>
      </c>
      <c r="D54">
        <v>8</v>
      </c>
      <c r="E54">
        <v>128</v>
      </c>
      <c r="F54">
        <f>4096</f>
        <v>4096</v>
      </c>
      <c r="G54">
        <v>28</v>
      </c>
      <c r="H54">
        <v>4</v>
      </c>
      <c r="J54">
        <v>0.20863999999999999</v>
      </c>
      <c r="K54">
        <v>0.19328000000000001</v>
      </c>
      <c r="L54" s="4">
        <f t="shared" si="3"/>
        <v>0.9263803680981596</v>
      </c>
      <c r="M54" s="4"/>
      <c r="N54">
        <v>0.26380799999999999</v>
      </c>
      <c r="O54">
        <v>0.25344</v>
      </c>
      <c r="P54" s="4">
        <f t="shared" si="7"/>
        <v>0.9606986899563319</v>
      </c>
      <c r="R54">
        <v>0.27295999999999998</v>
      </c>
      <c r="S54">
        <v>0.254272</v>
      </c>
      <c r="T54" s="4">
        <f t="shared" si="8"/>
        <v>0.93153575615474804</v>
      </c>
      <c r="V54">
        <v>0.31046400000000002</v>
      </c>
      <c r="W54">
        <v>0.30015999999999998</v>
      </c>
      <c r="X54" s="4">
        <f t="shared" si="2"/>
        <v>0.96681096681096668</v>
      </c>
      <c r="AC54">
        <v>0.43910399999999999</v>
      </c>
      <c r="AD54">
        <v>0.437056</v>
      </c>
      <c r="AE54" s="4">
        <f t="shared" si="5"/>
        <v>0.9953359568576009</v>
      </c>
      <c r="AG54">
        <v>0.51788800000000001</v>
      </c>
      <c r="AH54">
        <v>0.51468800000000003</v>
      </c>
      <c r="AI54" s="4">
        <f t="shared" si="6"/>
        <v>0.99382105783489871</v>
      </c>
    </row>
    <row r="55" spans="3:35" x14ac:dyDescent="0.25">
      <c r="C55" t="s">
        <v>5</v>
      </c>
      <c r="D55">
        <v>16</v>
      </c>
      <c r="E55">
        <v>128</v>
      </c>
      <c r="F55">
        <f>4096</f>
        <v>4096</v>
      </c>
      <c r="G55">
        <v>28</v>
      </c>
      <c r="H55">
        <v>4</v>
      </c>
      <c r="J55">
        <v>0.35424</v>
      </c>
      <c r="K55">
        <v>0.33088000000000001</v>
      </c>
      <c r="L55" s="4">
        <f t="shared" si="3"/>
        <v>0.93405600722673898</v>
      </c>
      <c r="M55" s="4"/>
      <c r="N55">
        <v>0.47859200000000002</v>
      </c>
      <c r="O55">
        <v>0.46022400000000002</v>
      </c>
      <c r="P55" s="4">
        <f t="shared" si="7"/>
        <v>0.96162075421235627</v>
      </c>
      <c r="R55">
        <v>0.46944000000000002</v>
      </c>
      <c r="S55">
        <v>0.44844800000000001</v>
      </c>
      <c r="T55" s="4">
        <f t="shared" si="8"/>
        <v>0.95528289025221536</v>
      </c>
      <c r="V55">
        <v>0.57990399999999998</v>
      </c>
      <c r="W55">
        <v>0.55987200000000004</v>
      </c>
      <c r="X55" s="4">
        <f t="shared" si="2"/>
        <v>0.9654563513960932</v>
      </c>
      <c r="AC55">
        <v>0.74803200000000003</v>
      </c>
      <c r="AD55">
        <v>0.74419199999999996</v>
      </c>
      <c r="AE55" s="4">
        <f t="shared" si="5"/>
        <v>0.99486652977412726</v>
      </c>
      <c r="AG55">
        <v>0.96102399999999999</v>
      </c>
      <c r="AH55">
        <v>0.95782400000000001</v>
      </c>
      <c r="AI55" s="4">
        <f t="shared" si="6"/>
        <v>0.99667021843367076</v>
      </c>
    </row>
    <row r="56" spans="3:35" x14ac:dyDescent="0.25">
      <c r="C56" t="s">
        <v>5</v>
      </c>
      <c r="D56">
        <v>32</v>
      </c>
      <c r="E56">
        <v>128</v>
      </c>
      <c r="F56">
        <f>4096</f>
        <v>4096</v>
      </c>
      <c r="G56">
        <v>28</v>
      </c>
      <c r="H56">
        <v>4</v>
      </c>
      <c r="J56">
        <v>0.61593600000000004</v>
      </c>
      <c r="K56">
        <v>0.58707200000000004</v>
      </c>
      <c r="L56" s="4">
        <f t="shared" si="3"/>
        <v>0.95313798836242725</v>
      </c>
      <c r="M56" s="4"/>
      <c r="N56">
        <v>0.90617599999999998</v>
      </c>
      <c r="O56">
        <v>0.87142399999999998</v>
      </c>
      <c r="P56" s="4">
        <f t="shared" si="7"/>
        <v>0.96164983402782678</v>
      </c>
      <c r="R56">
        <v>0.86291200000000001</v>
      </c>
      <c r="S56">
        <v>0.85190399999999999</v>
      </c>
      <c r="T56" s="4">
        <f t="shared" si="8"/>
        <v>0.98724319513461389</v>
      </c>
      <c r="V56">
        <v>1.108352</v>
      </c>
      <c r="W56">
        <v>1.0680320000000001</v>
      </c>
      <c r="X56" s="4">
        <f t="shared" si="2"/>
        <v>0.96362166531932103</v>
      </c>
      <c r="AC56">
        <v>1.3984639999999999</v>
      </c>
      <c r="AD56">
        <v>1.39392</v>
      </c>
      <c r="AE56" s="4">
        <f t="shared" si="5"/>
        <v>0.99675072079081062</v>
      </c>
      <c r="AG56">
        <v>1.8549119999999999</v>
      </c>
      <c r="AH56">
        <v>1.859264</v>
      </c>
      <c r="AI56" s="4">
        <f t="shared" si="6"/>
        <v>1.0023462029465549</v>
      </c>
    </row>
    <row r="57" spans="3:35" x14ac:dyDescent="0.25">
      <c r="C57" t="s">
        <v>5</v>
      </c>
      <c r="D57">
        <v>64</v>
      </c>
      <c r="E57">
        <v>128</v>
      </c>
      <c r="F57">
        <f>4096</f>
        <v>4096</v>
      </c>
      <c r="G57">
        <v>28</v>
      </c>
      <c r="H57">
        <v>4</v>
      </c>
      <c r="J57">
        <v>1.220288</v>
      </c>
      <c r="K57">
        <v>1.0811519999999999</v>
      </c>
      <c r="L57" s="4">
        <f t="shared" si="3"/>
        <v>0.88598101431793141</v>
      </c>
      <c r="M57" s="4"/>
      <c r="N57">
        <v>1.7922560000000001</v>
      </c>
      <c r="O57">
        <v>1.714048</v>
      </c>
      <c r="P57" s="4">
        <f t="shared" si="7"/>
        <v>0.95636337666047699</v>
      </c>
      <c r="R57">
        <v>1.6191359999999999</v>
      </c>
      <c r="S57">
        <v>1.6552960000000001</v>
      </c>
      <c r="T57" s="4">
        <f t="shared" si="8"/>
        <v>1.0223328985335389</v>
      </c>
      <c r="V57">
        <v>2.1596799999999998</v>
      </c>
      <c r="W57">
        <v>2.0833279999999998</v>
      </c>
      <c r="X57" s="4">
        <f t="shared" si="2"/>
        <v>0.96464661431323162</v>
      </c>
      <c r="AC57">
        <v>2.7146240000000001</v>
      </c>
      <c r="AD57">
        <v>2.695872</v>
      </c>
      <c r="AE57" s="4">
        <f t="shared" si="5"/>
        <v>0.99309222934741603</v>
      </c>
      <c r="AG57">
        <v>3.6515840000000002</v>
      </c>
      <c r="AH57">
        <v>3.6533760000000002</v>
      </c>
      <c r="AI57" s="4">
        <f t="shared" si="6"/>
        <v>1.0004907459338195</v>
      </c>
    </row>
    <row r="58" spans="3:35" x14ac:dyDescent="0.25">
      <c r="C58" t="s">
        <v>5</v>
      </c>
      <c r="D58">
        <v>1</v>
      </c>
      <c r="E58">
        <v>128</v>
      </c>
      <c r="F58">
        <f>5120</f>
        <v>5120</v>
      </c>
      <c r="G58">
        <v>28</v>
      </c>
      <c r="H58">
        <v>4</v>
      </c>
      <c r="J58">
        <v>0.14438400000000001</v>
      </c>
      <c r="K58">
        <v>0.135296</v>
      </c>
      <c r="L58" s="4">
        <f t="shared" si="3"/>
        <v>0.93705673758865238</v>
      </c>
      <c r="M58" s="4"/>
      <c r="N58">
        <v>0.178368</v>
      </c>
      <c r="O58">
        <v>0.17222399999999999</v>
      </c>
      <c r="P58" s="4">
        <f t="shared" si="7"/>
        <v>0.96555435952637236</v>
      </c>
      <c r="R58">
        <v>0.142848</v>
      </c>
      <c r="S58">
        <v>0.13388800000000001</v>
      </c>
      <c r="T58" s="4">
        <f t="shared" si="8"/>
        <v>0.93727598566308246</v>
      </c>
      <c r="V58">
        <v>0.18201600000000001</v>
      </c>
      <c r="W58">
        <v>0.176704</v>
      </c>
      <c r="X58" s="4">
        <f t="shared" si="2"/>
        <v>0.97081575246132201</v>
      </c>
      <c r="AC58">
        <v>0.30553599999999997</v>
      </c>
      <c r="AD58">
        <v>0.29759999999999998</v>
      </c>
      <c r="AE58" s="4">
        <f t="shared" si="5"/>
        <v>0.97402597402597402</v>
      </c>
      <c r="AG58">
        <v>0.30310399999999998</v>
      </c>
      <c r="AH58">
        <v>0.30060799999999999</v>
      </c>
      <c r="AI58" s="4">
        <f t="shared" si="6"/>
        <v>0.99176520270270274</v>
      </c>
    </row>
    <row r="59" spans="3:35" x14ac:dyDescent="0.25">
      <c r="C59" t="s">
        <v>5</v>
      </c>
      <c r="D59">
        <v>2</v>
      </c>
      <c r="E59">
        <v>128</v>
      </c>
      <c r="F59">
        <f>5120</f>
        <v>5120</v>
      </c>
      <c r="G59">
        <v>28</v>
      </c>
      <c r="H59">
        <v>4</v>
      </c>
      <c r="J59">
        <v>0.143872</v>
      </c>
      <c r="K59">
        <v>0.13344</v>
      </c>
      <c r="L59" s="4">
        <f t="shared" si="3"/>
        <v>0.927491103202847</v>
      </c>
      <c r="M59" s="4"/>
      <c r="N59">
        <v>0.179008</v>
      </c>
      <c r="O59">
        <v>0.172288</v>
      </c>
      <c r="P59" s="4">
        <f t="shared" si="7"/>
        <v>0.96245977833392915</v>
      </c>
      <c r="R59">
        <v>0.16966400000000001</v>
      </c>
      <c r="S59">
        <v>0.15865599999999999</v>
      </c>
      <c r="T59" s="4">
        <f t="shared" si="8"/>
        <v>0.93511882308562799</v>
      </c>
      <c r="V59">
        <v>0.193024</v>
      </c>
      <c r="W59">
        <v>0.188224</v>
      </c>
      <c r="X59" s="4">
        <f t="shared" si="2"/>
        <v>0.97513262599469497</v>
      </c>
      <c r="AC59">
        <v>0.30252800000000002</v>
      </c>
      <c r="AD59">
        <v>0.29759999999999998</v>
      </c>
      <c r="AE59" s="4">
        <f t="shared" si="5"/>
        <v>0.98371059868838573</v>
      </c>
      <c r="AG59">
        <v>0.31968000000000002</v>
      </c>
      <c r="AH59">
        <v>0.31622400000000001</v>
      </c>
      <c r="AI59" s="4">
        <f t="shared" si="6"/>
        <v>0.98918918918918919</v>
      </c>
    </row>
    <row r="60" spans="3:35" x14ac:dyDescent="0.25">
      <c r="C60" t="s">
        <v>5</v>
      </c>
      <c r="D60">
        <v>4</v>
      </c>
      <c r="E60">
        <v>128</v>
      </c>
      <c r="F60">
        <f>5120</f>
        <v>5120</v>
      </c>
      <c r="G60">
        <v>28</v>
      </c>
      <c r="H60">
        <v>4</v>
      </c>
      <c r="J60">
        <v>0.14227200000000001</v>
      </c>
      <c r="K60">
        <v>0.131712</v>
      </c>
      <c r="L60" s="4">
        <f t="shared" si="3"/>
        <v>0.92577597840755721</v>
      </c>
      <c r="M60" s="4"/>
      <c r="N60">
        <v>0.177344</v>
      </c>
      <c r="O60">
        <v>0.171456</v>
      </c>
      <c r="P60" s="4">
        <f t="shared" si="7"/>
        <v>0.96679898953446408</v>
      </c>
      <c r="R60">
        <v>0.181952</v>
      </c>
      <c r="S60">
        <v>0.17369599999999999</v>
      </c>
      <c r="T60" s="4">
        <f t="shared" si="8"/>
        <v>0.95462539570875826</v>
      </c>
      <c r="V60">
        <v>0.20339199999999999</v>
      </c>
      <c r="W60">
        <v>0.199488</v>
      </c>
      <c r="X60" s="4">
        <f t="shared" si="2"/>
        <v>0.98080553807426063</v>
      </c>
      <c r="AC60">
        <v>0.29452800000000001</v>
      </c>
      <c r="AD60">
        <v>0.29113600000000001</v>
      </c>
      <c r="AE60" s="4">
        <f t="shared" si="5"/>
        <v>0.98848326814428511</v>
      </c>
      <c r="AG60">
        <v>0.34707199999999999</v>
      </c>
      <c r="AH60">
        <v>0.34425600000000001</v>
      </c>
      <c r="AI60" s="4">
        <f t="shared" si="6"/>
        <v>0.99188640973630837</v>
      </c>
    </row>
    <row r="61" spans="3:35" x14ac:dyDescent="0.25">
      <c r="C61" t="s">
        <v>5</v>
      </c>
      <c r="D61">
        <v>8</v>
      </c>
      <c r="E61">
        <v>128</v>
      </c>
      <c r="F61">
        <f>5120</f>
        <v>5120</v>
      </c>
      <c r="G61">
        <v>28</v>
      </c>
      <c r="H61">
        <v>4</v>
      </c>
      <c r="J61">
        <v>0.24851200000000001</v>
      </c>
      <c r="K61">
        <v>0.22886400000000001</v>
      </c>
      <c r="L61" s="4">
        <f t="shared" si="3"/>
        <v>0.92093741952098895</v>
      </c>
      <c r="M61" s="4"/>
      <c r="N61">
        <v>0.31942399999999999</v>
      </c>
      <c r="O61">
        <v>0.30719999999999997</v>
      </c>
      <c r="P61" s="4">
        <f t="shared" si="7"/>
        <v>0.96173111600881578</v>
      </c>
      <c r="R61">
        <v>0.31206400000000001</v>
      </c>
      <c r="S61">
        <v>0.29920000000000002</v>
      </c>
      <c r="T61" s="4">
        <f t="shared" si="8"/>
        <v>0.95877768662838392</v>
      </c>
      <c r="V61">
        <v>0.37318400000000002</v>
      </c>
      <c r="W61">
        <v>0.36287999999999998</v>
      </c>
      <c r="X61" s="4">
        <f t="shared" si="2"/>
        <v>0.97238895558223282</v>
      </c>
      <c r="AC61">
        <v>0.53100800000000004</v>
      </c>
      <c r="AD61">
        <v>0.53068800000000005</v>
      </c>
      <c r="AE61" s="4">
        <f t="shared" si="5"/>
        <v>0.99939737254429317</v>
      </c>
      <c r="AG61">
        <v>0.62886399999999998</v>
      </c>
      <c r="AH61">
        <v>0.62220799999999998</v>
      </c>
      <c r="AI61" s="4">
        <f t="shared" si="6"/>
        <v>0.98941583553836765</v>
      </c>
    </row>
    <row r="62" spans="3:35" x14ac:dyDescent="0.25">
      <c r="C62" t="s">
        <v>5</v>
      </c>
      <c r="D62">
        <v>16</v>
      </c>
      <c r="E62">
        <v>128</v>
      </c>
      <c r="F62">
        <f>5120</f>
        <v>5120</v>
      </c>
      <c r="G62">
        <v>28</v>
      </c>
      <c r="H62">
        <v>4</v>
      </c>
      <c r="J62">
        <v>0.41952</v>
      </c>
      <c r="K62">
        <v>0.38924799999999998</v>
      </c>
      <c r="L62" s="4">
        <f t="shared" si="3"/>
        <v>0.9278413424866514</v>
      </c>
      <c r="M62" s="4"/>
      <c r="N62">
        <v>0.60179199999999999</v>
      </c>
      <c r="O62">
        <v>0.57868799999999998</v>
      </c>
      <c r="P62" s="4">
        <f t="shared" si="7"/>
        <v>0.96160799744762304</v>
      </c>
      <c r="R62">
        <v>0.55385600000000001</v>
      </c>
      <c r="S62">
        <v>0.547072</v>
      </c>
      <c r="T62" s="4">
        <f t="shared" si="8"/>
        <v>0.98775132886526462</v>
      </c>
      <c r="V62">
        <v>0.70419200000000004</v>
      </c>
      <c r="W62">
        <v>0.67878400000000005</v>
      </c>
      <c r="X62" s="4">
        <f t="shared" si="2"/>
        <v>0.9639189312005817</v>
      </c>
      <c r="AC62">
        <v>1.3855999999999999</v>
      </c>
      <c r="AD62">
        <v>1.3702399999999999</v>
      </c>
      <c r="AE62" s="4">
        <f t="shared" si="5"/>
        <v>0.98891454965357961</v>
      </c>
      <c r="AG62">
        <v>1.1759999999999999</v>
      </c>
      <c r="AH62">
        <v>1.173376</v>
      </c>
      <c r="AI62" s="4">
        <f t="shared" si="6"/>
        <v>0.99776870748299318</v>
      </c>
    </row>
    <row r="63" spans="3:35" x14ac:dyDescent="0.25">
      <c r="C63" t="s">
        <v>5</v>
      </c>
      <c r="D63">
        <v>32</v>
      </c>
      <c r="E63">
        <v>128</v>
      </c>
      <c r="F63">
        <f>5120</f>
        <v>5120</v>
      </c>
      <c r="G63">
        <v>28</v>
      </c>
      <c r="H63">
        <v>4</v>
      </c>
      <c r="J63">
        <v>0.742784</v>
      </c>
      <c r="K63">
        <v>0.698048</v>
      </c>
      <c r="L63" s="4">
        <f t="shared" si="3"/>
        <v>0.93977253144925044</v>
      </c>
      <c r="M63" s="4"/>
      <c r="N63">
        <v>1.156096</v>
      </c>
      <c r="O63">
        <v>1.112128</v>
      </c>
      <c r="P63" s="4">
        <f t="shared" si="7"/>
        <v>0.96196855624446409</v>
      </c>
      <c r="R63">
        <v>1.0522879999999999</v>
      </c>
      <c r="S63">
        <v>1.0442880000000001</v>
      </c>
      <c r="T63" s="4">
        <f t="shared" si="8"/>
        <v>0.99239751855005498</v>
      </c>
      <c r="V63">
        <v>1.365056</v>
      </c>
      <c r="W63">
        <v>1.3138559999999999</v>
      </c>
      <c r="X63" s="4">
        <f t="shared" si="2"/>
        <v>0.9624923812649443</v>
      </c>
      <c r="AC63">
        <v>2.7981440000000002</v>
      </c>
      <c r="AD63">
        <v>2.8224</v>
      </c>
      <c r="AE63" s="4">
        <f t="shared" si="5"/>
        <v>1.0086686031883991</v>
      </c>
      <c r="AG63">
        <v>2.2857599999999998</v>
      </c>
      <c r="AH63">
        <v>2.2791039999999998</v>
      </c>
      <c r="AI63" s="4">
        <f t="shared" si="6"/>
        <v>0.99708805823883517</v>
      </c>
    </row>
    <row r="64" spans="3:35" x14ac:dyDescent="0.25">
      <c r="C64" t="s">
        <v>5</v>
      </c>
      <c r="D64">
        <v>64</v>
      </c>
      <c r="E64">
        <v>128</v>
      </c>
      <c r="F64">
        <f>5120</f>
        <v>5120</v>
      </c>
      <c r="G64">
        <v>28</v>
      </c>
      <c r="H64">
        <v>4</v>
      </c>
      <c r="J64">
        <v>1.3841920000000001</v>
      </c>
      <c r="K64">
        <v>1.3085439999999999</v>
      </c>
      <c r="L64" s="4">
        <f t="shared" si="3"/>
        <v>0.94534862215646376</v>
      </c>
      <c r="M64" s="4"/>
      <c r="N64">
        <v>2.2281599999999999</v>
      </c>
      <c r="O64">
        <v>2.1313279999999999</v>
      </c>
      <c r="P64" s="4">
        <f t="shared" si="7"/>
        <v>0.95654172052276321</v>
      </c>
      <c r="R64">
        <v>1.99424</v>
      </c>
      <c r="S64">
        <v>2.0817920000000001</v>
      </c>
      <c r="T64" s="4">
        <f t="shared" si="8"/>
        <v>1.0439024390243903</v>
      </c>
      <c r="V64">
        <v>2.681664</v>
      </c>
      <c r="W64">
        <v>2.5913599999999999</v>
      </c>
      <c r="X64" s="4">
        <f t="shared" si="2"/>
        <v>0.966325386028973</v>
      </c>
      <c r="AC64">
        <v>3.32192</v>
      </c>
      <c r="AD64">
        <v>3.3093119999999998</v>
      </c>
      <c r="AE64" s="4">
        <f t="shared" si="5"/>
        <v>0.9962046045660341</v>
      </c>
      <c r="AG64">
        <v>4.5064320000000002</v>
      </c>
      <c r="AH64">
        <v>4.5048969999999997</v>
      </c>
      <c r="AI64" s="4">
        <f t="shared" si="6"/>
        <v>0.99965937575447705</v>
      </c>
    </row>
    <row r="65" spans="3:35" x14ac:dyDescent="0.25">
      <c r="C65" t="s">
        <v>5</v>
      </c>
      <c r="D65">
        <v>1</v>
      </c>
      <c r="E65">
        <v>128</v>
      </c>
      <c r="F65">
        <f>6144</f>
        <v>6144</v>
      </c>
      <c r="G65">
        <v>28</v>
      </c>
      <c r="H65">
        <v>4</v>
      </c>
      <c r="J65">
        <v>0.16531199999999999</v>
      </c>
      <c r="K65">
        <v>0.15212800000000001</v>
      </c>
      <c r="L65" s="4">
        <f t="shared" si="3"/>
        <v>0.92024777390631063</v>
      </c>
      <c r="M65" s="4"/>
      <c r="N65">
        <v>0.20704</v>
      </c>
      <c r="O65">
        <v>0.199296</v>
      </c>
      <c r="P65" s="4">
        <f t="shared" si="7"/>
        <v>0.96259659969088096</v>
      </c>
      <c r="R65">
        <v>0.16243199999999999</v>
      </c>
      <c r="S65">
        <v>0.15123200000000001</v>
      </c>
      <c r="T65" s="4">
        <f t="shared" si="8"/>
        <v>0.93104806934594175</v>
      </c>
      <c r="V65">
        <v>0.210176</v>
      </c>
      <c r="W65">
        <v>0.20377600000000001</v>
      </c>
      <c r="X65" s="4">
        <f t="shared" si="2"/>
        <v>0.9695493300852619</v>
      </c>
      <c r="AC65">
        <v>0.34662399999999999</v>
      </c>
      <c r="AD65">
        <v>0.34099200000000002</v>
      </c>
      <c r="AE65" s="4">
        <f t="shared" si="5"/>
        <v>0.98375184638109314</v>
      </c>
      <c r="AG65">
        <v>0.35193600000000003</v>
      </c>
      <c r="AH65">
        <v>0.34444799999999998</v>
      </c>
      <c r="AI65" s="4">
        <f t="shared" si="6"/>
        <v>0.97872340425531901</v>
      </c>
    </row>
    <row r="66" spans="3:35" x14ac:dyDescent="0.25">
      <c r="C66" t="s">
        <v>5</v>
      </c>
      <c r="D66">
        <v>2</v>
      </c>
      <c r="E66">
        <v>128</v>
      </c>
      <c r="F66">
        <f>6144</f>
        <v>6144</v>
      </c>
      <c r="G66">
        <v>28</v>
      </c>
      <c r="H66">
        <v>4</v>
      </c>
      <c r="J66">
        <v>0.16262399999999999</v>
      </c>
      <c r="K66">
        <v>0.15392</v>
      </c>
      <c r="L66" s="4">
        <f t="shared" si="3"/>
        <v>0.94647776465958289</v>
      </c>
      <c r="M66" s="4"/>
      <c r="N66">
        <v>0.20697599999999999</v>
      </c>
      <c r="O66">
        <v>0.19955200000000001</v>
      </c>
      <c r="P66" s="4">
        <f t="shared" si="7"/>
        <v>0.96413110698824989</v>
      </c>
      <c r="R66">
        <v>0.19456000000000001</v>
      </c>
      <c r="S66">
        <v>0.18099199999999999</v>
      </c>
      <c r="T66" s="4">
        <f t="shared" si="8"/>
        <v>0.93026315789473668</v>
      </c>
      <c r="V66">
        <v>0.22412799999999999</v>
      </c>
      <c r="W66">
        <v>0.21804799999999999</v>
      </c>
      <c r="X66" s="4">
        <f t="shared" ref="X66:X129" si="9">W66/V66</f>
        <v>0.97287264420331243</v>
      </c>
      <c r="AC66">
        <v>0.34233599999999997</v>
      </c>
      <c r="AD66">
        <v>0.33881600000000001</v>
      </c>
      <c r="AE66" s="4">
        <f t="shared" si="5"/>
        <v>0.98971770424378402</v>
      </c>
      <c r="AG66">
        <v>0.37030400000000002</v>
      </c>
      <c r="AH66">
        <v>0.36403200000000002</v>
      </c>
      <c r="AI66" s="4">
        <f t="shared" si="6"/>
        <v>0.98306256481161425</v>
      </c>
    </row>
    <row r="67" spans="3:35" x14ac:dyDescent="0.25">
      <c r="C67" t="s">
        <v>5</v>
      </c>
      <c r="D67">
        <v>4</v>
      </c>
      <c r="E67">
        <v>128</v>
      </c>
      <c r="F67">
        <f>6144</f>
        <v>6144</v>
      </c>
      <c r="G67">
        <v>28</v>
      </c>
      <c r="H67">
        <v>4</v>
      </c>
      <c r="J67">
        <v>0.16966400000000001</v>
      </c>
      <c r="K67">
        <v>0.15763199999999999</v>
      </c>
      <c r="L67" s="4">
        <f t="shared" ref="L67:L130" si="10">K67/J67</f>
        <v>0.92908336476801201</v>
      </c>
      <c r="M67" s="4"/>
      <c r="N67">
        <v>0.206592</v>
      </c>
      <c r="O67">
        <v>0.19980800000000001</v>
      </c>
      <c r="P67" s="4">
        <f t="shared" si="7"/>
        <v>0.96716232961586124</v>
      </c>
      <c r="R67">
        <v>0.21004800000000001</v>
      </c>
      <c r="S67">
        <v>0.20121600000000001</v>
      </c>
      <c r="T67" s="4">
        <f t="shared" si="8"/>
        <v>0.9579524680073126</v>
      </c>
      <c r="V67">
        <v>0.237376</v>
      </c>
      <c r="W67">
        <v>0.230272</v>
      </c>
      <c r="X67" s="4">
        <f t="shared" si="9"/>
        <v>0.97007279590186035</v>
      </c>
      <c r="AC67">
        <v>0.34572799999999998</v>
      </c>
      <c r="AD67">
        <v>0.345024</v>
      </c>
      <c r="AE67" s="4">
        <f t="shared" ref="AE67:AE130" si="11">AD67/AC67</f>
        <v>0.99796371714179943</v>
      </c>
      <c r="AG67">
        <v>0.40531200000000001</v>
      </c>
      <c r="AH67">
        <v>0.39776</v>
      </c>
      <c r="AI67" s="4">
        <f t="shared" ref="AI67:AI130" si="12">AH67/AG67</f>
        <v>0.98136744039159951</v>
      </c>
    </row>
    <row r="68" spans="3:35" x14ac:dyDescent="0.25">
      <c r="C68" t="s">
        <v>5</v>
      </c>
      <c r="D68">
        <v>8</v>
      </c>
      <c r="E68">
        <v>128</v>
      </c>
      <c r="F68">
        <f>6144</f>
        <v>6144</v>
      </c>
      <c r="G68">
        <v>28</v>
      </c>
      <c r="H68">
        <v>4</v>
      </c>
      <c r="J68">
        <v>0.28243200000000002</v>
      </c>
      <c r="K68">
        <v>0.26246399999999998</v>
      </c>
      <c r="L68" s="4">
        <f t="shared" si="10"/>
        <v>0.92929979605710389</v>
      </c>
      <c r="M68" s="4"/>
      <c r="N68">
        <v>0.37440000000000001</v>
      </c>
      <c r="O68">
        <v>0.36031999999999997</v>
      </c>
      <c r="P68" s="4">
        <f t="shared" si="7"/>
        <v>0.9623931623931623</v>
      </c>
      <c r="R68">
        <v>0.36480000000000001</v>
      </c>
      <c r="S68">
        <v>0.34464</v>
      </c>
      <c r="T68" s="4">
        <f t="shared" si="8"/>
        <v>0.9447368421052631</v>
      </c>
      <c r="V68">
        <v>0.43552000000000002</v>
      </c>
      <c r="W68">
        <v>0.42624000000000001</v>
      </c>
      <c r="X68" s="4">
        <f t="shared" si="9"/>
        <v>0.97869213813372513</v>
      </c>
      <c r="AC68">
        <v>0.61459200000000003</v>
      </c>
      <c r="AD68">
        <v>0.61024</v>
      </c>
      <c r="AE68" s="4">
        <f t="shared" si="11"/>
        <v>0.99291887951681768</v>
      </c>
      <c r="AG68">
        <v>0.73203200000000002</v>
      </c>
      <c r="AH68">
        <v>0.72940799999999995</v>
      </c>
      <c r="AI68" s="4">
        <f t="shared" si="12"/>
        <v>0.99641545724777048</v>
      </c>
    </row>
    <row r="69" spans="3:35" x14ac:dyDescent="0.25">
      <c r="C69" t="s">
        <v>5</v>
      </c>
      <c r="D69">
        <v>16</v>
      </c>
      <c r="E69">
        <v>128</v>
      </c>
      <c r="F69">
        <f>6144</f>
        <v>6144</v>
      </c>
      <c r="G69">
        <v>28</v>
      </c>
      <c r="H69">
        <v>4</v>
      </c>
      <c r="J69">
        <v>0.48371199999999998</v>
      </c>
      <c r="K69">
        <v>0.45151999999999998</v>
      </c>
      <c r="L69" s="4">
        <f t="shared" si="10"/>
        <v>0.93344800211696211</v>
      </c>
      <c r="M69" s="4"/>
      <c r="N69">
        <v>0.71027200000000001</v>
      </c>
      <c r="O69">
        <v>0.68179199999999995</v>
      </c>
      <c r="P69" s="4">
        <f t="shared" si="7"/>
        <v>0.95990268516849875</v>
      </c>
      <c r="R69">
        <v>0.65702400000000005</v>
      </c>
      <c r="S69">
        <v>0.64998400000000001</v>
      </c>
      <c r="T69" s="4">
        <f t="shared" si="8"/>
        <v>0.98928501850769524</v>
      </c>
      <c r="V69">
        <v>0.839808</v>
      </c>
      <c r="W69">
        <v>0.808832</v>
      </c>
      <c r="X69" s="4">
        <f t="shared" si="9"/>
        <v>0.96311537875323883</v>
      </c>
      <c r="AC69">
        <v>1.6250880000000001</v>
      </c>
      <c r="AD69">
        <v>1.63744</v>
      </c>
      <c r="AE69" s="4">
        <f t="shared" si="11"/>
        <v>1.0076008191556396</v>
      </c>
      <c r="AG69">
        <v>1.3918079999999999</v>
      </c>
      <c r="AH69">
        <v>1.3897600000000001</v>
      </c>
      <c r="AI69" s="4">
        <f t="shared" si="12"/>
        <v>0.99852853267117314</v>
      </c>
    </row>
    <row r="70" spans="3:35" x14ac:dyDescent="0.25">
      <c r="C70" t="s">
        <v>5</v>
      </c>
      <c r="D70">
        <v>32</v>
      </c>
      <c r="E70">
        <v>128</v>
      </c>
      <c r="F70">
        <f>6144</f>
        <v>6144</v>
      </c>
      <c r="G70">
        <v>28</v>
      </c>
      <c r="H70">
        <v>4</v>
      </c>
      <c r="J70">
        <v>0.87295999999999996</v>
      </c>
      <c r="K70">
        <v>0.81625599999999998</v>
      </c>
      <c r="L70" s="4">
        <f t="shared" si="10"/>
        <v>0.93504398826979473</v>
      </c>
      <c r="M70" s="4"/>
      <c r="N70">
        <v>1.3471359999999999</v>
      </c>
      <c r="O70">
        <v>1.2898559999999999</v>
      </c>
      <c r="P70" s="4">
        <f t="shared" si="7"/>
        <v>0.95748016532851921</v>
      </c>
      <c r="R70">
        <v>1.243968</v>
      </c>
      <c r="S70">
        <v>1.2567680000000001</v>
      </c>
      <c r="T70" s="4">
        <f t="shared" si="8"/>
        <v>1.0102896537531514</v>
      </c>
      <c r="V70">
        <v>1.6251519999999999</v>
      </c>
      <c r="W70">
        <v>1.5720320000000001</v>
      </c>
      <c r="X70" s="4">
        <f t="shared" si="9"/>
        <v>0.96731382664513854</v>
      </c>
      <c r="AC70">
        <v>2.0285440000000001</v>
      </c>
      <c r="AD70">
        <v>2.015104</v>
      </c>
      <c r="AE70" s="4">
        <f t="shared" si="11"/>
        <v>0.99337455830388688</v>
      </c>
      <c r="AG70">
        <v>2.7161599999999999</v>
      </c>
      <c r="AH70">
        <v>2.7155840000000002</v>
      </c>
      <c r="AI70" s="4">
        <f t="shared" si="12"/>
        <v>0.99978793590951942</v>
      </c>
    </row>
    <row r="71" spans="3:35" x14ac:dyDescent="0.25">
      <c r="C71" t="s">
        <v>5</v>
      </c>
      <c r="D71">
        <v>64</v>
      </c>
      <c r="E71">
        <v>128</v>
      </c>
      <c r="F71">
        <f>6144</f>
        <v>6144</v>
      </c>
      <c r="G71">
        <v>28</v>
      </c>
      <c r="H71">
        <v>4</v>
      </c>
      <c r="J71">
        <v>1.6528640000000001</v>
      </c>
      <c r="K71">
        <v>1.549504</v>
      </c>
      <c r="L71" s="4">
        <f t="shared" si="10"/>
        <v>0.93746611941454339</v>
      </c>
      <c r="M71" s="4"/>
      <c r="N71">
        <v>2.6783359999999998</v>
      </c>
      <c r="O71">
        <v>2.5557120000000002</v>
      </c>
      <c r="P71" s="4">
        <f t="shared" si="7"/>
        <v>0.95421634925565735</v>
      </c>
      <c r="R71">
        <v>2.3804159999999999</v>
      </c>
      <c r="S71">
        <v>2.4974080000000001</v>
      </c>
      <c r="T71" s="4">
        <f t="shared" si="8"/>
        <v>1.0491477119965587</v>
      </c>
      <c r="V71">
        <v>3.1861760000000001</v>
      </c>
      <c r="W71">
        <v>3.0807039999999999</v>
      </c>
      <c r="X71" s="4">
        <f t="shared" si="9"/>
        <v>0.96689699501847981</v>
      </c>
      <c r="AC71">
        <v>3.9477760000000002</v>
      </c>
      <c r="AD71">
        <v>3.9390079999999998</v>
      </c>
      <c r="AE71" s="4">
        <f t="shared" si="11"/>
        <v>0.99777900265871211</v>
      </c>
      <c r="AG71">
        <v>5.3667210000000001</v>
      </c>
      <c r="AH71">
        <v>5.3683199999999998</v>
      </c>
      <c r="AI71" s="4">
        <f t="shared" si="12"/>
        <v>1.0002979472940738</v>
      </c>
    </row>
    <row r="72" spans="3:35" x14ac:dyDescent="0.25">
      <c r="C72" t="s">
        <v>5</v>
      </c>
      <c r="D72">
        <v>1</v>
      </c>
      <c r="E72">
        <v>128</v>
      </c>
      <c r="F72">
        <f>7168</f>
        <v>7168</v>
      </c>
      <c r="G72">
        <v>28</v>
      </c>
      <c r="H72">
        <v>4</v>
      </c>
      <c r="J72">
        <v>0.18464</v>
      </c>
      <c r="K72">
        <v>0.17196800000000001</v>
      </c>
      <c r="L72" s="4">
        <f t="shared" si="10"/>
        <v>0.93136915077989613</v>
      </c>
      <c r="M72" s="4"/>
      <c r="N72">
        <v>0.234176</v>
      </c>
      <c r="O72">
        <v>0.22592000000000001</v>
      </c>
      <c r="P72" s="4">
        <f t="shared" si="7"/>
        <v>0.96474446570101124</v>
      </c>
      <c r="R72">
        <v>0.182592</v>
      </c>
      <c r="S72">
        <v>0.17055999999999999</v>
      </c>
      <c r="T72" s="4">
        <f t="shared" si="8"/>
        <v>0.93410445145460907</v>
      </c>
      <c r="V72">
        <v>0.23846400000000001</v>
      </c>
      <c r="W72">
        <v>0.23091200000000001</v>
      </c>
      <c r="X72" s="4">
        <f t="shared" si="9"/>
        <v>0.96833064949006975</v>
      </c>
      <c r="AC72">
        <v>0.39129599999999998</v>
      </c>
      <c r="AD72">
        <v>0.38758399999999998</v>
      </c>
      <c r="AE72" s="4">
        <f t="shared" si="11"/>
        <v>0.99051357540071971</v>
      </c>
      <c r="AG72">
        <v>0.39091199999999998</v>
      </c>
      <c r="AH72">
        <v>0.38739200000000001</v>
      </c>
      <c r="AI72" s="4">
        <f t="shared" si="12"/>
        <v>0.99099541584806816</v>
      </c>
    </row>
    <row r="73" spans="3:35" x14ac:dyDescent="0.25">
      <c r="C73" t="s">
        <v>5</v>
      </c>
      <c r="D73">
        <v>2</v>
      </c>
      <c r="E73">
        <v>128</v>
      </c>
      <c r="F73">
        <f>7168</f>
        <v>7168</v>
      </c>
      <c r="G73">
        <v>28</v>
      </c>
      <c r="H73">
        <v>4</v>
      </c>
      <c r="J73">
        <v>0.187776</v>
      </c>
      <c r="K73">
        <v>0.16921600000000001</v>
      </c>
      <c r="L73" s="4">
        <f t="shared" si="10"/>
        <v>0.90115882753919563</v>
      </c>
      <c r="M73" s="4"/>
      <c r="N73">
        <v>0.23513600000000001</v>
      </c>
      <c r="O73">
        <v>0.22572800000000001</v>
      </c>
      <c r="P73" s="4">
        <f t="shared" si="7"/>
        <v>0.95998911268372344</v>
      </c>
      <c r="R73">
        <v>0.222912</v>
      </c>
      <c r="S73">
        <v>0.20435200000000001</v>
      </c>
      <c r="T73" s="4">
        <f t="shared" si="8"/>
        <v>0.91673844387022685</v>
      </c>
      <c r="V73">
        <v>0.25369599999999998</v>
      </c>
      <c r="W73">
        <v>0.247616</v>
      </c>
      <c r="X73" s="4">
        <f t="shared" si="9"/>
        <v>0.97603430877901121</v>
      </c>
      <c r="AC73">
        <v>0.38758399999999998</v>
      </c>
      <c r="AD73">
        <v>0.385216</v>
      </c>
      <c r="AE73" s="4">
        <f t="shared" si="11"/>
        <v>0.99389035667107006</v>
      </c>
      <c r="AG73">
        <v>0.414464</v>
      </c>
      <c r="AH73">
        <v>0.41075200000000001</v>
      </c>
      <c r="AI73" s="4">
        <f t="shared" si="12"/>
        <v>0.99104385423100683</v>
      </c>
    </row>
    <row r="74" spans="3:35" x14ac:dyDescent="0.25">
      <c r="C74" t="s">
        <v>5</v>
      </c>
      <c r="D74">
        <v>4</v>
      </c>
      <c r="E74">
        <v>128</v>
      </c>
      <c r="F74">
        <f>7168</f>
        <v>7168</v>
      </c>
      <c r="G74">
        <v>28</v>
      </c>
      <c r="H74">
        <v>4</v>
      </c>
      <c r="J74">
        <v>0.18726400000000001</v>
      </c>
      <c r="K74">
        <v>0.17152000000000001</v>
      </c>
      <c r="L74" s="4">
        <f t="shared" si="10"/>
        <v>0.91592617908407381</v>
      </c>
      <c r="M74" s="4"/>
      <c r="N74">
        <v>0.2336</v>
      </c>
      <c r="O74">
        <v>0.22553599999999999</v>
      </c>
      <c r="P74" s="4">
        <f t="shared" si="7"/>
        <v>0.96547945205479446</v>
      </c>
      <c r="R74">
        <v>0.23078399999999999</v>
      </c>
      <c r="S74">
        <v>0.22464000000000001</v>
      </c>
      <c r="T74" s="4">
        <f t="shared" si="8"/>
        <v>0.9733777038269551</v>
      </c>
      <c r="V74">
        <v>0.27289600000000003</v>
      </c>
      <c r="W74">
        <v>0.26425599999999999</v>
      </c>
      <c r="X74" s="4">
        <f t="shared" si="9"/>
        <v>0.96833958724202618</v>
      </c>
      <c r="AC74">
        <v>0.38086399999999998</v>
      </c>
      <c r="AD74">
        <v>0.37747199999999997</v>
      </c>
      <c r="AE74" s="4">
        <f t="shared" si="11"/>
        <v>0.99109393379263988</v>
      </c>
      <c r="AG74">
        <v>0.45395200000000002</v>
      </c>
      <c r="AH74">
        <v>0.451712</v>
      </c>
      <c r="AI74" s="4">
        <f t="shared" si="12"/>
        <v>0.99506555759199211</v>
      </c>
    </row>
    <row r="75" spans="3:35" x14ac:dyDescent="0.25">
      <c r="C75" t="s">
        <v>5</v>
      </c>
      <c r="D75">
        <v>8</v>
      </c>
      <c r="E75">
        <v>128</v>
      </c>
      <c r="F75">
        <f>7168</f>
        <v>7168</v>
      </c>
      <c r="G75">
        <v>28</v>
      </c>
      <c r="H75">
        <v>4</v>
      </c>
      <c r="J75">
        <v>0.32281599999999999</v>
      </c>
      <c r="K75">
        <v>0.29855999999999999</v>
      </c>
      <c r="L75" s="4">
        <f t="shared" si="10"/>
        <v>0.92486122125297388</v>
      </c>
      <c r="M75" s="4"/>
      <c r="N75">
        <v>0.43385600000000002</v>
      </c>
      <c r="O75">
        <v>0.41382400000000003</v>
      </c>
      <c r="P75" s="4">
        <f t="shared" si="7"/>
        <v>0.95382799822982745</v>
      </c>
      <c r="R75">
        <v>0.41747200000000001</v>
      </c>
      <c r="S75">
        <v>0.398976</v>
      </c>
      <c r="T75" s="4">
        <f t="shared" si="8"/>
        <v>0.95569523225509734</v>
      </c>
      <c r="V75">
        <v>0.505664</v>
      </c>
      <c r="W75">
        <v>0.486848</v>
      </c>
      <c r="X75" s="4">
        <f t="shared" si="9"/>
        <v>0.96278952031388432</v>
      </c>
      <c r="AC75">
        <v>0.70259199999999999</v>
      </c>
      <c r="AD75">
        <v>0.70079999999999998</v>
      </c>
      <c r="AE75" s="4">
        <f t="shared" si="11"/>
        <v>0.99744944434323191</v>
      </c>
      <c r="AG75">
        <v>0.84051200000000004</v>
      </c>
      <c r="AH75">
        <v>0.837696</v>
      </c>
      <c r="AI75" s="4">
        <f t="shared" si="12"/>
        <v>0.99664966115891263</v>
      </c>
    </row>
    <row r="76" spans="3:35" x14ac:dyDescent="0.25">
      <c r="C76" t="s">
        <v>5</v>
      </c>
      <c r="D76">
        <v>16</v>
      </c>
      <c r="E76">
        <v>128</v>
      </c>
      <c r="F76">
        <f>7168</f>
        <v>7168</v>
      </c>
      <c r="G76">
        <v>28</v>
      </c>
      <c r="H76">
        <v>4</v>
      </c>
      <c r="J76">
        <v>0.55366400000000004</v>
      </c>
      <c r="K76">
        <v>0.51359999999999995</v>
      </c>
      <c r="L76" s="4">
        <f t="shared" si="10"/>
        <v>0.92763842330366419</v>
      </c>
      <c r="M76" s="4"/>
      <c r="N76">
        <v>0.82067199999999996</v>
      </c>
      <c r="O76">
        <v>0.78924799999999995</v>
      </c>
      <c r="P76" s="4">
        <f t="shared" si="7"/>
        <v>0.96170942837089601</v>
      </c>
      <c r="R76">
        <v>0.73760000000000003</v>
      </c>
      <c r="S76">
        <v>0.73536000000000001</v>
      </c>
      <c r="T76" s="4">
        <f t="shared" si="8"/>
        <v>0.99696312364425155</v>
      </c>
      <c r="V76">
        <v>0.96940800000000005</v>
      </c>
      <c r="W76">
        <v>0.938496</v>
      </c>
      <c r="X76" s="4">
        <f t="shared" si="9"/>
        <v>0.96811249752426221</v>
      </c>
      <c r="AC76">
        <v>1.8924160000000001</v>
      </c>
      <c r="AD76">
        <v>1.8780159999999999</v>
      </c>
      <c r="AE76" s="4">
        <f t="shared" si="11"/>
        <v>0.99239067942777903</v>
      </c>
      <c r="AG76">
        <v>1.6062080000000001</v>
      </c>
      <c r="AH76">
        <v>1.6006400000000001</v>
      </c>
      <c r="AI76" s="4">
        <f t="shared" si="12"/>
        <v>0.99653345021317286</v>
      </c>
    </row>
    <row r="77" spans="3:35" x14ac:dyDescent="0.25">
      <c r="C77" t="s">
        <v>5</v>
      </c>
      <c r="D77">
        <v>32</v>
      </c>
      <c r="E77">
        <v>128</v>
      </c>
      <c r="F77">
        <f>7168</f>
        <v>7168</v>
      </c>
      <c r="G77">
        <v>28</v>
      </c>
      <c r="H77">
        <v>4</v>
      </c>
      <c r="J77">
        <v>0.99929599999999996</v>
      </c>
      <c r="K77">
        <v>0.94284800000000002</v>
      </c>
      <c r="L77" s="4">
        <f t="shared" si="10"/>
        <v>0.94351223261175876</v>
      </c>
      <c r="M77" s="4"/>
      <c r="N77">
        <v>1.697792</v>
      </c>
      <c r="O77">
        <v>1.5333760000000001</v>
      </c>
      <c r="P77" s="4">
        <f t="shared" si="7"/>
        <v>0.90315892641737039</v>
      </c>
      <c r="R77">
        <v>1.412288</v>
      </c>
      <c r="S77">
        <v>1.4534400000000001</v>
      </c>
      <c r="T77" s="4">
        <f t="shared" si="8"/>
        <v>1.0291385326505642</v>
      </c>
      <c r="V77">
        <v>1.8911359999999999</v>
      </c>
      <c r="W77">
        <v>1.8158080000000001</v>
      </c>
      <c r="X77" s="4">
        <f t="shared" si="9"/>
        <v>0.9601678567802634</v>
      </c>
      <c r="AC77">
        <v>3.904064</v>
      </c>
      <c r="AD77">
        <v>3.9150079999999998</v>
      </c>
      <c r="AE77" s="4">
        <f t="shared" si="11"/>
        <v>1.0028032327338896</v>
      </c>
      <c r="AG77">
        <v>3.1463679999999998</v>
      </c>
      <c r="AH77">
        <v>3.1424639999999999</v>
      </c>
      <c r="AI77" s="4">
        <f t="shared" si="12"/>
        <v>0.99875920426345555</v>
      </c>
    </row>
    <row r="78" spans="3:35" x14ac:dyDescent="0.25">
      <c r="C78" t="s">
        <v>5</v>
      </c>
      <c r="D78">
        <v>64</v>
      </c>
      <c r="E78">
        <v>128</v>
      </c>
      <c r="F78">
        <f>7168</f>
        <v>7168</v>
      </c>
      <c r="G78">
        <v>28</v>
      </c>
      <c r="H78">
        <v>4</v>
      </c>
      <c r="J78">
        <v>1.8924160000000001</v>
      </c>
      <c r="K78">
        <v>1.7771520000000001</v>
      </c>
      <c r="L78" s="4">
        <f t="shared" si="10"/>
        <v>0.93909161621968951</v>
      </c>
      <c r="M78" s="4"/>
      <c r="N78">
        <v>3.1111680000000002</v>
      </c>
      <c r="O78">
        <v>2.9690880000000002</v>
      </c>
      <c r="P78" s="4">
        <f t="shared" si="7"/>
        <v>0.95433226363860779</v>
      </c>
      <c r="R78">
        <v>2.7411840000000001</v>
      </c>
      <c r="S78">
        <v>2.8879999999999999</v>
      </c>
      <c r="T78" s="4">
        <f t="shared" si="8"/>
        <v>1.0535593378627628</v>
      </c>
      <c r="V78">
        <v>3.7312639999999999</v>
      </c>
      <c r="W78">
        <v>3.5924480000000001</v>
      </c>
      <c r="X78" s="4">
        <f t="shared" si="9"/>
        <v>0.96279652150048889</v>
      </c>
      <c r="AC78">
        <v>4.5826560000000001</v>
      </c>
      <c r="AD78">
        <v>4.5513599999999999</v>
      </c>
      <c r="AE78" s="4">
        <f t="shared" si="11"/>
        <v>0.99317077258253728</v>
      </c>
      <c r="AG78">
        <v>6.2308479999999999</v>
      </c>
      <c r="AH78">
        <v>6.2240640000000003</v>
      </c>
      <c r="AI78" s="4">
        <f t="shared" si="12"/>
        <v>0.99891122364082707</v>
      </c>
    </row>
    <row r="79" spans="3:35" x14ac:dyDescent="0.25">
      <c r="C79" t="s">
        <v>5</v>
      </c>
      <c r="D79">
        <v>1</v>
      </c>
      <c r="E79">
        <v>128</v>
      </c>
      <c r="F79">
        <f>8192</f>
        <v>8192</v>
      </c>
      <c r="G79">
        <v>28</v>
      </c>
      <c r="H79">
        <v>4</v>
      </c>
      <c r="J79">
        <v>0.20019200000000001</v>
      </c>
      <c r="K79">
        <v>0.182336</v>
      </c>
      <c r="L79" s="4">
        <f t="shared" si="10"/>
        <v>0.91080562659846542</v>
      </c>
      <c r="M79" s="4"/>
      <c r="N79">
        <v>0.26207999999999998</v>
      </c>
      <c r="O79">
        <v>0.25216</v>
      </c>
      <c r="P79" s="4">
        <f t="shared" si="7"/>
        <v>0.96214896214896217</v>
      </c>
      <c r="R79">
        <v>0.20230400000000001</v>
      </c>
      <c r="S79">
        <v>0.18867200000000001</v>
      </c>
      <c r="T79" s="4">
        <f t="shared" si="8"/>
        <v>0.93261626067700087</v>
      </c>
      <c r="V79">
        <v>0.267648</v>
      </c>
      <c r="W79">
        <v>0.25875199999999998</v>
      </c>
      <c r="X79" s="4">
        <f t="shared" si="9"/>
        <v>0.96676231468197027</v>
      </c>
      <c r="AC79">
        <v>0.43795200000000001</v>
      </c>
      <c r="AD79">
        <v>0.42636800000000002</v>
      </c>
      <c r="AE79" s="4">
        <f t="shared" si="11"/>
        <v>0.97354961274294904</v>
      </c>
      <c r="AG79">
        <v>0.43635200000000002</v>
      </c>
      <c r="AH79">
        <v>0.43302400000000002</v>
      </c>
      <c r="AI79" s="4">
        <f t="shared" si="12"/>
        <v>0.99237312995013205</v>
      </c>
    </row>
    <row r="80" spans="3:35" x14ac:dyDescent="0.25">
      <c r="C80" t="s">
        <v>5</v>
      </c>
      <c r="D80">
        <v>2</v>
      </c>
      <c r="E80">
        <v>128</v>
      </c>
      <c r="F80">
        <f>8192</f>
        <v>8192</v>
      </c>
      <c r="G80">
        <v>28</v>
      </c>
      <c r="H80">
        <v>4</v>
      </c>
      <c r="J80">
        <v>0.19897599999999999</v>
      </c>
      <c r="K80">
        <v>0.18406400000000001</v>
      </c>
      <c r="L80" s="4">
        <f t="shared" si="10"/>
        <v>0.9250562881955614</v>
      </c>
      <c r="M80" s="4"/>
      <c r="N80">
        <v>0.26246399999999998</v>
      </c>
      <c r="O80">
        <v>0.25280000000000002</v>
      </c>
      <c r="P80" s="4">
        <f t="shared" si="7"/>
        <v>0.9631797122653013</v>
      </c>
      <c r="R80">
        <v>0.242816</v>
      </c>
      <c r="S80">
        <v>0.22508800000000001</v>
      </c>
      <c r="T80" s="4">
        <f t="shared" si="8"/>
        <v>0.92698998418555612</v>
      </c>
      <c r="V80">
        <v>0.28499200000000002</v>
      </c>
      <c r="W80">
        <v>0.2752</v>
      </c>
      <c r="X80" s="4">
        <f t="shared" si="9"/>
        <v>0.96564114080395236</v>
      </c>
      <c r="AC80">
        <v>0.43187199999999998</v>
      </c>
      <c r="AD80">
        <v>0.42924800000000002</v>
      </c>
      <c r="AE80" s="4">
        <f t="shared" si="11"/>
        <v>0.99392412566686439</v>
      </c>
      <c r="AG80">
        <v>0.46566400000000002</v>
      </c>
      <c r="AH80">
        <v>0.45894400000000002</v>
      </c>
      <c r="AI80" s="4">
        <f t="shared" si="12"/>
        <v>0.98556899395272124</v>
      </c>
    </row>
    <row r="81" spans="3:35" x14ac:dyDescent="0.25">
      <c r="C81" t="s">
        <v>5</v>
      </c>
      <c r="D81">
        <v>4</v>
      </c>
      <c r="E81">
        <v>128</v>
      </c>
      <c r="F81">
        <f>8192</f>
        <v>8192</v>
      </c>
      <c r="G81">
        <v>28</v>
      </c>
      <c r="H81">
        <v>4</v>
      </c>
      <c r="J81">
        <v>0.20710400000000001</v>
      </c>
      <c r="K81">
        <v>0.19148799999999999</v>
      </c>
      <c r="L81" s="4">
        <f t="shared" si="10"/>
        <v>0.92459826946847956</v>
      </c>
      <c r="M81" s="4"/>
      <c r="N81">
        <v>0.26368000000000003</v>
      </c>
      <c r="O81">
        <v>0.25203199999999998</v>
      </c>
      <c r="P81" s="4">
        <f t="shared" si="7"/>
        <v>0.95582524271844638</v>
      </c>
      <c r="R81">
        <v>0.25951999999999997</v>
      </c>
      <c r="S81">
        <v>0.24870400000000001</v>
      </c>
      <c r="T81" s="4">
        <f t="shared" si="8"/>
        <v>0.95832305795314443</v>
      </c>
      <c r="V81">
        <v>0.303232</v>
      </c>
      <c r="W81">
        <v>0.29670400000000002</v>
      </c>
      <c r="X81" s="4">
        <f t="shared" si="9"/>
        <v>0.97847192908400171</v>
      </c>
      <c r="AC81">
        <v>0.42880000000000001</v>
      </c>
      <c r="AD81">
        <v>0.42636800000000002</v>
      </c>
      <c r="AE81" s="4">
        <f t="shared" si="11"/>
        <v>0.99432835820895527</v>
      </c>
      <c r="AG81">
        <v>0.51193599999999995</v>
      </c>
      <c r="AH81">
        <v>0.504</v>
      </c>
      <c r="AI81" s="4">
        <f t="shared" si="12"/>
        <v>0.98449806225778236</v>
      </c>
    </row>
    <row r="82" spans="3:35" x14ac:dyDescent="0.25">
      <c r="C82" t="s">
        <v>5</v>
      </c>
      <c r="D82">
        <v>8</v>
      </c>
      <c r="E82">
        <v>128</v>
      </c>
      <c r="F82">
        <f>8192</f>
        <v>8192</v>
      </c>
      <c r="G82">
        <v>28</v>
      </c>
      <c r="H82">
        <v>4</v>
      </c>
      <c r="J82">
        <v>0.35417599999999999</v>
      </c>
      <c r="K82">
        <v>0.32966400000000001</v>
      </c>
      <c r="L82" s="4">
        <f t="shared" si="10"/>
        <v>0.93079147090711967</v>
      </c>
      <c r="M82" s="4"/>
      <c r="N82">
        <v>0.47603200000000001</v>
      </c>
      <c r="O82">
        <v>0.45638400000000001</v>
      </c>
      <c r="P82" s="4">
        <f t="shared" si="7"/>
        <v>0.95872546383436408</v>
      </c>
      <c r="R82">
        <v>0.45721600000000001</v>
      </c>
      <c r="S82">
        <v>0.44262400000000002</v>
      </c>
      <c r="T82" s="4">
        <f t="shared" si="8"/>
        <v>0.96808510638297873</v>
      </c>
      <c r="V82">
        <v>0.57273600000000002</v>
      </c>
      <c r="W82">
        <v>0.55321600000000004</v>
      </c>
      <c r="X82" s="4">
        <f t="shared" si="9"/>
        <v>0.96591797966253212</v>
      </c>
      <c r="AC82">
        <v>0.73305600000000004</v>
      </c>
      <c r="AD82">
        <v>0.73420799999999997</v>
      </c>
      <c r="AE82" s="4">
        <f t="shared" si="11"/>
        <v>1.001571503404924</v>
      </c>
      <c r="AG82">
        <v>0.94540800000000003</v>
      </c>
      <c r="AH82">
        <v>0.94246399999999997</v>
      </c>
      <c r="AI82" s="4">
        <f t="shared" si="12"/>
        <v>0.99688600054156506</v>
      </c>
    </row>
    <row r="83" spans="3:35" x14ac:dyDescent="0.25">
      <c r="C83" t="s">
        <v>5</v>
      </c>
      <c r="D83">
        <v>16</v>
      </c>
      <c r="E83">
        <v>128</v>
      </c>
      <c r="F83">
        <f>8192</f>
        <v>8192</v>
      </c>
      <c r="G83">
        <v>28</v>
      </c>
      <c r="H83">
        <v>4</v>
      </c>
      <c r="J83">
        <v>0.61401600000000001</v>
      </c>
      <c r="K83">
        <v>0.57414399999999999</v>
      </c>
      <c r="L83" s="4">
        <f t="shared" si="10"/>
        <v>0.93506358140504475</v>
      </c>
      <c r="M83" s="4"/>
      <c r="N83">
        <v>0.91020800000000002</v>
      </c>
      <c r="O83">
        <v>0.87270400000000004</v>
      </c>
      <c r="P83" s="4">
        <f t="shared" si="7"/>
        <v>0.95879623119111235</v>
      </c>
      <c r="R83">
        <v>0.84652799999999995</v>
      </c>
      <c r="S83">
        <v>0.85286399999999996</v>
      </c>
      <c r="T83" s="4">
        <f t="shared" si="8"/>
        <v>1.0074846904059878</v>
      </c>
      <c r="V83">
        <v>1.1024</v>
      </c>
      <c r="W83">
        <v>1.0633600000000001</v>
      </c>
      <c r="X83" s="4">
        <f t="shared" si="9"/>
        <v>0.96458635703918727</v>
      </c>
      <c r="AC83">
        <v>1.3761920000000001</v>
      </c>
      <c r="AD83">
        <v>1.3644799999999999</v>
      </c>
      <c r="AE83" s="4">
        <f t="shared" si="11"/>
        <v>0.99148955959633522</v>
      </c>
      <c r="AG83">
        <v>1.817088</v>
      </c>
      <c r="AH83">
        <v>1.814592</v>
      </c>
      <c r="AI83" s="4">
        <f t="shared" si="12"/>
        <v>0.99862637362637363</v>
      </c>
    </row>
    <row r="84" spans="3:35" x14ac:dyDescent="0.25">
      <c r="C84" t="s">
        <v>5</v>
      </c>
      <c r="D84">
        <v>32</v>
      </c>
      <c r="E84">
        <v>128</v>
      </c>
      <c r="F84">
        <f>8192</f>
        <v>8192</v>
      </c>
      <c r="G84">
        <v>28</v>
      </c>
      <c r="H84">
        <v>4</v>
      </c>
      <c r="J84">
        <v>1.1230720000000001</v>
      </c>
      <c r="K84">
        <v>1.060864</v>
      </c>
      <c r="L84" s="4">
        <f t="shared" si="10"/>
        <v>0.94460907225894686</v>
      </c>
      <c r="M84" s="4"/>
      <c r="N84">
        <v>1.783744</v>
      </c>
      <c r="O84">
        <v>1.7009920000000001</v>
      </c>
      <c r="P84" s="4">
        <f t="shared" si="7"/>
        <v>0.95360769258368916</v>
      </c>
      <c r="R84">
        <v>1.6224000000000001</v>
      </c>
      <c r="S84">
        <v>1.6634880000000001</v>
      </c>
      <c r="T84" s="4">
        <f t="shared" si="8"/>
        <v>1.0253254437869823</v>
      </c>
      <c r="V84">
        <v>2.1482239999999999</v>
      </c>
      <c r="W84">
        <v>2.07104</v>
      </c>
      <c r="X84" s="4">
        <f t="shared" si="9"/>
        <v>0.96407078591431805</v>
      </c>
      <c r="AC84">
        <v>2.6506880000000002</v>
      </c>
      <c r="AD84">
        <v>2.6399360000000001</v>
      </c>
      <c r="AE84" s="4">
        <f t="shared" si="11"/>
        <v>0.99594369461815191</v>
      </c>
      <c r="AG84">
        <v>3.5720960000000002</v>
      </c>
      <c r="AH84">
        <v>3.5735679999999999</v>
      </c>
      <c r="AI84" s="4">
        <f t="shared" si="12"/>
        <v>1.0004120829899308</v>
      </c>
    </row>
    <row r="85" spans="3:35" x14ac:dyDescent="0.25">
      <c r="C85" t="s">
        <v>5</v>
      </c>
      <c r="D85">
        <v>64</v>
      </c>
      <c r="E85">
        <v>128</v>
      </c>
      <c r="F85">
        <f>8192</f>
        <v>8192</v>
      </c>
      <c r="G85">
        <v>28</v>
      </c>
      <c r="H85">
        <v>4</v>
      </c>
      <c r="J85">
        <v>2.155456</v>
      </c>
      <c r="K85">
        <v>2.0158719999999999</v>
      </c>
      <c r="L85" s="4">
        <f t="shared" si="10"/>
        <v>0.93524154517651947</v>
      </c>
      <c r="M85" s="4"/>
      <c r="N85">
        <v>3.5578880000000002</v>
      </c>
      <c r="O85">
        <v>3.389888</v>
      </c>
      <c r="P85" s="4">
        <f t="shared" si="7"/>
        <v>0.9527809756799539</v>
      </c>
      <c r="R85">
        <v>3.095936</v>
      </c>
      <c r="S85">
        <v>3.3596159999999999</v>
      </c>
      <c r="T85" s="4">
        <f t="shared" si="8"/>
        <v>1.0851697192706826</v>
      </c>
      <c r="V85">
        <v>4.2378239999999998</v>
      </c>
      <c r="W85">
        <v>4.0915840000000001</v>
      </c>
      <c r="X85" s="4">
        <f t="shared" si="9"/>
        <v>0.96549172405460926</v>
      </c>
      <c r="AC85">
        <v>5.2009600000000002</v>
      </c>
      <c r="AD85">
        <v>5.1768960000000002</v>
      </c>
      <c r="AE85" s="4">
        <f t="shared" si="11"/>
        <v>0.99537316187780711</v>
      </c>
      <c r="AG85">
        <v>7.0831999999999997</v>
      </c>
      <c r="AH85">
        <v>7.076416</v>
      </c>
      <c r="AI85" s="4">
        <f t="shared" si="12"/>
        <v>0.99904224079512094</v>
      </c>
    </row>
    <row r="86" spans="3:35" x14ac:dyDescent="0.25">
      <c r="C86" t="s">
        <v>31</v>
      </c>
      <c r="D86">
        <v>1</v>
      </c>
      <c r="E86">
        <v>128</v>
      </c>
      <c r="F86">
        <v>64</v>
      </c>
      <c r="G86">
        <v>28</v>
      </c>
      <c r="H86">
        <v>4</v>
      </c>
      <c r="J86">
        <v>4.4096000000000003E-2</v>
      </c>
      <c r="K86">
        <v>4.3071999999999999E-2</v>
      </c>
      <c r="L86" s="4">
        <f t="shared" si="10"/>
        <v>0.97677793904208987</v>
      </c>
      <c r="M86" s="4"/>
      <c r="N86">
        <v>4.4479999999999999E-2</v>
      </c>
      <c r="O86">
        <v>4.3327999999999998E-2</v>
      </c>
      <c r="P86" s="4">
        <f t="shared" si="7"/>
        <v>0.97410071942446042</v>
      </c>
      <c r="R86">
        <v>4.3456000000000002E-2</v>
      </c>
      <c r="S86">
        <v>4.2687999999999997E-2</v>
      </c>
      <c r="T86" s="4">
        <f t="shared" si="8"/>
        <v>0.98232695139911619</v>
      </c>
      <c r="V86">
        <v>4.5311999999999998E-2</v>
      </c>
      <c r="W86">
        <v>4.3327999999999998E-2</v>
      </c>
      <c r="X86" s="4">
        <f t="shared" si="9"/>
        <v>0.95621468926553677</v>
      </c>
      <c r="AC86">
        <v>6.1567999999999998E-2</v>
      </c>
      <c r="AD86">
        <v>6.2911999999999996E-2</v>
      </c>
      <c r="AE86" s="4">
        <f t="shared" si="11"/>
        <v>1.0218295218295217</v>
      </c>
      <c r="AG86">
        <v>6.2528E-2</v>
      </c>
      <c r="AH86">
        <v>6.2016000000000002E-2</v>
      </c>
      <c r="AI86" s="4">
        <f t="shared" si="12"/>
        <v>0.99181166837256907</v>
      </c>
    </row>
    <row r="87" spans="3:35" x14ac:dyDescent="0.25">
      <c r="C87" t="s">
        <v>31</v>
      </c>
      <c r="D87">
        <v>2</v>
      </c>
      <c r="E87">
        <v>128</v>
      </c>
      <c r="F87">
        <v>64</v>
      </c>
      <c r="G87">
        <v>28</v>
      </c>
      <c r="H87">
        <v>4</v>
      </c>
      <c r="J87">
        <v>4.3968E-2</v>
      </c>
      <c r="K87">
        <v>4.2624000000000002E-2</v>
      </c>
      <c r="L87" s="4">
        <f t="shared" si="10"/>
        <v>0.96943231441048039</v>
      </c>
      <c r="M87" s="4"/>
      <c r="N87">
        <v>4.4223999999999999E-2</v>
      </c>
      <c r="O87">
        <v>4.4864000000000001E-2</v>
      </c>
      <c r="P87" s="4">
        <f t="shared" si="7"/>
        <v>1.0144717800289436</v>
      </c>
      <c r="R87">
        <v>4.3071999999999999E-2</v>
      </c>
      <c r="S87">
        <v>4.2816E-2</v>
      </c>
      <c r="T87" s="4">
        <f t="shared" si="8"/>
        <v>0.99405646359583955</v>
      </c>
      <c r="V87">
        <v>4.4928000000000003E-2</v>
      </c>
      <c r="W87">
        <v>4.2687999999999997E-2</v>
      </c>
      <c r="X87" s="4">
        <f t="shared" si="9"/>
        <v>0.95014245014245002</v>
      </c>
      <c r="AC87">
        <v>6.1567999999999998E-2</v>
      </c>
      <c r="AD87">
        <v>6.2911999999999996E-2</v>
      </c>
      <c r="AE87" s="4">
        <f t="shared" si="11"/>
        <v>1.0218295218295217</v>
      </c>
      <c r="AG87">
        <v>6.4448000000000005E-2</v>
      </c>
      <c r="AH87">
        <v>6.5407999999999994E-2</v>
      </c>
      <c r="AI87" s="4">
        <f t="shared" si="12"/>
        <v>1.0148957298907644</v>
      </c>
    </row>
    <row r="88" spans="3:35" x14ac:dyDescent="0.25">
      <c r="C88" t="s">
        <v>31</v>
      </c>
      <c r="D88">
        <v>4</v>
      </c>
      <c r="E88">
        <v>128</v>
      </c>
      <c r="F88">
        <v>64</v>
      </c>
      <c r="G88">
        <v>28</v>
      </c>
      <c r="H88">
        <v>4</v>
      </c>
      <c r="J88">
        <v>4.4032000000000002E-2</v>
      </c>
      <c r="K88">
        <v>4.2048000000000002E-2</v>
      </c>
      <c r="L88" s="4">
        <f t="shared" si="10"/>
        <v>0.95494186046511631</v>
      </c>
      <c r="M88" s="4"/>
      <c r="N88">
        <v>4.3712000000000001E-2</v>
      </c>
      <c r="O88">
        <v>4.4223999999999999E-2</v>
      </c>
      <c r="P88" s="4">
        <f t="shared" si="7"/>
        <v>1.0117130307467057</v>
      </c>
      <c r="R88">
        <v>4.3839999999999997E-2</v>
      </c>
      <c r="S88">
        <v>4.2751999999999998E-2</v>
      </c>
      <c r="T88" s="4">
        <f t="shared" si="8"/>
        <v>0.97518248175182487</v>
      </c>
      <c r="V88">
        <v>4.5440000000000001E-2</v>
      </c>
      <c r="W88">
        <v>4.2624000000000002E-2</v>
      </c>
      <c r="X88" s="4">
        <f t="shared" si="9"/>
        <v>0.93802816901408448</v>
      </c>
      <c r="AC88">
        <v>5.8048000000000002E-2</v>
      </c>
      <c r="AD88">
        <v>5.8751999999999999E-2</v>
      </c>
      <c r="AE88" s="4">
        <f t="shared" si="11"/>
        <v>1.0121278941565601</v>
      </c>
      <c r="AG88">
        <v>6.4832000000000001E-2</v>
      </c>
      <c r="AH88">
        <v>6.5152000000000002E-2</v>
      </c>
      <c r="AI88" s="4">
        <f t="shared" si="12"/>
        <v>1.0049358341559724</v>
      </c>
    </row>
    <row r="89" spans="3:35" x14ac:dyDescent="0.25">
      <c r="C89" t="s">
        <v>31</v>
      </c>
      <c r="D89">
        <v>8</v>
      </c>
      <c r="E89">
        <v>128</v>
      </c>
      <c r="F89">
        <v>64</v>
      </c>
      <c r="G89">
        <v>28</v>
      </c>
      <c r="H89">
        <v>4</v>
      </c>
      <c r="J89">
        <v>4.5823999999999997E-2</v>
      </c>
      <c r="K89">
        <v>4.6848000000000001E-2</v>
      </c>
      <c r="L89" s="4">
        <f t="shared" si="10"/>
        <v>1.022346368715084</v>
      </c>
      <c r="M89" s="4"/>
      <c r="N89">
        <v>4.8256E-2</v>
      </c>
      <c r="O89">
        <v>4.9535999999999997E-2</v>
      </c>
      <c r="P89" s="4">
        <f t="shared" si="7"/>
        <v>1.0265251989389921</v>
      </c>
      <c r="R89">
        <v>4.8512E-2</v>
      </c>
      <c r="S89">
        <v>4.8384000000000003E-2</v>
      </c>
      <c r="T89" s="4">
        <f t="shared" si="8"/>
        <v>0.99736147757255944</v>
      </c>
      <c r="V89">
        <v>5.0687999999999997E-2</v>
      </c>
      <c r="W89">
        <v>4.8000000000000001E-2</v>
      </c>
      <c r="X89" s="4">
        <f t="shared" si="9"/>
        <v>0.94696969696969702</v>
      </c>
      <c r="AC89">
        <v>6.7327999999999999E-2</v>
      </c>
      <c r="AD89">
        <v>6.5855999999999998E-2</v>
      </c>
      <c r="AE89" s="4">
        <f t="shared" si="11"/>
        <v>0.97813688212927752</v>
      </c>
      <c r="AG89">
        <v>7.7951999999999994E-2</v>
      </c>
      <c r="AH89">
        <v>7.6735999999999999E-2</v>
      </c>
      <c r="AI89" s="4">
        <f t="shared" si="12"/>
        <v>0.98440065681444999</v>
      </c>
    </row>
    <row r="90" spans="3:35" x14ac:dyDescent="0.25">
      <c r="C90" t="s">
        <v>31</v>
      </c>
      <c r="D90">
        <v>16</v>
      </c>
      <c r="E90">
        <v>128</v>
      </c>
      <c r="F90">
        <v>64</v>
      </c>
      <c r="G90">
        <v>28</v>
      </c>
      <c r="H90">
        <v>4</v>
      </c>
      <c r="J90">
        <v>5.4975999999999997E-2</v>
      </c>
      <c r="K90">
        <v>5.4592000000000002E-2</v>
      </c>
      <c r="L90" s="4">
        <f t="shared" si="10"/>
        <v>0.99301513387660079</v>
      </c>
      <c r="M90" s="4"/>
      <c r="N90">
        <v>5.7664E-2</v>
      </c>
      <c r="O90">
        <v>5.7792000000000003E-2</v>
      </c>
      <c r="P90" s="4">
        <f t="shared" si="7"/>
        <v>1.0022197558268591</v>
      </c>
      <c r="R90">
        <v>5.8048000000000002E-2</v>
      </c>
      <c r="S90">
        <v>5.6896000000000002E-2</v>
      </c>
      <c r="T90" s="4">
        <f t="shared" si="8"/>
        <v>0.98015435501653803</v>
      </c>
      <c r="V90">
        <v>6.0479999999999999E-2</v>
      </c>
      <c r="W90">
        <v>5.8111999999999997E-2</v>
      </c>
      <c r="X90" s="4">
        <f t="shared" si="9"/>
        <v>0.96084656084656084</v>
      </c>
      <c r="AC90">
        <v>8.7807999999999997E-2</v>
      </c>
      <c r="AD90">
        <v>9.1135999999999995E-2</v>
      </c>
      <c r="AE90" s="4">
        <f t="shared" si="11"/>
        <v>1.0379008746355685</v>
      </c>
      <c r="AG90">
        <v>0.10528</v>
      </c>
      <c r="AH90">
        <v>0.10617600000000001</v>
      </c>
      <c r="AI90" s="4">
        <f t="shared" si="12"/>
        <v>1.0085106382978724</v>
      </c>
    </row>
    <row r="91" spans="3:35" x14ac:dyDescent="0.25">
      <c r="C91" t="s">
        <v>31</v>
      </c>
      <c r="D91">
        <v>32</v>
      </c>
      <c r="E91">
        <v>128</v>
      </c>
      <c r="F91">
        <v>64</v>
      </c>
      <c r="G91">
        <v>28</v>
      </c>
      <c r="H91">
        <v>4</v>
      </c>
      <c r="J91">
        <v>6.8671999999999997E-2</v>
      </c>
      <c r="K91">
        <v>7.0592000000000002E-2</v>
      </c>
      <c r="L91" s="4">
        <f t="shared" si="10"/>
        <v>1.027958993476235</v>
      </c>
      <c r="M91" s="4"/>
      <c r="N91">
        <v>7.6415999999999998E-2</v>
      </c>
      <c r="O91">
        <v>7.6927999999999996E-2</v>
      </c>
      <c r="P91" s="4">
        <f t="shared" ref="P91:P154" si="13">O91/N91</f>
        <v>1.0067001675041876</v>
      </c>
      <c r="R91">
        <v>7.6095999999999997E-2</v>
      </c>
      <c r="S91">
        <v>7.4688000000000004E-2</v>
      </c>
      <c r="T91" s="4">
        <f t="shared" si="8"/>
        <v>0.98149705634987394</v>
      </c>
      <c r="V91">
        <v>8.0640000000000003E-2</v>
      </c>
      <c r="W91">
        <v>7.8271999999999994E-2</v>
      </c>
      <c r="X91" s="4">
        <f t="shared" si="9"/>
        <v>0.97063492063492052</v>
      </c>
      <c r="AC91">
        <v>0.15007999999999999</v>
      </c>
      <c r="AD91">
        <v>0.15385599999999999</v>
      </c>
      <c r="AE91" s="4">
        <f t="shared" si="11"/>
        <v>1.0251599147121535</v>
      </c>
      <c r="AG91">
        <v>0.16896</v>
      </c>
      <c r="AH91">
        <v>0.16972799999999999</v>
      </c>
      <c r="AI91" s="4">
        <f t="shared" si="12"/>
        <v>1.0045454545454544</v>
      </c>
    </row>
    <row r="92" spans="3:35" x14ac:dyDescent="0.25">
      <c r="C92" t="s">
        <v>31</v>
      </c>
      <c r="D92">
        <v>64</v>
      </c>
      <c r="E92">
        <v>128</v>
      </c>
      <c r="F92">
        <v>64</v>
      </c>
      <c r="G92">
        <v>28</v>
      </c>
      <c r="H92">
        <v>4</v>
      </c>
      <c r="J92">
        <v>9.9711999999999995E-2</v>
      </c>
      <c r="K92">
        <v>0.101824</v>
      </c>
      <c r="L92" s="4">
        <f t="shared" si="10"/>
        <v>1.021181001283697</v>
      </c>
      <c r="M92" s="4"/>
      <c r="N92">
        <v>0.113728</v>
      </c>
      <c r="O92">
        <v>0.118144</v>
      </c>
      <c r="P92" s="4">
        <f t="shared" si="13"/>
        <v>1.0388294879009567</v>
      </c>
      <c r="R92">
        <v>0.10911999999999999</v>
      </c>
      <c r="S92">
        <v>0.107392</v>
      </c>
      <c r="T92" s="4">
        <f t="shared" si="8"/>
        <v>0.98416422287390037</v>
      </c>
      <c r="V92">
        <v>0.118144</v>
      </c>
      <c r="W92">
        <v>0.118016</v>
      </c>
      <c r="X92" s="4">
        <f t="shared" si="9"/>
        <v>0.99891657638136511</v>
      </c>
      <c r="AC92">
        <v>0.25702399999999997</v>
      </c>
      <c r="AD92">
        <v>0.248</v>
      </c>
      <c r="AE92" s="4">
        <f t="shared" si="11"/>
        <v>0.96489043824701204</v>
      </c>
      <c r="AG92">
        <v>0.28416000000000002</v>
      </c>
      <c r="AH92">
        <v>0.283136</v>
      </c>
      <c r="AI92" s="4">
        <f t="shared" si="12"/>
        <v>0.99639639639639632</v>
      </c>
    </row>
    <row r="93" spans="3:35" x14ac:dyDescent="0.25">
      <c r="C93" t="s">
        <v>31</v>
      </c>
      <c r="D93">
        <v>1</v>
      </c>
      <c r="E93">
        <v>128</v>
      </c>
      <c r="F93">
        <v>128</v>
      </c>
      <c r="G93">
        <v>28</v>
      </c>
      <c r="H93">
        <v>4</v>
      </c>
      <c r="J93">
        <v>4.5504000000000003E-2</v>
      </c>
      <c r="K93">
        <v>4.4672000000000003E-2</v>
      </c>
      <c r="L93" s="4">
        <f t="shared" si="10"/>
        <v>0.98171589310829821</v>
      </c>
      <c r="M93" s="4"/>
      <c r="N93">
        <v>4.6592000000000001E-2</v>
      </c>
      <c r="O93">
        <v>4.7039999999999998E-2</v>
      </c>
      <c r="P93" s="4">
        <f t="shared" si="13"/>
        <v>1.0096153846153846</v>
      </c>
      <c r="R93">
        <v>4.5887999999999998E-2</v>
      </c>
      <c r="S93">
        <v>4.5247999999999997E-2</v>
      </c>
      <c r="T93" s="4">
        <f t="shared" si="8"/>
        <v>0.98605299860529982</v>
      </c>
      <c r="V93">
        <v>4.6848000000000001E-2</v>
      </c>
      <c r="W93">
        <v>4.5376E-2</v>
      </c>
      <c r="X93" s="4">
        <f t="shared" si="9"/>
        <v>0.96857923497267762</v>
      </c>
      <c r="AC93">
        <v>6.4128000000000004E-2</v>
      </c>
      <c r="AD93">
        <v>6.5727999999999995E-2</v>
      </c>
      <c r="AE93" s="4">
        <f t="shared" si="11"/>
        <v>1.0249500998003991</v>
      </c>
      <c r="AG93">
        <v>6.4768000000000006E-2</v>
      </c>
      <c r="AH93">
        <v>6.4832000000000001E-2</v>
      </c>
      <c r="AI93" s="4">
        <f t="shared" si="12"/>
        <v>1.00098814229249</v>
      </c>
    </row>
    <row r="94" spans="3:35" x14ac:dyDescent="0.25">
      <c r="C94" t="s">
        <v>31</v>
      </c>
      <c r="D94">
        <v>2</v>
      </c>
      <c r="E94">
        <v>128</v>
      </c>
      <c r="F94">
        <v>128</v>
      </c>
      <c r="G94">
        <v>28</v>
      </c>
      <c r="H94">
        <v>4</v>
      </c>
      <c r="J94">
        <v>4.5823999999999997E-2</v>
      </c>
      <c r="K94">
        <v>4.4288000000000001E-2</v>
      </c>
      <c r="L94" s="4">
        <f t="shared" si="10"/>
        <v>0.96648044692737445</v>
      </c>
      <c r="M94" s="4"/>
      <c r="N94">
        <v>4.6975999999999997E-2</v>
      </c>
      <c r="O94">
        <v>4.6848000000000001E-2</v>
      </c>
      <c r="P94" s="4">
        <f t="shared" si="13"/>
        <v>0.9972752043596731</v>
      </c>
      <c r="R94">
        <v>4.6080000000000003E-2</v>
      </c>
      <c r="S94">
        <v>4.4864000000000001E-2</v>
      </c>
      <c r="T94" s="4">
        <f t="shared" si="8"/>
        <v>0.97361111111111109</v>
      </c>
      <c r="V94">
        <v>4.768E-2</v>
      </c>
      <c r="W94">
        <v>4.5184000000000002E-2</v>
      </c>
      <c r="X94" s="4">
        <f t="shared" si="9"/>
        <v>0.94765100671140945</v>
      </c>
      <c r="AC94">
        <v>6.4383999999999997E-2</v>
      </c>
      <c r="AD94">
        <v>6.5920000000000006E-2</v>
      </c>
      <c r="AE94" s="4">
        <f t="shared" si="11"/>
        <v>1.0238568588469186</v>
      </c>
      <c r="AG94">
        <v>6.8224000000000007E-2</v>
      </c>
      <c r="AH94">
        <v>6.8736000000000005E-2</v>
      </c>
      <c r="AI94" s="4">
        <f t="shared" si="12"/>
        <v>1.0075046904315197</v>
      </c>
    </row>
    <row r="95" spans="3:35" x14ac:dyDescent="0.25">
      <c r="C95" t="s">
        <v>31</v>
      </c>
      <c r="D95">
        <v>4</v>
      </c>
      <c r="E95">
        <v>128</v>
      </c>
      <c r="F95">
        <v>128</v>
      </c>
      <c r="G95">
        <v>28</v>
      </c>
      <c r="H95">
        <v>4</v>
      </c>
      <c r="J95">
        <v>4.6207999999999999E-2</v>
      </c>
      <c r="K95">
        <v>4.4479999999999999E-2</v>
      </c>
      <c r="L95" s="4">
        <f t="shared" si="10"/>
        <v>0.96260387811634351</v>
      </c>
      <c r="M95" s="4"/>
      <c r="N95">
        <v>4.6656000000000003E-2</v>
      </c>
      <c r="O95">
        <v>4.6592000000000001E-2</v>
      </c>
      <c r="P95" s="4">
        <f t="shared" si="13"/>
        <v>0.99862825788751708</v>
      </c>
      <c r="R95">
        <v>4.6528E-2</v>
      </c>
      <c r="S95">
        <v>4.5247999999999997E-2</v>
      </c>
      <c r="T95" s="4">
        <f t="shared" si="8"/>
        <v>0.97248968363136168</v>
      </c>
      <c r="V95">
        <v>4.7871999999999998E-2</v>
      </c>
      <c r="W95">
        <v>4.5055999999999999E-2</v>
      </c>
      <c r="X95" s="4">
        <f t="shared" si="9"/>
        <v>0.94117647058823528</v>
      </c>
      <c r="AC95">
        <v>6.1120000000000001E-2</v>
      </c>
      <c r="AD95">
        <v>6.1376E-2</v>
      </c>
      <c r="AE95" s="4">
        <f t="shared" si="11"/>
        <v>1.0041884816753928</v>
      </c>
      <c r="AG95">
        <v>6.88E-2</v>
      </c>
      <c r="AH95">
        <v>6.8543999999999994E-2</v>
      </c>
      <c r="AI95" s="4">
        <f t="shared" si="12"/>
        <v>0.99627906976744174</v>
      </c>
    </row>
    <row r="96" spans="3:35" x14ac:dyDescent="0.25">
      <c r="C96" t="s">
        <v>31</v>
      </c>
      <c r="D96">
        <v>8</v>
      </c>
      <c r="E96">
        <v>128</v>
      </c>
      <c r="F96">
        <v>128</v>
      </c>
      <c r="G96">
        <v>28</v>
      </c>
      <c r="H96">
        <v>4</v>
      </c>
      <c r="J96">
        <v>5.0751999999999999E-2</v>
      </c>
      <c r="K96">
        <v>4.9599999999999998E-2</v>
      </c>
      <c r="L96" s="4">
        <f t="shared" si="10"/>
        <v>0.97730138713745274</v>
      </c>
      <c r="M96" s="4"/>
      <c r="N96">
        <v>5.3120000000000001E-2</v>
      </c>
      <c r="O96">
        <v>5.1968E-2</v>
      </c>
      <c r="P96" s="4">
        <f t="shared" si="13"/>
        <v>0.97831325301204819</v>
      </c>
      <c r="R96">
        <v>5.1968E-2</v>
      </c>
      <c r="S96">
        <v>5.0368000000000003E-2</v>
      </c>
      <c r="T96" s="4">
        <f t="shared" si="8"/>
        <v>0.96921182266009853</v>
      </c>
      <c r="V96">
        <v>5.4975999999999997E-2</v>
      </c>
      <c r="W96">
        <v>5.1647999999999999E-2</v>
      </c>
      <c r="X96" s="4">
        <f t="shared" si="9"/>
        <v>0.93946449359720607</v>
      </c>
      <c r="AC96">
        <v>6.7968000000000001E-2</v>
      </c>
      <c r="AD96">
        <v>6.8224000000000007E-2</v>
      </c>
      <c r="AE96" s="4">
        <f t="shared" si="11"/>
        <v>1.0037664783427496</v>
      </c>
      <c r="AG96">
        <v>7.9488000000000003E-2</v>
      </c>
      <c r="AH96">
        <v>7.7759999999999996E-2</v>
      </c>
      <c r="AI96" s="4">
        <f t="shared" si="12"/>
        <v>0.97826086956521729</v>
      </c>
    </row>
    <row r="97" spans="3:35" x14ac:dyDescent="0.25">
      <c r="C97" t="s">
        <v>31</v>
      </c>
      <c r="D97">
        <v>16</v>
      </c>
      <c r="E97">
        <v>128</v>
      </c>
      <c r="F97">
        <v>128</v>
      </c>
      <c r="G97">
        <v>28</v>
      </c>
      <c r="H97">
        <v>4</v>
      </c>
      <c r="J97">
        <v>6.2016000000000002E-2</v>
      </c>
      <c r="K97">
        <v>6.1311999999999998E-2</v>
      </c>
      <c r="L97" s="4">
        <f t="shared" si="10"/>
        <v>0.98864809081527338</v>
      </c>
      <c r="M97" s="4"/>
      <c r="N97">
        <v>6.5727999999999995E-2</v>
      </c>
      <c r="O97">
        <v>6.5792000000000003E-2</v>
      </c>
      <c r="P97" s="4">
        <f t="shared" si="13"/>
        <v>1.0009737098344695</v>
      </c>
      <c r="R97">
        <v>6.4960000000000004E-2</v>
      </c>
      <c r="S97">
        <v>6.3296000000000005E-2</v>
      </c>
      <c r="T97" s="4">
        <f t="shared" si="8"/>
        <v>0.97438423645320194</v>
      </c>
      <c r="V97">
        <v>6.9248000000000004E-2</v>
      </c>
      <c r="W97">
        <v>6.6687999999999997E-2</v>
      </c>
      <c r="X97" s="4">
        <f t="shared" si="9"/>
        <v>0.96303142329020319</v>
      </c>
      <c r="AC97">
        <v>8.7999999999999995E-2</v>
      </c>
      <c r="AD97">
        <v>9.3759999999999996E-2</v>
      </c>
      <c r="AE97" s="4">
        <f t="shared" si="11"/>
        <v>1.0654545454545454</v>
      </c>
      <c r="AG97">
        <v>0.11475200000000001</v>
      </c>
      <c r="AH97">
        <v>0.113024</v>
      </c>
      <c r="AI97" s="4">
        <f t="shared" si="12"/>
        <v>0.98494143892916897</v>
      </c>
    </row>
    <row r="98" spans="3:35" x14ac:dyDescent="0.25">
      <c r="C98" t="s">
        <v>31</v>
      </c>
      <c r="D98">
        <v>32</v>
      </c>
      <c r="E98">
        <v>128</v>
      </c>
      <c r="F98">
        <v>128</v>
      </c>
      <c r="G98">
        <v>28</v>
      </c>
      <c r="H98">
        <v>4</v>
      </c>
      <c r="J98">
        <v>8.6527999999999994E-2</v>
      </c>
      <c r="K98">
        <v>8.4736000000000006E-2</v>
      </c>
      <c r="L98" s="4">
        <f t="shared" si="10"/>
        <v>0.97928994082840248</v>
      </c>
      <c r="M98" s="4"/>
      <c r="N98">
        <v>9.2480000000000007E-2</v>
      </c>
      <c r="O98">
        <v>9.3247999999999998E-2</v>
      </c>
      <c r="P98" s="4">
        <f t="shared" si="13"/>
        <v>1.0083044982698961</v>
      </c>
      <c r="R98">
        <v>8.7679999999999994E-2</v>
      </c>
      <c r="S98">
        <v>8.5120000000000001E-2</v>
      </c>
      <c r="T98" s="4">
        <f t="shared" si="8"/>
        <v>0.97080291970802923</v>
      </c>
      <c r="V98">
        <v>9.6768000000000007E-2</v>
      </c>
      <c r="W98">
        <v>9.5168000000000003E-2</v>
      </c>
      <c r="X98" s="4">
        <f t="shared" si="9"/>
        <v>0.98346560846560838</v>
      </c>
      <c r="AC98">
        <v>0.156608</v>
      </c>
      <c r="AD98">
        <v>0.157056</v>
      </c>
      <c r="AE98" s="4">
        <f t="shared" si="11"/>
        <v>1.0028606456885982</v>
      </c>
      <c r="AG98">
        <v>0.18015999999999999</v>
      </c>
      <c r="AH98">
        <v>0.17907200000000001</v>
      </c>
      <c r="AI98" s="4">
        <f t="shared" si="12"/>
        <v>0.9939609236234459</v>
      </c>
    </row>
    <row r="99" spans="3:35" x14ac:dyDescent="0.25">
      <c r="C99" t="s">
        <v>31</v>
      </c>
      <c r="D99">
        <v>64</v>
      </c>
      <c r="E99">
        <v>128</v>
      </c>
      <c r="F99">
        <v>128</v>
      </c>
      <c r="G99">
        <v>28</v>
      </c>
      <c r="H99">
        <v>4</v>
      </c>
      <c r="J99">
        <v>0.13056000000000001</v>
      </c>
      <c r="K99">
        <v>0.12998399999999999</v>
      </c>
      <c r="L99" s="4">
        <f t="shared" si="10"/>
        <v>0.99558823529411744</v>
      </c>
      <c r="M99" s="4"/>
      <c r="N99">
        <v>0.14860799999999999</v>
      </c>
      <c r="O99">
        <v>0.15046399999999999</v>
      </c>
      <c r="P99" s="4">
        <f t="shared" si="13"/>
        <v>1.012489233419466</v>
      </c>
      <c r="R99">
        <v>0.13523199999999999</v>
      </c>
      <c r="S99">
        <v>0.13311999999999999</v>
      </c>
      <c r="T99" s="4">
        <f t="shared" si="8"/>
        <v>0.98438239469947941</v>
      </c>
      <c r="V99">
        <v>0.153088</v>
      </c>
      <c r="W99">
        <v>0.15110399999999999</v>
      </c>
      <c r="X99" s="4">
        <f t="shared" si="9"/>
        <v>0.98704013377926414</v>
      </c>
      <c r="AC99">
        <v>0.26995200000000003</v>
      </c>
      <c r="AD99">
        <v>0.27039999999999997</v>
      </c>
      <c r="AE99" s="4">
        <f t="shared" si="11"/>
        <v>1.0016595542911331</v>
      </c>
      <c r="AG99">
        <v>0.31622400000000001</v>
      </c>
      <c r="AH99">
        <v>0.31718400000000002</v>
      </c>
      <c r="AI99" s="4">
        <f t="shared" si="12"/>
        <v>1.0030358227079539</v>
      </c>
    </row>
    <row r="100" spans="3:35" x14ac:dyDescent="0.25">
      <c r="C100" t="s">
        <v>31</v>
      </c>
      <c r="D100">
        <v>1</v>
      </c>
      <c r="E100">
        <v>128</v>
      </c>
      <c r="F100">
        <v>256</v>
      </c>
      <c r="G100">
        <v>28</v>
      </c>
      <c r="H100">
        <v>4</v>
      </c>
      <c r="J100">
        <v>5.0816E-2</v>
      </c>
      <c r="K100">
        <v>4.9023999999999998E-2</v>
      </c>
      <c r="L100" s="4">
        <f t="shared" si="10"/>
        <v>0.96473551637279598</v>
      </c>
      <c r="M100" s="4"/>
      <c r="N100">
        <v>5.1327999999999999E-2</v>
      </c>
      <c r="O100">
        <v>5.1712000000000001E-2</v>
      </c>
      <c r="P100" s="4">
        <f t="shared" si="13"/>
        <v>1.0074812967581048</v>
      </c>
      <c r="R100">
        <v>6.2848000000000001E-2</v>
      </c>
      <c r="S100">
        <v>4.8191999999999999E-2</v>
      </c>
      <c r="T100" s="4">
        <f t="shared" si="8"/>
        <v>0.76680244399185338</v>
      </c>
      <c r="V100">
        <v>7.0272000000000001E-2</v>
      </c>
      <c r="W100">
        <v>4.9599999999999998E-2</v>
      </c>
      <c r="X100" s="4">
        <f t="shared" si="9"/>
        <v>0.70582877959927137</v>
      </c>
      <c r="AC100">
        <v>7.2767999999999999E-2</v>
      </c>
      <c r="AD100">
        <v>7.2767999999999999E-2</v>
      </c>
      <c r="AE100" s="4">
        <f t="shared" si="11"/>
        <v>1</v>
      </c>
      <c r="AG100">
        <v>7.3599999999999999E-2</v>
      </c>
      <c r="AH100">
        <v>7.4368000000000004E-2</v>
      </c>
      <c r="AI100" s="4">
        <f t="shared" si="12"/>
        <v>1.0104347826086957</v>
      </c>
    </row>
    <row r="101" spans="3:35" x14ac:dyDescent="0.25">
      <c r="C101" t="s">
        <v>31</v>
      </c>
      <c r="D101">
        <v>2</v>
      </c>
      <c r="E101">
        <v>128</v>
      </c>
      <c r="F101">
        <v>256</v>
      </c>
      <c r="G101">
        <v>28</v>
      </c>
      <c r="H101">
        <v>4</v>
      </c>
      <c r="J101">
        <v>5.0816E-2</v>
      </c>
      <c r="K101">
        <v>4.9023999999999998E-2</v>
      </c>
      <c r="L101" s="4">
        <f t="shared" si="10"/>
        <v>0.96473551637279598</v>
      </c>
      <c r="M101" s="4"/>
      <c r="N101">
        <v>5.0751999999999999E-2</v>
      </c>
      <c r="O101">
        <v>5.1712000000000001E-2</v>
      </c>
      <c r="P101" s="4">
        <f t="shared" si="13"/>
        <v>1.0189155107187895</v>
      </c>
      <c r="R101">
        <v>5.1392E-2</v>
      </c>
      <c r="S101">
        <v>5.0431999999999998E-2</v>
      </c>
      <c r="T101" s="4">
        <f t="shared" si="8"/>
        <v>0.98132004981320042</v>
      </c>
      <c r="V101">
        <v>6.8543999999999994E-2</v>
      </c>
      <c r="W101">
        <v>5.0175999999999998E-2</v>
      </c>
      <c r="X101" s="4">
        <f t="shared" si="9"/>
        <v>0.73202614379084974</v>
      </c>
      <c r="AC101">
        <v>7.2064000000000003E-2</v>
      </c>
      <c r="AD101">
        <v>7.3216000000000003E-2</v>
      </c>
      <c r="AE101" s="4">
        <f t="shared" si="11"/>
        <v>1.0159857904085257</v>
      </c>
      <c r="AG101">
        <v>7.9935999999999993E-2</v>
      </c>
      <c r="AH101">
        <v>8.0255999999999994E-2</v>
      </c>
      <c r="AI101" s="4">
        <f t="shared" si="12"/>
        <v>1.0040032025620496</v>
      </c>
    </row>
    <row r="102" spans="3:35" x14ac:dyDescent="0.25">
      <c r="C102" t="s">
        <v>31</v>
      </c>
      <c r="D102">
        <v>4</v>
      </c>
      <c r="E102">
        <v>128</v>
      </c>
      <c r="F102">
        <v>256</v>
      </c>
      <c r="G102">
        <v>28</v>
      </c>
      <c r="H102">
        <v>4</v>
      </c>
      <c r="J102">
        <v>5.0816E-2</v>
      </c>
      <c r="K102">
        <v>4.8959999999999997E-2</v>
      </c>
      <c r="L102" s="4">
        <f t="shared" si="10"/>
        <v>0.96347607052896722</v>
      </c>
      <c r="M102" s="4"/>
      <c r="N102">
        <v>5.1456000000000002E-2</v>
      </c>
      <c r="O102">
        <v>5.1263999999999997E-2</v>
      </c>
      <c r="P102" s="4">
        <f t="shared" si="13"/>
        <v>0.99626865671641784</v>
      </c>
      <c r="R102">
        <v>5.2735999999999998E-2</v>
      </c>
      <c r="S102">
        <v>5.0751999999999999E-2</v>
      </c>
      <c r="T102" s="4">
        <f t="shared" si="8"/>
        <v>0.96237864077669899</v>
      </c>
      <c r="V102">
        <v>6.1504000000000003E-2</v>
      </c>
      <c r="W102">
        <v>4.9984000000000001E-2</v>
      </c>
      <c r="X102" s="4">
        <f t="shared" si="9"/>
        <v>0.81269510926118627</v>
      </c>
      <c r="AC102">
        <v>6.7072000000000007E-2</v>
      </c>
      <c r="AD102">
        <v>6.8288000000000001E-2</v>
      </c>
      <c r="AE102" s="4">
        <f t="shared" si="11"/>
        <v>1.0181297709923662</v>
      </c>
      <c r="AG102">
        <v>8.1472000000000003E-2</v>
      </c>
      <c r="AH102">
        <v>8.2752000000000006E-2</v>
      </c>
      <c r="AI102" s="4">
        <f t="shared" si="12"/>
        <v>1.0157109190887668</v>
      </c>
    </row>
    <row r="103" spans="3:35" x14ac:dyDescent="0.25">
      <c r="C103" t="s">
        <v>31</v>
      </c>
      <c r="D103">
        <v>8</v>
      </c>
      <c r="E103">
        <v>128</v>
      </c>
      <c r="F103">
        <v>256</v>
      </c>
      <c r="G103">
        <v>28</v>
      </c>
      <c r="H103">
        <v>4</v>
      </c>
      <c r="J103">
        <v>5.9712000000000001E-2</v>
      </c>
      <c r="K103">
        <v>5.8431999999999998E-2</v>
      </c>
      <c r="L103" s="4">
        <f t="shared" si="10"/>
        <v>0.97856377277599138</v>
      </c>
      <c r="M103" s="4"/>
      <c r="N103">
        <v>6.2528E-2</v>
      </c>
      <c r="O103">
        <v>6.0991999999999998E-2</v>
      </c>
      <c r="P103" s="4">
        <f t="shared" si="13"/>
        <v>0.9754350051177072</v>
      </c>
      <c r="R103">
        <v>6.3936000000000007E-2</v>
      </c>
      <c r="S103">
        <v>6.0032000000000002E-2</v>
      </c>
      <c r="T103" s="4">
        <f t="shared" si="8"/>
        <v>0.93893893893893887</v>
      </c>
      <c r="V103">
        <v>6.5343999999999999E-2</v>
      </c>
      <c r="W103">
        <v>6.4768000000000006E-2</v>
      </c>
      <c r="X103" s="4">
        <f t="shared" si="9"/>
        <v>0.99118511263467202</v>
      </c>
      <c r="AC103">
        <v>8.2047999999999996E-2</v>
      </c>
      <c r="AD103">
        <v>8.1280000000000005E-2</v>
      </c>
      <c r="AE103" s="4">
        <f t="shared" si="11"/>
        <v>0.9906396255850235</v>
      </c>
      <c r="AG103">
        <v>0.10156800000000001</v>
      </c>
      <c r="AH103">
        <v>9.9519999999999997E-2</v>
      </c>
      <c r="AI103" s="4">
        <f t="shared" si="12"/>
        <v>0.97983616887208558</v>
      </c>
    </row>
    <row r="104" spans="3:35" x14ac:dyDescent="0.25">
      <c r="C104" t="s">
        <v>31</v>
      </c>
      <c r="D104">
        <v>16</v>
      </c>
      <c r="E104">
        <v>128</v>
      </c>
      <c r="F104">
        <v>256</v>
      </c>
      <c r="G104">
        <v>28</v>
      </c>
      <c r="H104">
        <v>4</v>
      </c>
      <c r="J104">
        <v>7.9743999999999995E-2</v>
      </c>
      <c r="K104">
        <v>7.8336000000000003E-2</v>
      </c>
      <c r="L104" s="4">
        <f t="shared" si="10"/>
        <v>0.98234349919743191</v>
      </c>
      <c r="M104" s="4"/>
      <c r="N104">
        <v>8.5375999999999994E-2</v>
      </c>
      <c r="O104">
        <v>8.4671999999999997E-2</v>
      </c>
      <c r="P104" s="4">
        <f t="shared" si="13"/>
        <v>0.99175412293853082</v>
      </c>
      <c r="R104">
        <v>8.3327999999999999E-2</v>
      </c>
      <c r="S104">
        <v>8.0383999999999997E-2</v>
      </c>
      <c r="T104" s="4">
        <f t="shared" si="8"/>
        <v>0.96466973886328722</v>
      </c>
      <c r="V104">
        <v>9.0495999999999993E-2</v>
      </c>
      <c r="W104">
        <v>8.7744000000000003E-2</v>
      </c>
      <c r="X104" s="4">
        <f t="shared" si="9"/>
        <v>0.96958981612446971</v>
      </c>
      <c r="AC104">
        <v>0.121408</v>
      </c>
      <c r="AD104">
        <v>0.124416</v>
      </c>
      <c r="AE104" s="4">
        <f t="shared" si="11"/>
        <v>1.0247759620453347</v>
      </c>
      <c r="AG104">
        <v>0.15270400000000001</v>
      </c>
      <c r="AH104">
        <v>0.15443200000000001</v>
      </c>
      <c r="AI104" s="4">
        <f t="shared" si="12"/>
        <v>1.0113160100586756</v>
      </c>
    </row>
    <row r="105" spans="3:35" x14ac:dyDescent="0.25">
      <c r="C105" t="s">
        <v>31</v>
      </c>
      <c r="D105">
        <v>32</v>
      </c>
      <c r="E105">
        <v>128</v>
      </c>
      <c r="F105">
        <v>256</v>
      </c>
      <c r="G105">
        <v>28</v>
      </c>
      <c r="H105">
        <v>4</v>
      </c>
      <c r="J105">
        <v>0.117312</v>
      </c>
      <c r="K105">
        <v>0.114048</v>
      </c>
      <c r="L105" s="4">
        <f t="shared" si="10"/>
        <v>0.97217675941080195</v>
      </c>
      <c r="M105" s="4"/>
      <c r="N105">
        <v>0.13286400000000001</v>
      </c>
      <c r="O105">
        <v>0.13216</v>
      </c>
      <c r="P105" s="4">
        <f t="shared" si="13"/>
        <v>0.99470134874759142</v>
      </c>
      <c r="R105">
        <v>0.12166399999999999</v>
      </c>
      <c r="S105">
        <v>0.11852799999999999</v>
      </c>
      <c r="T105" s="4">
        <f t="shared" si="8"/>
        <v>0.97422409258285114</v>
      </c>
      <c r="V105">
        <v>0.13983999999999999</v>
      </c>
      <c r="W105">
        <v>0.13817599999999999</v>
      </c>
      <c r="X105" s="4">
        <f t="shared" si="9"/>
        <v>0.98810068649885585</v>
      </c>
      <c r="AC105">
        <v>0.19392000000000001</v>
      </c>
      <c r="AD105">
        <v>0.19359999999999999</v>
      </c>
      <c r="AE105" s="4">
        <f t="shared" si="11"/>
        <v>0.99834983498349827</v>
      </c>
      <c r="AG105">
        <v>0.26508799999999999</v>
      </c>
      <c r="AH105">
        <v>0.26630399999999999</v>
      </c>
      <c r="AI105" s="4">
        <f t="shared" si="12"/>
        <v>1.0045871559633028</v>
      </c>
    </row>
    <row r="106" spans="3:35" x14ac:dyDescent="0.25">
      <c r="C106" t="s">
        <v>31</v>
      </c>
      <c r="D106">
        <v>64</v>
      </c>
      <c r="E106">
        <v>128</v>
      </c>
      <c r="F106">
        <v>256</v>
      </c>
      <c r="G106">
        <v>28</v>
      </c>
      <c r="H106">
        <v>4</v>
      </c>
      <c r="J106">
        <v>0.19308800000000001</v>
      </c>
      <c r="K106">
        <v>0.188224</v>
      </c>
      <c r="L106" s="4">
        <f t="shared" si="10"/>
        <v>0.97480941332449444</v>
      </c>
      <c r="M106" s="4"/>
      <c r="N106">
        <v>0.227328</v>
      </c>
      <c r="O106">
        <v>0.224768</v>
      </c>
      <c r="P106" s="4">
        <f t="shared" si="13"/>
        <v>0.98873873873873874</v>
      </c>
      <c r="R106">
        <v>0.204096</v>
      </c>
      <c r="S106">
        <v>0.20204800000000001</v>
      </c>
      <c r="T106" s="4">
        <f t="shared" si="8"/>
        <v>0.98996550642834746</v>
      </c>
      <c r="V106">
        <v>0.23718400000000001</v>
      </c>
      <c r="W106">
        <v>0.23219200000000001</v>
      </c>
      <c r="X106" s="4">
        <f t="shared" si="9"/>
        <v>0.97895304910955205</v>
      </c>
      <c r="AC106">
        <v>0.387264</v>
      </c>
      <c r="AD106">
        <v>0.38284800000000002</v>
      </c>
      <c r="AE106" s="4">
        <f t="shared" si="11"/>
        <v>0.98859692612791283</v>
      </c>
      <c r="AG106">
        <v>0.49619200000000002</v>
      </c>
      <c r="AH106">
        <v>0.49529600000000001</v>
      </c>
      <c r="AI106" s="4">
        <f t="shared" si="12"/>
        <v>0.9981942473881078</v>
      </c>
    </row>
    <row r="107" spans="3:35" x14ac:dyDescent="0.25">
      <c r="C107" t="s">
        <v>31</v>
      </c>
      <c r="D107">
        <v>1</v>
      </c>
      <c r="E107">
        <v>128</v>
      </c>
      <c r="F107">
        <v>512</v>
      </c>
      <c r="G107">
        <v>28</v>
      </c>
      <c r="H107">
        <v>4</v>
      </c>
      <c r="J107">
        <v>6.0288000000000001E-2</v>
      </c>
      <c r="K107">
        <v>5.8304000000000002E-2</v>
      </c>
      <c r="L107" s="4">
        <f t="shared" si="10"/>
        <v>0.96709129511677283</v>
      </c>
      <c r="M107" s="4"/>
      <c r="N107">
        <v>6.1247999999999997E-2</v>
      </c>
      <c r="O107">
        <v>6.0991999999999998E-2</v>
      </c>
      <c r="P107" s="4">
        <f t="shared" si="13"/>
        <v>0.99582027168234066</v>
      </c>
      <c r="R107">
        <v>5.9648E-2</v>
      </c>
      <c r="S107">
        <v>5.7023999999999998E-2</v>
      </c>
      <c r="T107" s="4">
        <f t="shared" si="8"/>
        <v>0.95600858369098707</v>
      </c>
      <c r="V107">
        <v>7.5008000000000005E-2</v>
      </c>
      <c r="W107">
        <v>6.0352000000000003E-2</v>
      </c>
      <c r="X107" s="4">
        <f t="shared" si="9"/>
        <v>0.80460750853242324</v>
      </c>
      <c r="AC107">
        <v>9.3376000000000001E-2</v>
      </c>
      <c r="AD107">
        <v>9.3567999999999998E-2</v>
      </c>
      <c r="AE107" s="4">
        <f t="shared" si="11"/>
        <v>1.0020562028786839</v>
      </c>
      <c r="AG107">
        <v>9.2415999999999998E-2</v>
      </c>
      <c r="AH107">
        <v>9.2480000000000007E-2</v>
      </c>
      <c r="AI107" s="4">
        <f t="shared" si="12"/>
        <v>1.0006925207756234</v>
      </c>
    </row>
    <row r="108" spans="3:35" x14ac:dyDescent="0.25">
      <c r="C108" t="s">
        <v>31</v>
      </c>
      <c r="D108">
        <v>2</v>
      </c>
      <c r="E108">
        <v>128</v>
      </c>
      <c r="F108">
        <v>512</v>
      </c>
      <c r="G108">
        <v>28</v>
      </c>
      <c r="H108">
        <v>4</v>
      </c>
      <c r="J108">
        <v>6.0352000000000003E-2</v>
      </c>
      <c r="K108">
        <v>5.8048000000000002E-2</v>
      </c>
      <c r="L108" s="4">
        <f t="shared" si="10"/>
        <v>0.9618239660657476</v>
      </c>
      <c r="M108" s="4"/>
      <c r="N108">
        <v>6.1631999999999999E-2</v>
      </c>
      <c r="O108">
        <v>6.1120000000000001E-2</v>
      </c>
      <c r="P108" s="4">
        <f t="shared" si="13"/>
        <v>0.99169262720664597</v>
      </c>
      <c r="R108">
        <v>6.1760000000000002E-2</v>
      </c>
      <c r="S108">
        <v>5.9520000000000003E-2</v>
      </c>
      <c r="T108" s="4">
        <f t="shared" si="8"/>
        <v>0.96373056994818651</v>
      </c>
      <c r="V108">
        <v>6.3743999999999995E-2</v>
      </c>
      <c r="W108">
        <v>6.1567999999999998E-2</v>
      </c>
      <c r="X108" s="4">
        <f t="shared" si="9"/>
        <v>0.96586345381526106</v>
      </c>
      <c r="AC108">
        <v>9.3759999999999996E-2</v>
      </c>
      <c r="AD108">
        <v>9.1392000000000001E-2</v>
      </c>
      <c r="AE108" s="4">
        <f t="shared" si="11"/>
        <v>0.97474402730375431</v>
      </c>
      <c r="AG108">
        <v>0.10656</v>
      </c>
      <c r="AH108">
        <v>0.1056</v>
      </c>
      <c r="AI108" s="4">
        <f t="shared" si="12"/>
        <v>0.99099099099099097</v>
      </c>
    </row>
    <row r="109" spans="3:35" x14ac:dyDescent="0.25">
      <c r="C109" t="s">
        <v>31</v>
      </c>
      <c r="D109">
        <v>4</v>
      </c>
      <c r="E109">
        <v>128</v>
      </c>
      <c r="F109">
        <v>512</v>
      </c>
      <c r="G109">
        <v>28</v>
      </c>
      <c r="H109">
        <v>4</v>
      </c>
      <c r="J109">
        <v>6.0991999999999998E-2</v>
      </c>
      <c r="K109">
        <v>5.8175999999999999E-2</v>
      </c>
      <c r="L109" s="4">
        <f t="shared" si="10"/>
        <v>0.95383001049317939</v>
      </c>
      <c r="M109" s="4"/>
      <c r="N109">
        <v>6.0735999999999998E-2</v>
      </c>
      <c r="O109">
        <v>5.9968E-2</v>
      </c>
      <c r="P109" s="4">
        <f t="shared" si="13"/>
        <v>0.98735511064278192</v>
      </c>
      <c r="R109">
        <v>6.6752000000000006E-2</v>
      </c>
      <c r="S109">
        <v>6.1376E-2</v>
      </c>
      <c r="T109" s="4">
        <f t="shared" si="8"/>
        <v>0.91946308724832204</v>
      </c>
      <c r="V109">
        <v>6.4575999999999995E-2</v>
      </c>
      <c r="W109">
        <v>6.1055999999999999E-2</v>
      </c>
      <c r="X109" s="4">
        <f t="shared" si="9"/>
        <v>0.9454905847373638</v>
      </c>
      <c r="AC109">
        <v>8.7295999999999999E-2</v>
      </c>
      <c r="AD109">
        <v>8.5823999999999998E-2</v>
      </c>
      <c r="AE109" s="4">
        <f t="shared" si="11"/>
        <v>0.98313782991202348</v>
      </c>
      <c r="AG109">
        <v>0.111424</v>
      </c>
      <c r="AH109">
        <v>0.110272</v>
      </c>
      <c r="AI109" s="4">
        <f t="shared" si="12"/>
        <v>0.98966111430212522</v>
      </c>
    </row>
    <row r="110" spans="3:35" x14ac:dyDescent="0.25">
      <c r="C110" t="s">
        <v>31</v>
      </c>
      <c r="D110">
        <v>8</v>
      </c>
      <c r="E110">
        <v>128</v>
      </c>
      <c r="F110">
        <v>512</v>
      </c>
      <c r="G110">
        <v>28</v>
      </c>
      <c r="H110">
        <v>4</v>
      </c>
      <c r="J110">
        <v>7.7055999999999999E-2</v>
      </c>
      <c r="K110">
        <v>7.5135999999999994E-2</v>
      </c>
      <c r="L110" s="4">
        <f t="shared" si="10"/>
        <v>0.97508305647840521</v>
      </c>
      <c r="M110" s="4"/>
      <c r="N110">
        <v>8.1792000000000004E-2</v>
      </c>
      <c r="O110">
        <v>7.9743999999999995E-2</v>
      </c>
      <c r="P110" s="4">
        <f t="shared" si="13"/>
        <v>0.97496087636932693</v>
      </c>
      <c r="R110">
        <v>8.3456000000000002E-2</v>
      </c>
      <c r="S110">
        <v>7.9296000000000005E-2</v>
      </c>
      <c r="T110" s="4">
        <f t="shared" si="8"/>
        <v>0.95015337423312884</v>
      </c>
      <c r="V110">
        <v>8.6592000000000002E-2</v>
      </c>
      <c r="W110">
        <v>8.3519999999999997E-2</v>
      </c>
      <c r="X110" s="4">
        <f t="shared" si="9"/>
        <v>0.96452328159645229</v>
      </c>
      <c r="AC110">
        <v>0.11712</v>
      </c>
      <c r="AD110">
        <v>0.12620799999999999</v>
      </c>
      <c r="AE110" s="4">
        <f t="shared" si="11"/>
        <v>1.0775956284153003</v>
      </c>
      <c r="AG110">
        <v>0.145152</v>
      </c>
      <c r="AH110">
        <v>0.14656</v>
      </c>
      <c r="AI110" s="4">
        <f t="shared" si="12"/>
        <v>1.0097001763668429</v>
      </c>
    </row>
    <row r="111" spans="3:35" x14ac:dyDescent="0.25">
      <c r="C111" t="s">
        <v>31</v>
      </c>
      <c r="D111">
        <v>16</v>
      </c>
      <c r="E111">
        <v>128</v>
      </c>
      <c r="F111">
        <v>512</v>
      </c>
      <c r="G111">
        <v>28</v>
      </c>
      <c r="H111">
        <v>4</v>
      </c>
      <c r="J111">
        <v>0.111744</v>
      </c>
      <c r="K111">
        <v>0.108416</v>
      </c>
      <c r="L111" s="4">
        <f t="shared" si="10"/>
        <v>0.9702176403207331</v>
      </c>
      <c r="M111" s="4"/>
      <c r="N111">
        <v>0.126528</v>
      </c>
      <c r="O111">
        <v>0.123456</v>
      </c>
      <c r="P111" s="4">
        <f t="shared" si="13"/>
        <v>0.975720789074355</v>
      </c>
      <c r="R111">
        <v>0.121472</v>
      </c>
      <c r="S111">
        <v>0.121216</v>
      </c>
      <c r="T111" s="4">
        <f t="shared" si="8"/>
        <v>0.99789251844046367</v>
      </c>
      <c r="V111">
        <v>0.13350400000000001</v>
      </c>
      <c r="W111">
        <v>0.13056000000000001</v>
      </c>
      <c r="X111" s="4">
        <f t="shared" si="9"/>
        <v>0.97794822627037392</v>
      </c>
      <c r="AC111">
        <v>0.17376</v>
      </c>
      <c r="AD111">
        <v>0.186944</v>
      </c>
      <c r="AE111" s="4">
        <f t="shared" si="11"/>
        <v>1.0758747697974218</v>
      </c>
      <c r="AG111">
        <v>0.24307200000000001</v>
      </c>
      <c r="AH111">
        <v>0.24755199999999999</v>
      </c>
      <c r="AI111" s="4">
        <f t="shared" si="12"/>
        <v>1.0184307530279093</v>
      </c>
    </row>
    <row r="112" spans="3:35" x14ac:dyDescent="0.25">
      <c r="C112" t="s">
        <v>31</v>
      </c>
      <c r="D112">
        <v>32</v>
      </c>
      <c r="E112">
        <v>128</v>
      </c>
      <c r="F112">
        <v>512</v>
      </c>
      <c r="G112">
        <v>28</v>
      </c>
      <c r="H112">
        <v>4</v>
      </c>
      <c r="J112">
        <v>0.17996799999999999</v>
      </c>
      <c r="K112">
        <v>0.17676800000000001</v>
      </c>
      <c r="L112" s="4">
        <f t="shared" si="10"/>
        <v>0.98221906116642965</v>
      </c>
      <c r="M112" s="4"/>
      <c r="N112">
        <v>0.21779200000000001</v>
      </c>
      <c r="O112">
        <v>0.21030399999999999</v>
      </c>
      <c r="P112" s="4">
        <f t="shared" si="13"/>
        <v>0.96561857184836897</v>
      </c>
      <c r="R112">
        <v>0.19334399999999999</v>
      </c>
      <c r="S112">
        <v>0.18732799999999999</v>
      </c>
      <c r="T112" s="4">
        <f t="shared" si="8"/>
        <v>0.96888447533929167</v>
      </c>
      <c r="V112">
        <v>0.23008000000000001</v>
      </c>
      <c r="W112">
        <v>0.224768</v>
      </c>
      <c r="X112" s="4">
        <f t="shared" si="9"/>
        <v>0.97691237830319888</v>
      </c>
      <c r="AC112">
        <v>0.29747200000000001</v>
      </c>
      <c r="AD112">
        <v>0.301952</v>
      </c>
      <c r="AE112" s="4">
        <f t="shared" si="11"/>
        <v>1.0150602409638554</v>
      </c>
      <c r="AG112">
        <v>0.44070399999999998</v>
      </c>
      <c r="AH112">
        <v>0.43827199999999999</v>
      </c>
      <c r="AI112" s="4">
        <f t="shared" si="12"/>
        <v>0.99448155678187633</v>
      </c>
    </row>
    <row r="113" spans="3:35" x14ac:dyDescent="0.25">
      <c r="C113" t="s">
        <v>31</v>
      </c>
      <c r="D113">
        <v>64</v>
      </c>
      <c r="E113">
        <v>128</v>
      </c>
      <c r="F113">
        <v>512</v>
      </c>
      <c r="G113">
        <v>28</v>
      </c>
      <c r="H113">
        <v>4</v>
      </c>
      <c r="J113">
        <v>0.31334400000000001</v>
      </c>
      <c r="K113">
        <v>0.304512</v>
      </c>
      <c r="L113" s="4">
        <f t="shared" si="10"/>
        <v>0.97181372549019607</v>
      </c>
      <c r="M113" s="4"/>
      <c r="N113">
        <v>0.39001599999999997</v>
      </c>
      <c r="O113">
        <v>0.37830399999999997</v>
      </c>
      <c r="P113" s="4">
        <f t="shared" si="13"/>
        <v>0.96997046275024612</v>
      </c>
      <c r="R113">
        <v>0.32768000000000003</v>
      </c>
      <c r="S113">
        <v>0.31315199999999999</v>
      </c>
      <c r="T113" s="4">
        <f t="shared" si="8"/>
        <v>0.95566406249999991</v>
      </c>
      <c r="V113">
        <v>0.41222399999999998</v>
      </c>
      <c r="W113">
        <v>0.39923199999999998</v>
      </c>
      <c r="X113" s="4">
        <f t="shared" si="9"/>
        <v>0.96848315478962888</v>
      </c>
      <c r="AC113">
        <v>0.68627199999999999</v>
      </c>
      <c r="AD113">
        <v>0.67334400000000005</v>
      </c>
      <c r="AE113" s="4">
        <f t="shared" si="11"/>
        <v>0.98116198824955714</v>
      </c>
      <c r="AG113">
        <v>0.82111999999999996</v>
      </c>
      <c r="AH113">
        <v>0.82278399999999996</v>
      </c>
      <c r="AI113" s="4">
        <f t="shared" si="12"/>
        <v>1.0020265003897115</v>
      </c>
    </row>
    <row r="114" spans="3:35" x14ac:dyDescent="0.25">
      <c r="C114" t="s">
        <v>31</v>
      </c>
      <c r="D114">
        <v>1</v>
      </c>
      <c r="E114">
        <v>128</v>
      </c>
      <c r="F114">
        <f>1024</f>
        <v>1024</v>
      </c>
      <c r="G114">
        <v>28</v>
      </c>
      <c r="H114">
        <v>4</v>
      </c>
      <c r="J114">
        <v>8.1792000000000004E-2</v>
      </c>
      <c r="K114">
        <v>7.8656000000000004E-2</v>
      </c>
      <c r="L114" s="4">
        <f t="shared" si="10"/>
        <v>0.96165884194053208</v>
      </c>
      <c r="M114" s="4"/>
      <c r="N114">
        <v>8.3199999999999996E-2</v>
      </c>
      <c r="O114">
        <v>8.0383999999999997E-2</v>
      </c>
      <c r="P114" s="4">
        <f t="shared" si="13"/>
        <v>0.96615384615384614</v>
      </c>
      <c r="R114">
        <v>7.9808000000000004E-2</v>
      </c>
      <c r="S114">
        <v>7.5263999999999998E-2</v>
      </c>
      <c r="T114" s="4">
        <f t="shared" si="8"/>
        <v>0.94306335204490765</v>
      </c>
      <c r="V114">
        <v>8.5375999999999994E-2</v>
      </c>
      <c r="W114">
        <v>8.0191999999999999E-2</v>
      </c>
      <c r="X114" s="4">
        <f t="shared" si="9"/>
        <v>0.93928035982009006</v>
      </c>
      <c r="AC114">
        <v>0.152448</v>
      </c>
      <c r="AD114">
        <v>0.143872</v>
      </c>
      <c r="AE114" s="4">
        <f t="shared" si="11"/>
        <v>0.94374475230898403</v>
      </c>
      <c r="AG114">
        <v>0.13228799999999999</v>
      </c>
      <c r="AH114">
        <v>0.13107199999999999</v>
      </c>
      <c r="AI114" s="4">
        <f t="shared" si="12"/>
        <v>0.99080793420416069</v>
      </c>
    </row>
    <row r="115" spans="3:35" x14ac:dyDescent="0.25">
      <c r="C115" t="s">
        <v>31</v>
      </c>
      <c r="D115">
        <v>2</v>
      </c>
      <c r="E115">
        <v>128</v>
      </c>
      <c r="F115">
        <f>1024</f>
        <v>1024</v>
      </c>
      <c r="G115">
        <v>28</v>
      </c>
      <c r="H115">
        <v>4</v>
      </c>
      <c r="J115">
        <v>8.0255999999999994E-2</v>
      </c>
      <c r="K115">
        <v>7.7632000000000007E-2</v>
      </c>
      <c r="L115" s="4">
        <f t="shared" si="10"/>
        <v>0.96730462519936222</v>
      </c>
      <c r="M115" s="4"/>
      <c r="N115">
        <v>8.2304000000000002E-2</v>
      </c>
      <c r="O115">
        <v>8.0768000000000006E-2</v>
      </c>
      <c r="P115" s="4">
        <f t="shared" si="13"/>
        <v>0.98133748055987569</v>
      </c>
      <c r="R115">
        <v>8.7167999999999995E-2</v>
      </c>
      <c r="S115">
        <v>8.1472000000000003E-2</v>
      </c>
      <c r="T115" s="4">
        <f>S115/R115</f>
        <v>0.93465491923641708</v>
      </c>
      <c r="V115">
        <v>8.6272000000000001E-2</v>
      </c>
      <c r="W115">
        <v>8.2175999999999999E-2</v>
      </c>
      <c r="X115" s="4">
        <f t="shared" si="9"/>
        <v>0.95252225519287836</v>
      </c>
      <c r="AC115">
        <v>0.13977600000000001</v>
      </c>
      <c r="AD115">
        <v>0.145536</v>
      </c>
      <c r="AE115" s="4">
        <f t="shared" si="11"/>
        <v>1.0412087912087911</v>
      </c>
      <c r="AG115">
        <v>0.158528</v>
      </c>
      <c r="AH115">
        <v>0.15776000000000001</v>
      </c>
      <c r="AI115" s="4">
        <f t="shared" si="12"/>
        <v>0.99515542995559148</v>
      </c>
    </row>
    <row r="116" spans="3:35" x14ac:dyDescent="0.25">
      <c r="C116" t="s">
        <v>31</v>
      </c>
      <c r="D116">
        <v>4</v>
      </c>
      <c r="E116">
        <v>128</v>
      </c>
      <c r="F116">
        <f>1024</f>
        <v>1024</v>
      </c>
      <c r="G116">
        <v>28</v>
      </c>
      <c r="H116">
        <v>4</v>
      </c>
      <c r="J116">
        <v>8.0383999999999997E-2</v>
      </c>
      <c r="K116">
        <v>7.7951999999999994E-2</v>
      </c>
      <c r="L116" s="4">
        <f t="shared" si="10"/>
        <v>0.96974522292993626</v>
      </c>
      <c r="M116" s="4"/>
      <c r="N116">
        <v>8.1792000000000004E-2</v>
      </c>
      <c r="O116">
        <v>8.0128000000000005E-2</v>
      </c>
      <c r="P116" s="4">
        <f t="shared" si="13"/>
        <v>0.97965571205007829</v>
      </c>
      <c r="R116">
        <v>8.8896000000000003E-2</v>
      </c>
      <c r="S116">
        <v>8.6272000000000001E-2</v>
      </c>
      <c r="T116" s="4">
        <f>S116/R116</f>
        <v>0.97048236141108712</v>
      </c>
      <c r="V116">
        <v>8.8576000000000002E-2</v>
      </c>
      <c r="W116">
        <v>8.48E-2</v>
      </c>
      <c r="X116" s="4">
        <f t="shared" si="9"/>
        <v>0.95736994219653182</v>
      </c>
      <c r="AC116">
        <v>0.140736</v>
      </c>
      <c r="AD116">
        <v>0.127744</v>
      </c>
      <c r="AE116" s="4">
        <f t="shared" si="11"/>
        <v>0.90768531150522958</v>
      </c>
      <c r="AG116">
        <v>0.17119999999999999</v>
      </c>
      <c r="AH116">
        <v>0.17183999999999999</v>
      </c>
      <c r="AI116" s="4">
        <f t="shared" si="12"/>
        <v>1.0037383177570094</v>
      </c>
    </row>
    <row r="117" spans="3:35" x14ac:dyDescent="0.25">
      <c r="C117" t="s">
        <v>31</v>
      </c>
      <c r="D117">
        <v>8</v>
      </c>
      <c r="E117">
        <v>128</v>
      </c>
      <c r="F117">
        <f>1024</f>
        <v>1024</v>
      </c>
      <c r="G117">
        <v>28</v>
      </c>
      <c r="H117">
        <v>4</v>
      </c>
      <c r="J117">
        <v>0.11097600000000001</v>
      </c>
      <c r="K117">
        <v>0.107392</v>
      </c>
      <c r="L117" s="4">
        <f t="shared" si="10"/>
        <v>0.9677047289504036</v>
      </c>
      <c r="M117" s="4"/>
      <c r="N117">
        <v>0.121216</v>
      </c>
      <c r="O117">
        <v>0.118272</v>
      </c>
      <c r="P117" s="4">
        <f t="shared" si="13"/>
        <v>0.97571277719112992</v>
      </c>
      <c r="R117">
        <v>0.122752</v>
      </c>
      <c r="S117">
        <v>0.114496</v>
      </c>
      <c r="T117" s="4">
        <f>S117/R117</f>
        <v>0.93274244004171014</v>
      </c>
      <c r="V117">
        <v>0.130496</v>
      </c>
      <c r="W117">
        <v>0.125056</v>
      </c>
      <c r="X117" s="4">
        <f t="shared" si="9"/>
        <v>0.95831289847964685</v>
      </c>
      <c r="AC117">
        <v>0.17017599999999999</v>
      </c>
      <c r="AD117">
        <v>0.19436800000000001</v>
      </c>
      <c r="AE117" s="4">
        <f t="shared" si="11"/>
        <v>1.1421587062805567</v>
      </c>
      <c r="AG117">
        <v>0.25241599999999997</v>
      </c>
      <c r="AH117">
        <v>0.25203199999999998</v>
      </c>
      <c r="AI117" s="4">
        <f t="shared" si="12"/>
        <v>0.99847870182555787</v>
      </c>
    </row>
    <row r="118" spans="3:35" x14ac:dyDescent="0.25">
      <c r="C118" t="s">
        <v>31</v>
      </c>
      <c r="D118">
        <v>16</v>
      </c>
      <c r="E118">
        <v>128</v>
      </c>
      <c r="F118">
        <f>1024</f>
        <v>1024</v>
      </c>
      <c r="G118">
        <v>28</v>
      </c>
      <c r="H118">
        <v>4</v>
      </c>
      <c r="J118">
        <v>0.17119999999999999</v>
      </c>
      <c r="K118">
        <v>0.16755200000000001</v>
      </c>
      <c r="L118" s="4">
        <f t="shared" si="10"/>
        <v>0.97869158878504681</v>
      </c>
      <c r="M118" s="4"/>
      <c r="N118">
        <v>0.2064</v>
      </c>
      <c r="O118">
        <v>0.199104</v>
      </c>
      <c r="P118" s="4">
        <f t="shared" si="13"/>
        <v>0.96465116279069774</v>
      </c>
      <c r="R118">
        <v>0.18534400000000001</v>
      </c>
      <c r="S118">
        <v>0.18054400000000001</v>
      </c>
      <c r="T118" s="4">
        <f>S118/R118</f>
        <v>0.97410220994475138</v>
      </c>
      <c r="V118">
        <v>0.21907199999999999</v>
      </c>
      <c r="W118">
        <v>0.21299199999999999</v>
      </c>
      <c r="X118" s="4">
        <f t="shared" si="9"/>
        <v>0.97224656733859183</v>
      </c>
      <c r="AC118">
        <v>0.29971199999999998</v>
      </c>
      <c r="AD118">
        <v>0.32108799999999998</v>
      </c>
      <c r="AE118" s="4">
        <f t="shared" si="11"/>
        <v>1.0713218022635063</v>
      </c>
      <c r="AG118">
        <v>0.43257600000000002</v>
      </c>
      <c r="AH118">
        <v>0.43763200000000002</v>
      </c>
      <c r="AI118" s="4">
        <f t="shared" si="12"/>
        <v>1.0116881195443113</v>
      </c>
    </row>
    <row r="119" spans="3:35" x14ac:dyDescent="0.25">
      <c r="C119" t="s">
        <v>31</v>
      </c>
      <c r="D119">
        <v>32</v>
      </c>
      <c r="E119">
        <v>128</v>
      </c>
      <c r="F119">
        <f>1024</f>
        <v>1024</v>
      </c>
      <c r="G119">
        <v>28</v>
      </c>
      <c r="H119">
        <v>4</v>
      </c>
      <c r="J119">
        <v>0.29382399999999997</v>
      </c>
      <c r="K119">
        <v>0.28409600000000002</v>
      </c>
      <c r="L119" s="4">
        <f t="shared" si="10"/>
        <v>0.96689174471792649</v>
      </c>
      <c r="M119" s="4"/>
      <c r="N119">
        <v>0.69977599999999995</v>
      </c>
      <c r="O119">
        <v>0.35993599999999998</v>
      </c>
      <c r="P119" s="4">
        <f t="shared" si="13"/>
        <v>0.5143588805560636</v>
      </c>
      <c r="R119">
        <v>0.317056</v>
      </c>
      <c r="S119">
        <v>0.30745600000000001</v>
      </c>
      <c r="T119" s="4">
        <f>S119/R119</f>
        <v>0.96972143722244653</v>
      </c>
      <c r="V119">
        <v>0.39967999999999998</v>
      </c>
      <c r="W119">
        <v>0.38374399999999997</v>
      </c>
      <c r="X119" s="4">
        <f t="shared" si="9"/>
        <v>0.96012810248198555</v>
      </c>
      <c r="AC119">
        <v>0.66700800000000005</v>
      </c>
      <c r="AD119">
        <v>0.67353600000000002</v>
      </c>
      <c r="AE119" s="4">
        <f t="shared" si="11"/>
        <v>1.0097869890616005</v>
      </c>
      <c r="AG119">
        <v>0.849472</v>
      </c>
      <c r="AH119">
        <v>0.85209599999999996</v>
      </c>
      <c r="AI119" s="4">
        <f t="shared" si="12"/>
        <v>1.0030889776237475</v>
      </c>
    </row>
    <row r="120" spans="3:35" x14ac:dyDescent="0.25">
      <c r="C120" t="s">
        <v>31</v>
      </c>
      <c r="D120">
        <v>64</v>
      </c>
      <c r="E120">
        <v>128</v>
      </c>
      <c r="F120">
        <f>1024</f>
        <v>1024</v>
      </c>
      <c r="G120">
        <v>28</v>
      </c>
      <c r="H120">
        <v>4</v>
      </c>
      <c r="J120">
        <v>0.54310400000000003</v>
      </c>
      <c r="K120">
        <v>0.52</v>
      </c>
      <c r="L120" s="4">
        <f t="shared" si="10"/>
        <v>0.95745934480320527</v>
      </c>
      <c r="M120" s="4"/>
      <c r="N120">
        <v>0.68300799999999995</v>
      </c>
      <c r="O120">
        <v>0.66944000000000004</v>
      </c>
      <c r="P120" s="4">
        <f t="shared" si="13"/>
        <v>0.98013493253373329</v>
      </c>
      <c r="R120">
        <v>0.56140800000000002</v>
      </c>
      <c r="S120">
        <v>0.536192</v>
      </c>
      <c r="T120" s="4">
        <f>S120/R120</f>
        <v>0.95508435932512536</v>
      </c>
      <c r="V120">
        <v>0.74508799999999997</v>
      </c>
      <c r="W120">
        <v>0.71942399999999995</v>
      </c>
      <c r="X120" s="4">
        <f t="shared" si="9"/>
        <v>0.96555574643532038</v>
      </c>
      <c r="AC120">
        <v>1.203776</v>
      </c>
      <c r="AD120">
        <v>1.203136</v>
      </c>
      <c r="AE120" s="4">
        <f t="shared" si="11"/>
        <v>0.99946833962464776</v>
      </c>
      <c r="AG120">
        <v>1.6218239999999999</v>
      </c>
      <c r="AH120">
        <v>1.6272</v>
      </c>
      <c r="AI120" s="4">
        <f t="shared" si="12"/>
        <v>1.0033147863146679</v>
      </c>
    </row>
    <row r="121" spans="3:35" x14ac:dyDescent="0.25">
      <c r="C121" t="s">
        <v>31</v>
      </c>
      <c r="D121">
        <v>1</v>
      </c>
      <c r="E121">
        <v>128</v>
      </c>
      <c r="F121">
        <f>2048</f>
        <v>2048</v>
      </c>
      <c r="G121">
        <v>28</v>
      </c>
      <c r="H121">
        <v>4</v>
      </c>
      <c r="J121">
        <v>0.12499200000000001</v>
      </c>
      <c r="K121">
        <v>0.1216</v>
      </c>
      <c r="L121" s="4">
        <f t="shared" si="10"/>
        <v>0.97286226318484381</v>
      </c>
      <c r="M121" s="4"/>
      <c r="N121">
        <v>0.12684799999999999</v>
      </c>
      <c r="O121">
        <v>0.121472</v>
      </c>
      <c r="P121" s="4">
        <f t="shared" si="13"/>
        <v>0.95761856710393545</v>
      </c>
      <c r="R121">
        <v>0.117632</v>
      </c>
      <c r="S121">
        <v>0.114624</v>
      </c>
      <c r="T121" s="4">
        <f>S121/R121</f>
        <v>0.9744287268770403</v>
      </c>
      <c r="V121">
        <v>0.12831999999999999</v>
      </c>
      <c r="W121">
        <v>0.12134399999999999</v>
      </c>
      <c r="X121" s="4">
        <f t="shared" si="9"/>
        <v>0.94563591022443894</v>
      </c>
      <c r="AC121">
        <v>0.23219200000000001</v>
      </c>
      <c r="AD121">
        <v>0.22688</v>
      </c>
      <c r="AE121" s="4">
        <f t="shared" si="11"/>
        <v>0.97712238147739794</v>
      </c>
      <c r="AG121">
        <v>0.20774400000000001</v>
      </c>
      <c r="AH121">
        <v>0.20582400000000001</v>
      </c>
      <c r="AI121" s="4">
        <f t="shared" si="12"/>
        <v>0.99075785582255083</v>
      </c>
    </row>
    <row r="122" spans="3:35" x14ac:dyDescent="0.25">
      <c r="C122" t="s">
        <v>31</v>
      </c>
      <c r="D122">
        <v>2</v>
      </c>
      <c r="E122">
        <v>128</v>
      </c>
      <c r="F122">
        <f>2048</f>
        <v>2048</v>
      </c>
      <c r="G122">
        <v>28</v>
      </c>
      <c r="H122">
        <v>4</v>
      </c>
      <c r="J122">
        <v>0.12332799999999999</v>
      </c>
      <c r="K122">
        <v>0.11820799999999999</v>
      </c>
      <c r="L122" s="4">
        <f t="shared" si="10"/>
        <v>0.95848469122989099</v>
      </c>
      <c r="M122" s="4"/>
      <c r="N122">
        <v>0.12723200000000001</v>
      </c>
      <c r="O122">
        <v>0.121472</v>
      </c>
      <c r="P122" s="4">
        <f t="shared" si="13"/>
        <v>0.95472837022132784</v>
      </c>
      <c r="R122">
        <v>0.129408</v>
      </c>
      <c r="S122">
        <v>0.12608</v>
      </c>
      <c r="T122" s="4">
        <f>S122/R122</f>
        <v>0.97428288822947573</v>
      </c>
      <c r="V122">
        <v>0.131968</v>
      </c>
      <c r="W122">
        <v>0.12672</v>
      </c>
      <c r="X122" s="4">
        <f t="shared" si="9"/>
        <v>0.96023278370514065</v>
      </c>
      <c r="AC122">
        <v>0.23475199999999999</v>
      </c>
      <c r="AD122">
        <v>0.22048000000000001</v>
      </c>
      <c r="AE122" s="4">
        <f t="shared" si="11"/>
        <v>0.93920392584514734</v>
      </c>
      <c r="AG122">
        <v>0.263872</v>
      </c>
      <c r="AH122">
        <v>0.26067200000000001</v>
      </c>
      <c r="AI122" s="4">
        <f t="shared" si="12"/>
        <v>0.9878729080766433</v>
      </c>
    </row>
    <row r="123" spans="3:35" x14ac:dyDescent="0.25">
      <c r="C123" t="s">
        <v>31</v>
      </c>
      <c r="D123">
        <v>4</v>
      </c>
      <c r="E123">
        <v>128</v>
      </c>
      <c r="F123">
        <f>2048</f>
        <v>2048</v>
      </c>
      <c r="G123">
        <v>28</v>
      </c>
      <c r="H123">
        <v>4</v>
      </c>
      <c r="J123">
        <v>0.12288</v>
      </c>
      <c r="K123">
        <v>0.11820799999999999</v>
      </c>
      <c r="L123" s="4">
        <f t="shared" si="10"/>
        <v>0.96197916666666661</v>
      </c>
      <c r="M123" s="4"/>
      <c r="N123">
        <v>0.12646399999999999</v>
      </c>
      <c r="O123">
        <v>0.122304</v>
      </c>
      <c r="P123" s="4">
        <f t="shared" si="13"/>
        <v>0.9671052631578948</v>
      </c>
      <c r="R123">
        <v>0.14060800000000001</v>
      </c>
      <c r="S123">
        <v>0.136768</v>
      </c>
      <c r="T123" s="4">
        <f>S123/R123</f>
        <v>0.97269003186162939</v>
      </c>
      <c r="V123">
        <v>0.13555200000000001</v>
      </c>
      <c r="W123">
        <v>0.12979199999999999</v>
      </c>
      <c r="X123" s="4">
        <f t="shared" si="9"/>
        <v>0.95750708215297442</v>
      </c>
      <c r="AC123">
        <v>0.20499200000000001</v>
      </c>
      <c r="AD123">
        <v>0.21343999999999999</v>
      </c>
      <c r="AE123" s="4">
        <f t="shared" si="11"/>
        <v>1.0412113643459255</v>
      </c>
      <c r="AG123">
        <v>0.30003200000000002</v>
      </c>
      <c r="AH123">
        <v>0.293184</v>
      </c>
      <c r="AI123" s="4">
        <f t="shared" si="12"/>
        <v>0.97717576791808869</v>
      </c>
    </row>
    <row r="124" spans="3:35" x14ac:dyDescent="0.25">
      <c r="C124" t="s">
        <v>31</v>
      </c>
      <c r="D124">
        <v>8</v>
      </c>
      <c r="E124">
        <v>128</v>
      </c>
      <c r="F124">
        <f>2048</f>
        <v>2048</v>
      </c>
      <c r="G124">
        <v>28</v>
      </c>
      <c r="H124">
        <v>4</v>
      </c>
      <c r="J124">
        <v>0.17971200000000001</v>
      </c>
      <c r="K124">
        <v>0.17529600000000001</v>
      </c>
      <c r="L124" s="4">
        <f t="shared" si="10"/>
        <v>0.9754273504273504</v>
      </c>
      <c r="M124" s="4"/>
      <c r="N124">
        <v>0.202624</v>
      </c>
      <c r="O124">
        <v>0.195712</v>
      </c>
      <c r="P124" s="4">
        <f t="shared" si="13"/>
        <v>0.96588755527479464</v>
      </c>
      <c r="R124">
        <v>0.2016</v>
      </c>
      <c r="S124">
        <v>0.19347200000000001</v>
      </c>
      <c r="T124" s="4">
        <f>S124/R124</f>
        <v>0.95968253968253969</v>
      </c>
      <c r="V124">
        <v>0.21779200000000001</v>
      </c>
      <c r="W124">
        <v>0.21004800000000001</v>
      </c>
      <c r="X124" s="4">
        <f t="shared" si="9"/>
        <v>0.96444313840728768</v>
      </c>
      <c r="AC124">
        <v>0.29420800000000003</v>
      </c>
      <c r="AD124">
        <v>0.34304000000000001</v>
      </c>
      <c r="AE124" s="4">
        <f t="shared" si="11"/>
        <v>1.1659778116162713</v>
      </c>
      <c r="AG124">
        <v>0.44851200000000002</v>
      </c>
      <c r="AH124">
        <v>0.44966400000000001</v>
      </c>
      <c r="AI124" s="4">
        <f t="shared" si="12"/>
        <v>1.0025684931506849</v>
      </c>
    </row>
    <row r="125" spans="3:35" x14ac:dyDescent="0.25">
      <c r="C125" t="s">
        <v>31</v>
      </c>
      <c r="D125">
        <v>16</v>
      </c>
      <c r="E125">
        <v>128</v>
      </c>
      <c r="F125">
        <f>2048</f>
        <v>2048</v>
      </c>
      <c r="G125">
        <v>28</v>
      </c>
      <c r="H125">
        <v>4</v>
      </c>
      <c r="J125">
        <v>0.29568</v>
      </c>
      <c r="K125">
        <v>0.28736</v>
      </c>
      <c r="L125" s="4">
        <f t="shared" si="10"/>
        <v>0.97186147186147187</v>
      </c>
      <c r="M125" s="4"/>
      <c r="N125">
        <v>0.364288</v>
      </c>
      <c r="O125">
        <v>0.35001599999999999</v>
      </c>
      <c r="P125" s="4">
        <f t="shared" si="13"/>
        <v>0.96082220660576245</v>
      </c>
      <c r="R125">
        <v>0.33535999999999999</v>
      </c>
      <c r="S125">
        <v>0.32467200000000002</v>
      </c>
      <c r="T125" s="4">
        <f>S125/R125</f>
        <v>0.96812977099236652</v>
      </c>
      <c r="V125">
        <v>0.39091199999999998</v>
      </c>
      <c r="W125">
        <v>0.37574400000000002</v>
      </c>
      <c r="X125" s="4">
        <f t="shared" si="9"/>
        <v>0.96119842829076629</v>
      </c>
      <c r="AC125">
        <v>0.64307199999999998</v>
      </c>
      <c r="AD125">
        <v>0.68908800000000003</v>
      </c>
      <c r="AE125" s="4">
        <f t="shared" si="11"/>
        <v>1.0715565286624205</v>
      </c>
      <c r="AG125">
        <v>0.89766400000000002</v>
      </c>
      <c r="AH125">
        <v>0.90873599999999999</v>
      </c>
      <c r="AI125" s="4">
        <f t="shared" si="12"/>
        <v>1.0123342364180807</v>
      </c>
    </row>
    <row r="126" spans="3:35" x14ac:dyDescent="0.25">
      <c r="C126" t="s">
        <v>31</v>
      </c>
      <c r="D126">
        <v>32</v>
      </c>
      <c r="E126">
        <v>128</v>
      </c>
      <c r="F126">
        <f>2048</f>
        <v>2048</v>
      </c>
      <c r="G126">
        <v>28</v>
      </c>
      <c r="H126">
        <v>4</v>
      </c>
      <c r="J126">
        <v>0.53651199999999999</v>
      </c>
      <c r="K126">
        <v>0.51193599999999995</v>
      </c>
      <c r="L126" s="4">
        <f t="shared" si="10"/>
        <v>0.95419300966241194</v>
      </c>
      <c r="M126" s="4"/>
      <c r="N126">
        <v>0.67398400000000003</v>
      </c>
      <c r="O126">
        <v>0.65209600000000001</v>
      </c>
      <c r="P126" s="4">
        <f t="shared" si="13"/>
        <v>0.96752445161902956</v>
      </c>
      <c r="R126">
        <v>0.58003199999999999</v>
      </c>
      <c r="S126">
        <v>0.55462400000000001</v>
      </c>
      <c r="T126" s="4">
        <f>S126/R126</f>
        <v>0.95619552024715881</v>
      </c>
      <c r="V126">
        <v>0.72940799999999995</v>
      </c>
      <c r="W126">
        <v>0.70118400000000003</v>
      </c>
      <c r="X126" s="4">
        <f t="shared" si="9"/>
        <v>0.96130560673861554</v>
      </c>
      <c r="AC126">
        <v>1.2334719999999999</v>
      </c>
      <c r="AD126">
        <v>1.244032</v>
      </c>
      <c r="AE126" s="4">
        <f t="shared" si="11"/>
        <v>1.008561199605666</v>
      </c>
      <c r="AG126">
        <v>1.788864</v>
      </c>
      <c r="AH126">
        <v>1.7847040000000001</v>
      </c>
      <c r="AI126" s="4">
        <f t="shared" si="12"/>
        <v>0.99767450180673323</v>
      </c>
    </row>
    <row r="127" spans="3:35" x14ac:dyDescent="0.25">
      <c r="C127" t="s">
        <v>31</v>
      </c>
      <c r="D127">
        <v>64</v>
      </c>
      <c r="E127">
        <v>128</v>
      </c>
      <c r="F127">
        <f>2048</f>
        <v>2048</v>
      </c>
      <c r="G127">
        <v>28</v>
      </c>
      <c r="H127">
        <v>4</v>
      </c>
      <c r="J127">
        <v>1.0076160000000001</v>
      </c>
      <c r="K127">
        <v>0.95955199999999996</v>
      </c>
      <c r="L127" s="4">
        <f t="shared" si="10"/>
        <v>0.95229928861788604</v>
      </c>
      <c r="M127" s="4"/>
      <c r="N127">
        <v>1.3064960000000001</v>
      </c>
      <c r="O127">
        <v>1.2647040000000001</v>
      </c>
      <c r="P127" s="4">
        <f t="shared" si="13"/>
        <v>0.96801214852552164</v>
      </c>
      <c r="R127">
        <v>1.330368</v>
      </c>
      <c r="S127">
        <v>0.98982400000000004</v>
      </c>
      <c r="T127" s="4">
        <f>S127/R127</f>
        <v>0.74402270649925439</v>
      </c>
      <c r="V127">
        <v>1.4007039999999999</v>
      </c>
      <c r="W127">
        <v>1.3512960000000001</v>
      </c>
      <c r="X127" s="4">
        <f t="shared" si="9"/>
        <v>0.96472630905601764</v>
      </c>
      <c r="AC127">
        <v>2.2687360000000001</v>
      </c>
      <c r="AD127">
        <v>2.2583039999999999</v>
      </c>
      <c r="AE127" s="4">
        <f t="shared" si="11"/>
        <v>0.99540184490394645</v>
      </c>
      <c r="AG127">
        <v>3.5703040000000001</v>
      </c>
      <c r="AH127">
        <v>3.564416</v>
      </c>
      <c r="AI127" s="4">
        <f t="shared" si="12"/>
        <v>0.99835084071272362</v>
      </c>
    </row>
    <row r="128" spans="3:35" x14ac:dyDescent="0.25">
      <c r="C128" t="s">
        <v>31</v>
      </c>
      <c r="D128">
        <v>1</v>
      </c>
      <c r="E128">
        <v>128</v>
      </c>
      <c r="F128">
        <f>3072</f>
        <v>3072</v>
      </c>
      <c r="G128">
        <v>28</v>
      </c>
      <c r="H128">
        <v>4</v>
      </c>
      <c r="J128">
        <v>0.16633600000000001</v>
      </c>
      <c r="K128">
        <v>0.16031999999999999</v>
      </c>
      <c r="L128" s="4">
        <f t="shared" si="10"/>
        <v>0.96383224317045002</v>
      </c>
      <c r="M128" s="4"/>
      <c r="N128">
        <v>0.16953599999999999</v>
      </c>
      <c r="O128">
        <v>0.162048</v>
      </c>
      <c r="P128" s="4">
        <f t="shared" si="13"/>
        <v>0.95583238958097394</v>
      </c>
      <c r="R128">
        <v>0.15635199999999999</v>
      </c>
      <c r="S128">
        <v>0.151424</v>
      </c>
      <c r="T128" s="4">
        <f>S128/R128</f>
        <v>0.96848137535816625</v>
      </c>
      <c r="V128">
        <v>0.17068800000000001</v>
      </c>
      <c r="W128">
        <v>0.16275200000000001</v>
      </c>
      <c r="X128" s="4">
        <f t="shared" si="9"/>
        <v>0.95350581177352833</v>
      </c>
      <c r="AC128">
        <v>0.334976</v>
      </c>
      <c r="AD128">
        <v>0.29491200000000001</v>
      </c>
      <c r="AE128" s="4">
        <f t="shared" si="11"/>
        <v>0.88039740160489111</v>
      </c>
      <c r="AG128">
        <v>0.28595199999999998</v>
      </c>
      <c r="AH128">
        <v>0.282752</v>
      </c>
      <c r="AI128" s="4">
        <f t="shared" si="12"/>
        <v>0.98880931065353628</v>
      </c>
    </row>
    <row r="129" spans="3:35" x14ac:dyDescent="0.25">
      <c r="C129" t="s">
        <v>31</v>
      </c>
      <c r="D129">
        <v>2</v>
      </c>
      <c r="E129">
        <v>128</v>
      </c>
      <c r="F129">
        <f>3072</f>
        <v>3072</v>
      </c>
      <c r="G129">
        <v>28</v>
      </c>
      <c r="H129">
        <v>4</v>
      </c>
      <c r="J129">
        <v>0.16467200000000001</v>
      </c>
      <c r="K129">
        <v>0.16262399999999999</v>
      </c>
      <c r="L129" s="4">
        <f t="shared" si="10"/>
        <v>0.98756315584920318</v>
      </c>
      <c r="M129" s="4"/>
      <c r="N129">
        <v>0.16832</v>
      </c>
      <c r="O129">
        <v>0.16281599999999999</v>
      </c>
      <c r="P129" s="4">
        <f t="shared" si="13"/>
        <v>0.9673003802281368</v>
      </c>
      <c r="R129">
        <v>0.175872</v>
      </c>
      <c r="S129">
        <v>0.16934399999999999</v>
      </c>
      <c r="T129" s="4">
        <f>S129/R129</f>
        <v>0.96288209606986896</v>
      </c>
      <c r="V129">
        <v>0.17702399999999999</v>
      </c>
      <c r="W129">
        <v>0.17049600000000001</v>
      </c>
      <c r="X129" s="4">
        <f t="shared" si="9"/>
        <v>0.963123644251627</v>
      </c>
      <c r="AC129">
        <v>0.303232</v>
      </c>
      <c r="AD129">
        <v>0.32307200000000003</v>
      </c>
      <c r="AE129" s="4">
        <f t="shared" si="11"/>
        <v>1.0654284508231322</v>
      </c>
      <c r="AG129">
        <v>0.36876799999999998</v>
      </c>
      <c r="AH129">
        <v>0.36614400000000002</v>
      </c>
      <c r="AI129" s="4">
        <f t="shared" si="12"/>
        <v>0.99288441513363423</v>
      </c>
    </row>
    <row r="130" spans="3:35" x14ac:dyDescent="0.25">
      <c r="C130" t="s">
        <v>31</v>
      </c>
      <c r="D130">
        <v>4</v>
      </c>
      <c r="E130">
        <v>128</v>
      </c>
      <c r="F130">
        <f>3072</f>
        <v>3072</v>
      </c>
      <c r="G130">
        <v>28</v>
      </c>
      <c r="H130">
        <v>4</v>
      </c>
      <c r="J130">
        <v>0.16511999999999999</v>
      </c>
      <c r="K130">
        <v>0.15923200000000001</v>
      </c>
      <c r="L130" s="4">
        <f t="shared" si="10"/>
        <v>0.96434108527131801</v>
      </c>
      <c r="M130" s="4"/>
      <c r="N130">
        <v>0.16947200000000001</v>
      </c>
      <c r="O130">
        <v>0.16243199999999999</v>
      </c>
      <c r="P130" s="4">
        <f t="shared" si="13"/>
        <v>0.9584592145015105</v>
      </c>
      <c r="R130">
        <v>0.19244800000000001</v>
      </c>
      <c r="S130">
        <v>0.183424</v>
      </c>
      <c r="T130" s="4">
        <f>S130/R130</f>
        <v>0.95310941137346195</v>
      </c>
      <c r="V130">
        <v>0.18496000000000001</v>
      </c>
      <c r="W130">
        <v>0.17804800000000001</v>
      </c>
      <c r="X130" s="4">
        <f t="shared" ref="X130:X169" si="14">W130/V130</f>
        <v>0.96262975778546711</v>
      </c>
      <c r="AC130">
        <v>0.27398400000000001</v>
      </c>
      <c r="AD130">
        <v>0.30355199999999999</v>
      </c>
      <c r="AE130" s="4">
        <f t="shared" si="11"/>
        <v>1.1079187105816397</v>
      </c>
      <c r="AG130">
        <v>0.417792</v>
      </c>
      <c r="AH130">
        <v>0.412416</v>
      </c>
      <c r="AI130" s="4">
        <f t="shared" si="12"/>
        <v>0.98713235294117652</v>
      </c>
    </row>
    <row r="131" spans="3:35" x14ac:dyDescent="0.25">
      <c r="C131" t="s">
        <v>31</v>
      </c>
      <c r="D131">
        <v>8</v>
      </c>
      <c r="E131">
        <v>128</v>
      </c>
      <c r="F131">
        <f>3072</f>
        <v>3072</v>
      </c>
      <c r="G131">
        <v>28</v>
      </c>
      <c r="H131">
        <v>4</v>
      </c>
      <c r="J131">
        <v>0.25465599999999999</v>
      </c>
      <c r="K131">
        <v>0.24710399999999999</v>
      </c>
      <c r="L131" s="4">
        <f t="shared" ref="L131:L169" si="15">K131/J131</f>
        <v>0.97034430761497859</v>
      </c>
      <c r="M131" s="4"/>
      <c r="N131">
        <v>0.28486400000000001</v>
      </c>
      <c r="O131">
        <v>0.27379199999999998</v>
      </c>
      <c r="P131" s="4">
        <f t="shared" si="13"/>
        <v>0.96113232981352492</v>
      </c>
      <c r="R131">
        <v>0.28339199999999998</v>
      </c>
      <c r="S131">
        <v>0.27110400000000001</v>
      </c>
      <c r="T131" s="4">
        <f>S131/R131</f>
        <v>0.95663956639566405</v>
      </c>
      <c r="V131">
        <v>0.30918400000000001</v>
      </c>
      <c r="W131">
        <v>0.298176</v>
      </c>
      <c r="X131" s="4">
        <f t="shared" si="14"/>
        <v>0.96439660525771054</v>
      </c>
      <c r="AC131">
        <v>0.5232</v>
      </c>
      <c r="AD131">
        <v>0.51673599999999997</v>
      </c>
      <c r="AE131" s="4">
        <f t="shared" ref="AE131:AE169" si="16">AD131/AC131</f>
        <v>0.98764525993883789</v>
      </c>
      <c r="AG131">
        <v>0.71212799999999998</v>
      </c>
      <c r="AH131">
        <v>0.70425599999999999</v>
      </c>
      <c r="AI131" s="4">
        <f t="shared" ref="AI131:AI169" si="17">AH131/AG131</f>
        <v>0.98894580749528171</v>
      </c>
    </row>
    <row r="132" spans="3:35" x14ac:dyDescent="0.25">
      <c r="C132" t="s">
        <v>31</v>
      </c>
      <c r="D132">
        <v>16</v>
      </c>
      <c r="E132">
        <v>128</v>
      </c>
      <c r="F132">
        <f>3072</f>
        <v>3072</v>
      </c>
      <c r="G132">
        <v>28</v>
      </c>
      <c r="H132">
        <v>4</v>
      </c>
      <c r="J132">
        <v>0.42227199999999998</v>
      </c>
      <c r="K132">
        <v>0.40908800000000001</v>
      </c>
      <c r="L132" s="4">
        <f t="shared" si="15"/>
        <v>0.96877841770233408</v>
      </c>
      <c r="M132" s="4"/>
      <c r="N132">
        <v>0.52204799999999996</v>
      </c>
      <c r="O132">
        <v>0.50182400000000005</v>
      </c>
      <c r="P132" s="4">
        <f t="shared" si="13"/>
        <v>0.96126026725511848</v>
      </c>
      <c r="R132">
        <v>0.45951999999999998</v>
      </c>
      <c r="S132">
        <v>0.44262400000000002</v>
      </c>
      <c r="T132" s="4">
        <f>S132/R132</f>
        <v>0.96323119777158783</v>
      </c>
      <c r="V132">
        <v>0.56076800000000004</v>
      </c>
      <c r="W132">
        <v>0.53868799999999994</v>
      </c>
      <c r="X132" s="4">
        <f t="shared" si="14"/>
        <v>0.96062542798447825</v>
      </c>
      <c r="AC132">
        <v>0.93068799999999996</v>
      </c>
      <c r="AD132">
        <v>0.98431999999999997</v>
      </c>
      <c r="AE132" s="4">
        <f t="shared" si="16"/>
        <v>1.0576261862192271</v>
      </c>
      <c r="AG132">
        <v>1.3875839999999999</v>
      </c>
      <c r="AH132">
        <v>1.3773439999999999</v>
      </c>
      <c r="AI132" s="4">
        <f t="shared" si="17"/>
        <v>0.99262026659286928</v>
      </c>
    </row>
    <row r="133" spans="3:35" x14ac:dyDescent="0.25">
      <c r="C133" t="s">
        <v>31</v>
      </c>
      <c r="D133">
        <v>32</v>
      </c>
      <c r="E133">
        <v>128</v>
      </c>
      <c r="F133">
        <f>3072</f>
        <v>3072</v>
      </c>
      <c r="G133">
        <v>28</v>
      </c>
      <c r="H133">
        <v>4</v>
      </c>
      <c r="J133">
        <v>0.77587200000000001</v>
      </c>
      <c r="K133">
        <v>0.73939200000000005</v>
      </c>
      <c r="L133" s="4">
        <f t="shared" si="15"/>
        <v>0.95298193516456331</v>
      </c>
      <c r="M133" s="4"/>
      <c r="N133">
        <v>1.0025599999999999</v>
      </c>
      <c r="O133">
        <v>0.95884800000000003</v>
      </c>
      <c r="P133" s="4">
        <f t="shared" si="13"/>
        <v>0.95639961698053</v>
      </c>
      <c r="R133">
        <v>0.83257599999999998</v>
      </c>
      <c r="S133">
        <v>0.79724799999999996</v>
      </c>
      <c r="T133" s="4">
        <f>S133/R133</f>
        <v>0.95756783765085707</v>
      </c>
      <c r="V133">
        <v>1.064128</v>
      </c>
      <c r="W133">
        <v>1.0209280000000001</v>
      </c>
      <c r="X133" s="4">
        <f t="shared" si="14"/>
        <v>0.95940338004450598</v>
      </c>
      <c r="AC133">
        <v>1.724736</v>
      </c>
      <c r="AD133">
        <v>1.726208</v>
      </c>
      <c r="AE133" s="4">
        <f t="shared" si="16"/>
        <v>1.0008534639504247</v>
      </c>
      <c r="AG133">
        <v>2.7852160000000001</v>
      </c>
      <c r="AH133">
        <v>2.7839999999999998</v>
      </c>
      <c r="AI133" s="4">
        <f t="shared" si="17"/>
        <v>0.99956340908568664</v>
      </c>
    </row>
    <row r="134" spans="3:35" x14ac:dyDescent="0.25">
      <c r="C134" t="s">
        <v>31</v>
      </c>
      <c r="D134">
        <v>64</v>
      </c>
      <c r="E134">
        <v>128</v>
      </c>
      <c r="F134">
        <f>3072</f>
        <v>3072</v>
      </c>
      <c r="G134">
        <v>28</v>
      </c>
      <c r="H134">
        <v>4</v>
      </c>
      <c r="J134">
        <v>1.4688000000000001</v>
      </c>
      <c r="K134">
        <v>1.3964799999999999</v>
      </c>
      <c r="L134" s="4">
        <f t="shared" si="15"/>
        <v>0.95076252723311538</v>
      </c>
      <c r="M134" s="4"/>
      <c r="N134">
        <v>1.9281919999999999</v>
      </c>
      <c r="O134">
        <v>1.848128</v>
      </c>
      <c r="P134" s="4">
        <f t="shared" si="13"/>
        <v>0.95847716409984074</v>
      </c>
      <c r="R134">
        <v>1.528192</v>
      </c>
      <c r="S134">
        <v>1.444032</v>
      </c>
      <c r="T134" s="4">
        <f>S134/R134</f>
        <v>0.94492838596197337</v>
      </c>
      <c r="V134">
        <v>2.0548479999999998</v>
      </c>
      <c r="W134">
        <v>1.9754879999999999</v>
      </c>
      <c r="X134" s="4">
        <f t="shared" si="14"/>
        <v>0.96137913850562184</v>
      </c>
      <c r="AC134">
        <v>3.28416</v>
      </c>
      <c r="AD134">
        <v>3.2831359999999998</v>
      </c>
      <c r="AE134" s="4">
        <f t="shared" si="16"/>
        <v>0.99968820033128714</v>
      </c>
      <c r="AG134">
        <v>5.4943999999999997</v>
      </c>
      <c r="AH134">
        <v>5.4803199999999999</v>
      </c>
      <c r="AI134" s="4">
        <f t="shared" si="17"/>
        <v>0.99743739079790339</v>
      </c>
    </row>
    <row r="135" spans="3:35" x14ac:dyDescent="0.25">
      <c r="C135" t="s">
        <v>31</v>
      </c>
      <c r="D135">
        <v>1</v>
      </c>
      <c r="E135">
        <v>128</v>
      </c>
      <c r="F135">
        <f>4096</f>
        <v>4096</v>
      </c>
      <c r="G135">
        <v>28</v>
      </c>
      <c r="H135">
        <v>4</v>
      </c>
      <c r="J135">
        <v>0.207232</v>
      </c>
      <c r="K135">
        <v>0.200768</v>
      </c>
      <c r="L135" s="4">
        <f t="shared" si="15"/>
        <v>0.96880790611488576</v>
      </c>
      <c r="M135" s="4"/>
      <c r="N135">
        <v>0.21209600000000001</v>
      </c>
      <c r="O135">
        <v>0.20339199999999999</v>
      </c>
      <c r="P135" s="4">
        <f t="shared" si="13"/>
        <v>0.95896197948098971</v>
      </c>
      <c r="R135">
        <v>0.19814399999999999</v>
      </c>
      <c r="S135">
        <v>0.18982399999999999</v>
      </c>
      <c r="T135" s="4">
        <f>S135/R135</f>
        <v>0.95801033591731266</v>
      </c>
      <c r="V135">
        <v>0.21401600000000001</v>
      </c>
      <c r="W135">
        <v>0.20441599999999999</v>
      </c>
      <c r="X135" s="4">
        <f t="shared" si="14"/>
        <v>0.95514354066985629</v>
      </c>
      <c r="AC135">
        <v>0.41983999999999999</v>
      </c>
      <c r="AD135">
        <v>0.416128</v>
      </c>
      <c r="AE135" s="4">
        <f t="shared" si="16"/>
        <v>0.9911585365853659</v>
      </c>
      <c r="AG135">
        <v>0.364288</v>
      </c>
      <c r="AH135">
        <v>0.35833599999999999</v>
      </c>
      <c r="AI135" s="4">
        <f t="shared" si="17"/>
        <v>0.98366127898805333</v>
      </c>
    </row>
    <row r="136" spans="3:35" x14ac:dyDescent="0.25">
      <c r="C136" t="s">
        <v>31</v>
      </c>
      <c r="D136">
        <v>2</v>
      </c>
      <c r="E136">
        <v>128</v>
      </c>
      <c r="F136">
        <f>4096</f>
        <v>4096</v>
      </c>
      <c r="G136">
        <v>28</v>
      </c>
      <c r="H136">
        <v>4</v>
      </c>
      <c r="J136">
        <v>0.20799999999999999</v>
      </c>
      <c r="K136">
        <v>0.20127999999999999</v>
      </c>
      <c r="L136" s="4">
        <f t="shared" si="15"/>
        <v>0.96769230769230763</v>
      </c>
      <c r="M136" s="4"/>
      <c r="N136">
        <v>0.21196799999999999</v>
      </c>
      <c r="O136">
        <v>0.20275199999999999</v>
      </c>
      <c r="P136" s="4">
        <f t="shared" si="13"/>
        <v>0.95652173913043481</v>
      </c>
      <c r="R136">
        <v>0.22118399999999999</v>
      </c>
      <c r="S136">
        <v>0.21382399999999999</v>
      </c>
      <c r="T136" s="4">
        <f>S136/R136</f>
        <v>0.96672453703703698</v>
      </c>
      <c r="V136">
        <v>0.22617599999999999</v>
      </c>
      <c r="W136">
        <v>0.216448</v>
      </c>
      <c r="X136" s="4">
        <f t="shared" si="14"/>
        <v>0.956989247311828</v>
      </c>
      <c r="AC136">
        <v>0.36851200000000001</v>
      </c>
      <c r="AD136">
        <v>0.41887999999999997</v>
      </c>
      <c r="AE136" s="4">
        <f t="shared" si="16"/>
        <v>1.1366794025703368</v>
      </c>
      <c r="AG136">
        <v>0.47820800000000002</v>
      </c>
      <c r="AH136">
        <v>0.47129599999999999</v>
      </c>
      <c r="AI136" s="4">
        <f t="shared" si="17"/>
        <v>0.98554603854389711</v>
      </c>
    </row>
    <row r="137" spans="3:35" x14ac:dyDescent="0.25">
      <c r="C137" t="s">
        <v>31</v>
      </c>
      <c r="D137">
        <v>4</v>
      </c>
      <c r="E137">
        <v>128</v>
      </c>
      <c r="F137">
        <f>4096</f>
        <v>4096</v>
      </c>
      <c r="G137">
        <v>28</v>
      </c>
      <c r="H137">
        <v>4</v>
      </c>
      <c r="J137">
        <v>0.20947199999999999</v>
      </c>
      <c r="K137">
        <v>0.20006399999999999</v>
      </c>
      <c r="L137" s="4">
        <f t="shared" si="15"/>
        <v>0.95508707607699361</v>
      </c>
      <c r="M137" s="4"/>
      <c r="N137">
        <v>0.211648</v>
      </c>
      <c r="O137">
        <v>0.20332800000000001</v>
      </c>
      <c r="P137" s="4">
        <f t="shared" si="13"/>
        <v>0.96068944662836409</v>
      </c>
      <c r="R137">
        <v>0.244032</v>
      </c>
      <c r="S137">
        <v>0.236544</v>
      </c>
      <c r="T137" s="4">
        <f>S137/R137</f>
        <v>0.96931549960660901</v>
      </c>
      <c r="V137">
        <v>0.23552000000000001</v>
      </c>
      <c r="W137">
        <v>0.22412799999999999</v>
      </c>
      <c r="X137" s="4">
        <f t="shared" si="14"/>
        <v>0.95163043478260867</v>
      </c>
      <c r="AC137">
        <v>0.37158400000000003</v>
      </c>
      <c r="AD137">
        <v>0.40473599999999998</v>
      </c>
      <c r="AE137" s="4">
        <f t="shared" si="16"/>
        <v>1.0892180502928004</v>
      </c>
      <c r="AG137">
        <v>0.54412799999999995</v>
      </c>
      <c r="AH137">
        <v>0.54035200000000005</v>
      </c>
      <c r="AI137" s="4">
        <f t="shared" si="17"/>
        <v>0.99306045636320883</v>
      </c>
    </row>
    <row r="138" spans="3:35" x14ac:dyDescent="0.25">
      <c r="C138" t="s">
        <v>31</v>
      </c>
      <c r="D138">
        <v>8</v>
      </c>
      <c r="E138">
        <v>128</v>
      </c>
      <c r="F138">
        <f>4096</f>
        <v>4096</v>
      </c>
      <c r="G138">
        <v>28</v>
      </c>
      <c r="H138">
        <v>4</v>
      </c>
      <c r="J138">
        <v>0.32006400000000002</v>
      </c>
      <c r="K138">
        <v>0.307008</v>
      </c>
      <c r="L138" s="4">
        <f t="shared" si="15"/>
        <v>0.95920815836832629</v>
      </c>
      <c r="M138" s="4"/>
      <c r="N138">
        <v>0.36422399999999999</v>
      </c>
      <c r="O138">
        <v>0.35033599999999998</v>
      </c>
      <c r="P138" s="4">
        <f t="shared" si="13"/>
        <v>0.96186961869618692</v>
      </c>
      <c r="R138">
        <v>0.36857600000000001</v>
      </c>
      <c r="S138">
        <v>0.35443200000000002</v>
      </c>
      <c r="T138" s="4">
        <f>S138/R138</f>
        <v>0.96162528216704291</v>
      </c>
      <c r="V138">
        <v>0.39737600000000001</v>
      </c>
      <c r="W138">
        <v>0.381824</v>
      </c>
      <c r="X138" s="4">
        <f t="shared" si="14"/>
        <v>0.96086326300531488</v>
      </c>
      <c r="AC138">
        <v>0.60025600000000001</v>
      </c>
      <c r="AD138">
        <v>0.68159999999999998</v>
      </c>
      <c r="AE138" s="4">
        <f t="shared" si="16"/>
        <v>1.1355155133809574</v>
      </c>
      <c r="AG138">
        <v>0.97587199999999996</v>
      </c>
      <c r="AH138">
        <v>0.97760000000000002</v>
      </c>
      <c r="AI138" s="4">
        <f t="shared" si="17"/>
        <v>1.0017707240293809</v>
      </c>
    </row>
    <row r="139" spans="3:35" x14ac:dyDescent="0.25">
      <c r="C139" t="s">
        <v>31</v>
      </c>
      <c r="D139">
        <v>16</v>
      </c>
      <c r="E139">
        <v>128</v>
      </c>
      <c r="F139">
        <f>4096</f>
        <v>4096</v>
      </c>
      <c r="G139">
        <v>28</v>
      </c>
      <c r="H139">
        <v>4</v>
      </c>
      <c r="J139">
        <v>0.54924799999999996</v>
      </c>
      <c r="K139">
        <v>0.52806399999999998</v>
      </c>
      <c r="L139" s="4">
        <f t="shared" si="15"/>
        <v>0.96143090188767188</v>
      </c>
      <c r="M139" s="4"/>
      <c r="N139">
        <v>0.67168000000000005</v>
      </c>
      <c r="O139">
        <v>0.64563199999999998</v>
      </c>
      <c r="P139" s="4">
        <f t="shared" si="13"/>
        <v>0.9612196283944735</v>
      </c>
      <c r="R139">
        <v>0.61811199999999999</v>
      </c>
      <c r="S139">
        <v>0.59129600000000004</v>
      </c>
      <c r="T139" s="4">
        <f>S139/R139</f>
        <v>0.9566162766618348</v>
      </c>
      <c r="V139">
        <v>0.72985599999999995</v>
      </c>
      <c r="W139">
        <v>0.701376</v>
      </c>
      <c r="X139" s="4">
        <f t="shared" si="14"/>
        <v>0.96097860399859703</v>
      </c>
      <c r="AC139">
        <v>1.249344</v>
      </c>
      <c r="AD139">
        <v>1.272</v>
      </c>
      <c r="AE139" s="4">
        <f t="shared" si="16"/>
        <v>1.0181343168895036</v>
      </c>
      <c r="AG139">
        <v>1.9139839999999999</v>
      </c>
      <c r="AH139">
        <v>1.904704</v>
      </c>
      <c r="AI139" s="4">
        <f t="shared" si="17"/>
        <v>0.99515147462047748</v>
      </c>
    </row>
    <row r="140" spans="3:35" x14ac:dyDescent="0.25">
      <c r="C140" t="s">
        <v>31</v>
      </c>
      <c r="D140">
        <v>32</v>
      </c>
      <c r="E140">
        <v>128</v>
      </c>
      <c r="F140">
        <f>4096</f>
        <v>4096</v>
      </c>
      <c r="G140">
        <v>28</v>
      </c>
      <c r="H140">
        <v>4</v>
      </c>
      <c r="J140">
        <v>1.015296</v>
      </c>
      <c r="K140">
        <v>0.96620799999999996</v>
      </c>
      <c r="L140" s="4">
        <f t="shared" si="15"/>
        <v>0.95165153807362579</v>
      </c>
      <c r="M140" s="4"/>
      <c r="N140">
        <v>1.295104</v>
      </c>
      <c r="O140">
        <v>1.2412799999999999</v>
      </c>
      <c r="P140" s="4">
        <f t="shared" si="13"/>
        <v>0.95844040324174729</v>
      </c>
      <c r="R140">
        <v>1.08352</v>
      </c>
      <c r="S140">
        <v>1.0340480000000001</v>
      </c>
      <c r="T140" s="4">
        <f>S140/R140</f>
        <v>0.9543414057885411</v>
      </c>
      <c r="V140">
        <v>1.3948799999999999</v>
      </c>
      <c r="W140">
        <v>1.339072</v>
      </c>
      <c r="X140" s="4">
        <f t="shared" si="14"/>
        <v>0.95999082358339083</v>
      </c>
      <c r="AC140">
        <v>2.4012799999999999</v>
      </c>
      <c r="AD140">
        <v>2.3731840000000002</v>
      </c>
      <c r="AE140" s="4">
        <f t="shared" si="16"/>
        <v>0.9882995735607677</v>
      </c>
      <c r="AG140">
        <v>3.7817599999999998</v>
      </c>
      <c r="AH140">
        <v>3.7831039999999998</v>
      </c>
      <c r="AI140" s="4">
        <f t="shared" si="17"/>
        <v>1.0003553900829243</v>
      </c>
    </row>
    <row r="141" spans="3:35" x14ac:dyDescent="0.25">
      <c r="C141" t="s">
        <v>31</v>
      </c>
      <c r="D141">
        <v>64</v>
      </c>
      <c r="E141">
        <v>128</v>
      </c>
      <c r="F141">
        <f>4096</f>
        <v>4096</v>
      </c>
      <c r="G141">
        <v>28</v>
      </c>
      <c r="H141">
        <v>4</v>
      </c>
      <c r="J141">
        <v>1.926912</v>
      </c>
      <c r="K141">
        <v>1.832128</v>
      </c>
      <c r="L141" s="4">
        <f t="shared" si="15"/>
        <v>0.95081041583632253</v>
      </c>
      <c r="M141" s="4"/>
      <c r="N141">
        <v>2.5462400000000001</v>
      </c>
      <c r="O141">
        <v>2.4376959999999999</v>
      </c>
      <c r="P141" s="4">
        <f t="shared" si="13"/>
        <v>0.95737086841774532</v>
      </c>
      <c r="R141">
        <v>1.99712</v>
      </c>
      <c r="S141">
        <v>1.892096</v>
      </c>
      <c r="T141" s="4">
        <f>S141/R141</f>
        <v>0.94741227367409064</v>
      </c>
      <c r="V141">
        <v>2.7048320000000001</v>
      </c>
      <c r="W141">
        <v>2.5969280000000001</v>
      </c>
      <c r="X141" s="4">
        <f t="shared" si="14"/>
        <v>0.96010694934103114</v>
      </c>
      <c r="AC141">
        <v>4.3025919999999998</v>
      </c>
      <c r="AD141">
        <v>4.3162880000000001</v>
      </c>
      <c r="AE141" s="4">
        <f t="shared" si="16"/>
        <v>1.0031831974772416</v>
      </c>
      <c r="AG141">
        <v>7.4246400000000001</v>
      </c>
      <c r="AH141">
        <v>7.4033920000000002</v>
      </c>
      <c r="AI141" s="4">
        <f t="shared" si="17"/>
        <v>0.99713817774329805</v>
      </c>
    </row>
    <row r="142" spans="3:35" x14ac:dyDescent="0.25">
      <c r="C142" t="s">
        <v>31</v>
      </c>
      <c r="D142">
        <v>1</v>
      </c>
      <c r="E142">
        <v>128</v>
      </c>
      <c r="F142">
        <f>5120</f>
        <v>5120</v>
      </c>
      <c r="G142">
        <v>28</v>
      </c>
      <c r="H142">
        <v>4</v>
      </c>
      <c r="J142">
        <v>0.24876799999999999</v>
      </c>
      <c r="K142">
        <v>0.24876799999999999</v>
      </c>
      <c r="L142" s="4">
        <f t="shared" si="15"/>
        <v>1</v>
      </c>
      <c r="M142" s="4"/>
      <c r="N142">
        <v>0.25529600000000002</v>
      </c>
      <c r="O142">
        <v>0.24396799999999999</v>
      </c>
      <c r="P142" s="4">
        <f t="shared" si="13"/>
        <v>0.95562797693657542</v>
      </c>
      <c r="R142">
        <v>0.236096</v>
      </c>
      <c r="S142">
        <v>0.22675200000000001</v>
      </c>
      <c r="T142" s="4">
        <f>S142/R142</f>
        <v>0.96042287882895094</v>
      </c>
      <c r="V142">
        <v>0.25836799999999999</v>
      </c>
      <c r="W142">
        <v>0.24627199999999999</v>
      </c>
      <c r="X142" s="4">
        <f t="shared" si="14"/>
        <v>0.95318305672529102</v>
      </c>
      <c r="AC142">
        <v>0.56332800000000005</v>
      </c>
      <c r="AD142">
        <v>0.58048</v>
      </c>
      <c r="AE142" s="4">
        <f t="shared" si="16"/>
        <v>1.03044762553965</v>
      </c>
      <c r="AG142">
        <v>0.44236799999999998</v>
      </c>
      <c r="AH142">
        <v>0.43635200000000002</v>
      </c>
      <c r="AI142" s="4">
        <f t="shared" si="17"/>
        <v>0.98640046296296302</v>
      </c>
    </row>
    <row r="143" spans="3:35" x14ac:dyDescent="0.25">
      <c r="C143" t="s">
        <v>31</v>
      </c>
      <c r="D143">
        <v>2</v>
      </c>
      <c r="E143">
        <v>128</v>
      </c>
      <c r="F143">
        <f>5120</f>
        <v>5120</v>
      </c>
      <c r="G143">
        <v>28</v>
      </c>
      <c r="H143">
        <v>4</v>
      </c>
      <c r="J143">
        <v>0.24972800000000001</v>
      </c>
      <c r="K143">
        <v>0.24620800000000001</v>
      </c>
      <c r="L143" s="4">
        <f t="shared" si="15"/>
        <v>0.98590466427473089</v>
      </c>
      <c r="M143" s="4"/>
      <c r="N143">
        <v>0.25606400000000001</v>
      </c>
      <c r="O143">
        <v>0.24454400000000001</v>
      </c>
      <c r="P143" s="4">
        <f t="shared" si="13"/>
        <v>0.95501124718820296</v>
      </c>
      <c r="R143">
        <v>0.26521600000000001</v>
      </c>
      <c r="S143">
        <v>0.25772800000000001</v>
      </c>
      <c r="T143" s="4">
        <f>S143/R143</f>
        <v>0.97176640926640934</v>
      </c>
      <c r="V143">
        <v>0.27110400000000001</v>
      </c>
      <c r="W143">
        <v>0.259712</v>
      </c>
      <c r="X143" s="4">
        <f t="shared" si="14"/>
        <v>0.95797922568460803</v>
      </c>
      <c r="AC143">
        <v>0.57599999999999996</v>
      </c>
      <c r="AD143">
        <v>0.59609599999999996</v>
      </c>
      <c r="AE143" s="4">
        <f t="shared" si="16"/>
        <v>1.034888888888889</v>
      </c>
      <c r="AG143">
        <v>0.58496000000000004</v>
      </c>
      <c r="AH143">
        <v>0.57535999999999998</v>
      </c>
      <c r="AI143" s="4">
        <f t="shared" si="17"/>
        <v>0.98358862144420123</v>
      </c>
    </row>
    <row r="144" spans="3:35" x14ac:dyDescent="0.25">
      <c r="C144" t="s">
        <v>31</v>
      </c>
      <c r="D144">
        <v>4</v>
      </c>
      <c r="E144">
        <v>128</v>
      </c>
      <c r="F144">
        <f>5120</f>
        <v>5120</v>
      </c>
      <c r="G144">
        <v>28</v>
      </c>
      <c r="H144">
        <v>4</v>
      </c>
      <c r="J144">
        <v>0.25075199999999997</v>
      </c>
      <c r="K144">
        <v>0.241728</v>
      </c>
      <c r="L144" s="4">
        <f t="shared" si="15"/>
        <v>0.96401225114854527</v>
      </c>
      <c r="M144" s="4"/>
      <c r="N144">
        <v>0.25696000000000002</v>
      </c>
      <c r="O144">
        <v>0.245952</v>
      </c>
      <c r="P144" s="4">
        <f t="shared" si="13"/>
        <v>0.95716064757160646</v>
      </c>
      <c r="R144">
        <v>0.29427199999999998</v>
      </c>
      <c r="S144">
        <v>0.284416</v>
      </c>
      <c r="T144" s="4">
        <f>S144/R144</f>
        <v>0.96650717703349287</v>
      </c>
      <c r="V144">
        <v>0.28364800000000001</v>
      </c>
      <c r="W144">
        <v>0.27110400000000001</v>
      </c>
      <c r="X144" s="4">
        <f t="shared" si="14"/>
        <v>0.95577617328519859</v>
      </c>
      <c r="AC144">
        <v>0.49952000000000002</v>
      </c>
      <c r="AD144">
        <v>0.50841599999999998</v>
      </c>
      <c r="AE144" s="4">
        <f t="shared" si="16"/>
        <v>1.0178090967328635</v>
      </c>
      <c r="AG144">
        <v>0.67679999999999996</v>
      </c>
      <c r="AH144">
        <v>0.67264000000000002</v>
      </c>
      <c r="AI144" s="4">
        <f t="shared" si="17"/>
        <v>0.99385342789598119</v>
      </c>
    </row>
    <row r="145" spans="3:35" x14ac:dyDescent="0.25">
      <c r="C145" t="s">
        <v>31</v>
      </c>
      <c r="D145">
        <v>8</v>
      </c>
      <c r="E145">
        <v>128</v>
      </c>
      <c r="F145">
        <f>5120</f>
        <v>5120</v>
      </c>
      <c r="G145">
        <v>28</v>
      </c>
      <c r="H145">
        <v>4</v>
      </c>
      <c r="J145">
        <v>0.39110400000000001</v>
      </c>
      <c r="K145">
        <v>0.37657600000000002</v>
      </c>
      <c r="L145" s="4">
        <f t="shared" si="15"/>
        <v>0.96285387007036494</v>
      </c>
      <c r="M145" s="4"/>
      <c r="N145">
        <v>0.44390400000000002</v>
      </c>
      <c r="O145">
        <v>0.42585600000000001</v>
      </c>
      <c r="P145" s="4">
        <f t="shared" si="13"/>
        <v>0.95934256055363321</v>
      </c>
      <c r="R145">
        <v>0.44672000000000001</v>
      </c>
      <c r="S145">
        <v>0.43430400000000002</v>
      </c>
      <c r="T145" s="4">
        <f>S145/R145</f>
        <v>0.97220630372492844</v>
      </c>
      <c r="V145">
        <v>0.485568</v>
      </c>
      <c r="W145">
        <v>0.46828799999999998</v>
      </c>
      <c r="X145" s="4">
        <f t="shared" si="14"/>
        <v>0.96441281138790036</v>
      </c>
      <c r="AC145">
        <v>0.74118399999999995</v>
      </c>
      <c r="AD145">
        <v>0.84774400000000005</v>
      </c>
      <c r="AE145" s="4">
        <f t="shared" si="16"/>
        <v>1.1437699680511184</v>
      </c>
      <c r="AG145">
        <v>1.25024</v>
      </c>
      <c r="AH145">
        <v>1.240896</v>
      </c>
      <c r="AI145" s="4">
        <f t="shared" si="17"/>
        <v>0.99252623496288717</v>
      </c>
    </row>
    <row r="146" spans="3:35" x14ac:dyDescent="0.25">
      <c r="C146" t="s">
        <v>31</v>
      </c>
      <c r="D146">
        <v>16</v>
      </c>
      <c r="E146">
        <v>128</v>
      </c>
      <c r="F146">
        <f>5120</f>
        <v>5120</v>
      </c>
      <c r="G146">
        <v>28</v>
      </c>
      <c r="H146">
        <v>4</v>
      </c>
      <c r="J146">
        <v>0.67609600000000003</v>
      </c>
      <c r="K146">
        <v>0.64684799999999998</v>
      </c>
      <c r="L146" s="4">
        <f t="shared" si="15"/>
        <v>0.956739871260886</v>
      </c>
      <c r="M146" s="4"/>
      <c r="N146">
        <v>0.83667199999999997</v>
      </c>
      <c r="O146">
        <v>0.80390399999999995</v>
      </c>
      <c r="P146" s="4">
        <f t="shared" si="13"/>
        <v>0.96083530941635431</v>
      </c>
      <c r="R146">
        <v>0.73619199999999996</v>
      </c>
      <c r="S146">
        <v>0.70854399999999995</v>
      </c>
      <c r="T146" s="4">
        <f>S146/R146</f>
        <v>0.96244457967486741</v>
      </c>
      <c r="V146">
        <v>0.90156800000000004</v>
      </c>
      <c r="W146">
        <v>0.86598399999999998</v>
      </c>
      <c r="X146" s="4">
        <f t="shared" si="14"/>
        <v>0.96053098601547515</v>
      </c>
      <c r="AC146">
        <v>1.4734080000000001</v>
      </c>
      <c r="AD146">
        <v>1.4927360000000001</v>
      </c>
      <c r="AE146" s="4">
        <f t="shared" si="16"/>
        <v>1.0131178872382938</v>
      </c>
      <c r="AG146">
        <v>2.4092159999999998</v>
      </c>
      <c r="AH146">
        <v>2.3912960000000001</v>
      </c>
      <c r="AI146" s="4">
        <f t="shared" si="17"/>
        <v>0.99256189565402198</v>
      </c>
    </row>
    <row r="147" spans="3:35" x14ac:dyDescent="0.25">
      <c r="C147" t="s">
        <v>31</v>
      </c>
      <c r="D147">
        <v>32</v>
      </c>
      <c r="E147">
        <v>128</v>
      </c>
      <c r="F147">
        <f>5120</f>
        <v>5120</v>
      </c>
      <c r="G147">
        <v>28</v>
      </c>
      <c r="H147">
        <v>4</v>
      </c>
      <c r="J147">
        <v>1.2527360000000001</v>
      </c>
      <c r="K147">
        <v>1.193152</v>
      </c>
      <c r="L147" s="4">
        <f t="shared" si="15"/>
        <v>0.95243690609992837</v>
      </c>
      <c r="M147" s="4"/>
      <c r="N147">
        <v>2.267712</v>
      </c>
      <c r="O147">
        <v>1.555968</v>
      </c>
      <c r="P147" s="4">
        <f t="shared" si="13"/>
        <v>0.68614003894674458</v>
      </c>
      <c r="R147">
        <v>1.33152</v>
      </c>
      <c r="S147">
        <v>1.277504</v>
      </c>
      <c r="T147" s="4">
        <f>S147/R147</f>
        <v>0.95943282864695978</v>
      </c>
      <c r="V147">
        <v>1.72736</v>
      </c>
      <c r="W147">
        <v>1.662336</v>
      </c>
      <c r="X147" s="4">
        <f t="shared" si="14"/>
        <v>0.96235642830678025</v>
      </c>
      <c r="AC147">
        <v>2.7262719999999998</v>
      </c>
      <c r="AD147">
        <v>2.7440639999999998</v>
      </c>
      <c r="AE147" s="4">
        <f t="shared" si="16"/>
        <v>1.0065261279872295</v>
      </c>
      <c r="AG147">
        <v>4.7658880000000003</v>
      </c>
      <c r="AH147">
        <v>4.7538559999999999</v>
      </c>
      <c r="AI147" s="4">
        <f t="shared" si="17"/>
        <v>0.99747539178428013</v>
      </c>
    </row>
    <row r="148" spans="3:35" x14ac:dyDescent="0.25">
      <c r="C148" t="s">
        <v>31</v>
      </c>
      <c r="D148">
        <v>64</v>
      </c>
      <c r="E148">
        <v>128</v>
      </c>
      <c r="F148">
        <f>5120</f>
        <v>5120</v>
      </c>
      <c r="G148">
        <v>28</v>
      </c>
      <c r="H148">
        <v>4</v>
      </c>
      <c r="J148">
        <v>2.3950079999999998</v>
      </c>
      <c r="K148">
        <v>2.2755839999999998</v>
      </c>
      <c r="L148" s="4">
        <f t="shared" si="15"/>
        <v>0.95013628346961676</v>
      </c>
      <c r="M148" s="4"/>
      <c r="N148">
        <v>3.1637119999999999</v>
      </c>
      <c r="O148">
        <v>3.0332159999999999</v>
      </c>
      <c r="P148" s="4">
        <f t="shared" si="13"/>
        <v>0.95875225052090707</v>
      </c>
      <c r="R148">
        <v>2.4642559999999998</v>
      </c>
      <c r="S148">
        <v>2.341952</v>
      </c>
      <c r="T148" s="4">
        <f>S148/R148</f>
        <v>0.95036879285269071</v>
      </c>
      <c r="V148">
        <v>3.3744000000000001</v>
      </c>
      <c r="W148">
        <v>3.2328960000000002</v>
      </c>
      <c r="X148" s="4">
        <f t="shared" si="14"/>
        <v>0.95806543385490761</v>
      </c>
      <c r="AC148">
        <v>5.2840959999999999</v>
      </c>
      <c r="AD148">
        <v>5.3909760000000002</v>
      </c>
      <c r="AE148" s="4">
        <f t="shared" si="16"/>
        <v>1.020226733200911</v>
      </c>
      <c r="AG148">
        <v>9.3416320000000006</v>
      </c>
      <c r="AH148">
        <v>9.3007369999999998</v>
      </c>
      <c r="AI148" s="4">
        <f t="shared" si="17"/>
        <v>0.99562228527092478</v>
      </c>
    </row>
    <row r="149" spans="3:35" x14ac:dyDescent="0.25">
      <c r="C149" t="s">
        <v>31</v>
      </c>
      <c r="D149">
        <v>1</v>
      </c>
      <c r="E149">
        <v>128</v>
      </c>
      <c r="F149">
        <f>6144</f>
        <v>6144</v>
      </c>
      <c r="G149">
        <v>28</v>
      </c>
      <c r="H149">
        <v>4</v>
      </c>
      <c r="J149">
        <v>0.29126400000000002</v>
      </c>
      <c r="K149">
        <v>0.285248</v>
      </c>
      <c r="L149" s="4">
        <f t="shared" si="15"/>
        <v>0.97934519885739391</v>
      </c>
      <c r="M149" s="4"/>
      <c r="N149">
        <v>0.29849599999999998</v>
      </c>
      <c r="O149">
        <v>0.28435199999999999</v>
      </c>
      <c r="P149" s="4">
        <f t="shared" si="13"/>
        <v>0.95261578044596917</v>
      </c>
      <c r="R149">
        <v>0.36812800000000001</v>
      </c>
      <c r="S149">
        <v>0.26566400000000001</v>
      </c>
      <c r="T149" s="4">
        <f>S149/R149</f>
        <v>0.72166203059805289</v>
      </c>
      <c r="V149">
        <v>0.30284800000000001</v>
      </c>
      <c r="W149">
        <v>0.28793600000000003</v>
      </c>
      <c r="X149" s="4">
        <f t="shared" si="14"/>
        <v>0.9507607776838547</v>
      </c>
      <c r="AC149">
        <v>0.67609600000000003</v>
      </c>
      <c r="AD149">
        <v>0.68537599999999999</v>
      </c>
      <c r="AE149" s="4">
        <f t="shared" si="16"/>
        <v>1.0137258614161302</v>
      </c>
      <c r="AG149">
        <v>0.52236800000000005</v>
      </c>
      <c r="AH149">
        <v>0.51232</v>
      </c>
      <c r="AI149" s="4">
        <f t="shared" si="17"/>
        <v>0.9807645185003675</v>
      </c>
    </row>
    <row r="150" spans="3:35" x14ac:dyDescent="0.25">
      <c r="C150" t="s">
        <v>31</v>
      </c>
      <c r="D150">
        <v>2</v>
      </c>
      <c r="E150">
        <v>128</v>
      </c>
      <c r="F150">
        <f>6144</f>
        <v>6144</v>
      </c>
      <c r="G150">
        <v>28</v>
      </c>
      <c r="H150">
        <v>4</v>
      </c>
      <c r="J150">
        <v>0.29619200000000001</v>
      </c>
      <c r="K150">
        <v>0.28473599999999999</v>
      </c>
      <c r="L150" s="4">
        <f t="shared" si="15"/>
        <v>0.96132238547968873</v>
      </c>
      <c r="M150" s="4"/>
      <c r="N150">
        <v>0.299072</v>
      </c>
      <c r="O150">
        <v>0.28511999999999998</v>
      </c>
      <c r="P150" s="4">
        <f t="shared" si="13"/>
        <v>0.95334902632142082</v>
      </c>
      <c r="R150">
        <v>0.31321599999999999</v>
      </c>
      <c r="S150">
        <v>0.30150399999999999</v>
      </c>
      <c r="T150" s="4">
        <f>S150/R150</f>
        <v>0.96260727421332248</v>
      </c>
      <c r="V150">
        <v>0.31609599999999999</v>
      </c>
      <c r="W150">
        <v>0.30329600000000001</v>
      </c>
      <c r="X150" s="4">
        <f t="shared" si="14"/>
        <v>0.95950597286900186</v>
      </c>
      <c r="AC150">
        <v>0.72108799999999995</v>
      </c>
      <c r="AD150">
        <v>0.66380799999999995</v>
      </c>
      <c r="AE150" s="4">
        <f t="shared" si="16"/>
        <v>0.92056448034081828</v>
      </c>
      <c r="AG150">
        <v>0.69184000000000001</v>
      </c>
      <c r="AH150">
        <v>0.68134399999999995</v>
      </c>
      <c r="AI150" s="4">
        <f t="shared" si="17"/>
        <v>0.98482886216466226</v>
      </c>
    </row>
    <row r="151" spans="3:35" x14ac:dyDescent="0.25">
      <c r="C151" t="s">
        <v>31</v>
      </c>
      <c r="D151">
        <v>4</v>
      </c>
      <c r="E151">
        <v>128</v>
      </c>
      <c r="F151">
        <f>6144</f>
        <v>6144</v>
      </c>
      <c r="G151">
        <v>28</v>
      </c>
      <c r="H151">
        <v>4</v>
      </c>
      <c r="J151">
        <v>0.29324800000000001</v>
      </c>
      <c r="K151">
        <v>0.28467199999999998</v>
      </c>
      <c r="L151" s="4">
        <f t="shared" si="15"/>
        <v>0.97075512876473147</v>
      </c>
      <c r="M151" s="4"/>
      <c r="N151">
        <v>0.29926399999999997</v>
      </c>
      <c r="O151">
        <v>0.285248</v>
      </c>
      <c r="P151" s="4">
        <f t="shared" si="13"/>
        <v>0.95316509837467933</v>
      </c>
      <c r="R151">
        <v>0.34771200000000002</v>
      </c>
      <c r="S151">
        <v>0.33804800000000002</v>
      </c>
      <c r="T151" s="4">
        <f>S151/R151</f>
        <v>0.97220688385790532</v>
      </c>
      <c r="V151">
        <v>0.33088000000000001</v>
      </c>
      <c r="W151">
        <v>0.31641599999999998</v>
      </c>
      <c r="X151" s="4">
        <f t="shared" si="14"/>
        <v>0.95628626692456475</v>
      </c>
      <c r="AC151">
        <v>0.681728</v>
      </c>
      <c r="AD151">
        <v>0.669184</v>
      </c>
      <c r="AE151" s="4">
        <f t="shared" si="16"/>
        <v>0.98159969958693205</v>
      </c>
      <c r="AG151">
        <v>0.82079999999999997</v>
      </c>
      <c r="AH151">
        <v>0.81433599999999995</v>
      </c>
      <c r="AI151" s="4">
        <f t="shared" si="17"/>
        <v>0.99212475633528263</v>
      </c>
    </row>
    <row r="152" spans="3:35" x14ac:dyDescent="0.25">
      <c r="C152" t="s">
        <v>31</v>
      </c>
      <c r="D152">
        <v>8</v>
      </c>
      <c r="E152">
        <v>128</v>
      </c>
      <c r="F152">
        <f>6144</f>
        <v>6144</v>
      </c>
      <c r="G152">
        <v>28</v>
      </c>
      <c r="H152">
        <v>4</v>
      </c>
      <c r="J152">
        <v>0.46054400000000001</v>
      </c>
      <c r="K152">
        <v>0.44262400000000002</v>
      </c>
      <c r="L152" s="4">
        <f t="shared" si="15"/>
        <v>0.96108949416342415</v>
      </c>
      <c r="M152" s="4"/>
      <c r="N152">
        <v>0.52428799999999998</v>
      </c>
      <c r="O152">
        <v>0.50342399999999998</v>
      </c>
      <c r="P152" s="4">
        <f t="shared" si="13"/>
        <v>0.960205078125</v>
      </c>
      <c r="R152">
        <v>0.53228799999999998</v>
      </c>
      <c r="S152">
        <v>0.50783999999999996</v>
      </c>
      <c r="T152" s="4">
        <f>S152/R152</f>
        <v>0.95406997715522424</v>
      </c>
      <c r="V152">
        <v>0.57158399999999998</v>
      </c>
      <c r="W152">
        <v>0.55091199999999996</v>
      </c>
      <c r="X152" s="4">
        <f t="shared" si="14"/>
        <v>0.96383383719628257</v>
      </c>
      <c r="AC152">
        <v>0.87942399999999998</v>
      </c>
      <c r="AD152">
        <v>1.0580480000000001</v>
      </c>
      <c r="AE152" s="4">
        <f t="shared" si="16"/>
        <v>1.2031147660286734</v>
      </c>
      <c r="AG152">
        <v>1.4634879999999999</v>
      </c>
      <c r="AH152">
        <v>1.4976640000000001</v>
      </c>
      <c r="AI152" s="4">
        <f t="shared" si="17"/>
        <v>1.0233524292648797</v>
      </c>
    </row>
    <row r="153" spans="3:35" x14ac:dyDescent="0.25">
      <c r="C153" t="s">
        <v>31</v>
      </c>
      <c r="D153">
        <v>16</v>
      </c>
      <c r="E153">
        <v>128</v>
      </c>
      <c r="F153">
        <f>6144</f>
        <v>6144</v>
      </c>
      <c r="G153">
        <v>28</v>
      </c>
      <c r="H153">
        <v>4</v>
      </c>
      <c r="J153">
        <v>0.79987200000000003</v>
      </c>
      <c r="K153">
        <v>0.76940799999999998</v>
      </c>
      <c r="L153" s="4">
        <f t="shared" si="15"/>
        <v>0.96191390622499595</v>
      </c>
      <c r="M153" s="4"/>
      <c r="N153">
        <v>0.996224</v>
      </c>
      <c r="O153">
        <v>0.95455999999999996</v>
      </c>
      <c r="P153" s="4">
        <f t="shared" si="13"/>
        <v>0.95817808043171016</v>
      </c>
      <c r="R153">
        <v>0.91046400000000005</v>
      </c>
      <c r="S153">
        <v>0.86188799999999999</v>
      </c>
      <c r="T153" s="4">
        <f>S153/R153</f>
        <v>0.94664698439477002</v>
      </c>
      <c r="V153">
        <v>1.074624</v>
      </c>
      <c r="W153">
        <v>1.0322560000000001</v>
      </c>
      <c r="X153" s="4">
        <f t="shared" si="14"/>
        <v>0.96057411708653451</v>
      </c>
      <c r="AC153">
        <v>1.8362240000000001</v>
      </c>
      <c r="AD153">
        <v>1.847296</v>
      </c>
      <c r="AE153" s="4">
        <f t="shared" si="16"/>
        <v>1.0060297654316686</v>
      </c>
      <c r="AG153">
        <v>2.864128</v>
      </c>
      <c r="AH153">
        <v>2.8640639999999999</v>
      </c>
      <c r="AI153" s="4">
        <f t="shared" si="17"/>
        <v>0.99997765462996069</v>
      </c>
    </row>
    <row r="154" spans="3:35" x14ac:dyDescent="0.25">
      <c r="C154" t="s">
        <v>31</v>
      </c>
      <c r="D154">
        <v>32</v>
      </c>
      <c r="E154">
        <v>128</v>
      </c>
      <c r="F154">
        <f>6144</f>
        <v>6144</v>
      </c>
      <c r="G154">
        <v>28</v>
      </c>
      <c r="H154">
        <v>4</v>
      </c>
      <c r="J154">
        <v>1.4926079999999999</v>
      </c>
      <c r="K154">
        <v>1.415808</v>
      </c>
      <c r="L154" s="4">
        <f t="shared" si="15"/>
        <v>0.94854643684075124</v>
      </c>
      <c r="M154" s="4"/>
      <c r="N154">
        <v>1.9093119999999999</v>
      </c>
      <c r="O154">
        <v>1.834176</v>
      </c>
      <c r="P154" s="4">
        <f t="shared" si="13"/>
        <v>0.9606476050011733</v>
      </c>
      <c r="R154">
        <v>1.5844480000000001</v>
      </c>
      <c r="S154">
        <v>1.503552</v>
      </c>
      <c r="T154" s="4">
        <f>S154/R154</f>
        <v>0.94894373308559188</v>
      </c>
      <c r="V154">
        <v>2.0625279999999999</v>
      </c>
      <c r="W154">
        <v>1.98048</v>
      </c>
      <c r="X154" s="4">
        <f t="shared" si="14"/>
        <v>0.96021969156297515</v>
      </c>
      <c r="AC154">
        <v>3.512</v>
      </c>
      <c r="AD154">
        <v>3.5614080000000001</v>
      </c>
      <c r="AE154" s="4">
        <f t="shared" si="16"/>
        <v>1.0140683371298407</v>
      </c>
      <c r="AG154">
        <v>5.7214720000000003</v>
      </c>
      <c r="AH154">
        <v>5.6914559999999996</v>
      </c>
      <c r="AI154" s="4">
        <f t="shared" si="17"/>
        <v>0.99475379762410776</v>
      </c>
    </row>
    <row r="155" spans="3:35" x14ac:dyDescent="0.25">
      <c r="C155" t="s">
        <v>31</v>
      </c>
      <c r="D155">
        <v>64</v>
      </c>
      <c r="E155">
        <v>128</v>
      </c>
      <c r="F155">
        <f>6144</f>
        <v>6144</v>
      </c>
      <c r="G155">
        <v>28</v>
      </c>
      <c r="H155">
        <v>4</v>
      </c>
      <c r="J155">
        <v>2.8542079999999999</v>
      </c>
      <c r="K155">
        <v>2.706496</v>
      </c>
      <c r="L155" s="4">
        <f t="shared" si="15"/>
        <v>0.94824763997578321</v>
      </c>
      <c r="M155" s="4"/>
      <c r="N155">
        <v>3.7896320000000001</v>
      </c>
      <c r="O155">
        <v>3.6304639999999999</v>
      </c>
      <c r="P155" s="4">
        <f>O155/N155</f>
        <v>0.95799908803809974</v>
      </c>
      <c r="R155">
        <v>2.9340160000000002</v>
      </c>
      <c r="S155">
        <v>2.7898879999999999</v>
      </c>
      <c r="T155" s="4">
        <f>S155/R155</f>
        <v>0.9508768868336096</v>
      </c>
      <c r="V155">
        <v>4.054144</v>
      </c>
      <c r="W155">
        <v>3.8678400000000002</v>
      </c>
      <c r="X155" s="4">
        <f t="shared" si="14"/>
        <v>0.9540460328986835</v>
      </c>
      <c r="AC155">
        <v>6.3688320000000003</v>
      </c>
      <c r="AD155">
        <v>6.370368</v>
      </c>
      <c r="AE155" s="4">
        <f t="shared" si="16"/>
        <v>1.000241174519912</v>
      </c>
      <c r="AG155">
        <v>11.237311999999999</v>
      </c>
      <c r="AH155">
        <v>11.159424</v>
      </c>
      <c r="AI155" s="4">
        <f t="shared" si="17"/>
        <v>0.99306880506654971</v>
      </c>
    </row>
    <row r="156" spans="3:35" x14ac:dyDescent="0.25">
      <c r="C156" t="s">
        <v>31</v>
      </c>
      <c r="D156">
        <v>1</v>
      </c>
      <c r="E156">
        <v>128</v>
      </c>
      <c r="F156">
        <f>7168</f>
        <v>7168</v>
      </c>
      <c r="G156">
        <v>28</v>
      </c>
      <c r="H156">
        <v>4</v>
      </c>
      <c r="J156">
        <v>0.337536</v>
      </c>
      <c r="K156">
        <v>0.32947199999999999</v>
      </c>
      <c r="L156" s="4">
        <f t="shared" si="15"/>
        <v>0.97610921501706482</v>
      </c>
      <c r="M156" s="4"/>
      <c r="N156">
        <v>0.34144000000000002</v>
      </c>
      <c r="O156">
        <v>0.32544000000000001</v>
      </c>
      <c r="P156" s="4">
        <f>O156/N156</f>
        <v>0.95313964386129335</v>
      </c>
      <c r="R156">
        <v>0.313664</v>
      </c>
      <c r="S156">
        <v>0.30208000000000002</v>
      </c>
      <c r="T156" s="4">
        <f>S156/R156</f>
        <v>0.96306876147724962</v>
      </c>
      <c r="V156">
        <v>0.34655999999999998</v>
      </c>
      <c r="W156">
        <v>0.32947199999999999</v>
      </c>
      <c r="X156" s="4">
        <f t="shared" si="14"/>
        <v>0.95069252077562327</v>
      </c>
      <c r="AC156">
        <v>0.77107199999999998</v>
      </c>
      <c r="AD156">
        <v>0.778304</v>
      </c>
      <c r="AE156" s="4">
        <f t="shared" si="16"/>
        <v>1.0093791500664011</v>
      </c>
      <c r="AG156">
        <v>0.59782400000000002</v>
      </c>
      <c r="AH156">
        <v>0.58745599999999998</v>
      </c>
      <c r="AI156" s="4">
        <f t="shared" si="17"/>
        <v>0.9826571030938871</v>
      </c>
    </row>
    <row r="157" spans="3:35" x14ac:dyDescent="0.25">
      <c r="C157" t="s">
        <v>31</v>
      </c>
      <c r="D157">
        <v>2</v>
      </c>
      <c r="E157">
        <v>128</v>
      </c>
      <c r="F157">
        <f>7168</f>
        <v>7168</v>
      </c>
      <c r="G157">
        <v>28</v>
      </c>
      <c r="H157">
        <v>4</v>
      </c>
      <c r="J157">
        <v>0.34079999999999999</v>
      </c>
      <c r="K157">
        <v>0.33184000000000002</v>
      </c>
      <c r="L157" s="4">
        <f t="shared" si="15"/>
        <v>0.97370892018779354</v>
      </c>
      <c r="M157" s="4"/>
      <c r="N157">
        <v>0.34150399999999997</v>
      </c>
      <c r="O157">
        <v>0.32588800000000001</v>
      </c>
      <c r="P157" s="4">
        <f>O157/N157</f>
        <v>0.95427286356821595</v>
      </c>
      <c r="R157">
        <v>0.35513600000000001</v>
      </c>
      <c r="S157">
        <v>0.34560000000000002</v>
      </c>
      <c r="T157" s="4">
        <f>S157/R157</f>
        <v>0.97314831501171384</v>
      </c>
      <c r="V157">
        <v>0.36422399999999999</v>
      </c>
      <c r="W157">
        <v>0.34764800000000001</v>
      </c>
      <c r="X157" s="4">
        <f t="shared" si="14"/>
        <v>0.95448954489544902</v>
      </c>
      <c r="AC157">
        <v>0.77017599999999997</v>
      </c>
      <c r="AD157">
        <v>0.82092799999999999</v>
      </c>
      <c r="AE157" s="4">
        <f t="shared" si="16"/>
        <v>1.0658966262256939</v>
      </c>
      <c r="AG157">
        <v>0.80211200000000005</v>
      </c>
      <c r="AH157">
        <v>0.79052800000000001</v>
      </c>
      <c r="AI157" s="4">
        <f t="shared" si="17"/>
        <v>0.98555812654591868</v>
      </c>
    </row>
    <row r="158" spans="3:35" x14ac:dyDescent="0.25">
      <c r="C158" t="s">
        <v>31</v>
      </c>
      <c r="D158">
        <v>4</v>
      </c>
      <c r="E158">
        <v>128</v>
      </c>
      <c r="F158">
        <f>7168</f>
        <v>7168</v>
      </c>
      <c r="G158">
        <v>28</v>
      </c>
      <c r="H158">
        <v>4</v>
      </c>
      <c r="J158">
        <v>0.33516800000000002</v>
      </c>
      <c r="K158">
        <v>0.32057600000000003</v>
      </c>
      <c r="L158" s="4">
        <f t="shared" si="15"/>
        <v>0.95646362421233533</v>
      </c>
      <c r="M158" s="4"/>
      <c r="N158">
        <v>0.34028799999999998</v>
      </c>
      <c r="O158">
        <v>0.326656</v>
      </c>
      <c r="P158" s="4">
        <f>O158/N158</f>
        <v>0.95993981568553699</v>
      </c>
      <c r="R158">
        <v>0.393152</v>
      </c>
      <c r="S158">
        <v>0.38316800000000001</v>
      </c>
      <c r="T158" s="4">
        <f>S158/R158</f>
        <v>0.97460524173856422</v>
      </c>
      <c r="V158">
        <v>0.37593599999999999</v>
      </c>
      <c r="W158">
        <v>0.36025600000000002</v>
      </c>
      <c r="X158" s="4">
        <f t="shared" si="14"/>
        <v>0.95829077289751452</v>
      </c>
      <c r="AC158">
        <v>0.78649599999999997</v>
      </c>
      <c r="AD158">
        <v>0.69945599999999997</v>
      </c>
      <c r="AE158" s="4">
        <f t="shared" si="16"/>
        <v>0.88933192285784035</v>
      </c>
      <c r="AG158">
        <v>0.95366399999999996</v>
      </c>
      <c r="AH158">
        <v>0.93785600000000002</v>
      </c>
      <c r="AI158" s="4">
        <f t="shared" si="17"/>
        <v>0.98342393127977989</v>
      </c>
    </row>
    <row r="159" spans="3:35" x14ac:dyDescent="0.25">
      <c r="C159" t="s">
        <v>31</v>
      </c>
      <c r="D159">
        <v>8</v>
      </c>
      <c r="E159">
        <v>128</v>
      </c>
      <c r="F159">
        <f>7168</f>
        <v>7168</v>
      </c>
      <c r="G159">
        <v>28</v>
      </c>
      <c r="H159">
        <v>4</v>
      </c>
      <c r="J159">
        <v>0.53465600000000002</v>
      </c>
      <c r="K159">
        <v>0.51353599999999999</v>
      </c>
      <c r="L159" s="4">
        <f t="shared" si="15"/>
        <v>0.96049796504668417</v>
      </c>
      <c r="M159" s="4"/>
      <c r="N159">
        <v>0.60640000000000005</v>
      </c>
      <c r="O159">
        <v>0.58220799999999995</v>
      </c>
      <c r="P159" s="4">
        <f>O159/N159</f>
        <v>0.96010554089709743</v>
      </c>
      <c r="R159">
        <v>0.61420799999999998</v>
      </c>
      <c r="S159">
        <v>0.59673600000000004</v>
      </c>
      <c r="T159" s="4">
        <f>S159/R159</f>
        <v>0.97155361050328237</v>
      </c>
      <c r="V159">
        <v>0.66220800000000002</v>
      </c>
      <c r="W159">
        <v>0.638656</v>
      </c>
      <c r="X159" s="4">
        <f t="shared" si="14"/>
        <v>0.964434135498212</v>
      </c>
      <c r="AC159">
        <v>1.17344</v>
      </c>
      <c r="AD159">
        <v>1.166336</v>
      </c>
      <c r="AE159" s="4">
        <f t="shared" si="16"/>
        <v>0.99394600490864471</v>
      </c>
      <c r="AG159">
        <v>1.710016</v>
      </c>
      <c r="AH159">
        <v>1.708928</v>
      </c>
      <c r="AI159" s="4">
        <f t="shared" si="17"/>
        <v>0.99936374864328759</v>
      </c>
    </row>
    <row r="160" spans="3:35" x14ac:dyDescent="0.25">
      <c r="C160" t="s">
        <v>31</v>
      </c>
      <c r="D160">
        <v>16</v>
      </c>
      <c r="E160">
        <v>128</v>
      </c>
      <c r="F160">
        <f>7168</f>
        <v>7168</v>
      </c>
      <c r="G160">
        <v>28</v>
      </c>
      <c r="H160">
        <v>4</v>
      </c>
      <c r="J160">
        <v>0.92729600000000001</v>
      </c>
      <c r="K160">
        <v>0.88556800000000002</v>
      </c>
      <c r="L160" s="4">
        <f t="shared" si="15"/>
        <v>0.95500034508937814</v>
      </c>
      <c r="M160" s="4"/>
      <c r="N160">
        <v>1.1523840000000001</v>
      </c>
      <c r="O160">
        <v>1.1051519999999999</v>
      </c>
      <c r="P160" s="4">
        <f>O160/N160</f>
        <v>0.95901366211262895</v>
      </c>
      <c r="R160">
        <v>1.0185599999999999</v>
      </c>
      <c r="S160">
        <v>0.97107200000000005</v>
      </c>
      <c r="T160" s="4">
        <f>S160/R160</f>
        <v>0.95337731699654427</v>
      </c>
      <c r="V160">
        <v>1.2419199999999999</v>
      </c>
      <c r="W160">
        <v>1.1926399999999999</v>
      </c>
      <c r="X160" s="4">
        <f t="shared" si="14"/>
        <v>0.96031950528214383</v>
      </c>
      <c r="AC160">
        <v>1.9564159999999999</v>
      </c>
      <c r="AD160">
        <v>1.9322239999999999</v>
      </c>
      <c r="AE160" s="4">
        <f t="shared" si="16"/>
        <v>0.98763453171513627</v>
      </c>
      <c r="AG160">
        <v>3.3580160000000001</v>
      </c>
      <c r="AH160">
        <v>3.3502719999999999</v>
      </c>
      <c r="AI160" s="4">
        <f t="shared" si="17"/>
        <v>0.99769387638415064</v>
      </c>
    </row>
    <row r="161" spans="3:35" x14ac:dyDescent="0.25">
      <c r="C161" t="s">
        <v>31</v>
      </c>
      <c r="D161">
        <v>32</v>
      </c>
      <c r="E161">
        <v>128</v>
      </c>
      <c r="F161">
        <f>7168</f>
        <v>7168</v>
      </c>
      <c r="G161">
        <v>28</v>
      </c>
      <c r="H161">
        <v>4</v>
      </c>
      <c r="J161">
        <v>1.728704</v>
      </c>
      <c r="K161">
        <v>1.6415360000000001</v>
      </c>
      <c r="L161" s="4">
        <f t="shared" si="15"/>
        <v>0.94957609862648551</v>
      </c>
      <c r="M161" s="4"/>
      <c r="N161">
        <v>2.2511999999999999</v>
      </c>
      <c r="O161">
        <v>2.1546880000000002</v>
      </c>
      <c r="P161" s="4">
        <f>O161/N161</f>
        <v>0.95712864250177698</v>
      </c>
      <c r="R161">
        <v>1.831232</v>
      </c>
      <c r="S161">
        <v>1.7527680000000001</v>
      </c>
      <c r="T161" s="4">
        <f>S161/R161</f>
        <v>0.95715234334043975</v>
      </c>
      <c r="V161">
        <v>2.4051200000000001</v>
      </c>
      <c r="W161">
        <v>2.3040639999999999</v>
      </c>
      <c r="X161" s="4">
        <f t="shared" si="14"/>
        <v>0.95798296966471519</v>
      </c>
      <c r="AC161">
        <v>3.7498239999999998</v>
      </c>
      <c r="AD161">
        <v>3.7339519999999999</v>
      </c>
      <c r="AE161" s="4">
        <f t="shared" si="16"/>
        <v>0.99576726801044535</v>
      </c>
      <c r="AG161">
        <v>6.6970239999999999</v>
      </c>
      <c r="AH161">
        <v>6.6811509999999998</v>
      </c>
      <c r="AI161" s="4">
        <f t="shared" si="17"/>
        <v>0.99762984274806243</v>
      </c>
    </row>
    <row r="162" spans="3:35" x14ac:dyDescent="0.25">
      <c r="C162" t="s">
        <v>31</v>
      </c>
      <c r="D162">
        <v>64</v>
      </c>
      <c r="E162">
        <v>128</v>
      </c>
      <c r="F162">
        <f>7168</f>
        <v>7168</v>
      </c>
      <c r="G162">
        <v>28</v>
      </c>
      <c r="H162">
        <v>4</v>
      </c>
      <c r="J162">
        <v>3.3136640000000002</v>
      </c>
      <c r="K162">
        <v>3.1485439999999998</v>
      </c>
      <c r="L162" s="4">
        <f t="shared" si="15"/>
        <v>0.95016996291718159</v>
      </c>
      <c r="M162" s="4"/>
      <c r="N162">
        <v>4.4078080000000002</v>
      </c>
      <c r="O162">
        <v>4.2290559999999999</v>
      </c>
      <c r="P162" s="4">
        <f>O162/N162</f>
        <v>0.95944650946683696</v>
      </c>
      <c r="R162">
        <v>3.422784</v>
      </c>
      <c r="S162">
        <v>3.246016</v>
      </c>
      <c r="T162" s="4">
        <f>S162/R162</f>
        <v>0.94835549073502734</v>
      </c>
      <c r="V162">
        <v>4.6757759999999999</v>
      </c>
      <c r="W162">
        <v>4.4903040000000001</v>
      </c>
      <c r="X162" s="4">
        <f t="shared" si="14"/>
        <v>0.96033342914630648</v>
      </c>
      <c r="AC162">
        <v>7.2837750000000003</v>
      </c>
      <c r="AD162">
        <v>7.3761279999999996</v>
      </c>
      <c r="AE162" s="4">
        <f t="shared" si="16"/>
        <v>1.0126792768859554</v>
      </c>
      <c r="AG162">
        <v>13.216191</v>
      </c>
      <c r="AH162">
        <v>13.097025</v>
      </c>
      <c r="AI162" s="4">
        <f t="shared" si="17"/>
        <v>0.99098333248967119</v>
      </c>
    </row>
    <row r="163" spans="3:35" x14ac:dyDescent="0.25">
      <c r="C163" t="s">
        <v>31</v>
      </c>
      <c r="D163">
        <v>1</v>
      </c>
      <c r="E163">
        <v>128</v>
      </c>
      <c r="F163">
        <f>8192</f>
        <v>8192</v>
      </c>
      <c r="G163">
        <v>28</v>
      </c>
      <c r="H163">
        <v>4</v>
      </c>
      <c r="J163">
        <v>0.37254399999999999</v>
      </c>
      <c r="K163">
        <v>0.36505599999999999</v>
      </c>
      <c r="L163" s="4">
        <f t="shared" si="15"/>
        <v>0.97990036076275555</v>
      </c>
      <c r="M163" s="4"/>
      <c r="N163">
        <v>0.38368000000000002</v>
      </c>
      <c r="O163">
        <v>0.36697600000000002</v>
      </c>
      <c r="P163" s="4">
        <f>O163/N163</f>
        <v>0.95646371976647204</v>
      </c>
      <c r="R163">
        <v>0.353408</v>
      </c>
      <c r="S163">
        <v>0.33977600000000002</v>
      </c>
      <c r="T163" s="4">
        <f>S163/R163</f>
        <v>0.96142701919594353</v>
      </c>
      <c r="V163">
        <v>0.389376</v>
      </c>
      <c r="W163">
        <v>0.37043199999999998</v>
      </c>
      <c r="X163" s="4">
        <f t="shared" si="14"/>
        <v>0.95134779750164367</v>
      </c>
      <c r="AC163">
        <v>0.88940799999999998</v>
      </c>
      <c r="AD163">
        <v>0.89676800000000001</v>
      </c>
      <c r="AE163" s="4">
        <f t="shared" si="16"/>
        <v>1.0082751673022956</v>
      </c>
      <c r="AG163">
        <v>0.677504</v>
      </c>
      <c r="AH163">
        <v>0.66291199999999995</v>
      </c>
      <c r="AI163" s="4">
        <f t="shared" si="17"/>
        <v>0.97846211978084252</v>
      </c>
    </row>
    <row r="164" spans="3:35" x14ac:dyDescent="0.25">
      <c r="C164" t="s">
        <v>31</v>
      </c>
      <c r="D164">
        <v>2</v>
      </c>
      <c r="E164">
        <v>128</v>
      </c>
      <c r="F164">
        <f>8192</f>
        <v>8192</v>
      </c>
      <c r="G164">
        <v>28</v>
      </c>
      <c r="H164">
        <v>4</v>
      </c>
      <c r="J164">
        <v>0.37593599999999999</v>
      </c>
      <c r="K164">
        <v>0.37036799999999998</v>
      </c>
      <c r="L164" s="4">
        <f t="shared" si="15"/>
        <v>0.98518896833503566</v>
      </c>
      <c r="M164" s="4"/>
      <c r="N164">
        <v>0.386432</v>
      </c>
      <c r="O164">
        <v>0.36703999999999998</v>
      </c>
      <c r="P164" s="4">
        <f>O164/N164</f>
        <v>0.94981782047035435</v>
      </c>
      <c r="R164">
        <v>0.40012799999999998</v>
      </c>
      <c r="S164">
        <v>0.38796799999999998</v>
      </c>
      <c r="T164" s="4">
        <f>S164/R164</f>
        <v>0.96960972488803576</v>
      </c>
      <c r="V164">
        <v>0.40870400000000001</v>
      </c>
      <c r="W164">
        <v>0.39072000000000001</v>
      </c>
      <c r="X164" s="4">
        <f t="shared" si="14"/>
        <v>0.95599749451926086</v>
      </c>
      <c r="AC164">
        <v>0.87046400000000002</v>
      </c>
      <c r="AD164">
        <v>0.92057599999999995</v>
      </c>
      <c r="AE164" s="4">
        <f t="shared" si="16"/>
        <v>1.0575692963752665</v>
      </c>
      <c r="AG164">
        <v>0.905088</v>
      </c>
      <c r="AH164">
        <v>0.89478400000000002</v>
      </c>
      <c r="AI164" s="4">
        <f t="shared" si="17"/>
        <v>0.98861547164474617</v>
      </c>
    </row>
    <row r="165" spans="3:35" x14ac:dyDescent="0.25">
      <c r="C165" t="s">
        <v>31</v>
      </c>
      <c r="D165">
        <v>4</v>
      </c>
      <c r="E165">
        <v>128</v>
      </c>
      <c r="F165">
        <f>8192</f>
        <v>8192</v>
      </c>
      <c r="G165">
        <v>28</v>
      </c>
      <c r="H165">
        <v>4</v>
      </c>
      <c r="J165">
        <v>0.37631999999999999</v>
      </c>
      <c r="K165">
        <v>0.35980800000000002</v>
      </c>
      <c r="L165" s="4">
        <f t="shared" si="15"/>
        <v>0.95612244897959187</v>
      </c>
      <c r="M165" s="4"/>
      <c r="N165">
        <v>0.38457599999999997</v>
      </c>
      <c r="O165">
        <v>0.36659199999999997</v>
      </c>
      <c r="P165" s="4">
        <f>O165/N165</f>
        <v>0.95323681144949246</v>
      </c>
      <c r="R165">
        <v>0.45062400000000002</v>
      </c>
      <c r="S165">
        <v>0.437504</v>
      </c>
      <c r="T165" s="4">
        <f>S165/R165</f>
        <v>0.97088481749751454</v>
      </c>
      <c r="V165">
        <v>0.42438399999999998</v>
      </c>
      <c r="W165">
        <v>0.40659200000000001</v>
      </c>
      <c r="X165" s="4">
        <f t="shared" si="14"/>
        <v>0.95807570502186701</v>
      </c>
      <c r="AC165">
        <v>0.84185600000000005</v>
      </c>
      <c r="AD165">
        <v>0.89580800000000005</v>
      </c>
      <c r="AE165" s="4">
        <f t="shared" si="16"/>
        <v>1.064086969743044</v>
      </c>
      <c r="AG165">
        <v>1.083968</v>
      </c>
      <c r="AH165">
        <v>1.0791679999999999</v>
      </c>
      <c r="AI165" s="4">
        <f t="shared" si="17"/>
        <v>0.99557182499852381</v>
      </c>
    </row>
    <row r="166" spans="3:35" x14ac:dyDescent="0.25">
      <c r="C166" t="s">
        <v>31</v>
      </c>
      <c r="D166">
        <v>8</v>
      </c>
      <c r="E166">
        <v>128</v>
      </c>
      <c r="F166">
        <f>8192</f>
        <v>8192</v>
      </c>
      <c r="G166">
        <v>28</v>
      </c>
      <c r="H166">
        <v>4</v>
      </c>
      <c r="J166">
        <v>0.59660800000000003</v>
      </c>
      <c r="K166">
        <v>0.57363200000000003</v>
      </c>
      <c r="L166" s="4">
        <f t="shared" si="15"/>
        <v>0.96148895086891228</v>
      </c>
      <c r="M166" s="4"/>
      <c r="N166">
        <v>0.68223999999999996</v>
      </c>
      <c r="O166">
        <v>0.65433600000000003</v>
      </c>
      <c r="P166" s="4">
        <f>O166/N166</f>
        <v>0.95909943714821777</v>
      </c>
      <c r="R166">
        <v>0.70496000000000003</v>
      </c>
      <c r="S166">
        <v>0.67987200000000003</v>
      </c>
      <c r="T166" s="4">
        <f>S166/R166</f>
        <v>0.9644121652292329</v>
      </c>
      <c r="V166">
        <v>0.74956800000000001</v>
      </c>
      <c r="W166">
        <v>0.723584</v>
      </c>
      <c r="X166" s="4">
        <f t="shared" si="14"/>
        <v>0.96533469945355188</v>
      </c>
      <c r="AC166">
        <v>1.168768</v>
      </c>
      <c r="AD166">
        <v>1.4190719999999999</v>
      </c>
      <c r="AE166" s="4">
        <f t="shared" si="16"/>
        <v>1.2141605519658305</v>
      </c>
      <c r="AG166">
        <v>1.938688</v>
      </c>
      <c r="AH166">
        <v>1.955776</v>
      </c>
      <c r="AI166" s="4">
        <f t="shared" si="17"/>
        <v>1.0088142083718474</v>
      </c>
    </row>
    <row r="167" spans="3:35" x14ac:dyDescent="0.25">
      <c r="C167" t="s">
        <v>31</v>
      </c>
      <c r="D167">
        <v>16</v>
      </c>
      <c r="E167">
        <v>128</v>
      </c>
      <c r="F167">
        <f>8192</f>
        <v>8192</v>
      </c>
      <c r="G167">
        <v>28</v>
      </c>
      <c r="H167">
        <v>4</v>
      </c>
      <c r="J167">
        <v>1.0511360000000001</v>
      </c>
      <c r="K167">
        <v>1.0060800000000001</v>
      </c>
      <c r="L167" s="4">
        <f t="shared" si="15"/>
        <v>0.95713589868485149</v>
      </c>
      <c r="M167" s="4"/>
      <c r="N167">
        <v>1.2945279999999999</v>
      </c>
      <c r="O167">
        <v>1.2423040000000001</v>
      </c>
      <c r="P167" s="4">
        <f>O167/N167</f>
        <v>0.95965788302763644</v>
      </c>
      <c r="R167">
        <v>1.1702399999999999</v>
      </c>
      <c r="S167">
        <v>1.1267199999999999</v>
      </c>
      <c r="T167" s="4">
        <f>S167/R167</f>
        <v>0.96281104730653544</v>
      </c>
      <c r="V167">
        <v>1.410496</v>
      </c>
      <c r="W167">
        <v>1.354816</v>
      </c>
      <c r="X167" s="4">
        <f t="shared" si="14"/>
        <v>0.96052452470620264</v>
      </c>
      <c r="AC167">
        <v>2.333504</v>
      </c>
      <c r="AD167">
        <v>2.4904320000000002</v>
      </c>
      <c r="AE167" s="4">
        <f t="shared" si="16"/>
        <v>1.0672499382902281</v>
      </c>
      <c r="AG167">
        <v>3.8407680000000002</v>
      </c>
      <c r="AH167">
        <v>3.8088959999999998</v>
      </c>
      <c r="AI167" s="4">
        <f t="shared" si="17"/>
        <v>0.99170165966806634</v>
      </c>
    </row>
    <row r="168" spans="3:35" x14ac:dyDescent="0.25">
      <c r="C168" t="s">
        <v>31</v>
      </c>
      <c r="D168">
        <v>32</v>
      </c>
      <c r="E168">
        <v>128</v>
      </c>
      <c r="F168">
        <f>8192</f>
        <v>8192</v>
      </c>
      <c r="G168">
        <v>28</v>
      </c>
      <c r="H168">
        <v>4</v>
      </c>
      <c r="J168">
        <v>1.986688</v>
      </c>
      <c r="K168">
        <v>1.8727039999999999</v>
      </c>
      <c r="L168" s="4">
        <f t="shared" si="15"/>
        <v>0.94262611945106622</v>
      </c>
      <c r="M168" s="4"/>
      <c r="N168">
        <v>2.5375999999999999</v>
      </c>
      <c r="O168">
        <v>2.4281600000000001</v>
      </c>
      <c r="P168" s="4">
        <f>O168/N168</f>
        <v>0.9568726355611602</v>
      </c>
      <c r="R168">
        <v>2.086144</v>
      </c>
      <c r="S168">
        <v>1.990912</v>
      </c>
      <c r="T168" s="4">
        <f>S168/R168</f>
        <v>0.95435022702172045</v>
      </c>
      <c r="V168">
        <v>2.724736</v>
      </c>
      <c r="W168">
        <v>2.6134400000000002</v>
      </c>
      <c r="X168" s="4">
        <f t="shared" si="14"/>
        <v>0.95915347395123796</v>
      </c>
      <c r="AC168">
        <v>4.6256000000000004</v>
      </c>
      <c r="AD168">
        <v>4.6594559999999996</v>
      </c>
      <c r="AE168" s="4">
        <f t="shared" si="16"/>
        <v>1.0073192666897266</v>
      </c>
      <c r="AG168">
        <v>7.6189439999999999</v>
      </c>
      <c r="AH168">
        <v>7.6110720000000001</v>
      </c>
      <c r="AI168" s="4">
        <f t="shared" si="17"/>
        <v>0.99896678594828892</v>
      </c>
    </row>
    <row r="169" spans="3:35" x14ac:dyDescent="0.25">
      <c r="C169" t="s">
        <v>31</v>
      </c>
      <c r="D169">
        <v>64</v>
      </c>
      <c r="E169">
        <v>128</v>
      </c>
      <c r="F169">
        <f>8192</f>
        <v>8192</v>
      </c>
      <c r="G169">
        <v>28</v>
      </c>
      <c r="H169">
        <v>4</v>
      </c>
      <c r="J169">
        <v>3.775744</v>
      </c>
      <c r="K169">
        <v>3.5908479999999998</v>
      </c>
      <c r="L169" s="4">
        <f t="shared" si="15"/>
        <v>0.9510305783442945</v>
      </c>
      <c r="M169" s="4"/>
      <c r="N169">
        <v>5.0333439999999996</v>
      </c>
      <c r="O169">
        <v>4.8262400000000003</v>
      </c>
      <c r="P169" s="4">
        <f>O169/N169</f>
        <v>0.95885359713144991</v>
      </c>
      <c r="R169">
        <v>3.884544</v>
      </c>
      <c r="S169">
        <v>3.6977280000000001</v>
      </c>
      <c r="T169" s="4">
        <f>S169/R169</f>
        <v>0.95190786872281541</v>
      </c>
      <c r="V169">
        <v>5.3301759999999998</v>
      </c>
      <c r="W169">
        <v>5.1118079999999999</v>
      </c>
      <c r="X169" s="4">
        <f t="shared" si="14"/>
        <v>0.95903174679410208</v>
      </c>
      <c r="AC169">
        <v>8.4709120000000002</v>
      </c>
      <c r="AD169">
        <v>8.3546239999999994</v>
      </c>
      <c r="AE169" s="4">
        <f t="shared" si="16"/>
        <v>0.98627208026715418</v>
      </c>
      <c r="AG169">
        <v>15.097217000000001</v>
      </c>
      <c r="AH169">
        <v>14.990781999999999</v>
      </c>
      <c r="AI169" s="4">
        <f t="shared" si="17"/>
        <v>0.9929500251602662</v>
      </c>
    </row>
    <row r="170" spans="3:35" x14ac:dyDescent="0.25">
      <c r="L170" s="4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I673"/>
  <sheetViews>
    <sheetView topLeftCell="F1" workbookViewId="0">
      <selection activeCell="AH2" sqref="AH2:AH169"/>
    </sheetView>
  </sheetViews>
  <sheetFormatPr defaultRowHeight="13.8" x14ac:dyDescent="0.25"/>
  <cols>
    <col min="1" max="1" width="9.5546875" customWidth="1"/>
    <col min="3" max="3" width="12.21875" bestFit="1" customWidth="1"/>
    <col min="4" max="4" width="10.21875" bestFit="1" customWidth="1"/>
    <col min="12" max="12" width="12.21875" bestFit="1" customWidth="1"/>
    <col min="13" max="13" width="12.21875" customWidth="1"/>
  </cols>
  <sheetData>
    <row r="1" spans="3:35" x14ac:dyDescent="0.25">
      <c r="D1" t="s">
        <v>0</v>
      </c>
      <c r="E1" t="s">
        <v>1</v>
      </c>
      <c r="F1" t="s">
        <v>4</v>
      </c>
      <c r="G1" t="s">
        <v>2</v>
      </c>
      <c r="H1" t="s">
        <v>3</v>
      </c>
      <c r="I1" s="41" t="s">
        <v>273</v>
      </c>
      <c r="J1" t="s">
        <v>281</v>
      </c>
      <c r="K1" t="s">
        <v>280</v>
      </c>
      <c r="M1" s="41" t="s">
        <v>274</v>
      </c>
      <c r="N1" t="s">
        <v>281</v>
      </c>
      <c r="O1" t="s">
        <v>280</v>
      </c>
      <c r="Q1" s="41" t="s">
        <v>275</v>
      </c>
      <c r="R1" t="s">
        <v>281</v>
      </c>
      <c r="S1" t="s">
        <v>280</v>
      </c>
      <c r="U1" s="41" t="s">
        <v>276</v>
      </c>
      <c r="V1" t="s">
        <v>281</v>
      </c>
      <c r="W1" t="s">
        <v>280</v>
      </c>
      <c r="AB1" t="s">
        <v>282</v>
      </c>
      <c r="AC1" t="s">
        <v>281</v>
      </c>
      <c r="AD1" t="s">
        <v>280</v>
      </c>
      <c r="AF1" t="s">
        <v>283</v>
      </c>
      <c r="AG1" t="s">
        <v>281</v>
      </c>
      <c r="AH1" t="s">
        <v>280</v>
      </c>
    </row>
    <row r="2" spans="3:35" x14ac:dyDescent="0.25">
      <c r="C2" t="s">
        <v>5</v>
      </c>
      <c r="D2">
        <v>1</v>
      </c>
      <c r="E2">
        <v>128</v>
      </c>
      <c r="F2">
        <v>64</v>
      </c>
      <c r="G2">
        <v>28</v>
      </c>
      <c r="H2">
        <v>4</v>
      </c>
      <c r="J2">
        <v>4.3456000000000002E-2</v>
      </c>
      <c r="K2">
        <v>4.3647999999999999E-2</v>
      </c>
      <c r="L2" s="4">
        <f>K2/J2</f>
        <v>1.0044182621502209</v>
      </c>
      <c r="M2" s="4"/>
      <c r="N2">
        <v>4.2687999999999997E-2</v>
      </c>
      <c r="O2">
        <v>4.2495999999999999E-2</v>
      </c>
      <c r="P2" s="4">
        <f t="shared" ref="P2:P65" si="0">O2/N2</f>
        <v>0.99550224887556227</v>
      </c>
      <c r="R2">
        <v>4.2816E-2</v>
      </c>
      <c r="S2">
        <v>4.2368000000000003E-2</v>
      </c>
      <c r="T2" s="4">
        <f t="shared" ref="T2:T65" si="1">S2/R2</f>
        <v>0.98953662182361746</v>
      </c>
      <c r="V2">
        <v>4.3136000000000001E-2</v>
      </c>
      <c r="W2">
        <v>4.4096000000000003E-2</v>
      </c>
      <c r="X2" s="4">
        <f t="shared" ref="X2:X65" si="2">W2/V2</f>
        <v>1.0222551928783383</v>
      </c>
      <c r="AC2">
        <v>6.6944000000000004E-2</v>
      </c>
      <c r="AD2">
        <v>6.5984000000000001E-2</v>
      </c>
      <c r="AE2" s="4">
        <f>AD2/AC2</f>
        <v>0.98565965583173998</v>
      </c>
      <c r="AG2">
        <v>6.6047999999999996E-2</v>
      </c>
      <c r="AH2">
        <v>6.4960000000000004E-2</v>
      </c>
      <c r="AI2" s="4">
        <f>AH2/AG2</f>
        <v>0.98352713178294582</v>
      </c>
    </row>
    <row r="3" spans="3:35" x14ac:dyDescent="0.25">
      <c r="C3" t="s">
        <v>5</v>
      </c>
      <c r="D3">
        <v>2</v>
      </c>
      <c r="E3">
        <v>128</v>
      </c>
      <c r="F3">
        <v>64</v>
      </c>
      <c r="G3">
        <v>28</v>
      </c>
      <c r="H3">
        <v>4</v>
      </c>
      <c r="J3">
        <v>4.1792000000000003E-2</v>
      </c>
      <c r="K3">
        <v>4.2304000000000001E-2</v>
      </c>
      <c r="L3" s="4">
        <f t="shared" ref="L3:L66" si="3">K3/J3</f>
        <v>1.0122511485451762</v>
      </c>
      <c r="M3" s="4"/>
      <c r="N3">
        <v>4.2175999999999998E-2</v>
      </c>
      <c r="O3">
        <v>4.1792000000000003E-2</v>
      </c>
      <c r="P3" s="4">
        <f t="shared" si="0"/>
        <v>0.99089529590288328</v>
      </c>
      <c r="R3">
        <v>4.2048000000000002E-2</v>
      </c>
      <c r="S3">
        <v>4.1535999999999997E-2</v>
      </c>
      <c r="T3" s="4">
        <f t="shared" si="1"/>
        <v>0.98782343987823429</v>
      </c>
      <c r="V3">
        <v>4.2880000000000001E-2</v>
      </c>
      <c r="W3">
        <v>4.3263999999999997E-2</v>
      </c>
      <c r="X3" s="4">
        <f t="shared" si="2"/>
        <v>1.008955223880597</v>
      </c>
      <c r="AC3">
        <v>6.3936000000000007E-2</v>
      </c>
      <c r="AD3">
        <v>6.2463999999999999E-2</v>
      </c>
      <c r="AE3" s="4">
        <f t="shared" ref="AE3:AE66" si="4">AD3/AC3</f>
        <v>0.97697697697697683</v>
      </c>
      <c r="AG3">
        <v>6.2207999999999999E-2</v>
      </c>
      <c r="AH3">
        <v>6.1376E-2</v>
      </c>
      <c r="AI3" s="4">
        <f t="shared" ref="AI3:AI66" si="5">AH3/AG3</f>
        <v>0.98662551440329216</v>
      </c>
    </row>
    <row r="4" spans="3:35" x14ac:dyDescent="0.25">
      <c r="C4" t="s">
        <v>5</v>
      </c>
      <c r="D4">
        <v>4</v>
      </c>
      <c r="E4">
        <v>128</v>
      </c>
      <c r="F4">
        <v>64</v>
      </c>
      <c r="G4">
        <v>28</v>
      </c>
      <c r="H4">
        <v>4</v>
      </c>
      <c r="J4">
        <v>4.2687999999999997E-2</v>
      </c>
      <c r="K4">
        <v>4.2495999999999999E-2</v>
      </c>
      <c r="L4" s="4">
        <f t="shared" si="3"/>
        <v>0.99550224887556227</v>
      </c>
      <c r="M4" s="4"/>
      <c r="N4">
        <v>4.2687999999999997E-2</v>
      </c>
      <c r="O4">
        <v>4.2495999999999999E-2</v>
      </c>
      <c r="P4" s="4">
        <f t="shared" si="0"/>
        <v>0.99550224887556227</v>
      </c>
      <c r="R4">
        <v>4.2880000000000001E-2</v>
      </c>
      <c r="S4">
        <v>4.2495999999999999E-2</v>
      </c>
      <c r="T4" s="4">
        <f t="shared" si="1"/>
        <v>0.99104477611940289</v>
      </c>
      <c r="V4">
        <v>4.3327999999999998E-2</v>
      </c>
      <c r="W4">
        <v>4.2624000000000002E-2</v>
      </c>
      <c r="X4" s="4">
        <f t="shared" si="2"/>
        <v>0.98375184638109314</v>
      </c>
      <c r="AC4">
        <v>6.368E-2</v>
      </c>
      <c r="AD4">
        <v>6.4703999999999998E-2</v>
      </c>
      <c r="AE4" s="4">
        <f t="shared" si="4"/>
        <v>1.0160804020100502</v>
      </c>
      <c r="AG4">
        <v>6.3808000000000004E-2</v>
      </c>
      <c r="AH4">
        <v>6.2784000000000006E-2</v>
      </c>
      <c r="AI4" s="4">
        <f t="shared" si="5"/>
        <v>0.98395185556670017</v>
      </c>
    </row>
    <row r="5" spans="3:35" x14ac:dyDescent="0.25">
      <c r="C5" t="s">
        <v>5</v>
      </c>
      <c r="D5">
        <v>8</v>
      </c>
      <c r="E5">
        <v>128</v>
      </c>
      <c r="F5">
        <v>64</v>
      </c>
      <c r="G5">
        <v>28</v>
      </c>
      <c r="H5">
        <v>4</v>
      </c>
      <c r="J5">
        <v>4.8896000000000002E-2</v>
      </c>
      <c r="K5">
        <v>4.9408000000000001E-2</v>
      </c>
      <c r="L5" s="4">
        <f t="shared" si="3"/>
        <v>1.0104712041884816</v>
      </c>
      <c r="M5" s="4"/>
      <c r="N5">
        <v>5.0175999999999998E-2</v>
      </c>
      <c r="O5">
        <v>4.9343999999999999E-2</v>
      </c>
      <c r="P5" s="4">
        <f t="shared" si="0"/>
        <v>0.98341836734693877</v>
      </c>
      <c r="R5">
        <v>4.9855999999999998E-2</v>
      </c>
      <c r="S5">
        <v>5.0495999999999999E-2</v>
      </c>
      <c r="T5" s="4">
        <f t="shared" si="1"/>
        <v>1.012836970474968</v>
      </c>
      <c r="V5">
        <v>5.1392E-2</v>
      </c>
      <c r="W5">
        <v>5.1007999999999998E-2</v>
      </c>
      <c r="X5" s="4">
        <f t="shared" si="2"/>
        <v>0.99252801992528017</v>
      </c>
      <c r="AC5">
        <v>7.8848000000000001E-2</v>
      </c>
      <c r="AD5">
        <v>7.8656000000000004E-2</v>
      </c>
      <c r="AE5" s="4">
        <f t="shared" si="4"/>
        <v>0.99756493506493504</v>
      </c>
      <c r="AG5">
        <v>7.8271999999999994E-2</v>
      </c>
      <c r="AH5">
        <v>7.6864000000000002E-2</v>
      </c>
      <c r="AI5" s="4">
        <f t="shared" si="5"/>
        <v>0.98201144726083411</v>
      </c>
    </row>
    <row r="6" spans="3:35" x14ac:dyDescent="0.25">
      <c r="C6" t="s">
        <v>5</v>
      </c>
      <c r="D6">
        <v>16</v>
      </c>
      <c r="E6">
        <v>128</v>
      </c>
      <c r="F6">
        <v>64</v>
      </c>
      <c r="G6">
        <v>28</v>
      </c>
      <c r="H6">
        <v>4</v>
      </c>
      <c r="J6">
        <v>6.0224E-2</v>
      </c>
      <c r="K6">
        <v>5.9968E-2</v>
      </c>
      <c r="L6" s="4">
        <f t="shared" si="3"/>
        <v>0.99574920297555791</v>
      </c>
      <c r="M6" s="4"/>
      <c r="N6">
        <v>6.2336000000000003E-2</v>
      </c>
      <c r="O6">
        <v>6.2719999999999998E-2</v>
      </c>
      <c r="P6" s="4">
        <f t="shared" si="0"/>
        <v>1.0061601642710472</v>
      </c>
      <c r="R6">
        <v>6.2528E-2</v>
      </c>
      <c r="S6">
        <v>6.2719999999999998E-2</v>
      </c>
      <c r="T6" s="4">
        <f t="shared" si="1"/>
        <v>1.0030706243602865</v>
      </c>
      <c r="V6">
        <v>6.4512E-2</v>
      </c>
      <c r="W6">
        <v>6.5215999999999996E-2</v>
      </c>
      <c r="X6" s="4">
        <f t="shared" si="2"/>
        <v>1.0109126984126984</v>
      </c>
      <c r="AC6">
        <v>0.106048</v>
      </c>
      <c r="AD6">
        <v>0.10335999999999999</v>
      </c>
      <c r="AE6" s="4">
        <f t="shared" si="4"/>
        <v>0.97465298732649353</v>
      </c>
      <c r="AG6">
        <v>0.109056</v>
      </c>
      <c r="AH6">
        <v>0.10688</v>
      </c>
      <c r="AI6" s="4">
        <f t="shared" si="5"/>
        <v>0.9800469483568075</v>
      </c>
    </row>
    <row r="7" spans="3:35" x14ac:dyDescent="0.25">
      <c r="C7" t="s">
        <v>5</v>
      </c>
      <c r="D7">
        <v>32</v>
      </c>
      <c r="E7">
        <v>128</v>
      </c>
      <c r="F7">
        <v>64</v>
      </c>
      <c r="G7">
        <v>28</v>
      </c>
      <c r="H7">
        <v>4</v>
      </c>
      <c r="J7">
        <v>8.5183999999999996E-2</v>
      </c>
      <c r="K7">
        <v>8.5120000000000001E-2</v>
      </c>
      <c r="L7" s="4">
        <f t="shared" si="3"/>
        <v>0.99924868519909849</v>
      </c>
      <c r="M7" s="4"/>
      <c r="N7">
        <v>8.9088000000000001E-2</v>
      </c>
      <c r="O7">
        <v>8.9791999999999997E-2</v>
      </c>
      <c r="P7" s="4">
        <f t="shared" si="0"/>
        <v>1.0079022988505746</v>
      </c>
      <c r="R7">
        <v>8.6527999999999994E-2</v>
      </c>
      <c r="S7">
        <v>8.6720000000000005E-2</v>
      </c>
      <c r="T7" s="4">
        <f t="shared" si="1"/>
        <v>1.0022189349112427</v>
      </c>
      <c r="V7">
        <v>9.4464000000000006E-2</v>
      </c>
      <c r="W7">
        <v>0.10041600000000001</v>
      </c>
      <c r="X7" s="4">
        <f t="shared" si="2"/>
        <v>1.0630081300813008</v>
      </c>
      <c r="AC7">
        <v>0.176064</v>
      </c>
      <c r="AD7">
        <v>0.17548800000000001</v>
      </c>
      <c r="AE7" s="4">
        <f t="shared" si="4"/>
        <v>0.99672846237731738</v>
      </c>
      <c r="AG7">
        <v>0.18310399999999999</v>
      </c>
      <c r="AH7">
        <v>0.18041599999999999</v>
      </c>
      <c r="AI7" s="4">
        <f t="shared" si="5"/>
        <v>0.98531981824536874</v>
      </c>
    </row>
    <row r="8" spans="3:35" x14ac:dyDescent="0.25">
      <c r="C8" t="s">
        <v>5</v>
      </c>
      <c r="D8">
        <v>64</v>
      </c>
      <c r="E8">
        <v>128</v>
      </c>
      <c r="F8">
        <v>64</v>
      </c>
      <c r="G8">
        <v>28</v>
      </c>
      <c r="H8">
        <v>4</v>
      </c>
      <c r="J8">
        <v>0.13369600000000001</v>
      </c>
      <c r="K8">
        <v>0.13305600000000001</v>
      </c>
      <c r="L8" s="4">
        <f t="shared" si="3"/>
        <v>0.99521302058401151</v>
      </c>
      <c r="M8" s="4"/>
      <c r="N8">
        <v>0.14784</v>
      </c>
      <c r="O8">
        <v>0.149312</v>
      </c>
      <c r="P8" s="4">
        <f t="shared" si="0"/>
        <v>1.0099567099567099</v>
      </c>
      <c r="R8">
        <v>0.13689599999999999</v>
      </c>
      <c r="S8">
        <v>0.13625599999999999</v>
      </c>
      <c r="T8" s="4">
        <f t="shared" si="1"/>
        <v>0.99532491818606827</v>
      </c>
      <c r="V8">
        <v>0.152064</v>
      </c>
      <c r="W8">
        <v>0.17804800000000001</v>
      </c>
      <c r="X8" s="4">
        <f t="shared" si="2"/>
        <v>1.1708754208754208</v>
      </c>
      <c r="AC8">
        <v>0.30380800000000002</v>
      </c>
      <c r="AD8">
        <v>0.28780800000000001</v>
      </c>
      <c r="AE8" s="4">
        <f t="shared" si="4"/>
        <v>0.94733515904781962</v>
      </c>
      <c r="AG8">
        <v>0.31417600000000001</v>
      </c>
      <c r="AH8">
        <v>0.30528</v>
      </c>
      <c r="AI8" s="4">
        <f t="shared" si="5"/>
        <v>0.97168466082705229</v>
      </c>
    </row>
    <row r="9" spans="3:35" x14ac:dyDescent="0.25">
      <c r="C9" t="s">
        <v>5</v>
      </c>
      <c r="D9">
        <v>1</v>
      </c>
      <c r="E9">
        <v>128</v>
      </c>
      <c r="F9">
        <v>128</v>
      </c>
      <c r="G9">
        <v>28</v>
      </c>
      <c r="H9">
        <v>4</v>
      </c>
      <c r="J9">
        <v>4.4928000000000003E-2</v>
      </c>
      <c r="K9">
        <v>4.48E-2</v>
      </c>
      <c r="L9" s="4">
        <f t="shared" si="3"/>
        <v>0.99715099715099709</v>
      </c>
      <c r="M9" s="4"/>
      <c r="N9">
        <v>4.5184000000000002E-2</v>
      </c>
      <c r="O9">
        <v>4.4928000000000003E-2</v>
      </c>
      <c r="P9" s="4">
        <f t="shared" si="0"/>
        <v>0.99433427762039661</v>
      </c>
      <c r="R9">
        <v>4.48E-2</v>
      </c>
      <c r="S9">
        <v>4.4608000000000002E-2</v>
      </c>
      <c r="T9" s="4">
        <f t="shared" si="1"/>
        <v>0.99571428571428577</v>
      </c>
      <c r="V9">
        <v>4.5631999999999999E-2</v>
      </c>
      <c r="W9">
        <v>4.6207999999999999E-2</v>
      </c>
      <c r="X9" s="4">
        <f t="shared" si="2"/>
        <v>1.0126227208976157</v>
      </c>
      <c r="AC9">
        <v>6.9503999999999996E-2</v>
      </c>
      <c r="AD9">
        <v>6.7968000000000001E-2</v>
      </c>
      <c r="AE9" s="4">
        <f t="shared" si="4"/>
        <v>0.9779005524861879</v>
      </c>
      <c r="AG9">
        <v>6.6559999999999994E-2</v>
      </c>
      <c r="AH9">
        <v>6.5855999999999998E-2</v>
      </c>
      <c r="AI9" s="4">
        <f t="shared" si="5"/>
        <v>0.98942307692307696</v>
      </c>
    </row>
    <row r="10" spans="3:35" x14ac:dyDescent="0.25">
      <c r="C10" t="s">
        <v>5</v>
      </c>
      <c r="D10">
        <v>2</v>
      </c>
      <c r="E10">
        <v>128</v>
      </c>
      <c r="F10">
        <v>128</v>
      </c>
      <c r="G10">
        <v>28</v>
      </c>
      <c r="H10">
        <v>4</v>
      </c>
      <c r="J10">
        <v>4.3327999999999998E-2</v>
      </c>
      <c r="K10">
        <v>4.3647999999999999E-2</v>
      </c>
      <c r="L10" s="4">
        <f t="shared" si="3"/>
        <v>1.0073855243722305</v>
      </c>
      <c r="M10" s="4"/>
      <c r="N10">
        <v>4.3136000000000001E-2</v>
      </c>
      <c r="O10">
        <v>4.3776000000000002E-2</v>
      </c>
      <c r="P10" s="4">
        <f t="shared" si="0"/>
        <v>1.0148367952522255</v>
      </c>
      <c r="R10">
        <v>4.2495999999999999E-2</v>
      </c>
      <c r="S10">
        <v>4.2431999999999997E-2</v>
      </c>
      <c r="T10" s="4">
        <f t="shared" si="1"/>
        <v>0.99849397590361444</v>
      </c>
      <c r="V10">
        <v>4.3968E-2</v>
      </c>
      <c r="W10">
        <v>4.4672000000000003E-2</v>
      </c>
      <c r="X10" s="4">
        <f t="shared" si="2"/>
        <v>1.0160116448326055</v>
      </c>
      <c r="AC10">
        <v>6.4575999999999995E-2</v>
      </c>
      <c r="AD10">
        <v>6.2336000000000003E-2</v>
      </c>
      <c r="AE10" s="4">
        <f t="shared" si="4"/>
        <v>0.96531219028741344</v>
      </c>
      <c r="AG10">
        <v>6.2463999999999999E-2</v>
      </c>
      <c r="AH10">
        <v>6.2911999999999996E-2</v>
      </c>
      <c r="AI10" s="4">
        <f t="shared" si="5"/>
        <v>1.007172131147541</v>
      </c>
    </row>
    <row r="11" spans="3:35" x14ac:dyDescent="0.25">
      <c r="C11" t="s">
        <v>5</v>
      </c>
      <c r="D11">
        <v>4</v>
      </c>
      <c r="E11">
        <v>128</v>
      </c>
      <c r="F11">
        <v>128</v>
      </c>
      <c r="G11">
        <v>28</v>
      </c>
      <c r="H11">
        <v>4</v>
      </c>
      <c r="J11">
        <v>4.4479999999999999E-2</v>
      </c>
      <c r="K11">
        <v>4.4096000000000003E-2</v>
      </c>
      <c r="L11" s="4">
        <f t="shared" si="3"/>
        <v>0.99136690647482029</v>
      </c>
      <c r="M11" s="4"/>
      <c r="N11">
        <v>4.4352000000000003E-2</v>
      </c>
      <c r="O11">
        <v>4.4096000000000003E-2</v>
      </c>
      <c r="P11" s="4">
        <f t="shared" si="0"/>
        <v>0.99422799422799424</v>
      </c>
      <c r="R11">
        <v>4.4544E-2</v>
      </c>
      <c r="S11">
        <v>4.3839999999999997E-2</v>
      </c>
      <c r="T11" s="4">
        <f t="shared" si="1"/>
        <v>0.9841954022988505</v>
      </c>
      <c r="V11">
        <v>4.48E-2</v>
      </c>
      <c r="W11">
        <v>4.6719999999999998E-2</v>
      </c>
      <c r="X11" s="4">
        <f t="shared" si="2"/>
        <v>1.0428571428571427</v>
      </c>
      <c r="AC11">
        <v>6.5664E-2</v>
      </c>
      <c r="AD11">
        <v>6.3616000000000006E-2</v>
      </c>
      <c r="AE11" s="4">
        <f t="shared" si="4"/>
        <v>0.96881091617933734</v>
      </c>
      <c r="AG11">
        <v>6.5280000000000005E-2</v>
      </c>
      <c r="AH11">
        <v>6.4448000000000005E-2</v>
      </c>
      <c r="AI11" s="4">
        <f t="shared" si="5"/>
        <v>0.98725490196078436</v>
      </c>
    </row>
    <row r="12" spans="3:35" x14ac:dyDescent="0.25">
      <c r="C12" t="s">
        <v>5</v>
      </c>
      <c r="D12">
        <v>8</v>
      </c>
      <c r="E12">
        <v>128</v>
      </c>
      <c r="F12">
        <v>128</v>
      </c>
      <c r="G12">
        <v>28</v>
      </c>
      <c r="H12">
        <v>4</v>
      </c>
      <c r="J12">
        <v>5.1007999999999998E-2</v>
      </c>
      <c r="K12">
        <v>5.0816E-2</v>
      </c>
      <c r="L12" s="4">
        <f t="shared" si="3"/>
        <v>0.99623588456712675</v>
      </c>
      <c r="M12" s="4"/>
      <c r="N12">
        <v>5.1392E-2</v>
      </c>
      <c r="O12">
        <v>5.3055999999999999E-2</v>
      </c>
      <c r="P12" s="4">
        <f t="shared" si="0"/>
        <v>1.0323785803237857</v>
      </c>
      <c r="R12">
        <v>5.1839999999999997E-2</v>
      </c>
      <c r="S12">
        <v>5.2224E-2</v>
      </c>
      <c r="T12" s="4">
        <f t="shared" si="1"/>
        <v>1.0074074074074075</v>
      </c>
      <c r="V12">
        <v>5.2928000000000003E-2</v>
      </c>
      <c r="W12">
        <v>5.4912000000000002E-2</v>
      </c>
      <c r="X12" s="4">
        <f t="shared" si="2"/>
        <v>1.0374848851269649</v>
      </c>
      <c r="AC12">
        <v>7.7247999999999997E-2</v>
      </c>
      <c r="AD12">
        <v>7.6992000000000005E-2</v>
      </c>
      <c r="AE12" s="4">
        <f t="shared" si="4"/>
        <v>0.99668599834299931</v>
      </c>
      <c r="AG12">
        <v>7.9680000000000001E-2</v>
      </c>
      <c r="AH12">
        <v>7.8591999999999995E-2</v>
      </c>
      <c r="AI12" s="4">
        <f t="shared" si="5"/>
        <v>0.98634538152610429</v>
      </c>
    </row>
    <row r="13" spans="3:35" x14ac:dyDescent="0.25">
      <c r="C13" t="s">
        <v>5</v>
      </c>
      <c r="D13">
        <v>16</v>
      </c>
      <c r="E13">
        <v>128</v>
      </c>
      <c r="F13">
        <v>128</v>
      </c>
      <c r="G13">
        <v>28</v>
      </c>
      <c r="H13">
        <v>4</v>
      </c>
      <c r="J13">
        <v>6.4063999999999996E-2</v>
      </c>
      <c r="K13">
        <v>6.4191999999999999E-2</v>
      </c>
      <c r="L13" s="4">
        <f t="shared" si="3"/>
        <v>1.0019980019980022</v>
      </c>
      <c r="M13" s="4"/>
      <c r="N13">
        <v>6.8159999999999998E-2</v>
      </c>
      <c r="O13">
        <v>6.9375999999999993E-2</v>
      </c>
      <c r="P13" s="4">
        <f t="shared" si="0"/>
        <v>1.0178403755868544</v>
      </c>
      <c r="R13">
        <v>6.6944000000000004E-2</v>
      </c>
      <c r="S13">
        <v>6.6752000000000006E-2</v>
      </c>
      <c r="T13" s="4">
        <f t="shared" si="1"/>
        <v>0.99713193116634802</v>
      </c>
      <c r="V13">
        <v>7.0335999999999996E-2</v>
      </c>
      <c r="W13">
        <v>8.4351999999999996E-2</v>
      </c>
      <c r="X13" s="4">
        <f t="shared" si="2"/>
        <v>1.1992720655141038</v>
      </c>
      <c r="AC13">
        <v>0.107776</v>
      </c>
      <c r="AD13">
        <v>0.105408</v>
      </c>
      <c r="AE13" s="4">
        <f t="shared" si="4"/>
        <v>0.97802850356294546</v>
      </c>
      <c r="AG13">
        <v>0.110912</v>
      </c>
      <c r="AH13">
        <v>0.108928</v>
      </c>
      <c r="AI13" s="4">
        <f t="shared" si="5"/>
        <v>0.98211194460473172</v>
      </c>
    </row>
    <row r="14" spans="3:35" x14ac:dyDescent="0.25">
      <c r="C14" t="s">
        <v>5</v>
      </c>
      <c r="D14">
        <v>32</v>
      </c>
      <c r="E14">
        <v>128</v>
      </c>
      <c r="F14">
        <v>128</v>
      </c>
      <c r="G14">
        <v>28</v>
      </c>
      <c r="H14">
        <v>4</v>
      </c>
      <c r="J14">
        <v>9.1712000000000002E-2</v>
      </c>
      <c r="K14">
        <v>9.1072E-2</v>
      </c>
      <c r="L14" s="4">
        <f t="shared" si="3"/>
        <v>0.99302163293789247</v>
      </c>
      <c r="M14" s="4"/>
      <c r="N14">
        <v>0.10054399999999999</v>
      </c>
      <c r="O14">
        <v>0.102464</v>
      </c>
      <c r="P14" s="4">
        <f t="shared" si="0"/>
        <v>1.0190961171228516</v>
      </c>
      <c r="R14">
        <v>9.4848000000000002E-2</v>
      </c>
      <c r="S14">
        <v>9.4591999999999996E-2</v>
      </c>
      <c r="T14" s="4">
        <f t="shared" si="1"/>
        <v>0.9973009446693657</v>
      </c>
      <c r="V14">
        <v>0.1056</v>
      </c>
      <c r="W14">
        <v>0.12825600000000001</v>
      </c>
      <c r="X14" s="4">
        <f t="shared" si="2"/>
        <v>1.2145454545454546</v>
      </c>
      <c r="AC14">
        <v>0.180224</v>
      </c>
      <c r="AD14">
        <v>0.17619199999999999</v>
      </c>
      <c r="AE14" s="4">
        <f t="shared" si="4"/>
        <v>0.97762784090909083</v>
      </c>
      <c r="AG14">
        <v>0.18438399999999999</v>
      </c>
      <c r="AH14">
        <v>0.18176</v>
      </c>
      <c r="AI14" s="4">
        <f t="shared" si="5"/>
        <v>0.98576883026726836</v>
      </c>
    </row>
    <row r="15" spans="3:35" x14ac:dyDescent="0.25">
      <c r="C15" t="s">
        <v>5</v>
      </c>
      <c r="D15">
        <v>64</v>
      </c>
      <c r="E15">
        <v>128</v>
      </c>
      <c r="F15">
        <v>128</v>
      </c>
      <c r="G15">
        <v>28</v>
      </c>
      <c r="H15">
        <v>4</v>
      </c>
      <c r="J15">
        <v>0.146176</v>
      </c>
      <c r="K15">
        <v>0.14604800000000001</v>
      </c>
      <c r="L15" s="4">
        <f t="shared" si="3"/>
        <v>0.99912434325744315</v>
      </c>
      <c r="M15" s="4"/>
      <c r="N15">
        <v>0.169984</v>
      </c>
      <c r="O15">
        <v>0.1744</v>
      </c>
      <c r="P15" s="4">
        <f t="shared" si="0"/>
        <v>1.0259789156626506</v>
      </c>
      <c r="R15">
        <v>0.15404799999999999</v>
      </c>
      <c r="S15">
        <v>0.15423999999999999</v>
      </c>
      <c r="T15" s="4">
        <f t="shared" si="1"/>
        <v>1.0012463647694225</v>
      </c>
      <c r="V15">
        <v>0.17497599999999999</v>
      </c>
      <c r="W15">
        <v>0.20275199999999999</v>
      </c>
      <c r="X15" s="4">
        <f t="shared" si="2"/>
        <v>1.1587417702999268</v>
      </c>
      <c r="AC15">
        <v>0.31276799999999999</v>
      </c>
      <c r="AD15">
        <v>0.29702400000000001</v>
      </c>
      <c r="AE15" s="4">
        <f t="shared" si="4"/>
        <v>0.94966236955187233</v>
      </c>
      <c r="AG15">
        <v>0.32172800000000001</v>
      </c>
      <c r="AH15">
        <v>0.31526399999999999</v>
      </c>
      <c r="AI15" s="4">
        <f t="shared" si="5"/>
        <v>0.97990849413168879</v>
      </c>
    </row>
    <row r="16" spans="3:35" x14ac:dyDescent="0.25">
      <c r="C16" t="s">
        <v>5</v>
      </c>
      <c r="D16">
        <v>1</v>
      </c>
      <c r="E16">
        <v>128</v>
      </c>
      <c r="F16">
        <v>256</v>
      </c>
      <c r="G16">
        <v>28</v>
      </c>
      <c r="H16">
        <v>4</v>
      </c>
      <c r="J16">
        <v>4.7295999999999998E-2</v>
      </c>
      <c r="K16">
        <v>4.7551999999999997E-2</v>
      </c>
      <c r="L16" s="4">
        <f t="shared" si="3"/>
        <v>1.0054127198917455</v>
      </c>
      <c r="M16" s="4"/>
      <c r="N16">
        <v>4.7551999999999997E-2</v>
      </c>
      <c r="O16">
        <v>4.8512E-2</v>
      </c>
      <c r="P16" s="4">
        <f t="shared" si="0"/>
        <v>1.0201884253028264</v>
      </c>
      <c r="R16">
        <v>4.6272000000000001E-2</v>
      </c>
      <c r="S16">
        <v>4.5760000000000002E-2</v>
      </c>
      <c r="T16" s="4">
        <f t="shared" si="1"/>
        <v>0.98893499308437072</v>
      </c>
      <c r="V16">
        <v>4.8896000000000002E-2</v>
      </c>
      <c r="W16">
        <v>7.0720000000000005E-2</v>
      </c>
      <c r="X16" s="4">
        <f t="shared" si="2"/>
        <v>1.4463350785340314</v>
      </c>
      <c r="AC16">
        <v>7.5520000000000004E-2</v>
      </c>
      <c r="AD16">
        <v>7.5008000000000005E-2</v>
      </c>
      <c r="AE16" s="4">
        <f t="shared" si="4"/>
        <v>0.99322033898305084</v>
      </c>
      <c r="AG16">
        <v>7.4048000000000003E-2</v>
      </c>
      <c r="AH16">
        <v>7.3216000000000003E-2</v>
      </c>
      <c r="AI16" s="4">
        <f t="shared" si="5"/>
        <v>0.9887640449438202</v>
      </c>
    </row>
    <row r="17" spans="3:35" x14ac:dyDescent="0.25">
      <c r="C17" t="s">
        <v>5</v>
      </c>
      <c r="D17">
        <v>2</v>
      </c>
      <c r="E17">
        <v>128</v>
      </c>
      <c r="F17">
        <v>256</v>
      </c>
      <c r="G17">
        <v>28</v>
      </c>
      <c r="H17">
        <v>4</v>
      </c>
      <c r="J17">
        <v>4.6143999999999998E-2</v>
      </c>
      <c r="K17">
        <v>4.6463999999999998E-2</v>
      </c>
      <c r="L17" s="4">
        <f t="shared" si="3"/>
        <v>1.0069348127600555</v>
      </c>
      <c r="M17" s="4"/>
      <c r="N17">
        <v>4.7488000000000002E-2</v>
      </c>
      <c r="O17">
        <v>4.7488000000000002E-2</v>
      </c>
      <c r="P17" s="4">
        <f t="shared" si="0"/>
        <v>1</v>
      </c>
      <c r="R17">
        <v>4.6272000000000001E-2</v>
      </c>
      <c r="S17">
        <v>4.6336000000000002E-2</v>
      </c>
      <c r="T17" s="4">
        <f t="shared" si="1"/>
        <v>1.0013831258644537</v>
      </c>
      <c r="V17">
        <v>4.9023999999999998E-2</v>
      </c>
      <c r="W17">
        <v>6.9183999999999996E-2</v>
      </c>
      <c r="X17" s="4">
        <f t="shared" si="2"/>
        <v>1.4112271540469974</v>
      </c>
      <c r="AC17">
        <v>7.2064000000000003E-2</v>
      </c>
      <c r="AD17">
        <v>6.9631999999999999E-2</v>
      </c>
      <c r="AE17" s="4">
        <f t="shared" si="4"/>
        <v>0.96625222024866775</v>
      </c>
      <c r="AG17">
        <v>7.0847999999999994E-2</v>
      </c>
      <c r="AH17">
        <v>6.9695999999999994E-2</v>
      </c>
      <c r="AI17" s="4">
        <f t="shared" si="5"/>
        <v>0.98373983739837401</v>
      </c>
    </row>
    <row r="18" spans="3:35" x14ac:dyDescent="0.25">
      <c r="C18" t="s">
        <v>5</v>
      </c>
      <c r="D18">
        <v>4</v>
      </c>
      <c r="E18">
        <v>128</v>
      </c>
      <c r="F18">
        <v>256</v>
      </c>
      <c r="G18">
        <v>28</v>
      </c>
      <c r="H18">
        <v>4</v>
      </c>
      <c r="J18">
        <v>4.7104E-2</v>
      </c>
      <c r="K18">
        <v>4.6719999999999998E-2</v>
      </c>
      <c r="L18" s="4">
        <f t="shared" si="3"/>
        <v>0.99184782608695643</v>
      </c>
      <c r="M18" s="4"/>
      <c r="N18">
        <v>4.7615999999999999E-2</v>
      </c>
      <c r="O18">
        <v>4.8127999999999997E-2</v>
      </c>
      <c r="P18" s="4">
        <f t="shared" si="0"/>
        <v>1.010752688172043</v>
      </c>
      <c r="R18">
        <v>4.8256E-2</v>
      </c>
      <c r="S18">
        <v>4.7424000000000001E-2</v>
      </c>
      <c r="T18" s="4">
        <f t="shared" si="1"/>
        <v>0.98275862068965514</v>
      </c>
      <c r="V18">
        <v>4.9535999999999997E-2</v>
      </c>
      <c r="W18">
        <v>7.6095999999999997E-2</v>
      </c>
      <c r="X18" s="4">
        <f t="shared" si="2"/>
        <v>1.5361757105943152</v>
      </c>
      <c r="AC18">
        <v>7.1936E-2</v>
      </c>
      <c r="AD18">
        <v>7.1295999999999998E-2</v>
      </c>
      <c r="AE18" s="4">
        <f t="shared" si="4"/>
        <v>0.99110320284697506</v>
      </c>
      <c r="AG18">
        <v>7.4048000000000003E-2</v>
      </c>
      <c r="AH18">
        <v>7.2959999999999997E-2</v>
      </c>
      <c r="AI18" s="4">
        <f t="shared" si="5"/>
        <v>0.98530682800345715</v>
      </c>
    </row>
    <row r="19" spans="3:35" x14ac:dyDescent="0.25">
      <c r="C19" t="s">
        <v>5</v>
      </c>
      <c r="D19">
        <v>8</v>
      </c>
      <c r="E19">
        <v>128</v>
      </c>
      <c r="F19">
        <v>256</v>
      </c>
      <c r="G19">
        <v>28</v>
      </c>
      <c r="H19">
        <v>4</v>
      </c>
      <c r="J19">
        <v>5.6256E-2</v>
      </c>
      <c r="K19">
        <v>5.6576000000000001E-2</v>
      </c>
      <c r="L19" s="4">
        <f t="shared" si="3"/>
        <v>1.005688282138794</v>
      </c>
      <c r="M19" s="4"/>
      <c r="N19">
        <v>5.9200000000000003E-2</v>
      </c>
      <c r="O19">
        <v>6.0032000000000002E-2</v>
      </c>
      <c r="P19" s="4">
        <f t="shared" si="0"/>
        <v>1.0140540540540541</v>
      </c>
      <c r="R19">
        <v>5.8687999999999997E-2</v>
      </c>
      <c r="S19">
        <v>5.9712000000000001E-2</v>
      </c>
      <c r="T19" s="4">
        <f t="shared" si="1"/>
        <v>1.0174482006543075</v>
      </c>
      <c r="V19">
        <v>6.1567999999999998E-2</v>
      </c>
      <c r="W19">
        <v>8.3071999999999993E-2</v>
      </c>
      <c r="X19" s="4">
        <f t="shared" si="2"/>
        <v>1.3492723492723493</v>
      </c>
      <c r="AC19">
        <v>8.8831999999999994E-2</v>
      </c>
      <c r="AD19">
        <v>8.9024000000000006E-2</v>
      </c>
      <c r="AE19" s="4">
        <f t="shared" si="4"/>
        <v>1.0021613832853027</v>
      </c>
      <c r="AG19">
        <v>9.3504000000000004E-2</v>
      </c>
      <c r="AH19">
        <v>9.2672000000000004E-2</v>
      </c>
      <c r="AI19" s="4">
        <f t="shared" si="5"/>
        <v>0.99110198494182067</v>
      </c>
    </row>
    <row r="20" spans="3:35" x14ac:dyDescent="0.25">
      <c r="C20" t="s">
        <v>5</v>
      </c>
      <c r="D20">
        <v>16</v>
      </c>
      <c r="E20">
        <v>128</v>
      </c>
      <c r="F20">
        <v>256</v>
      </c>
      <c r="G20">
        <v>28</v>
      </c>
      <c r="H20">
        <v>4</v>
      </c>
      <c r="J20">
        <v>7.5583999999999998E-2</v>
      </c>
      <c r="K20">
        <v>7.5583999999999998E-2</v>
      </c>
      <c r="L20" s="4">
        <f t="shared" si="3"/>
        <v>1</v>
      </c>
      <c r="M20" s="4"/>
      <c r="N20">
        <v>8.1664E-2</v>
      </c>
      <c r="O20">
        <v>8.3327999999999999E-2</v>
      </c>
      <c r="P20" s="4">
        <f t="shared" si="0"/>
        <v>1.0203761755485894</v>
      </c>
      <c r="R20">
        <v>8.0320000000000003E-2</v>
      </c>
      <c r="S20">
        <v>8.1280000000000005E-2</v>
      </c>
      <c r="T20" s="4">
        <f t="shared" si="1"/>
        <v>1.0119521912350598</v>
      </c>
      <c r="V20">
        <v>8.6847999999999995E-2</v>
      </c>
      <c r="W20">
        <v>0.110656</v>
      </c>
      <c r="X20" s="4">
        <f t="shared" si="2"/>
        <v>1.2741341193809876</v>
      </c>
      <c r="AC20">
        <v>0.126336</v>
      </c>
      <c r="AD20">
        <v>0.124608</v>
      </c>
      <c r="AE20" s="4">
        <f t="shared" si="4"/>
        <v>0.98632218844984798</v>
      </c>
      <c r="AG20">
        <v>0.13292799999999999</v>
      </c>
      <c r="AH20">
        <v>0.132544</v>
      </c>
      <c r="AI20" s="4">
        <f t="shared" si="5"/>
        <v>0.99711121810303327</v>
      </c>
    </row>
    <row r="21" spans="3:35" x14ac:dyDescent="0.25">
      <c r="C21" t="s">
        <v>5</v>
      </c>
      <c r="D21">
        <v>32</v>
      </c>
      <c r="E21">
        <v>128</v>
      </c>
      <c r="F21">
        <v>256</v>
      </c>
      <c r="G21">
        <v>28</v>
      </c>
      <c r="H21">
        <v>4</v>
      </c>
      <c r="J21">
        <v>0.113536</v>
      </c>
      <c r="K21">
        <v>0.114816</v>
      </c>
      <c r="L21" s="4">
        <f t="shared" si="3"/>
        <v>1.0112739571589628</v>
      </c>
      <c r="M21" s="4"/>
      <c r="N21">
        <v>0.12851199999999999</v>
      </c>
      <c r="O21">
        <v>0.131776</v>
      </c>
      <c r="P21" s="4">
        <f t="shared" si="0"/>
        <v>1.0253984063745021</v>
      </c>
      <c r="R21">
        <v>0.121984</v>
      </c>
      <c r="S21">
        <v>0.123904</v>
      </c>
      <c r="T21" s="4">
        <f t="shared" si="1"/>
        <v>1.0157397691500525</v>
      </c>
      <c r="V21">
        <v>0.13664000000000001</v>
      </c>
      <c r="W21">
        <v>0.17024</v>
      </c>
      <c r="X21" s="4">
        <f t="shared" si="2"/>
        <v>1.2459016393442621</v>
      </c>
      <c r="AC21">
        <v>0.22035199999999999</v>
      </c>
      <c r="AD21">
        <v>0.21900800000000001</v>
      </c>
      <c r="AE21" s="4">
        <f t="shared" si="4"/>
        <v>0.99390066802207389</v>
      </c>
      <c r="AG21">
        <v>0.237376</v>
      </c>
      <c r="AH21">
        <v>0.23449600000000001</v>
      </c>
      <c r="AI21" s="4">
        <f t="shared" si="5"/>
        <v>0.98786734968994339</v>
      </c>
    </row>
    <row r="22" spans="3:35" x14ac:dyDescent="0.25">
      <c r="C22" t="s">
        <v>5</v>
      </c>
      <c r="D22">
        <v>64</v>
      </c>
      <c r="E22">
        <v>128</v>
      </c>
      <c r="F22">
        <v>256</v>
      </c>
      <c r="G22">
        <v>28</v>
      </c>
      <c r="H22">
        <v>4</v>
      </c>
      <c r="J22">
        <v>0.18271999999999999</v>
      </c>
      <c r="K22">
        <v>0.18412800000000001</v>
      </c>
      <c r="L22" s="4">
        <f t="shared" si="3"/>
        <v>1.007705779334501</v>
      </c>
      <c r="M22" s="4"/>
      <c r="N22">
        <v>0.22316800000000001</v>
      </c>
      <c r="O22">
        <v>0.231104</v>
      </c>
      <c r="P22" s="4">
        <f t="shared" si="0"/>
        <v>1.0355606538571838</v>
      </c>
      <c r="R22">
        <v>0.21254400000000001</v>
      </c>
      <c r="S22">
        <v>0.21292800000000001</v>
      </c>
      <c r="T22" s="4">
        <f t="shared" si="1"/>
        <v>1.0018066847335141</v>
      </c>
      <c r="V22">
        <v>0.23763200000000001</v>
      </c>
      <c r="W22">
        <v>0.274368</v>
      </c>
      <c r="X22" s="4">
        <f t="shared" si="2"/>
        <v>1.1545919741448962</v>
      </c>
      <c r="AC22">
        <v>0.38796799999999998</v>
      </c>
      <c r="AD22">
        <v>0.38387199999999999</v>
      </c>
      <c r="AE22" s="4">
        <f t="shared" si="4"/>
        <v>0.98944242824150452</v>
      </c>
      <c r="AG22">
        <v>0.43526399999999998</v>
      </c>
      <c r="AH22">
        <v>0.42419200000000001</v>
      </c>
      <c r="AI22" s="4">
        <f t="shared" si="5"/>
        <v>0.97456256432877519</v>
      </c>
    </row>
    <row r="23" spans="3:35" x14ac:dyDescent="0.25">
      <c r="C23" t="s">
        <v>5</v>
      </c>
      <c r="D23">
        <v>1</v>
      </c>
      <c r="E23">
        <v>128</v>
      </c>
      <c r="F23">
        <v>512</v>
      </c>
      <c r="G23">
        <v>28</v>
      </c>
      <c r="H23">
        <v>4</v>
      </c>
      <c r="J23">
        <v>5.2544E-2</v>
      </c>
      <c r="K23">
        <v>5.3567999999999998E-2</v>
      </c>
      <c r="L23" s="4">
        <f t="shared" si="3"/>
        <v>1.0194884287454324</v>
      </c>
      <c r="M23" s="4"/>
      <c r="N23">
        <v>5.7088E-2</v>
      </c>
      <c r="O23">
        <v>5.6896000000000002E-2</v>
      </c>
      <c r="P23" s="4">
        <f t="shared" si="0"/>
        <v>0.99663677130044848</v>
      </c>
      <c r="R23">
        <v>5.1136000000000001E-2</v>
      </c>
      <c r="S23">
        <v>5.1263999999999997E-2</v>
      </c>
      <c r="T23" s="4">
        <f t="shared" si="1"/>
        <v>1.0025031289111388</v>
      </c>
      <c r="V23">
        <v>5.7472000000000002E-2</v>
      </c>
      <c r="W23">
        <v>7.8528000000000001E-2</v>
      </c>
      <c r="X23" s="4">
        <f t="shared" si="2"/>
        <v>1.3663697104677059</v>
      </c>
      <c r="AC23">
        <v>9.3119999999999994E-2</v>
      </c>
      <c r="AD23">
        <v>9.1200000000000003E-2</v>
      </c>
      <c r="AE23" s="4">
        <f t="shared" si="4"/>
        <v>0.97938144329896915</v>
      </c>
      <c r="AG23">
        <v>9.0943999999999997E-2</v>
      </c>
      <c r="AH23">
        <v>9.0303999999999995E-2</v>
      </c>
      <c r="AI23" s="4">
        <f t="shared" si="5"/>
        <v>0.99296270232230821</v>
      </c>
    </row>
    <row r="24" spans="3:35" x14ac:dyDescent="0.25">
      <c r="C24" t="s">
        <v>5</v>
      </c>
      <c r="D24">
        <v>2</v>
      </c>
      <c r="E24">
        <v>128</v>
      </c>
      <c r="F24">
        <v>512</v>
      </c>
      <c r="G24">
        <v>28</v>
      </c>
      <c r="H24">
        <v>4</v>
      </c>
      <c r="J24">
        <v>5.1136000000000001E-2</v>
      </c>
      <c r="K24">
        <v>5.2608000000000002E-2</v>
      </c>
      <c r="L24" s="4">
        <f t="shared" si="3"/>
        <v>1.0287859824780976</v>
      </c>
      <c r="M24" s="4"/>
      <c r="N24">
        <v>5.5359999999999999E-2</v>
      </c>
      <c r="O24">
        <v>5.5295999999999998E-2</v>
      </c>
      <c r="P24" s="4">
        <f t="shared" si="0"/>
        <v>0.9988439306358381</v>
      </c>
      <c r="R24">
        <v>5.2671999999999997E-2</v>
      </c>
      <c r="S24">
        <v>5.2608000000000002E-2</v>
      </c>
      <c r="T24" s="4">
        <f t="shared" si="1"/>
        <v>0.99878493317132455</v>
      </c>
      <c r="V24">
        <v>5.6703999999999997E-2</v>
      </c>
      <c r="W24">
        <v>7.2959999999999997E-2</v>
      </c>
      <c r="X24" s="4">
        <f t="shared" si="2"/>
        <v>1.2866817155756207</v>
      </c>
      <c r="AC24">
        <v>8.7424000000000002E-2</v>
      </c>
      <c r="AD24">
        <v>8.6592000000000002E-2</v>
      </c>
      <c r="AE24" s="4">
        <f t="shared" si="4"/>
        <v>0.9904831625183016</v>
      </c>
      <c r="AG24">
        <v>8.7487999999999996E-2</v>
      </c>
      <c r="AH24">
        <v>8.7040000000000006E-2</v>
      </c>
      <c r="AI24" s="4">
        <f t="shared" si="5"/>
        <v>0.99487929773226058</v>
      </c>
    </row>
    <row r="25" spans="3:35" x14ac:dyDescent="0.25">
      <c r="C25" t="s">
        <v>5</v>
      </c>
      <c r="D25">
        <v>4</v>
      </c>
      <c r="E25">
        <v>128</v>
      </c>
      <c r="F25">
        <v>512</v>
      </c>
      <c r="G25">
        <v>28</v>
      </c>
      <c r="H25">
        <v>4</v>
      </c>
      <c r="J25">
        <v>5.2608000000000002E-2</v>
      </c>
      <c r="K25">
        <v>5.2928000000000003E-2</v>
      </c>
      <c r="L25" s="4">
        <f t="shared" si="3"/>
        <v>1.0060827250608273</v>
      </c>
      <c r="M25" s="4"/>
      <c r="N25">
        <v>5.5488000000000003E-2</v>
      </c>
      <c r="O25">
        <v>5.5871999999999998E-2</v>
      </c>
      <c r="P25" s="4">
        <f t="shared" si="0"/>
        <v>1.0069204152249134</v>
      </c>
      <c r="R25">
        <v>5.5551999999999997E-2</v>
      </c>
      <c r="S25">
        <v>5.5104E-2</v>
      </c>
      <c r="T25" s="4">
        <f t="shared" si="1"/>
        <v>0.99193548387096775</v>
      </c>
      <c r="V25">
        <v>5.7664E-2</v>
      </c>
      <c r="W25">
        <v>7.7376E-2</v>
      </c>
      <c r="X25" s="4">
        <f t="shared" si="2"/>
        <v>1.341842397336293</v>
      </c>
      <c r="AC25">
        <v>8.8511999999999993E-2</v>
      </c>
      <c r="AD25">
        <v>8.7744000000000003E-2</v>
      </c>
      <c r="AE25" s="4">
        <f t="shared" si="4"/>
        <v>0.99132321041214766</v>
      </c>
      <c r="AG25">
        <v>9.3439999999999995E-2</v>
      </c>
      <c r="AH25">
        <v>9.2095999999999997E-2</v>
      </c>
      <c r="AI25" s="4">
        <f t="shared" si="5"/>
        <v>0.98561643835616441</v>
      </c>
    </row>
    <row r="26" spans="3:35" x14ac:dyDescent="0.25">
      <c r="C26" t="s">
        <v>5</v>
      </c>
      <c r="D26">
        <v>8</v>
      </c>
      <c r="E26">
        <v>128</v>
      </c>
      <c r="F26">
        <v>512</v>
      </c>
      <c r="G26">
        <v>28</v>
      </c>
      <c r="H26">
        <v>4</v>
      </c>
      <c r="J26">
        <v>6.9888000000000006E-2</v>
      </c>
      <c r="K26">
        <v>7.0592000000000002E-2</v>
      </c>
      <c r="L26" s="4">
        <f t="shared" si="3"/>
        <v>1.01007326007326</v>
      </c>
      <c r="M26" s="4"/>
      <c r="N26">
        <v>7.3791999999999996E-2</v>
      </c>
      <c r="O26">
        <v>7.5520000000000004E-2</v>
      </c>
      <c r="P26" s="4">
        <f t="shared" si="0"/>
        <v>1.0234171725932351</v>
      </c>
      <c r="R26">
        <v>7.5072E-2</v>
      </c>
      <c r="S26">
        <v>7.5648000000000007E-2</v>
      </c>
      <c r="T26" s="4">
        <f t="shared" si="1"/>
        <v>1.0076726342710998</v>
      </c>
      <c r="V26">
        <v>7.9168000000000002E-2</v>
      </c>
      <c r="W26">
        <v>9.3951999999999994E-2</v>
      </c>
      <c r="X26" s="4">
        <f t="shared" si="2"/>
        <v>1.1867421180274857</v>
      </c>
      <c r="AC26">
        <v>0.11584</v>
      </c>
      <c r="AD26">
        <v>0.115712</v>
      </c>
      <c r="AE26" s="4">
        <f t="shared" si="4"/>
        <v>0.99889502762430937</v>
      </c>
      <c r="AG26">
        <v>0.124928</v>
      </c>
      <c r="AH26">
        <v>0.124096</v>
      </c>
      <c r="AI26" s="4">
        <f t="shared" si="5"/>
        <v>0.99334016393442626</v>
      </c>
    </row>
    <row r="27" spans="3:35" x14ac:dyDescent="0.25">
      <c r="C27" t="s">
        <v>5</v>
      </c>
      <c r="D27">
        <v>16</v>
      </c>
      <c r="E27">
        <v>128</v>
      </c>
      <c r="F27">
        <v>512</v>
      </c>
      <c r="G27">
        <v>28</v>
      </c>
      <c r="H27">
        <v>4</v>
      </c>
      <c r="J27">
        <v>0.101184</v>
      </c>
      <c r="K27">
        <v>0.10284799999999999</v>
      </c>
      <c r="L27" s="4">
        <f t="shared" si="3"/>
        <v>1.0164452877925363</v>
      </c>
      <c r="M27" s="4"/>
      <c r="N27">
        <v>0.111424</v>
      </c>
      <c r="O27">
        <v>0.114944</v>
      </c>
      <c r="P27" s="4">
        <f t="shared" si="0"/>
        <v>1.0315910396323953</v>
      </c>
      <c r="R27">
        <v>0.113152</v>
      </c>
      <c r="S27">
        <v>0.1152</v>
      </c>
      <c r="T27" s="4">
        <f t="shared" si="1"/>
        <v>1.0180995475113122</v>
      </c>
      <c r="V27">
        <v>0.122048</v>
      </c>
      <c r="W27">
        <v>0.14393600000000001</v>
      </c>
      <c r="X27" s="4">
        <f t="shared" si="2"/>
        <v>1.1793392763502883</v>
      </c>
      <c r="AC27">
        <v>0.17158399999999999</v>
      </c>
      <c r="AD27">
        <v>0.17139199999999999</v>
      </c>
      <c r="AE27" s="4">
        <f t="shared" si="4"/>
        <v>0.99888101454681089</v>
      </c>
      <c r="AG27">
        <v>0.189248</v>
      </c>
      <c r="AH27">
        <v>0.18944</v>
      </c>
      <c r="AI27" s="4">
        <f t="shared" si="5"/>
        <v>1.0010145417653027</v>
      </c>
    </row>
    <row r="28" spans="3:35" x14ac:dyDescent="0.25">
      <c r="C28" t="s">
        <v>5</v>
      </c>
      <c r="D28">
        <v>32</v>
      </c>
      <c r="E28">
        <v>128</v>
      </c>
      <c r="F28">
        <v>512</v>
      </c>
      <c r="G28">
        <v>28</v>
      </c>
      <c r="H28">
        <v>4</v>
      </c>
      <c r="J28">
        <v>0.15967999999999999</v>
      </c>
      <c r="K28">
        <v>0.16108800000000001</v>
      </c>
      <c r="L28" s="4">
        <f t="shared" si="3"/>
        <v>1.0088176352705411</v>
      </c>
      <c r="M28" s="4"/>
      <c r="N28">
        <v>0.18656</v>
      </c>
      <c r="O28">
        <v>0.194496</v>
      </c>
      <c r="P28" s="4">
        <f t="shared" si="0"/>
        <v>1.0425385934819897</v>
      </c>
      <c r="R28">
        <v>0.17932799999999999</v>
      </c>
      <c r="S28">
        <v>0.18451200000000001</v>
      </c>
      <c r="T28" s="4">
        <f t="shared" si="1"/>
        <v>1.0289079229122058</v>
      </c>
      <c r="V28">
        <v>0.20761599999999999</v>
      </c>
      <c r="W28">
        <v>0.23814399999999999</v>
      </c>
      <c r="X28" s="4">
        <f t="shared" si="2"/>
        <v>1.1470406905055488</v>
      </c>
      <c r="AC28">
        <v>0.30060799999999999</v>
      </c>
      <c r="AD28">
        <v>0.29920000000000002</v>
      </c>
      <c r="AE28" s="4">
        <f t="shared" si="4"/>
        <v>0.99531615925058559</v>
      </c>
      <c r="AG28">
        <v>0.34950399999999998</v>
      </c>
      <c r="AH28">
        <v>0.34560000000000002</v>
      </c>
      <c r="AI28" s="4">
        <f t="shared" si="5"/>
        <v>0.98882988463651356</v>
      </c>
    </row>
    <row r="29" spans="3:35" x14ac:dyDescent="0.25">
      <c r="C29" t="s">
        <v>5</v>
      </c>
      <c r="D29">
        <v>64</v>
      </c>
      <c r="E29">
        <v>128</v>
      </c>
      <c r="F29">
        <v>512</v>
      </c>
      <c r="G29">
        <v>28</v>
      </c>
      <c r="H29">
        <v>4</v>
      </c>
      <c r="J29">
        <v>0.26502399999999998</v>
      </c>
      <c r="K29">
        <v>0.26636799999999999</v>
      </c>
      <c r="L29" s="4">
        <f t="shared" si="3"/>
        <v>1.0050712388312002</v>
      </c>
      <c r="M29" s="4"/>
      <c r="N29">
        <v>0.33823999999999999</v>
      </c>
      <c r="O29">
        <v>0.354688</v>
      </c>
      <c r="P29" s="4">
        <f t="shared" si="0"/>
        <v>1.048628192999054</v>
      </c>
      <c r="R29">
        <v>0.315328</v>
      </c>
      <c r="S29">
        <v>0.319104</v>
      </c>
      <c r="T29" s="4">
        <f t="shared" si="1"/>
        <v>1.0119748325553075</v>
      </c>
      <c r="V29">
        <v>0.37753599999999998</v>
      </c>
      <c r="W29">
        <v>0.41273599999999999</v>
      </c>
      <c r="X29" s="4">
        <f t="shared" si="2"/>
        <v>1.0932361417189354</v>
      </c>
      <c r="AC29">
        <v>0.52755200000000002</v>
      </c>
      <c r="AD29">
        <v>0.52665600000000001</v>
      </c>
      <c r="AE29" s="4">
        <f t="shared" si="4"/>
        <v>0.99830158922722312</v>
      </c>
      <c r="AG29">
        <v>0.64415999999999995</v>
      </c>
      <c r="AH29">
        <v>0.63827199999999995</v>
      </c>
      <c r="AI29" s="4">
        <f t="shared" si="5"/>
        <v>0.99085941381023346</v>
      </c>
    </row>
    <row r="30" spans="3:35" x14ac:dyDescent="0.25">
      <c r="C30" t="s">
        <v>5</v>
      </c>
      <c r="D30">
        <v>1</v>
      </c>
      <c r="E30">
        <v>128</v>
      </c>
      <c r="F30">
        <f>1024</f>
        <v>1024</v>
      </c>
      <c r="G30">
        <v>28</v>
      </c>
      <c r="H30">
        <v>4</v>
      </c>
      <c r="J30">
        <v>6.368E-2</v>
      </c>
      <c r="K30">
        <v>6.7199999999999996E-2</v>
      </c>
      <c r="L30" s="4">
        <f t="shared" si="3"/>
        <v>1.0552763819095476</v>
      </c>
      <c r="M30" s="4"/>
      <c r="N30">
        <v>6.6047999999999996E-2</v>
      </c>
      <c r="O30">
        <v>6.9120000000000001E-2</v>
      </c>
      <c r="P30" s="4">
        <f t="shared" si="0"/>
        <v>1.0465116279069768</v>
      </c>
      <c r="R30">
        <v>5.8560000000000001E-2</v>
      </c>
      <c r="S30">
        <v>6.1376E-2</v>
      </c>
      <c r="T30" s="4">
        <f t="shared" si="1"/>
        <v>1.048087431693989</v>
      </c>
      <c r="V30">
        <v>6.7199999999999996E-2</v>
      </c>
      <c r="W30">
        <v>7.0335999999999996E-2</v>
      </c>
      <c r="X30" s="4">
        <f t="shared" si="2"/>
        <v>1.0466666666666666</v>
      </c>
      <c r="AC30">
        <v>0.124096</v>
      </c>
      <c r="AD30">
        <v>0.126528</v>
      </c>
      <c r="AE30" s="4">
        <f t="shared" si="4"/>
        <v>1.0195977307890665</v>
      </c>
      <c r="AG30">
        <v>0.12153600000000001</v>
      </c>
      <c r="AH30">
        <v>0.12352</v>
      </c>
      <c r="AI30" s="4">
        <f t="shared" si="5"/>
        <v>1.0163243812532912</v>
      </c>
    </row>
    <row r="31" spans="3:35" x14ac:dyDescent="0.25">
      <c r="C31" t="s">
        <v>5</v>
      </c>
      <c r="D31">
        <v>2</v>
      </c>
      <c r="E31">
        <v>128</v>
      </c>
      <c r="F31">
        <f>1024</f>
        <v>1024</v>
      </c>
      <c r="G31">
        <v>28</v>
      </c>
      <c r="H31">
        <v>4</v>
      </c>
      <c r="J31">
        <v>6.2784000000000006E-2</v>
      </c>
      <c r="K31">
        <v>6.5920000000000006E-2</v>
      </c>
      <c r="L31" s="4">
        <f t="shared" si="3"/>
        <v>1.0499490316004076</v>
      </c>
      <c r="M31" s="4"/>
      <c r="N31">
        <v>6.4768000000000006E-2</v>
      </c>
      <c r="O31">
        <v>6.7456000000000002E-2</v>
      </c>
      <c r="P31" s="4">
        <f t="shared" si="0"/>
        <v>1.041501976284585</v>
      </c>
      <c r="R31">
        <v>6.3168000000000002E-2</v>
      </c>
      <c r="S31">
        <v>6.5727999999999995E-2</v>
      </c>
      <c r="T31" s="4">
        <f t="shared" si="1"/>
        <v>1.0405268490374873</v>
      </c>
      <c r="V31">
        <v>6.8159999999999998E-2</v>
      </c>
      <c r="W31">
        <v>7.1872000000000005E-2</v>
      </c>
      <c r="X31" s="4">
        <f t="shared" si="2"/>
        <v>1.0544600938967137</v>
      </c>
      <c r="AC31">
        <v>0.12070400000000001</v>
      </c>
      <c r="AD31">
        <v>0.12224</v>
      </c>
      <c r="AE31" s="4">
        <f t="shared" si="4"/>
        <v>1.0127253446447508</v>
      </c>
      <c r="AG31">
        <v>0.120576</v>
      </c>
      <c r="AH31">
        <v>0.12224</v>
      </c>
      <c r="AI31" s="4">
        <f t="shared" si="5"/>
        <v>1.01380042462845</v>
      </c>
    </row>
    <row r="32" spans="3:35" x14ac:dyDescent="0.25">
      <c r="C32" t="s">
        <v>5</v>
      </c>
      <c r="D32">
        <v>4</v>
      </c>
      <c r="E32">
        <v>128</v>
      </c>
      <c r="F32">
        <f>1024</f>
        <v>1024</v>
      </c>
      <c r="G32">
        <v>28</v>
      </c>
      <c r="H32">
        <v>4</v>
      </c>
      <c r="J32">
        <v>6.4000000000000001E-2</v>
      </c>
      <c r="K32">
        <v>6.6175999999999999E-2</v>
      </c>
      <c r="L32" s="4">
        <f t="shared" si="3"/>
        <v>1.034</v>
      </c>
      <c r="M32" s="4"/>
      <c r="N32">
        <v>6.5280000000000005E-2</v>
      </c>
      <c r="O32">
        <v>6.8159999999999998E-2</v>
      </c>
      <c r="P32" s="4">
        <f t="shared" si="0"/>
        <v>1.0441176470588234</v>
      </c>
      <c r="R32">
        <v>6.9760000000000003E-2</v>
      </c>
      <c r="S32">
        <v>7.2704000000000005E-2</v>
      </c>
      <c r="T32" s="4">
        <f t="shared" si="1"/>
        <v>1.0422018348623854</v>
      </c>
      <c r="V32">
        <v>7.1360000000000007E-2</v>
      </c>
      <c r="W32">
        <v>7.4751999999999999E-2</v>
      </c>
      <c r="X32" s="4">
        <f t="shared" si="2"/>
        <v>1.0475336322869955</v>
      </c>
      <c r="AC32">
        <v>0.120576</v>
      </c>
      <c r="AD32">
        <v>0.12224</v>
      </c>
      <c r="AE32" s="4">
        <f t="shared" si="4"/>
        <v>1.01380042462845</v>
      </c>
      <c r="AG32">
        <v>0.12908800000000001</v>
      </c>
      <c r="AH32">
        <v>0.13088</v>
      </c>
      <c r="AI32" s="4">
        <f t="shared" si="5"/>
        <v>1.0138820029747149</v>
      </c>
    </row>
    <row r="33" spans="3:35" x14ac:dyDescent="0.25">
      <c r="C33" t="s">
        <v>5</v>
      </c>
      <c r="D33">
        <v>8</v>
      </c>
      <c r="E33">
        <v>128</v>
      </c>
      <c r="F33">
        <f>1024</f>
        <v>1024</v>
      </c>
      <c r="G33">
        <v>28</v>
      </c>
      <c r="H33">
        <v>4</v>
      </c>
      <c r="J33">
        <v>8.8831999999999994E-2</v>
      </c>
      <c r="K33">
        <v>9.3632000000000007E-2</v>
      </c>
      <c r="L33" s="4">
        <f t="shared" si="3"/>
        <v>1.054034582132565</v>
      </c>
      <c r="M33" s="4"/>
      <c r="N33">
        <v>9.6128000000000005E-2</v>
      </c>
      <c r="O33">
        <v>0.10144</v>
      </c>
      <c r="P33" s="4">
        <f t="shared" si="0"/>
        <v>1.0552596537949401</v>
      </c>
      <c r="R33">
        <v>0.10156800000000001</v>
      </c>
      <c r="S33">
        <v>0.108032</v>
      </c>
      <c r="T33" s="4">
        <f t="shared" si="1"/>
        <v>1.0636420919974794</v>
      </c>
      <c r="V33">
        <v>0.10585600000000001</v>
      </c>
      <c r="W33">
        <v>0.111488</v>
      </c>
      <c r="X33" s="4">
        <f t="shared" si="2"/>
        <v>1.0532043530834341</v>
      </c>
      <c r="AC33">
        <v>0.16896</v>
      </c>
      <c r="AD33">
        <v>0.17196800000000001</v>
      </c>
      <c r="AE33" s="4">
        <f t="shared" si="4"/>
        <v>1.0178030303030303</v>
      </c>
      <c r="AG33">
        <v>0.18784000000000001</v>
      </c>
      <c r="AH33">
        <v>0.19001599999999999</v>
      </c>
      <c r="AI33" s="4">
        <f t="shared" si="5"/>
        <v>1.0115843270868823</v>
      </c>
    </row>
    <row r="34" spans="3:35" x14ac:dyDescent="0.25">
      <c r="C34" t="s">
        <v>5</v>
      </c>
      <c r="D34">
        <v>16</v>
      </c>
      <c r="E34">
        <v>128</v>
      </c>
      <c r="F34">
        <f>1024</f>
        <v>1024</v>
      </c>
      <c r="G34">
        <v>28</v>
      </c>
      <c r="H34">
        <v>4</v>
      </c>
      <c r="J34">
        <v>0.132352</v>
      </c>
      <c r="K34">
        <v>0.14227200000000001</v>
      </c>
      <c r="L34" s="4">
        <f t="shared" si="3"/>
        <v>1.0749516441005804</v>
      </c>
      <c r="M34" s="4"/>
      <c r="N34">
        <v>0.15392</v>
      </c>
      <c r="O34">
        <v>0.16550400000000001</v>
      </c>
      <c r="P34" s="4">
        <f t="shared" si="0"/>
        <v>1.0752598752598754</v>
      </c>
      <c r="R34">
        <v>0.15846399999999999</v>
      </c>
      <c r="S34">
        <v>0.17024</v>
      </c>
      <c r="T34" s="4">
        <f t="shared" si="1"/>
        <v>1.074313408723748</v>
      </c>
      <c r="V34">
        <v>0.17529600000000001</v>
      </c>
      <c r="W34">
        <v>0.18687999999999999</v>
      </c>
      <c r="X34" s="4">
        <f t="shared" si="2"/>
        <v>1.0660825118656443</v>
      </c>
      <c r="AC34">
        <v>0.27174399999999999</v>
      </c>
      <c r="AD34">
        <v>0.27417599999999998</v>
      </c>
      <c r="AE34" s="4">
        <f t="shared" si="4"/>
        <v>1.0089495996231748</v>
      </c>
      <c r="AG34">
        <v>0.30675200000000002</v>
      </c>
      <c r="AH34">
        <v>0.30937599999999998</v>
      </c>
      <c r="AI34" s="4">
        <f t="shared" si="5"/>
        <v>1.0085541414562902</v>
      </c>
    </row>
    <row r="35" spans="3:35" x14ac:dyDescent="0.25">
      <c r="C35" t="s">
        <v>5</v>
      </c>
      <c r="D35">
        <v>32</v>
      </c>
      <c r="E35">
        <v>128</v>
      </c>
      <c r="F35">
        <f>1024</f>
        <v>1024</v>
      </c>
      <c r="G35">
        <v>28</v>
      </c>
      <c r="H35">
        <v>4</v>
      </c>
      <c r="J35">
        <v>0.212032</v>
      </c>
      <c r="K35">
        <v>0.23116800000000001</v>
      </c>
      <c r="L35" s="4">
        <f t="shared" si="3"/>
        <v>1.0902505282221553</v>
      </c>
      <c r="M35" s="4"/>
      <c r="N35">
        <v>0.27052799999999999</v>
      </c>
      <c r="O35">
        <v>0.291904</v>
      </c>
      <c r="P35" s="4">
        <f t="shared" si="0"/>
        <v>1.0790158504849776</v>
      </c>
      <c r="R35">
        <v>0.27462399999999998</v>
      </c>
      <c r="S35">
        <v>0.29081600000000002</v>
      </c>
      <c r="T35" s="4">
        <f t="shared" si="1"/>
        <v>1.0589606152412028</v>
      </c>
      <c r="V35">
        <v>0.31558399999999998</v>
      </c>
      <c r="W35">
        <v>0.34355200000000002</v>
      </c>
      <c r="X35" s="4">
        <f t="shared" si="2"/>
        <v>1.0886229973636181</v>
      </c>
      <c r="AC35">
        <v>0.48358400000000001</v>
      </c>
      <c r="AD35">
        <v>0.48838399999999998</v>
      </c>
      <c r="AE35" s="4">
        <f t="shared" si="4"/>
        <v>1.0099258867125462</v>
      </c>
      <c r="AG35">
        <v>0.57299199999999995</v>
      </c>
      <c r="AH35">
        <v>0.57376000000000005</v>
      </c>
      <c r="AI35" s="4">
        <f t="shared" si="5"/>
        <v>1.0013403328493244</v>
      </c>
    </row>
    <row r="36" spans="3:35" x14ac:dyDescent="0.25">
      <c r="C36" t="s">
        <v>5</v>
      </c>
      <c r="D36">
        <v>64</v>
      </c>
      <c r="E36">
        <v>128</v>
      </c>
      <c r="F36">
        <f>1024</f>
        <v>1024</v>
      </c>
      <c r="G36">
        <v>28</v>
      </c>
      <c r="H36">
        <v>4</v>
      </c>
      <c r="J36">
        <v>0.35904000000000003</v>
      </c>
      <c r="K36">
        <v>0.39001599999999997</v>
      </c>
      <c r="L36" s="4">
        <f t="shared" si="3"/>
        <v>1.0862745098039215</v>
      </c>
      <c r="M36" s="4"/>
      <c r="N36">
        <v>0.49280000000000002</v>
      </c>
      <c r="O36">
        <v>0.53433600000000003</v>
      </c>
      <c r="P36" s="4">
        <f t="shared" si="0"/>
        <v>1.0842857142857143</v>
      </c>
      <c r="R36">
        <v>0.478912</v>
      </c>
      <c r="S36">
        <v>0.512768</v>
      </c>
      <c r="T36" s="4">
        <f t="shared" si="1"/>
        <v>1.0706935720967525</v>
      </c>
      <c r="V36">
        <v>0.58374400000000004</v>
      </c>
      <c r="W36">
        <v>0.64736000000000005</v>
      </c>
      <c r="X36" s="4">
        <f t="shared" si="2"/>
        <v>1.108979278587874</v>
      </c>
      <c r="AC36">
        <v>0.81267199999999995</v>
      </c>
      <c r="AD36">
        <v>0.81817600000000001</v>
      </c>
      <c r="AE36" s="4">
        <f t="shared" si="4"/>
        <v>1.0067727201134038</v>
      </c>
      <c r="AG36">
        <v>1.0771200000000001</v>
      </c>
      <c r="AH36">
        <v>1.0760959999999999</v>
      </c>
      <c r="AI36" s="4">
        <f t="shared" si="5"/>
        <v>0.99904931669637542</v>
      </c>
    </row>
    <row r="37" spans="3:35" x14ac:dyDescent="0.25">
      <c r="C37" t="s">
        <v>5</v>
      </c>
      <c r="D37">
        <v>1</v>
      </c>
      <c r="E37">
        <v>128</v>
      </c>
      <c r="F37">
        <f>2048</f>
        <v>2048</v>
      </c>
      <c r="G37">
        <v>28</v>
      </c>
      <c r="H37">
        <v>4</v>
      </c>
      <c r="J37">
        <v>8.6400000000000005E-2</v>
      </c>
      <c r="K37">
        <v>9.3567999999999998E-2</v>
      </c>
      <c r="L37" s="4">
        <f t="shared" si="3"/>
        <v>1.0829629629629629</v>
      </c>
      <c r="M37" s="4"/>
      <c r="N37">
        <v>9.3504000000000004E-2</v>
      </c>
      <c r="O37">
        <v>9.9968000000000001E-2</v>
      </c>
      <c r="P37" s="4">
        <f t="shared" si="0"/>
        <v>1.0691307323750856</v>
      </c>
      <c r="R37">
        <v>7.9168000000000002E-2</v>
      </c>
      <c r="S37">
        <v>8.3968000000000001E-2</v>
      </c>
      <c r="T37" s="4">
        <f t="shared" si="1"/>
        <v>1.0606305578011317</v>
      </c>
      <c r="V37">
        <v>9.5680000000000001E-2</v>
      </c>
      <c r="W37">
        <v>0.10220799999999999</v>
      </c>
      <c r="X37" s="4">
        <f t="shared" si="2"/>
        <v>1.0682274247491639</v>
      </c>
      <c r="AC37">
        <v>0.16864000000000001</v>
      </c>
      <c r="AD37">
        <v>0.171648</v>
      </c>
      <c r="AE37" s="4">
        <f t="shared" si="4"/>
        <v>1.0178368121442125</v>
      </c>
      <c r="AG37">
        <v>0.16620799999999999</v>
      </c>
      <c r="AH37">
        <v>0.167104</v>
      </c>
      <c r="AI37" s="4">
        <f t="shared" si="5"/>
        <v>1.0053908355795149</v>
      </c>
    </row>
    <row r="38" spans="3:35" x14ac:dyDescent="0.25">
      <c r="C38" t="s">
        <v>5</v>
      </c>
      <c r="D38">
        <v>2</v>
      </c>
      <c r="E38">
        <v>128</v>
      </c>
      <c r="F38">
        <f>2048</f>
        <v>2048</v>
      </c>
      <c r="G38">
        <v>28</v>
      </c>
      <c r="H38">
        <v>4</v>
      </c>
      <c r="J38">
        <v>8.6208000000000007E-2</v>
      </c>
      <c r="K38">
        <v>9.1583999999999999E-2</v>
      </c>
      <c r="L38" s="4">
        <f t="shared" si="3"/>
        <v>1.0623608017817372</v>
      </c>
      <c r="M38" s="4"/>
      <c r="N38">
        <v>9.2480000000000007E-2</v>
      </c>
      <c r="O38">
        <v>9.8432000000000006E-2</v>
      </c>
      <c r="P38" s="4">
        <f t="shared" si="0"/>
        <v>1.0643598615916954</v>
      </c>
      <c r="R38">
        <v>9.0048000000000003E-2</v>
      </c>
      <c r="S38">
        <v>9.4016000000000002E-2</v>
      </c>
      <c r="T38" s="4">
        <f t="shared" si="1"/>
        <v>1.0440653873489694</v>
      </c>
      <c r="V38">
        <v>9.8879999999999996E-2</v>
      </c>
      <c r="W38">
        <v>0.10470400000000001</v>
      </c>
      <c r="X38" s="4">
        <f t="shared" si="2"/>
        <v>1.0588996763754046</v>
      </c>
      <c r="AC38">
        <v>0.16390399999999999</v>
      </c>
      <c r="AD38">
        <v>0.16639999999999999</v>
      </c>
      <c r="AE38" s="4">
        <f t="shared" si="4"/>
        <v>1.015228426395939</v>
      </c>
      <c r="AG38">
        <v>0.16787199999999999</v>
      </c>
      <c r="AH38">
        <v>0.16947200000000001</v>
      </c>
      <c r="AI38" s="4">
        <f t="shared" si="5"/>
        <v>1.0095310712924135</v>
      </c>
    </row>
    <row r="39" spans="3:35" x14ac:dyDescent="0.25">
      <c r="C39" t="s">
        <v>5</v>
      </c>
      <c r="D39">
        <v>4</v>
      </c>
      <c r="E39">
        <v>128</v>
      </c>
      <c r="F39">
        <f>2048</f>
        <v>2048</v>
      </c>
      <c r="G39">
        <v>28</v>
      </c>
      <c r="H39">
        <v>4</v>
      </c>
      <c r="J39">
        <v>8.7936E-2</v>
      </c>
      <c r="K39">
        <v>9.1967999999999994E-2</v>
      </c>
      <c r="L39" s="4">
        <f t="shared" si="3"/>
        <v>1.0458515283842793</v>
      </c>
      <c r="M39" s="4"/>
      <c r="N39">
        <v>9.3184000000000003E-2</v>
      </c>
      <c r="O39">
        <v>9.9199999999999997E-2</v>
      </c>
      <c r="P39" s="4">
        <f t="shared" si="0"/>
        <v>1.0645604395604396</v>
      </c>
      <c r="R39">
        <v>0.10208</v>
      </c>
      <c r="S39">
        <v>0.10847999999999999</v>
      </c>
      <c r="T39" s="4">
        <f t="shared" si="1"/>
        <v>1.0626959247648902</v>
      </c>
      <c r="V39">
        <v>0.103808</v>
      </c>
      <c r="W39">
        <v>0.11014400000000001</v>
      </c>
      <c r="X39" s="4">
        <f t="shared" si="2"/>
        <v>1.0610357583230581</v>
      </c>
      <c r="AC39">
        <v>0.164992</v>
      </c>
      <c r="AD39">
        <v>0.16703999999999999</v>
      </c>
      <c r="AE39" s="4">
        <f t="shared" si="4"/>
        <v>1.0124127230411171</v>
      </c>
      <c r="AG39">
        <v>0.18240000000000001</v>
      </c>
      <c r="AH39">
        <v>0.18534400000000001</v>
      </c>
      <c r="AI39" s="4">
        <f t="shared" si="5"/>
        <v>1.0161403508771929</v>
      </c>
    </row>
    <row r="40" spans="3:35" x14ac:dyDescent="0.25">
      <c r="C40" t="s">
        <v>5</v>
      </c>
      <c r="D40">
        <v>8</v>
      </c>
      <c r="E40">
        <v>128</v>
      </c>
      <c r="F40">
        <f>2048</f>
        <v>2048</v>
      </c>
      <c r="G40">
        <v>28</v>
      </c>
      <c r="H40">
        <v>4</v>
      </c>
      <c r="J40">
        <v>0.13043199999999999</v>
      </c>
      <c r="K40">
        <v>0.14182400000000001</v>
      </c>
      <c r="L40" s="4">
        <f t="shared" si="3"/>
        <v>1.0873405299313053</v>
      </c>
      <c r="M40" s="4"/>
      <c r="N40">
        <v>0.150592</v>
      </c>
      <c r="O40">
        <v>0.16134399999999999</v>
      </c>
      <c r="P40" s="4">
        <f t="shared" si="0"/>
        <v>1.0713982150446237</v>
      </c>
      <c r="R40">
        <v>0.15673599999999999</v>
      </c>
      <c r="S40">
        <v>0.168576</v>
      </c>
      <c r="T40" s="4">
        <f t="shared" si="1"/>
        <v>1.0755410371580238</v>
      </c>
      <c r="V40">
        <v>0.17075199999999999</v>
      </c>
      <c r="W40">
        <v>0.18310399999999999</v>
      </c>
      <c r="X40" s="4">
        <f t="shared" si="2"/>
        <v>1.0723388305847077</v>
      </c>
      <c r="AC40">
        <v>0.25913599999999998</v>
      </c>
      <c r="AD40">
        <v>0.26252799999999998</v>
      </c>
      <c r="AE40" s="4">
        <f t="shared" si="4"/>
        <v>1.0130896517658681</v>
      </c>
      <c r="AG40">
        <v>0.29631999999999997</v>
      </c>
      <c r="AH40">
        <v>0.29855999999999999</v>
      </c>
      <c r="AI40" s="4">
        <f t="shared" si="5"/>
        <v>1.0075593952483801</v>
      </c>
    </row>
    <row r="41" spans="3:35" x14ac:dyDescent="0.25">
      <c r="C41" t="s">
        <v>5</v>
      </c>
      <c r="D41">
        <v>16</v>
      </c>
      <c r="E41">
        <v>128</v>
      </c>
      <c r="F41">
        <f>2048</f>
        <v>2048</v>
      </c>
      <c r="G41">
        <v>28</v>
      </c>
      <c r="H41">
        <v>4</v>
      </c>
      <c r="J41">
        <v>0.210368</v>
      </c>
      <c r="K41">
        <v>0.232576</v>
      </c>
      <c r="L41" s="4">
        <f t="shared" si="3"/>
        <v>1.1055673866747795</v>
      </c>
      <c r="M41" s="4"/>
      <c r="N41">
        <v>0.264768</v>
      </c>
      <c r="O41">
        <v>0.28697600000000001</v>
      </c>
      <c r="P41" s="4">
        <f t="shared" si="0"/>
        <v>1.0838772057046169</v>
      </c>
      <c r="R41">
        <v>0.26521600000000001</v>
      </c>
      <c r="S41">
        <v>0.28633599999999998</v>
      </c>
      <c r="T41" s="4">
        <f t="shared" si="1"/>
        <v>1.0796332046332044</v>
      </c>
      <c r="V41">
        <v>0.307008</v>
      </c>
      <c r="W41">
        <v>0.330432</v>
      </c>
      <c r="X41" s="4">
        <f t="shared" si="2"/>
        <v>1.0762976860537836</v>
      </c>
      <c r="AC41">
        <v>0.45081599999999999</v>
      </c>
      <c r="AD41">
        <v>0.45606400000000002</v>
      </c>
      <c r="AE41" s="4">
        <f t="shared" si="4"/>
        <v>1.0116411130039751</v>
      </c>
      <c r="AG41">
        <v>0.52889600000000003</v>
      </c>
      <c r="AH41">
        <v>0.53151999999999999</v>
      </c>
      <c r="AI41" s="4">
        <f t="shared" si="5"/>
        <v>1.0049612778315584</v>
      </c>
    </row>
    <row r="42" spans="3:35" x14ac:dyDescent="0.25">
      <c r="C42" t="s">
        <v>5</v>
      </c>
      <c r="D42">
        <v>32</v>
      </c>
      <c r="E42">
        <v>128</v>
      </c>
      <c r="F42">
        <f>2048</f>
        <v>2048</v>
      </c>
      <c r="G42">
        <v>28</v>
      </c>
      <c r="H42">
        <v>4</v>
      </c>
      <c r="J42">
        <v>0.35167999999999999</v>
      </c>
      <c r="K42">
        <v>0.39001599999999997</v>
      </c>
      <c r="L42" s="4">
        <f t="shared" si="3"/>
        <v>1.1090081892629662</v>
      </c>
      <c r="M42" s="4"/>
      <c r="N42">
        <v>0.47865600000000003</v>
      </c>
      <c r="O42">
        <v>0.52070399999999994</v>
      </c>
      <c r="P42" s="4">
        <f t="shared" si="0"/>
        <v>1.0878459687123945</v>
      </c>
      <c r="R42">
        <v>0.46937600000000002</v>
      </c>
      <c r="S42">
        <v>0.50214400000000003</v>
      </c>
      <c r="T42" s="4">
        <f t="shared" si="1"/>
        <v>1.0698118352877011</v>
      </c>
      <c r="V42">
        <v>0.57862400000000003</v>
      </c>
      <c r="W42">
        <v>0.62700800000000001</v>
      </c>
      <c r="X42" s="4">
        <f t="shared" si="2"/>
        <v>1.0836190686870921</v>
      </c>
      <c r="AC42">
        <v>0.77139199999999997</v>
      </c>
      <c r="AD42">
        <v>0.77260799999999996</v>
      </c>
      <c r="AE42" s="4">
        <f t="shared" si="4"/>
        <v>1.0015763710279599</v>
      </c>
      <c r="AG42">
        <v>1.002048</v>
      </c>
      <c r="AH42">
        <v>1.0056320000000001</v>
      </c>
      <c r="AI42" s="4">
        <f t="shared" si="5"/>
        <v>1.0035766749696622</v>
      </c>
    </row>
    <row r="43" spans="3:35" x14ac:dyDescent="0.25">
      <c r="C43" t="s">
        <v>5</v>
      </c>
      <c r="D43">
        <v>64</v>
      </c>
      <c r="E43">
        <v>128</v>
      </c>
      <c r="F43">
        <f>2048</f>
        <v>2048</v>
      </c>
      <c r="G43">
        <v>28</v>
      </c>
      <c r="H43">
        <v>4</v>
      </c>
      <c r="J43">
        <v>0.61695999999999995</v>
      </c>
      <c r="K43">
        <v>0.69753600000000004</v>
      </c>
      <c r="L43" s="4">
        <f t="shared" si="3"/>
        <v>1.1306016597510375</v>
      </c>
      <c r="M43" s="4"/>
      <c r="N43">
        <v>0.91820800000000002</v>
      </c>
      <c r="O43">
        <v>1.005376</v>
      </c>
      <c r="P43" s="4">
        <f t="shared" si="0"/>
        <v>1.0949327385516137</v>
      </c>
      <c r="R43">
        <v>0.86463999999999996</v>
      </c>
      <c r="S43">
        <v>0.91935999999999996</v>
      </c>
      <c r="T43" s="4">
        <f t="shared" si="1"/>
        <v>1.0632864544781644</v>
      </c>
      <c r="V43">
        <v>1.1068800000000001</v>
      </c>
      <c r="W43">
        <v>1.1992959999999999</v>
      </c>
      <c r="X43" s="4">
        <f t="shared" si="2"/>
        <v>1.0834923388262503</v>
      </c>
      <c r="AC43">
        <v>1.4450559999999999</v>
      </c>
      <c r="AD43">
        <v>1.4520960000000001</v>
      </c>
      <c r="AE43" s="4">
        <f t="shared" si="4"/>
        <v>1.0048717835156562</v>
      </c>
      <c r="AG43">
        <v>1.9439360000000001</v>
      </c>
      <c r="AH43">
        <v>1.9523839999999999</v>
      </c>
      <c r="AI43" s="4">
        <f t="shared" si="5"/>
        <v>1.0043458220846775</v>
      </c>
    </row>
    <row r="44" spans="3:35" x14ac:dyDescent="0.25">
      <c r="C44" t="s">
        <v>5</v>
      </c>
      <c r="D44">
        <v>1</v>
      </c>
      <c r="E44">
        <v>128</v>
      </c>
      <c r="F44">
        <f>3072</f>
        <v>3072</v>
      </c>
      <c r="G44">
        <v>28</v>
      </c>
      <c r="H44">
        <v>4</v>
      </c>
      <c r="J44">
        <v>0.10592</v>
      </c>
      <c r="K44">
        <v>0.115456</v>
      </c>
      <c r="L44" s="4">
        <f t="shared" si="3"/>
        <v>1.0900302114803626</v>
      </c>
      <c r="M44" s="4"/>
      <c r="N44">
        <v>0.121216</v>
      </c>
      <c r="O44">
        <v>0.12972800000000001</v>
      </c>
      <c r="P44" s="4">
        <f t="shared" si="0"/>
        <v>1.0702217529039071</v>
      </c>
      <c r="R44">
        <v>0.100352</v>
      </c>
      <c r="S44">
        <v>0.107392</v>
      </c>
      <c r="T44" s="4">
        <f t="shared" si="1"/>
        <v>1.0701530612244898</v>
      </c>
      <c r="V44">
        <v>0.124032</v>
      </c>
      <c r="W44">
        <v>0.13209599999999999</v>
      </c>
      <c r="X44" s="4">
        <f t="shared" si="2"/>
        <v>1.0650154798761609</v>
      </c>
      <c r="AC44">
        <v>0.21126400000000001</v>
      </c>
      <c r="AD44">
        <v>0.21273600000000001</v>
      </c>
      <c r="AE44" s="4">
        <f t="shared" si="4"/>
        <v>1.0069675855801272</v>
      </c>
      <c r="AG44">
        <v>0.21056</v>
      </c>
      <c r="AH44">
        <v>0.212288</v>
      </c>
      <c r="AI44" s="4">
        <f t="shared" si="5"/>
        <v>1.0082066869300912</v>
      </c>
    </row>
    <row r="45" spans="3:35" x14ac:dyDescent="0.25">
      <c r="C45" t="s">
        <v>5</v>
      </c>
      <c r="D45">
        <v>2</v>
      </c>
      <c r="E45">
        <v>128</v>
      </c>
      <c r="F45">
        <f>3072</f>
        <v>3072</v>
      </c>
      <c r="G45">
        <v>28</v>
      </c>
      <c r="H45">
        <v>4</v>
      </c>
      <c r="J45">
        <v>0.107456</v>
      </c>
      <c r="K45">
        <v>0.11622399999999999</v>
      </c>
      <c r="L45" s="4">
        <f t="shared" si="3"/>
        <v>1.0815961882072662</v>
      </c>
      <c r="M45" s="4"/>
      <c r="N45">
        <v>0.120128</v>
      </c>
      <c r="O45">
        <v>0.12844800000000001</v>
      </c>
      <c r="P45" s="4">
        <f t="shared" si="0"/>
        <v>1.0692594565796485</v>
      </c>
      <c r="R45">
        <v>0.113792</v>
      </c>
      <c r="S45">
        <v>0.12224</v>
      </c>
      <c r="T45" s="4">
        <f t="shared" si="1"/>
        <v>1.0742407199100112</v>
      </c>
      <c r="V45">
        <v>0.12998399999999999</v>
      </c>
      <c r="W45">
        <v>0.13830400000000001</v>
      </c>
      <c r="X45" s="4">
        <f t="shared" si="2"/>
        <v>1.0640078778926638</v>
      </c>
      <c r="AC45">
        <v>0.20857600000000001</v>
      </c>
      <c r="AD45">
        <v>0.21062400000000001</v>
      </c>
      <c r="AE45" s="4">
        <f t="shared" si="4"/>
        <v>1.0098189628720466</v>
      </c>
      <c r="AG45">
        <v>0.21606400000000001</v>
      </c>
      <c r="AH45">
        <v>0.21785599999999999</v>
      </c>
      <c r="AI45" s="4">
        <f t="shared" si="5"/>
        <v>1.0082938388625591</v>
      </c>
    </row>
    <row r="46" spans="3:35" x14ac:dyDescent="0.25">
      <c r="C46" t="s">
        <v>5</v>
      </c>
      <c r="D46">
        <v>4</v>
      </c>
      <c r="E46">
        <v>128</v>
      </c>
      <c r="F46">
        <f>3072</f>
        <v>3072</v>
      </c>
      <c r="G46">
        <v>28</v>
      </c>
      <c r="H46">
        <v>4</v>
      </c>
      <c r="J46">
        <v>0.107584</v>
      </c>
      <c r="K46">
        <v>0.115328</v>
      </c>
      <c r="L46" s="4">
        <f t="shared" si="3"/>
        <v>1.0719809637120761</v>
      </c>
      <c r="M46" s="4"/>
      <c r="N46">
        <v>0.120384</v>
      </c>
      <c r="O46">
        <v>0.12870400000000001</v>
      </c>
      <c r="P46" s="4">
        <f t="shared" si="0"/>
        <v>1.0691121743753322</v>
      </c>
      <c r="R46">
        <v>0.12876799999999999</v>
      </c>
      <c r="S46">
        <v>0.13791999999999999</v>
      </c>
      <c r="T46" s="4">
        <f t="shared" si="1"/>
        <v>1.0710735586481113</v>
      </c>
      <c r="V46">
        <v>0.13625599999999999</v>
      </c>
      <c r="W46">
        <v>0.14508799999999999</v>
      </c>
      <c r="X46" s="4">
        <f t="shared" si="2"/>
        <v>1.0648191639267262</v>
      </c>
      <c r="AC46">
        <v>0.206592</v>
      </c>
      <c r="AD46">
        <v>0.20819199999999999</v>
      </c>
      <c r="AE46" s="4">
        <f t="shared" si="4"/>
        <v>1.0077447335811647</v>
      </c>
      <c r="AG46">
        <v>0.23686399999999999</v>
      </c>
      <c r="AH46">
        <v>0.23871999999999999</v>
      </c>
      <c r="AI46" s="4">
        <f t="shared" si="5"/>
        <v>1.0078357200756551</v>
      </c>
    </row>
    <row r="47" spans="3:35" x14ac:dyDescent="0.25">
      <c r="C47" t="s">
        <v>5</v>
      </c>
      <c r="D47">
        <v>8</v>
      </c>
      <c r="E47">
        <v>128</v>
      </c>
      <c r="F47">
        <f>3072</f>
        <v>3072</v>
      </c>
      <c r="G47">
        <v>28</v>
      </c>
      <c r="H47">
        <v>4</v>
      </c>
      <c r="J47">
        <v>0.17011200000000001</v>
      </c>
      <c r="K47">
        <v>0.18451200000000001</v>
      </c>
      <c r="L47" s="4">
        <f t="shared" si="3"/>
        <v>1.0846501128668171</v>
      </c>
      <c r="M47" s="4"/>
      <c r="N47">
        <v>0.206784</v>
      </c>
      <c r="O47">
        <v>0.22323200000000001</v>
      </c>
      <c r="P47" s="4">
        <f t="shared" si="0"/>
        <v>1.0795419374806563</v>
      </c>
      <c r="R47">
        <v>0.21126400000000001</v>
      </c>
      <c r="S47">
        <v>0.227136</v>
      </c>
      <c r="T47" s="4">
        <f t="shared" si="1"/>
        <v>1.0751287488639807</v>
      </c>
      <c r="V47">
        <v>0.241536</v>
      </c>
      <c r="W47">
        <v>0.25734400000000002</v>
      </c>
      <c r="X47" s="4">
        <f t="shared" si="2"/>
        <v>1.0654478007419184</v>
      </c>
      <c r="AC47">
        <v>0.35084799999999999</v>
      </c>
      <c r="AD47">
        <v>0.35308800000000001</v>
      </c>
      <c r="AE47" s="4">
        <f t="shared" si="4"/>
        <v>1.0063845311929953</v>
      </c>
      <c r="AG47">
        <v>0.408192</v>
      </c>
      <c r="AH47">
        <v>0.41043200000000002</v>
      </c>
      <c r="AI47" s="4">
        <f t="shared" si="5"/>
        <v>1.0054876136719975</v>
      </c>
    </row>
    <row r="48" spans="3:35" x14ac:dyDescent="0.25">
      <c r="C48" t="s">
        <v>5</v>
      </c>
      <c r="D48">
        <v>16</v>
      </c>
      <c r="E48">
        <v>128</v>
      </c>
      <c r="F48">
        <f>3072</f>
        <v>3072</v>
      </c>
      <c r="G48">
        <v>28</v>
      </c>
      <c r="H48">
        <v>4</v>
      </c>
      <c r="J48">
        <v>0.28198400000000001</v>
      </c>
      <c r="K48">
        <v>0.31545600000000001</v>
      </c>
      <c r="L48" s="4">
        <f t="shared" si="3"/>
        <v>1.1187017703132092</v>
      </c>
      <c r="M48" s="4"/>
      <c r="N48">
        <v>0.37497599999999998</v>
      </c>
      <c r="O48">
        <v>0.40633599999999997</v>
      </c>
      <c r="P48" s="4">
        <f t="shared" si="0"/>
        <v>1.0836320191158901</v>
      </c>
      <c r="R48">
        <v>0.36096</v>
      </c>
      <c r="S48">
        <v>0.39321600000000001</v>
      </c>
      <c r="T48" s="4">
        <f t="shared" si="1"/>
        <v>1.0893617021276596</v>
      </c>
      <c r="V48">
        <v>0.43404799999999999</v>
      </c>
      <c r="W48">
        <v>0.46495999999999998</v>
      </c>
      <c r="X48" s="4">
        <f t="shared" si="2"/>
        <v>1.0712179298142142</v>
      </c>
      <c r="AC48">
        <v>0.62489600000000001</v>
      </c>
      <c r="AD48">
        <v>0.63200000000000001</v>
      </c>
      <c r="AE48" s="4">
        <f t="shared" si="4"/>
        <v>1.0113682916837361</v>
      </c>
      <c r="AG48">
        <v>0.74681600000000004</v>
      </c>
      <c r="AH48">
        <v>0.74841599999999997</v>
      </c>
      <c r="AI48" s="4">
        <f t="shared" si="5"/>
        <v>1.0021424286571257</v>
      </c>
    </row>
    <row r="49" spans="3:35" x14ac:dyDescent="0.25">
      <c r="C49" t="s">
        <v>5</v>
      </c>
      <c r="D49">
        <v>32</v>
      </c>
      <c r="E49">
        <v>128</v>
      </c>
      <c r="F49">
        <f>3072</f>
        <v>3072</v>
      </c>
      <c r="G49">
        <v>28</v>
      </c>
      <c r="H49">
        <v>4</v>
      </c>
      <c r="J49">
        <v>0.47648000000000001</v>
      </c>
      <c r="K49">
        <v>0.54022400000000004</v>
      </c>
      <c r="L49" s="4">
        <f t="shared" si="3"/>
        <v>1.1337810611148422</v>
      </c>
      <c r="M49" s="4"/>
      <c r="N49">
        <v>0.71315200000000001</v>
      </c>
      <c r="O49">
        <v>0.77196799999999999</v>
      </c>
      <c r="P49" s="4">
        <f t="shared" si="0"/>
        <v>1.0824733016243382</v>
      </c>
      <c r="R49">
        <v>0.66393599999999997</v>
      </c>
      <c r="S49">
        <v>0.72031999999999996</v>
      </c>
      <c r="T49" s="4">
        <f t="shared" si="1"/>
        <v>1.0849238480817429</v>
      </c>
      <c r="V49">
        <v>0.833152</v>
      </c>
      <c r="W49">
        <v>0.89273599999999997</v>
      </c>
      <c r="X49" s="4">
        <f t="shared" si="2"/>
        <v>1.0715163619603625</v>
      </c>
      <c r="AC49">
        <v>1.658944</v>
      </c>
      <c r="AD49">
        <v>1.6631039999999999</v>
      </c>
      <c r="AE49" s="4">
        <f t="shared" si="4"/>
        <v>1.0025076193048108</v>
      </c>
      <c r="AG49">
        <v>1.43808</v>
      </c>
      <c r="AH49">
        <v>1.439168</v>
      </c>
      <c r="AI49" s="4">
        <f t="shared" si="5"/>
        <v>1.0007565643079661</v>
      </c>
    </row>
    <row r="50" spans="3:35" x14ac:dyDescent="0.25">
      <c r="C50" t="s">
        <v>5</v>
      </c>
      <c r="D50">
        <v>64</v>
      </c>
      <c r="E50">
        <v>128</v>
      </c>
      <c r="F50">
        <f>3072</f>
        <v>3072</v>
      </c>
      <c r="G50">
        <v>28</v>
      </c>
      <c r="H50">
        <v>4</v>
      </c>
      <c r="J50">
        <v>0.87116800000000005</v>
      </c>
      <c r="K50">
        <v>0.98560000000000003</v>
      </c>
      <c r="L50" s="4">
        <f t="shared" si="3"/>
        <v>1.1313546870408462</v>
      </c>
      <c r="M50" s="4"/>
      <c r="N50">
        <v>1.349248</v>
      </c>
      <c r="O50">
        <v>1.475584</v>
      </c>
      <c r="P50" s="4">
        <f t="shared" si="0"/>
        <v>1.0936343800398445</v>
      </c>
      <c r="R50">
        <v>1.230656</v>
      </c>
      <c r="S50">
        <v>1.3204480000000001</v>
      </c>
      <c r="T50" s="4">
        <f t="shared" si="1"/>
        <v>1.0729627125695564</v>
      </c>
      <c r="V50">
        <v>1.6252800000000001</v>
      </c>
      <c r="W50">
        <v>1.7379199999999999</v>
      </c>
      <c r="X50" s="4">
        <f t="shared" si="2"/>
        <v>1.0693049812955304</v>
      </c>
      <c r="AC50">
        <v>2.070592</v>
      </c>
      <c r="AD50">
        <v>2.0744959999999999</v>
      </c>
      <c r="AE50" s="4">
        <f t="shared" si="4"/>
        <v>1.0018854511173616</v>
      </c>
      <c r="AG50">
        <v>2.8064640000000001</v>
      </c>
      <c r="AH50">
        <v>2.811264</v>
      </c>
      <c r="AI50" s="4">
        <f t="shared" si="5"/>
        <v>1.0017103372785112</v>
      </c>
    </row>
    <row r="51" spans="3:35" x14ac:dyDescent="0.25">
      <c r="C51" t="s">
        <v>5</v>
      </c>
      <c r="D51">
        <v>1</v>
      </c>
      <c r="E51">
        <v>128</v>
      </c>
      <c r="F51">
        <f>4096</f>
        <v>4096</v>
      </c>
      <c r="G51">
        <v>28</v>
      </c>
      <c r="H51">
        <v>4</v>
      </c>
      <c r="J51">
        <v>0.12825600000000001</v>
      </c>
      <c r="K51">
        <v>0.139456</v>
      </c>
      <c r="L51" s="4">
        <f t="shared" si="3"/>
        <v>1.087325349301397</v>
      </c>
      <c r="M51" s="4"/>
      <c r="N51">
        <v>0.14873600000000001</v>
      </c>
      <c r="O51">
        <v>0.16031999999999999</v>
      </c>
      <c r="P51" s="4">
        <f t="shared" si="0"/>
        <v>1.0778829604130808</v>
      </c>
      <c r="R51">
        <v>0.120384</v>
      </c>
      <c r="S51">
        <v>0.130496</v>
      </c>
      <c r="T51" s="4">
        <f t="shared" si="1"/>
        <v>1.0839978734715576</v>
      </c>
      <c r="V51">
        <v>0.152064</v>
      </c>
      <c r="W51">
        <v>0.16320000000000001</v>
      </c>
      <c r="X51" s="4">
        <f t="shared" si="2"/>
        <v>1.0732323232323233</v>
      </c>
      <c r="AC51">
        <v>0.25446400000000002</v>
      </c>
      <c r="AD51">
        <v>0.256832</v>
      </c>
      <c r="AE51" s="4">
        <f t="shared" si="4"/>
        <v>1.0093058350100603</v>
      </c>
      <c r="AG51">
        <v>0.25523200000000001</v>
      </c>
      <c r="AH51">
        <v>0.25772800000000001</v>
      </c>
      <c r="AI51" s="4">
        <f t="shared" si="5"/>
        <v>1.0097793380140421</v>
      </c>
    </row>
    <row r="52" spans="3:35" x14ac:dyDescent="0.25">
      <c r="C52" t="s">
        <v>5</v>
      </c>
      <c r="D52">
        <v>2</v>
      </c>
      <c r="E52">
        <v>128</v>
      </c>
      <c r="F52">
        <f>4096</f>
        <v>4096</v>
      </c>
      <c r="G52">
        <v>28</v>
      </c>
      <c r="H52">
        <v>4</v>
      </c>
      <c r="J52">
        <v>0.12742400000000001</v>
      </c>
      <c r="K52">
        <v>0.139712</v>
      </c>
      <c r="L52" s="4">
        <f t="shared" si="3"/>
        <v>1.096433952787544</v>
      </c>
      <c r="M52" s="4"/>
      <c r="N52">
        <v>0.147392</v>
      </c>
      <c r="O52">
        <v>0.15865599999999999</v>
      </c>
      <c r="P52" s="4">
        <f t="shared" si="0"/>
        <v>1.0764220581849762</v>
      </c>
      <c r="R52">
        <v>0.14163200000000001</v>
      </c>
      <c r="S52">
        <v>0.15135999999999999</v>
      </c>
      <c r="T52" s="4">
        <f t="shared" si="1"/>
        <v>1.0686850429281518</v>
      </c>
      <c r="V52">
        <v>0.16044800000000001</v>
      </c>
      <c r="W52">
        <v>0.17203199999999999</v>
      </c>
      <c r="X52" s="4">
        <f t="shared" si="2"/>
        <v>1.0721978460311128</v>
      </c>
      <c r="AC52">
        <v>0.25292799999999999</v>
      </c>
      <c r="AD52">
        <v>0.25516800000000001</v>
      </c>
      <c r="AE52" s="4">
        <f t="shared" si="4"/>
        <v>1.0088562753036439</v>
      </c>
      <c r="AG52">
        <v>0.26355200000000001</v>
      </c>
      <c r="AH52">
        <v>0.26540799999999998</v>
      </c>
      <c r="AI52" s="4">
        <f t="shared" si="5"/>
        <v>1.0070422535211268</v>
      </c>
    </row>
    <row r="53" spans="3:35" x14ac:dyDescent="0.25">
      <c r="C53" t="s">
        <v>5</v>
      </c>
      <c r="D53">
        <v>4</v>
      </c>
      <c r="E53">
        <v>128</v>
      </c>
      <c r="F53">
        <f>4096</f>
        <v>4096</v>
      </c>
      <c r="G53">
        <v>28</v>
      </c>
      <c r="H53">
        <v>4</v>
      </c>
      <c r="J53">
        <v>0.12870400000000001</v>
      </c>
      <c r="K53">
        <v>0.139072</v>
      </c>
      <c r="L53" s="4">
        <f t="shared" si="3"/>
        <v>1.0805569368473396</v>
      </c>
      <c r="M53" s="4"/>
      <c r="N53">
        <v>0.14809600000000001</v>
      </c>
      <c r="O53">
        <v>0.15903999999999999</v>
      </c>
      <c r="P53" s="4">
        <f t="shared" si="0"/>
        <v>1.0738980121002593</v>
      </c>
      <c r="R53">
        <v>0.15571199999999999</v>
      </c>
      <c r="S53">
        <v>0.16703999999999999</v>
      </c>
      <c r="T53" s="4">
        <f t="shared" si="1"/>
        <v>1.0727496917385944</v>
      </c>
      <c r="V53">
        <v>0.17088</v>
      </c>
      <c r="W53">
        <v>0.18246399999999999</v>
      </c>
      <c r="X53" s="4">
        <f t="shared" si="2"/>
        <v>1.0677902621722846</v>
      </c>
      <c r="AC53">
        <v>0.25375999999999999</v>
      </c>
      <c r="AD53">
        <v>0.25568000000000002</v>
      </c>
      <c r="AE53" s="4">
        <f t="shared" si="4"/>
        <v>1.007566204287516</v>
      </c>
      <c r="AG53">
        <v>0.29062399999999999</v>
      </c>
      <c r="AH53">
        <v>0.29337600000000003</v>
      </c>
      <c r="AI53" s="4">
        <f t="shared" si="5"/>
        <v>1.0094692798942966</v>
      </c>
    </row>
    <row r="54" spans="3:35" x14ac:dyDescent="0.25">
      <c r="C54" t="s">
        <v>5</v>
      </c>
      <c r="D54">
        <v>8</v>
      </c>
      <c r="E54">
        <v>128</v>
      </c>
      <c r="F54">
        <f>4096</f>
        <v>4096</v>
      </c>
      <c r="G54">
        <v>28</v>
      </c>
      <c r="H54">
        <v>4</v>
      </c>
      <c r="J54">
        <v>0.20652799999999999</v>
      </c>
      <c r="K54">
        <v>0.23039999999999999</v>
      </c>
      <c r="L54" s="4">
        <f t="shared" si="3"/>
        <v>1.1155872327238923</v>
      </c>
      <c r="M54" s="4"/>
      <c r="N54">
        <v>0.26112000000000002</v>
      </c>
      <c r="O54">
        <v>0.28288000000000002</v>
      </c>
      <c r="P54" s="4">
        <f t="shared" si="0"/>
        <v>1.0833333333333333</v>
      </c>
      <c r="R54">
        <v>0.26240000000000002</v>
      </c>
      <c r="S54">
        <v>0.28140799999999999</v>
      </c>
      <c r="T54" s="4">
        <f t="shared" si="1"/>
        <v>1.0724390243902437</v>
      </c>
      <c r="V54">
        <v>0.304448</v>
      </c>
      <c r="W54">
        <v>0.329152</v>
      </c>
      <c r="X54" s="4">
        <f t="shared" si="2"/>
        <v>1.0811435778852219</v>
      </c>
      <c r="AC54">
        <v>0.43891200000000002</v>
      </c>
      <c r="AD54">
        <v>0.441664</v>
      </c>
      <c r="AE54" s="4">
        <f t="shared" si="4"/>
        <v>1.0062700495771362</v>
      </c>
      <c r="AG54">
        <v>0.51635200000000003</v>
      </c>
      <c r="AH54">
        <v>0.51846400000000004</v>
      </c>
      <c r="AI54" s="4">
        <f t="shared" si="5"/>
        <v>1.0040902330193358</v>
      </c>
    </row>
    <row r="55" spans="3:35" x14ac:dyDescent="0.25">
      <c r="C55" t="s">
        <v>5</v>
      </c>
      <c r="D55">
        <v>16</v>
      </c>
      <c r="E55">
        <v>128</v>
      </c>
      <c r="F55">
        <f>4096</f>
        <v>4096</v>
      </c>
      <c r="G55">
        <v>28</v>
      </c>
      <c r="H55">
        <v>4</v>
      </c>
      <c r="J55">
        <v>0.35334399999999999</v>
      </c>
      <c r="K55">
        <v>0.38431999999999999</v>
      </c>
      <c r="L55" s="4">
        <f t="shared" si="3"/>
        <v>1.0876652780293425</v>
      </c>
      <c r="M55" s="4"/>
      <c r="N55">
        <v>0.474688</v>
      </c>
      <c r="O55">
        <v>0.51571199999999995</v>
      </c>
      <c r="P55" s="4">
        <f t="shared" si="0"/>
        <v>1.0864230821086691</v>
      </c>
      <c r="R55">
        <v>0.460032</v>
      </c>
      <c r="S55">
        <v>0.49619200000000002</v>
      </c>
      <c r="T55" s="4">
        <f t="shared" si="1"/>
        <v>1.0786032276015582</v>
      </c>
      <c r="V55">
        <v>0.57100799999999996</v>
      </c>
      <c r="W55">
        <v>0.61433599999999999</v>
      </c>
      <c r="X55" s="4">
        <f t="shared" si="2"/>
        <v>1.07587984756781</v>
      </c>
      <c r="AC55">
        <v>0.75327999999999995</v>
      </c>
      <c r="AD55">
        <v>0.75628799999999996</v>
      </c>
      <c r="AE55" s="4">
        <f t="shared" si="4"/>
        <v>1.0039932030586236</v>
      </c>
      <c r="AG55">
        <v>0.96319999999999995</v>
      </c>
      <c r="AH55">
        <v>0.96684800000000004</v>
      </c>
      <c r="AI55" s="4">
        <f t="shared" si="5"/>
        <v>1.0037873754152824</v>
      </c>
    </row>
    <row r="56" spans="3:35" x14ac:dyDescent="0.25">
      <c r="C56" t="s">
        <v>5</v>
      </c>
      <c r="D56">
        <v>32</v>
      </c>
      <c r="E56">
        <v>128</v>
      </c>
      <c r="F56">
        <f>4096</f>
        <v>4096</v>
      </c>
      <c r="G56">
        <v>28</v>
      </c>
      <c r="H56">
        <v>4</v>
      </c>
      <c r="J56">
        <v>0.60972800000000005</v>
      </c>
      <c r="K56">
        <v>0.68307200000000001</v>
      </c>
      <c r="L56" s="4">
        <f t="shared" si="3"/>
        <v>1.1202897029495118</v>
      </c>
      <c r="M56" s="4"/>
      <c r="N56">
        <v>0.90739199999999998</v>
      </c>
      <c r="O56">
        <v>0.98943999999999999</v>
      </c>
      <c r="P56" s="4">
        <f t="shared" si="0"/>
        <v>1.0904217802228806</v>
      </c>
      <c r="R56">
        <v>0.85696000000000006</v>
      </c>
      <c r="S56">
        <v>0.92422400000000005</v>
      </c>
      <c r="T56" s="4">
        <f t="shared" si="1"/>
        <v>1.0784914115011202</v>
      </c>
      <c r="V56">
        <v>1.094592</v>
      </c>
      <c r="W56">
        <v>1.167232</v>
      </c>
      <c r="X56" s="4">
        <f t="shared" si="2"/>
        <v>1.0663626264398058</v>
      </c>
      <c r="AC56">
        <v>1.4023680000000001</v>
      </c>
      <c r="AD56">
        <v>1.4078079999999999</v>
      </c>
      <c r="AE56" s="4">
        <f t="shared" si="4"/>
        <v>1.0038791529755384</v>
      </c>
      <c r="AG56">
        <v>1.8707199999999999</v>
      </c>
      <c r="AH56">
        <v>1.8731519999999999</v>
      </c>
      <c r="AI56" s="4">
        <f t="shared" si="5"/>
        <v>1.0013000342114267</v>
      </c>
    </row>
    <row r="57" spans="3:35" x14ac:dyDescent="0.25">
      <c r="C57" t="s">
        <v>5</v>
      </c>
      <c r="D57">
        <v>64</v>
      </c>
      <c r="E57">
        <v>128</v>
      </c>
      <c r="F57">
        <f>4096</f>
        <v>4096</v>
      </c>
      <c r="G57">
        <v>28</v>
      </c>
      <c r="H57">
        <v>4</v>
      </c>
      <c r="J57">
        <v>1.129024</v>
      </c>
      <c r="K57">
        <v>1.2731520000000001</v>
      </c>
      <c r="L57" s="4">
        <f t="shared" si="3"/>
        <v>1.127657162292387</v>
      </c>
      <c r="M57" s="4"/>
      <c r="N57">
        <v>1.77824</v>
      </c>
      <c r="O57">
        <v>1.940736</v>
      </c>
      <c r="P57" s="4">
        <f t="shared" si="0"/>
        <v>1.0913802411373044</v>
      </c>
      <c r="R57">
        <v>1.608384</v>
      </c>
      <c r="S57">
        <v>1.695424</v>
      </c>
      <c r="T57" s="4">
        <f t="shared" si="1"/>
        <v>1.0541164299072858</v>
      </c>
      <c r="V57">
        <v>2.1300479999999999</v>
      </c>
      <c r="W57">
        <v>2.2684160000000002</v>
      </c>
      <c r="X57" s="4">
        <f t="shared" si="2"/>
        <v>1.0649600384592273</v>
      </c>
      <c r="AC57">
        <v>2.7094399999999998</v>
      </c>
      <c r="AD57">
        <v>2.7179519999999999</v>
      </c>
      <c r="AE57" s="4">
        <f t="shared" si="4"/>
        <v>1.0031416085980867</v>
      </c>
      <c r="AG57">
        <v>3.6805759999999998</v>
      </c>
      <c r="AH57">
        <v>3.6848000000000001</v>
      </c>
      <c r="AI57" s="4">
        <f t="shared" si="5"/>
        <v>1.0011476464553375</v>
      </c>
    </row>
    <row r="58" spans="3:35" x14ac:dyDescent="0.25">
      <c r="C58" t="s">
        <v>5</v>
      </c>
      <c r="D58">
        <v>1</v>
      </c>
      <c r="E58">
        <v>128</v>
      </c>
      <c r="F58">
        <f>5120</f>
        <v>5120</v>
      </c>
      <c r="G58">
        <v>28</v>
      </c>
      <c r="H58">
        <v>4</v>
      </c>
      <c r="J58">
        <v>0.145984</v>
      </c>
      <c r="K58">
        <v>0.161216</v>
      </c>
      <c r="L58" s="4">
        <f t="shared" si="3"/>
        <v>1.104340201665936</v>
      </c>
      <c r="M58" s="4"/>
      <c r="N58">
        <v>0.17632</v>
      </c>
      <c r="O58">
        <v>0.19033600000000001</v>
      </c>
      <c r="P58" s="4">
        <f t="shared" si="0"/>
        <v>1.0794918330308529</v>
      </c>
      <c r="R58">
        <v>0.14195199999999999</v>
      </c>
      <c r="S58">
        <v>0.15462400000000001</v>
      </c>
      <c r="T58" s="4">
        <f t="shared" si="1"/>
        <v>1.0892696122633003</v>
      </c>
      <c r="V58">
        <v>0.18054400000000001</v>
      </c>
      <c r="W58">
        <v>0.195136</v>
      </c>
      <c r="X58" s="4">
        <f t="shared" si="2"/>
        <v>1.0808224034030485</v>
      </c>
      <c r="AC58">
        <v>0.30003200000000002</v>
      </c>
      <c r="AD58">
        <v>0.30080000000000001</v>
      </c>
      <c r="AE58" s="4">
        <f t="shared" si="4"/>
        <v>1.0025597269624573</v>
      </c>
      <c r="AG58">
        <v>0.29958400000000002</v>
      </c>
      <c r="AH58">
        <v>0.30060799999999999</v>
      </c>
      <c r="AI58" s="4">
        <f t="shared" si="5"/>
        <v>1.0034180730613116</v>
      </c>
    </row>
    <row r="59" spans="3:35" x14ac:dyDescent="0.25">
      <c r="C59" t="s">
        <v>5</v>
      </c>
      <c r="D59">
        <v>2</v>
      </c>
      <c r="E59">
        <v>128</v>
      </c>
      <c r="F59">
        <f>5120</f>
        <v>5120</v>
      </c>
      <c r="G59">
        <v>28</v>
      </c>
      <c r="H59">
        <v>4</v>
      </c>
      <c r="J59">
        <v>0.14668800000000001</v>
      </c>
      <c r="K59">
        <v>0.160832</v>
      </c>
      <c r="L59" s="4">
        <f t="shared" si="3"/>
        <v>1.0964223385689353</v>
      </c>
      <c r="M59" s="4"/>
      <c r="N59">
        <v>0.17516799999999999</v>
      </c>
      <c r="O59">
        <v>0.18912000000000001</v>
      </c>
      <c r="P59" s="4">
        <f t="shared" si="0"/>
        <v>1.07964925100475</v>
      </c>
      <c r="R59">
        <v>0.163968</v>
      </c>
      <c r="S59">
        <v>0.178816</v>
      </c>
      <c r="T59" s="4">
        <f t="shared" si="1"/>
        <v>1.0905542544886808</v>
      </c>
      <c r="V59">
        <v>0.190912</v>
      </c>
      <c r="W59">
        <v>0.20460800000000001</v>
      </c>
      <c r="X59" s="4">
        <f t="shared" si="2"/>
        <v>1.0717398592021457</v>
      </c>
      <c r="AC59">
        <v>0.29491200000000001</v>
      </c>
      <c r="AD59">
        <v>0.295296</v>
      </c>
      <c r="AE59" s="4">
        <f t="shared" si="4"/>
        <v>1.0013020833333333</v>
      </c>
      <c r="AG59">
        <v>0.311616</v>
      </c>
      <c r="AH59">
        <v>0.31289600000000001</v>
      </c>
      <c r="AI59" s="4">
        <f t="shared" si="5"/>
        <v>1.0041076196344219</v>
      </c>
    </row>
    <row r="60" spans="3:35" x14ac:dyDescent="0.25">
      <c r="C60" t="s">
        <v>5</v>
      </c>
      <c r="D60">
        <v>4</v>
      </c>
      <c r="E60">
        <v>128</v>
      </c>
      <c r="F60">
        <f>5120</f>
        <v>5120</v>
      </c>
      <c r="G60">
        <v>28</v>
      </c>
      <c r="H60">
        <v>4</v>
      </c>
      <c r="J60">
        <v>0.14771200000000001</v>
      </c>
      <c r="K60">
        <v>0.16012799999999999</v>
      </c>
      <c r="L60" s="4">
        <f t="shared" si="3"/>
        <v>1.084055459272097</v>
      </c>
      <c r="M60" s="4"/>
      <c r="N60">
        <v>0.17548800000000001</v>
      </c>
      <c r="O60">
        <v>0.18944</v>
      </c>
      <c r="P60" s="4">
        <f t="shared" si="0"/>
        <v>1.0795040116703136</v>
      </c>
      <c r="R60">
        <v>0.18419199999999999</v>
      </c>
      <c r="S60">
        <v>0.19622400000000001</v>
      </c>
      <c r="T60" s="4">
        <f t="shared" si="1"/>
        <v>1.0653231410701878</v>
      </c>
      <c r="V60">
        <v>0.201344</v>
      </c>
      <c r="W60">
        <v>0.21548800000000001</v>
      </c>
      <c r="X60" s="4">
        <f t="shared" si="2"/>
        <v>1.0702479338842976</v>
      </c>
      <c r="AC60">
        <v>0.29369600000000001</v>
      </c>
      <c r="AD60">
        <v>0.295296</v>
      </c>
      <c r="AE60" s="4">
        <f t="shared" si="4"/>
        <v>1.0054478099803879</v>
      </c>
      <c r="AG60">
        <v>0.34483200000000003</v>
      </c>
      <c r="AH60">
        <v>0.34649600000000003</v>
      </c>
      <c r="AI60" s="4">
        <f t="shared" si="5"/>
        <v>1.0048255382331106</v>
      </c>
    </row>
    <row r="61" spans="3:35" x14ac:dyDescent="0.25">
      <c r="C61" t="s">
        <v>5</v>
      </c>
      <c r="D61">
        <v>8</v>
      </c>
      <c r="E61">
        <v>128</v>
      </c>
      <c r="F61">
        <f>5120</f>
        <v>5120</v>
      </c>
      <c r="G61">
        <v>28</v>
      </c>
      <c r="H61">
        <v>4</v>
      </c>
      <c r="J61">
        <v>0.24582399999999999</v>
      </c>
      <c r="K61">
        <v>0.27257599999999998</v>
      </c>
      <c r="L61" s="4">
        <f t="shared" si="3"/>
        <v>1.1088258266076543</v>
      </c>
      <c r="M61" s="4"/>
      <c r="N61">
        <v>0.316608</v>
      </c>
      <c r="O61">
        <v>0.34342400000000001</v>
      </c>
      <c r="P61" s="4">
        <f t="shared" si="0"/>
        <v>1.0846977966444309</v>
      </c>
      <c r="R61">
        <v>0.31072</v>
      </c>
      <c r="S61">
        <v>0.33785599999999999</v>
      </c>
      <c r="T61" s="4">
        <f t="shared" si="1"/>
        <v>1.0873326467559217</v>
      </c>
      <c r="V61">
        <v>0.36915199999999998</v>
      </c>
      <c r="W61">
        <v>0.39667200000000002</v>
      </c>
      <c r="X61" s="4">
        <f t="shared" si="2"/>
        <v>1.0745492371705965</v>
      </c>
      <c r="AC61">
        <v>0.52985599999999999</v>
      </c>
      <c r="AD61">
        <v>0.53235200000000005</v>
      </c>
      <c r="AE61" s="4">
        <f t="shared" si="4"/>
        <v>1.0047107138543303</v>
      </c>
      <c r="AG61">
        <v>0.62470400000000004</v>
      </c>
      <c r="AH61">
        <v>0.62624000000000002</v>
      </c>
      <c r="AI61" s="4">
        <f t="shared" si="5"/>
        <v>1.0024587644708534</v>
      </c>
    </row>
    <row r="62" spans="3:35" x14ac:dyDescent="0.25">
      <c r="C62" t="s">
        <v>5</v>
      </c>
      <c r="D62">
        <v>16</v>
      </c>
      <c r="E62">
        <v>128</v>
      </c>
      <c r="F62">
        <f>5120</f>
        <v>5120</v>
      </c>
      <c r="G62">
        <v>28</v>
      </c>
      <c r="H62">
        <v>4</v>
      </c>
      <c r="J62">
        <v>0.41747200000000001</v>
      </c>
      <c r="K62">
        <v>0.458816</v>
      </c>
      <c r="L62" s="4">
        <f t="shared" si="3"/>
        <v>1.0990341867239</v>
      </c>
      <c r="M62" s="4"/>
      <c r="N62">
        <v>0.59487999999999996</v>
      </c>
      <c r="O62">
        <v>0.64761599999999997</v>
      </c>
      <c r="P62" s="4">
        <f t="shared" si="0"/>
        <v>1.0886498117267349</v>
      </c>
      <c r="R62">
        <v>0.54630400000000001</v>
      </c>
      <c r="S62">
        <v>0.59929600000000005</v>
      </c>
      <c r="T62" s="4">
        <f t="shared" si="1"/>
        <v>1.0970009372071228</v>
      </c>
      <c r="V62">
        <v>0.69708800000000004</v>
      </c>
      <c r="W62">
        <v>0.74195199999999994</v>
      </c>
      <c r="X62" s="4">
        <f t="shared" si="2"/>
        <v>1.0643591626882114</v>
      </c>
      <c r="AC62">
        <v>1.352384</v>
      </c>
      <c r="AD62">
        <v>1.359232</v>
      </c>
      <c r="AE62" s="4">
        <f t="shared" si="4"/>
        <v>1.0050636505607875</v>
      </c>
      <c r="AG62">
        <v>1.1806080000000001</v>
      </c>
      <c r="AH62">
        <v>1.1839360000000001</v>
      </c>
      <c r="AI62" s="4">
        <f t="shared" si="5"/>
        <v>1.0028188865398169</v>
      </c>
    </row>
    <row r="63" spans="3:35" x14ac:dyDescent="0.25">
      <c r="C63" t="s">
        <v>5</v>
      </c>
      <c r="D63">
        <v>32</v>
      </c>
      <c r="E63">
        <v>128</v>
      </c>
      <c r="F63">
        <f>5120</f>
        <v>5120</v>
      </c>
      <c r="G63">
        <v>28</v>
      </c>
      <c r="H63">
        <v>4</v>
      </c>
      <c r="J63">
        <v>0.73951999999999996</v>
      </c>
      <c r="K63">
        <v>0.82860800000000001</v>
      </c>
      <c r="L63" s="4">
        <f t="shared" si="3"/>
        <v>1.120467330160104</v>
      </c>
      <c r="M63" s="4"/>
      <c r="N63">
        <v>1.1425920000000001</v>
      </c>
      <c r="O63">
        <v>1.244416</v>
      </c>
      <c r="P63" s="4">
        <f t="shared" si="0"/>
        <v>1.0891166750686159</v>
      </c>
      <c r="R63">
        <v>1.040832</v>
      </c>
      <c r="S63">
        <v>1.1202559999999999</v>
      </c>
      <c r="T63" s="4">
        <f t="shared" si="1"/>
        <v>1.0763081842218531</v>
      </c>
      <c r="V63">
        <v>1.3524480000000001</v>
      </c>
      <c r="W63">
        <v>1.4377599999999999</v>
      </c>
      <c r="X63" s="4">
        <f t="shared" si="2"/>
        <v>1.0630796895703198</v>
      </c>
      <c r="AC63">
        <v>2.7956479999999999</v>
      </c>
      <c r="AD63">
        <v>2.771328</v>
      </c>
      <c r="AE63" s="4">
        <f t="shared" si="4"/>
        <v>0.99130076461700478</v>
      </c>
      <c r="AG63">
        <v>2.3044479999999998</v>
      </c>
      <c r="AH63">
        <v>2.306368</v>
      </c>
      <c r="AI63" s="4">
        <f t="shared" si="5"/>
        <v>1.0008331713277974</v>
      </c>
    </row>
    <row r="64" spans="3:35" x14ac:dyDescent="0.25">
      <c r="C64" t="s">
        <v>5</v>
      </c>
      <c r="D64">
        <v>64</v>
      </c>
      <c r="E64">
        <v>128</v>
      </c>
      <c r="F64">
        <f>5120</f>
        <v>5120</v>
      </c>
      <c r="G64">
        <v>28</v>
      </c>
      <c r="H64">
        <v>4</v>
      </c>
      <c r="J64">
        <v>1.376128</v>
      </c>
      <c r="K64">
        <v>1.56128</v>
      </c>
      <c r="L64" s="4">
        <f t="shared" si="3"/>
        <v>1.134545623662915</v>
      </c>
      <c r="M64" s="4"/>
      <c r="N64">
        <v>2.252672</v>
      </c>
      <c r="O64">
        <v>2.4188800000000001</v>
      </c>
      <c r="P64" s="4">
        <f t="shared" si="0"/>
        <v>1.073782601284164</v>
      </c>
      <c r="R64">
        <v>1.98272</v>
      </c>
      <c r="S64">
        <v>2.1263359999999998</v>
      </c>
      <c r="T64" s="4">
        <f t="shared" si="1"/>
        <v>1.0724338282763071</v>
      </c>
      <c r="V64">
        <v>2.6455679999999999</v>
      </c>
      <c r="W64">
        <v>2.8016000000000001</v>
      </c>
      <c r="X64" s="4">
        <f t="shared" si="2"/>
        <v>1.0589786389917024</v>
      </c>
      <c r="AC64">
        <v>3.3280639999999999</v>
      </c>
      <c r="AD64">
        <v>3.3256960000000002</v>
      </c>
      <c r="AE64" s="4">
        <f t="shared" si="4"/>
        <v>0.99928847522163045</v>
      </c>
      <c r="AG64">
        <v>4.5432319999999997</v>
      </c>
      <c r="AH64">
        <v>4.5447040000000003</v>
      </c>
      <c r="AI64" s="4">
        <f t="shared" si="5"/>
        <v>1.0003239984222687</v>
      </c>
    </row>
    <row r="65" spans="3:35" x14ac:dyDescent="0.25">
      <c r="C65" t="s">
        <v>5</v>
      </c>
      <c r="D65">
        <v>1</v>
      </c>
      <c r="E65">
        <v>128</v>
      </c>
      <c r="F65">
        <f>6144</f>
        <v>6144</v>
      </c>
      <c r="G65">
        <v>28</v>
      </c>
      <c r="H65">
        <v>4</v>
      </c>
      <c r="J65">
        <v>0.16723199999999999</v>
      </c>
      <c r="K65">
        <v>0.18604799999999999</v>
      </c>
      <c r="L65" s="4">
        <f t="shared" si="3"/>
        <v>1.1125143513203215</v>
      </c>
      <c r="M65" s="4"/>
      <c r="N65">
        <v>0.20486399999999999</v>
      </c>
      <c r="O65">
        <v>0.22099199999999999</v>
      </c>
      <c r="P65" s="4">
        <f t="shared" si="0"/>
        <v>1.0787253983130272</v>
      </c>
      <c r="R65">
        <v>0.16153600000000001</v>
      </c>
      <c r="S65">
        <v>0.17580799999999999</v>
      </c>
      <c r="T65" s="4">
        <f t="shared" si="1"/>
        <v>1.0883518225039619</v>
      </c>
      <c r="V65">
        <v>0.20857600000000001</v>
      </c>
      <c r="W65">
        <v>0.22528000000000001</v>
      </c>
      <c r="X65" s="4">
        <f t="shared" si="2"/>
        <v>1.0800859159251304</v>
      </c>
      <c r="AC65">
        <v>0.34208</v>
      </c>
      <c r="AD65">
        <v>0.34540799999999999</v>
      </c>
      <c r="AE65" s="4">
        <f t="shared" si="4"/>
        <v>1.0097287184284378</v>
      </c>
      <c r="AG65">
        <v>0.34393600000000002</v>
      </c>
      <c r="AH65">
        <v>0.34655999999999998</v>
      </c>
      <c r="AI65" s="4">
        <f t="shared" si="5"/>
        <v>1.0076293263863043</v>
      </c>
    </row>
    <row r="66" spans="3:35" x14ac:dyDescent="0.25">
      <c r="C66" t="s">
        <v>5</v>
      </c>
      <c r="D66">
        <v>2</v>
      </c>
      <c r="E66">
        <v>128</v>
      </c>
      <c r="F66">
        <f>6144</f>
        <v>6144</v>
      </c>
      <c r="G66">
        <v>28</v>
      </c>
      <c r="H66">
        <v>4</v>
      </c>
      <c r="J66">
        <v>0.165376</v>
      </c>
      <c r="K66">
        <v>0.18355199999999999</v>
      </c>
      <c r="L66" s="4">
        <f t="shared" si="3"/>
        <v>1.109907120743034</v>
      </c>
      <c r="M66" s="4"/>
      <c r="N66">
        <v>0.203264</v>
      </c>
      <c r="O66">
        <v>0.22035199999999999</v>
      </c>
      <c r="P66" s="4">
        <f t="shared" ref="P66:P129" si="6">O66/N66</f>
        <v>1.0840680100755666</v>
      </c>
      <c r="R66">
        <v>0.18950400000000001</v>
      </c>
      <c r="S66">
        <v>0.20748800000000001</v>
      </c>
      <c r="T66" s="4">
        <f t="shared" ref="T66:T114" si="7">S66/R66</f>
        <v>1.0949003714961161</v>
      </c>
      <c r="V66">
        <v>0.221632</v>
      </c>
      <c r="W66">
        <v>0.23897599999999999</v>
      </c>
      <c r="X66" s="4">
        <f t="shared" ref="X66:X129" si="8">W66/V66</f>
        <v>1.0782558475310424</v>
      </c>
      <c r="AC66">
        <v>0.33600000000000002</v>
      </c>
      <c r="AD66">
        <v>0.336704</v>
      </c>
      <c r="AE66" s="4">
        <f t="shared" si="4"/>
        <v>1.0020952380952381</v>
      </c>
      <c r="AG66">
        <v>0.35910399999999998</v>
      </c>
      <c r="AH66">
        <v>0.36121599999999998</v>
      </c>
      <c r="AI66" s="4">
        <f t="shared" si="5"/>
        <v>1.0058813045802888</v>
      </c>
    </row>
    <row r="67" spans="3:35" x14ac:dyDescent="0.25">
      <c r="C67" t="s">
        <v>5</v>
      </c>
      <c r="D67">
        <v>4</v>
      </c>
      <c r="E67">
        <v>128</v>
      </c>
      <c r="F67">
        <f>6144</f>
        <v>6144</v>
      </c>
      <c r="G67">
        <v>28</v>
      </c>
      <c r="H67">
        <v>4</v>
      </c>
      <c r="J67">
        <v>0.166848</v>
      </c>
      <c r="K67">
        <v>0.18336</v>
      </c>
      <c r="L67" s="4">
        <f t="shared" ref="L67:L130" si="9">K67/J67</f>
        <v>1.0989643268124281</v>
      </c>
      <c r="M67" s="4"/>
      <c r="N67">
        <v>0.20448</v>
      </c>
      <c r="O67">
        <v>0.22112000000000001</v>
      </c>
      <c r="P67" s="4">
        <f t="shared" si="6"/>
        <v>1.0813771517996871</v>
      </c>
      <c r="R67">
        <v>0.207872</v>
      </c>
      <c r="S67">
        <v>0.225024</v>
      </c>
      <c r="T67" s="4">
        <f t="shared" si="7"/>
        <v>1.0825123152709359</v>
      </c>
      <c r="V67">
        <v>0.23660800000000001</v>
      </c>
      <c r="W67">
        <v>0.25190400000000002</v>
      </c>
      <c r="X67" s="4">
        <f t="shared" si="8"/>
        <v>1.064647011090073</v>
      </c>
      <c r="AC67">
        <v>0.34195199999999998</v>
      </c>
      <c r="AD67">
        <v>0.34579199999999999</v>
      </c>
      <c r="AE67" s="4">
        <f t="shared" ref="AE67:AE130" si="10">AD67/AC67</f>
        <v>1.0112296462661428</v>
      </c>
      <c r="AG67">
        <v>0.398144</v>
      </c>
      <c r="AH67">
        <v>0.40095999999999998</v>
      </c>
      <c r="AI67" s="4">
        <f t="shared" ref="AI67:AI130" si="11">AH67/AG67</f>
        <v>1.0070728178749397</v>
      </c>
    </row>
    <row r="68" spans="3:35" x14ac:dyDescent="0.25">
      <c r="C68" t="s">
        <v>5</v>
      </c>
      <c r="D68">
        <v>8</v>
      </c>
      <c r="E68">
        <v>128</v>
      </c>
      <c r="F68">
        <f>6144</f>
        <v>6144</v>
      </c>
      <c r="G68">
        <v>28</v>
      </c>
      <c r="H68">
        <v>4</v>
      </c>
      <c r="J68">
        <v>0.28051199999999998</v>
      </c>
      <c r="K68">
        <v>0.314496</v>
      </c>
      <c r="L68" s="4">
        <f t="shared" si="9"/>
        <v>1.1211498973305956</v>
      </c>
      <c r="M68" s="4"/>
      <c r="N68">
        <v>0.37017600000000001</v>
      </c>
      <c r="O68">
        <v>0.40268799999999999</v>
      </c>
      <c r="P68" s="4">
        <f t="shared" si="6"/>
        <v>1.0878284923928077</v>
      </c>
      <c r="R68">
        <v>0.357184</v>
      </c>
      <c r="S68">
        <v>0.39001599999999997</v>
      </c>
      <c r="T68" s="4">
        <f t="shared" si="7"/>
        <v>1.0919190109299408</v>
      </c>
      <c r="V68">
        <v>0.43097600000000003</v>
      </c>
      <c r="W68">
        <v>0.46284799999999998</v>
      </c>
      <c r="X68" s="4">
        <f t="shared" si="8"/>
        <v>1.0739530739530738</v>
      </c>
      <c r="AC68">
        <v>0.61299199999999998</v>
      </c>
      <c r="AD68">
        <v>0.61670400000000003</v>
      </c>
      <c r="AE68" s="4">
        <f t="shared" si="10"/>
        <v>1.0060555439548968</v>
      </c>
      <c r="AG68">
        <v>0.73177599999999998</v>
      </c>
      <c r="AH68">
        <v>0.735232</v>
      </c>
      <c r="AI68" s="4">
        <f t="shared" si="11"/>
        <v>1.0047227566905721</v>
      </c>
    </row>
    <row r="69" spans="3:35" x14ac:dyDescent="0.25">
      <c r="C69" t="s">
        <v>5</v>
      </c>
      <c r="D69">
        <v>16</v>
      </c>
      <c r="E69">
        <v>128</v>
      </c>
      <c r="F69">
        <f>6144</f>
        <v>6144</v>
      </c>
      <c r="G69">
        <v>28</v>
      </c>
      <c r="H69">
        <v>4</v>
      </c>
      <c r="J69">
        <v>0.47852800000000001</v>
      </c>
      <c r="K69">
        <v>0.53497600000000001</v>
      </c>
      <c r="L69" s="4">
        <f t="shared" si="9"/>
        <v>1.1179617493647185</v>
      </c>
      <c r="M69" s="4"/>
      <c r="N69">
        <v>0.705152</v>
      </c>
      <c r="O69">
        <v>0.76723200000000003</v>
      </c>
      <c r="P69" s="4">
        <f t="shared" si="6"/>
        <v>1.0880377563986205</v>
      </c>
      <c r="R69">
        <v>0.65151999999999999</v>
      </c>
      <c r="S69">
        <v>0.70662400000000003</v>
      </c>
      <c r="T69" s="4">
        <f t="shared" si="7"/>
        <v>1.0845776031434184</v>
      </c>
      <c r="V69">
        <v>0.82649600000000001</v>
      </c>
      <c r="W69">
        <v>0.87801600000000002</v>
      </c>
      <c r="X69" s="4">
        <f t="shared" si="8"/>
        <v>1.062335449899334</v>
      </c>
      <c r="AC69">
        <v>1.5922559999999999</v>
      </c>
      <c r="AD69">
        <v>1.5966720000000001</v>
      </c>
      <c r="AE69" s="4">
        <f t="shared" si="10"/>
        <v>1.0027734233691066</v>
      </c>
      <c r="AG69">
        <v>1.396544</v>
      </c>
      <c r="AH69">
        <v>1.400512</v>
      </c>
      <c r="AI69" s="4">
        <f t="shared" si="11"/>
        <v>1.0028412996654599</v>
      </c>
    </row>
    <row r="70" spans="3:35" x14ac:dyDescent="0.25">
      <c r="C70" t="s">
        <v>5</v>
      </c>
      <c r="D70">
        <v>32</v>
      </c>
      <c r="E70">
        <v>128</v>
      </c>
      <c r="F70">
        <f>6144</f>
        <v>6144</v>
      </c>
      <c r="G70">
        <v>28</v>
      </c>
      <c r="H70">
        <v>4</v>
      </c>
      <c r="J70">
        <v>0.85996799999999995</v>
      </c>
      <c r="K70">
        <v>0.969024</v>
      </c>
      <c r="L70" s="4">
        <f t="shared" si="9"/>
        <v>1.1268140209868274</v>
      </c>
      <c r="M70" s="4"/>
      <c r="N70">
        <v>1.338624</v>
      </c>
      <c r="O70">
        <v>1.4557439999999999</v>
      </c>
      <c r="P70" s="4">
        <f t="shared" si="6"/>
        <v>1.0874928284566838</v>
      </c>
      <c r="R70">
        <v>1.2433920000000001</v>
      </c>
      <c r="S70">
        <v>1.314432</v>
      </c>
      <c r="T70" s="4">
        <f t="shared" si="7"/>
        <v>1.0571340333539221</v>
      </c>
      <c r="V70">
        <v>1.603008</v>
      </c>
      <c r="W70">
        <v>1.7016960000000001</v>
      </c>
      <c r="X70" s="4">
        <f t="shared" si="8"/>
        <v>1.0615642591927177</v>
      </c>
      <c r="AC70">
        <v>2.0254720000000002</v>
      </c>
      <c r="AD70">
        <v>2.0309119999999998</v>
      </c>
      <c r="AE70" s="4">
        <f t="shared" si="10"/>
        <v>1.0026857937310414</v>
      </c>
      <c r="AG70">
        <v>2.7404799999999998</v>
      </c>
      <c r="AH70">
        <v>2.7404799999999998</v>
      </c>
      <c r="AI70" s="4">
        <f t="shared" si="11"/>
        <v>1</v>
      </c>
    </row>
    <row r="71" spans="3:35" x14ac:dyDescent="0.25">
      <c r="C71" t="s">
        <v>5</v>
      </c>
      <c r="D71">
        <v>64</v>
      </c>
      <c r="E71">
        <v>128</v>
      </c>
      <c r="F71">
        <f>6144</f>
        <v>6144</v>
      </c>
      <c r="G71">
        <v>28</v>
      </c>
      <c r="H71">
        <v>4</v>
      </c>
      <c r="J71">
        <v>1.632768</v>
      </c>
      <c r="K71">
        <v>1.843072</v>
      </c>
      <c r="L71" s="4">
        <f t="shared" si="9"/>
        <v>1.128802132329884</v>
      </c>
      <c r="M71" s="4"/>
      <c r="N71">
        <v>2.656704</v>
      </c>
      <c r="O71">
        <v>2.8913280000000001</v>
      </c>
      <c r="P71" s="4">
        <f t="shared" si="6"/>
        <v>1.0883139408831395</v>
      </c>
      <c r="R71">
        <v>2.3497599999999998</v>
      </c>
      <c r="S71">
        <v>2.4901119999999999</v>
      </c>
      <c r="T71" s="4">
        <f t="shared" si="7"/>
        <v>1.0597303554405557</v>
      </c>
      <c r="V71">
        <v>3.158528</v>
      </c>
      <c r="W71">
        <v>3.3450880000000001</v>
      </c>
      <c r="X71" s="4">
        <f t="shared" si="8"/>
        <v>1.0590654887339925</v>
      </c>
      <c r="AC71">
        <v>3.9527679999999998</v>
      </c>
      <c r="AD71">
        <v>3.9553280000000002</v>
      </c>
      <c r="AE71" s="4">
        <f t="shared" si="10"/>
        <v>1.0006476474207442</v>
      </c>
      <c r="AG71">
        <v>5.4012159999999998</v>
      </c>
      <c r="AH71">
        <v>5.4116479999999996</v>
      </c>
      <c r="AI71" s="4">
        <f t="shared" si="11"/>
        <v>1.0019314169253739</v>
      </c>
    </row>
    <row r="72" spans="3:35" x14ac:dyDescent="0.25">
      <c r="C72" t="s">
        <v>5</v>
      </c>
      <c r="D72">
        <v>1</v>
      </c>
      <c r="E72">
        <v>128</v>
      </c>
      <c r="F72">
        <f>7168</f>
        <v>7168</v>
      </c>
      <c r="G72">
        <v>28</v>
      </c>
      <c r="H72">
        <v>4</v>
      </c>
      <c r="J72">
        <v>0.18419199999999999</v>
      </c>
      <c r="K72">
        <v>0.20768</v>
      </c>
      <c r="L72" s="4">
        <f t="shared" si="9"/>
        <v>1.1275191104933981</v>
      </c>
      <c r="M72" s="4"/>
      <c r="N72">
        <v>0.23200000000000001</v>
      </c>
      <c r="O72">
        <v>0.251392</v>
      </c>
      <c r="P72" s="4">
        <f t="shared" si="6"/>
        <v>1.0835862068965516</v>
      </c>
      <c r="R72">
        <v>0.18124799999999999</v>
      </c>
      <c r="S72">
        <v>0.19968</v>
      </c>
      <c r="T72" s="4">
        <f t="shared" si="7"/>
        <v>1.1016949152542372</v>
      </c>
      <c r="V72">
        <v>0.236736</v>
      </c>
      <c r="W72">
        <v>0.25535999999999998</v>
      </c>
      <c r="X72" s="4">
        <f t="shared" si="8"/>
        <v>1.078669910786699</v>
      </c>
      <c r="AC72">
        <v>0.38598399999999999</v>
      </c>
      <c r="AD72">
        <v>0.38860800000000001</v>
      </c>
      <c r="AE72" s="4">
        <f t="shared" si="10"/>
        <v>1.006798209252197</v>
      </c>
      <c r="AG72">
        <v>0.38777600000000001</v>
      </c>
      <c r="AH72">
        <v>0.39001599999999997</v>
      </c>
      <c r="AI72" s="4">
        <f t="shared" si="11"/>
        <v>1.0057765307806568</v>
      </c>
    </row>
    <row r="73" spans="3:35" x14ac:dyDescent="0.25">
      <c r="C73" t="s">
        <v>5</v>
      </c>
      <c r="D73">
        <v>2</v>
      </c>
      <c r="E73">
        <v>128</v>
      </c>
      <c r="F73">
        <f>7168</f>
        <v>7168</v>
      </c>
      <c r="G73">
        <v>28</v>
      </c>
      <c r="H73">
        <v>4</v>
      </c>
      <c r="J73">
        <v>0.185472</v>
      </c>
      <c r="K73">
        <v>0.20582400000000001</v>
      </c>
      <c r="L73" s="4">
        <f t="shared" si="9"/>
        <v>1.1097308488612836</v>
      </c>
      <c r="M73" s="4"/>
      <c r="N73">
        <v>0.23123199999999999</v>
      </c>
      <c r="O73">
        <v>0.24992</v>
      </c>
      <c r="P73" s="4">
        <f t="shared" si="6"/>
        <v>1.0808192637697205</v>
      </c>
      <c r="R73">
        <v>0.215424</v>
      </c>
      <c r="S73">
        <v>0.23244799999999999</v>
      </c>
      <c r="T73" s="4">
        <f t="shared" si="7"/>
        <v>1.0790255496137848</v>
      </c>
      <c r="V73">
        <v>0.25158399999999997</v>
      </c>
      <c r="W73">
        <v>0.27078400000000002</v>
      </c>
      <c r="X73" s="4">
        <f t="shared" si="8"/>
        <v>1.0763164589163066</v>
      </c>
      <c r="AC73">
        <v>0.38291199999999997</v>
      </c>
      <c r="AD73">
        <v>0.38591999999999999</v>
      </c>
      <c r="AE73" s="4">
        <f t="shared" si="10"/>
        <v>1.0078555908407154</v>
      </c>
      <c r="AG73">
        <v>0.40716799999999997</v>
      </c>
      <c r="AH73">
        <v>0.40921600000000002</v>
      </c>
      <c r="AI73" s="4">
        <f t="shared" si="11"/>
        <v>1.005029864822383</v>
      </c>
    </row>
    <row r="74" spans="3:35" x14ac:dyDescent="0.25">
      <c r="C74" t="s">
        <v>5</v>
      </c>
      <c r="D74">
        <v>4</v>
      </c>
      <c r="E74">
        <v>128</v>
      </c>
      <c r="F74">
        <f>7168</f>
        <v>7168</v>
      </c>
      <c r="G74">
        <v>28</v>
      </c>
      <c r="H74">
        <v>4</v>
      </c>
      <c r="J74">
        <v>0.186944</v>
      </c>
      <c r="K74">
        <v>0.204736</v>
      </c>
      <c r="L74" s="4">
        <f t="shared" si="9"/>
        <v>1.0951728859979459</v>
      </c>
      <c r="M74" s="4"/>
      <c r="N74">
        <v>0.23104</v>
      </c>
      <c r="O74">
        <v>0.25056</v>
      </c>
      <c r="P74" s="4">
        <f t="shared" si="6"/>
        <v>1.0844875346260388</v>
      </c>
      <c r="R74">
        <v>0.23455999999999999</v>
      </c>
      <c r="S74">
        <v>0.24889600000000001</v>
      </c>
      <c r="T74" s="4">
        <f t="shared" si="7"/>
        <v>1.061118690313779</v>
      </c>
      <c r="V74">
        <v>0.27129599999999998</v>
      </c>
      <c r="W74">
        <v>0.28921599999999997</v>
      </c>
      <c r="X74" s="4">
        <f t="shared" si="8"/>
        <v>1.0660533144609579</v>
      </c>
      <c r="AC74">
        <v>0.378112</v>
      </c>
      <c r="AD74">
        <v>0.38016</v>
      </c>
      <c r="AE74" s="4">
        <f t="shared" si="10"/>
        <v>1.005416384563304</v>
      </c>
      <c r="AG74">
        <v>0.451264</v>
      </c>
      <c r="AH74">
        <v>0.45440000000000003</v>
      </c>
      <c r="AI74" s="4">
        <f t="shared" si="11"/>
        <v>1.0069493688838462</v>
      </c>
    </row>
    <row r="75" spans="3:35" x14ac:dyDescent="0.25">
      <c r="C75" t="s">
        <v>5</v>
      </c>
      <c r="D75">
        <v>8</v>
      </c>
      <c r="E75">
        <v>128</v>
      </c>
      <c r="F75">
        <f>7168</f>
        <v>7168</v>
      </c>
      <c r="G75">
        <v>28</v>
      </c>
      <c r="H75">
        <v>4</v>
      </c>
      <c r="J75">
        <v>0.32179200000000002</v>
      </c>
      <c r="K75">
        <v>0.35014400000000001</v>
      </c>
      <c r="L75" s="4">
        <f t="shared" si="9"/>
        <v>1.0881066030230708</v>
      </c>
      <c r="M75" s="4"/>
      <c r="N75">
        <v>0.42739199999999999</v>
      </c>
      <c r="O75">
        <v>0.46566400000000002</v>
      </c>
      <c r="P75" s="4">
        <f t="shared" si="6"/>
        <v>1.0895477687930519</v>
      </c>
      <c r="R75">
        <v>0.41260799999999997</v>
      </c>
      <c r="S75">
        <v>0.44236799999999998</v>
      </c>
      <c r="T75" s="4">
        <f t="shared" si="7"/>
        <v>1.0721265704979059</v>
      </c>
      <c r="V75">
        <v>0.49747200000000003</v>
      </c>
      <c r="W75">
        <v>0.53484799999999999</v>
      </c>
      <c r="X75" s="4">
        <f t="shared" si="8"/>
        <v>1.0751318667181269</v>
      </c>
      <c r="AC75">
        <v>0.69580799999999998</v>
      </c>
      <c r="AD75">
        <v>0.70240000000000002</v>
      </c>
      <c r="AE75" s="4">
        <f t="shared" si="10"/>
        <v>1.0094738778513614</v>
      </c>
      <c r="AG75">
        <v>0.84031999999999996</v>
      </c>
      <c r="AH75">
        <v>0.84364799999999995</v>
      </c>
      <c r="AI75" s="4">
        <f t="shared" si="11"/>
        <v>1.003960396039604</v>
      </c>
    </row>
    <row r="76" spans="3:35" x14ac:dyDescent="0.25">
      <c r="C76" t="s">
        <v>5</v>
      </c>
      <c r="D76">
        <v>16</v>
      </c>
      <c r="E76">
        <v>128</v>
      </c>
      <c r="F76">
        <f>7168</f>
        <v>7168</v>
      </c>
      <c r="G76">
        <v>28</v>
      </c>
      <c r="H76">
        <v>4</v>
      </c>
      <c r="J76">
        <v>0.54694399999999999</v>
      </c>
      <c r="K76">
        <v>0.60960000000000003</v>
      </c>
      <c r="L76" s="4">
        <f t="shared" si="9"/>
        <v>1.114556517669085</v>
      </c>
      <c r="M76" s="4"/>
      <c r="N76">
        <v>0.81491199999999997</v>
      </c>
      <c r="O76">
        <v>0.88652799999999998</v>
      </c>
      <c r="P76" s="4">
        <f t="shared" si="6"/>
        <v>1.0878818817246525</v>
      </c>
      <c r="R76">
        <v>0.731456</v>
      </c>
      <c r="S76">
        <v>0.79513599999999995</v>
      </c>
      <c r="T76" s="4">
        <f t="shared" si="7"/>
        <v>1.087059235278677</v>
      </c>
      <c r="V76">
        <v>0.95820799999999995</v>
      </c>
      <c r="W76">
        <v>1.016192</v>
      </c>
      <c r="X76" s="4">
        <f t="shared" si="8"/>
        <v>1.0605129575207053</v>
      </c>
      <c r="AC76">
        <v>1.910336</v>
      </c>
      <c r="AD76">
        <v>1.9077120000000001</v>
      </c>
      <c r="AE76" s="4">
        <f t="shared" si="10"/>
        <v>0.99862641964554932</v>
      </c>
      <c r="AG76">
        <v>1.613696</v>
      </c>
      <c r="AH76">
        <v>1.614528</v>
      </c>
      <c r="AI76" s="4">
        <f t="shared" si="11"/>
        <v>1.0005155865788846</v>
      </c>
    </row>
    <row r="77" spans="3:35" x14ac:dyDescent="0.25">
      <c r="C77" t="s">
        <v>5</v>
      </c>
      <c r="D77">
        <v>32</v>
      </c>
      <c r="E77">
        <v>128</v>
      </c>
      <c r="F77">
        <f>7168</f>
        <v>7168</v>
      </c>
      <c r="G77">
        <v>28</v>
      </c>
      <c r="H77">
        <v>4</v>
      </c>
      <c r="J77">
        <v>0.99756800000000001</v>
      </c>
      <c r="K77">
        <v>1.1191679999999999</v>
      </c>
      <c r="L77" s="4">
        <f t="shared" si="9"/>
        <v>1.1218964521716814</v>
      </c>
      <c r="M77" s="4"/>
      <c r="N77">
        <v>1.587712</v>
      </c>
      <c r="O77">
        <v>1.7212160000000001</v>
      </c>
      <c r="P77" s="4">
        <f t="shared" si="6"/>
        <v>1.0840857787810385</v>
      </c>
      <c r="R77">
        <v>1.4226559999999999</v>
      </c>
      <c r="S77">
        <v>1.48224</v>
      </c>
      <c r="T77" s="4">
        <f t="shared" si="7"/>
        <v>1.041882225921094</v>
      </c>
      <c r="V77">
        <v>1.8677760000000001</v>
      </c>
      <c r="W77">
        <v>1.976256</v>
      </c>
      <c r="X77" s="4">
        <f t="shared" si="8"/>
        <v>1.058079769736842</v>
      </c>
      <c r="AC77">
        <v>3.8558720000000002</v>
      </c>
      <c r="AD77">
        <v>3.882816</v>
      </c>
      <c r="AE77" s="4">
        <f t="shared" si="10"/>
        <v>1.0069877838268491</v>
      </c>
      <c r="AG77">
        <v>3.1694719999999998</v>
      </c>
      <c r="AH77">
        <v>3.1741440000000001</v>
      </c>
      <c r="AI77" s="4">
        <f t="shared" si="11"/>
        <v>1.0014740625567919</v>
      </c>
    </row>
    <row r="78" spans="3:35" x14ac:dyDescent="0.25">
      <c r="C78" t="s">
        <v>5</v>
      </c>
      <c r="D78">
        <v>64</v>
      </c>
      <c r="E78">
        <v>128</v>
      </c>
      <c r="F78">
        <f>7168</f>
        <v>7168</v>
      </c>
      <c r="G78">
        <v>28</v>
      </c>
      <c r="H78">
        <v>4</v>
      </c>
      <c r="J78">
        <v>1.87616</v>
      </c>
      <c r="K78">
        <v>2.1302400000000001</v>
      </c>
      <c r="L78" s="4">
        <f t="shared" si="9"/>
        <v>1.1354255500596964</v>
      </c>
      <c r="M78" s="4"/>
      <c r="N78">
        <v>3.09504</v>
      </c>
      <c r="O78">
        <v>3.3584000000000001</v>
      </c>
      <c r="P78" s="4">
        <f t="shared" si="6"/>
        <v>1.0850909842845327</v>
      </c>
      <c r="R78">
        <v>2.7196159999999998</v>
      </c>
      <c r="S78">
        <v>2.89344</v>
      </c>
      <c r="T78" s="4">
        <f t="shared" si="7"/>
        <v>1.0639149056337367</v>
      </c>
      <c r="V78">
        <v>3.6689919999999998</v>
      </c>
      <c r="W78">
        <v>3.8917760000000001</v>
      </c>
      <c r="X78" s="4">
        <f t="shared" si="8"/>
        <v>1.0607207647222998</v>
      </c>
      <c r="AC78">
        <v>4.5655679999999998</v>
      </c>
      <c r="AD78">
        <v>4.5752319999999997</v>
      </c>
      <c r="AE78" s="4">
        <f t="shared" si="10"/>
        <v>1.0021167136268696</v>
      </c>
      <c r="AG78">
        <v>6.277952</v>
      </c>
      <c r="AH78">
        <v>6.2772480000000002</v>
      </c>
      <c r="AI78" s="4">
        <f t="shared" si="11"/>
        <v>0.99988786151917064</v>
      </c>
    </row>
    <row r="79" spans="3:35" x14ac:dyDescent="0.25">
      <c r="C79" t="s">
        <v>5</v>
      </c>
      <c r="D79">
        <v>1</v>
      </c>
      <c r="E79">
        <v>128</v>
      </c>
      <c r="F79">
        <f>8192</f>
        <v>8192</v>
      </c>
      <c r="G79">
        <v>28</v>
      </c>
      <c r="H79">
        <v>4</v>
      </c>
      <c r="J79">
        <v>0.19987199999999999</v>
      </c>
      <c r="K79">
        <v>0.229824</v>
      </c>
      <c r="L79" s="4">
        <f t="shared" si="9"/>
        <v>1.1498559077809798</v>
      </c>
      <c r="M79" s="4"/>
      <c r="N79">
        <v>0.25939200000000001</v>
      </c>
      <c r="O79">
        <v>0.28192</v>
      </c>
      <c r="P79" s="4">
        <f t="shared" si="6"/>
        <v>1.0868492474710092</v>
      </c>
      <c r="R79">
        <v>0.19872000000000001</v>
      </c>
      <c r="S79">
        <v>0.21907199999999999</v>
      </c>
      <c r="T79" s="4">
        <f t="shared" si="7"/>
        <v>1.1024154589371979</v>
      </c>
      <c r="V79">
        <v>0.60588799999999998</v>
      </c>
      <c r="W79">
        <v>0.28678399999999998</v>
      </c>
      <c r="X79" s="4">
        <f t="shared" si="8"/>
        <v>0.47332840392943909</v>
      </c>
      <c r="AC79">
        <v>0.42777599999999999</v>
      </c>
      <c r="AD79">
        <v>0.42892799999999998</v>
      </c>
      <c r="AE79" s="4">
        <f t="shared" si="10"/>
        <v>1.0026929982046677</v>
      </c>
      <c r="AG79">
        <v>0.43398399999999998</v>
      </c>
      <c r="AH79">
        <v>0.43513600000000002</v>
      </c>
      <c r="AI79" s="4">
        <f t="shared" si="11"/>
        <v>1.0026544757410412</v>
      </c>
    </row>
    <row r="80" spans="3:35" x14ac:dyDescent="0.25">
      <c r="C80" t="s">
        <v>5</v>
      </c>
      <c r="D80">
        <v>2</v>
      </c>
      <c r="E80">
        <v>128</v>
      </c>
      <c r="F80">
        <f>8192</f>
        <v>8192</v>
      </c>
      <c r="G80">
        <v>28</v>
      </c>
      <c r="H80">
        <v>4</v>
      </c>
      <c r="J80">
        <v>0.20480000000000001</v>
      </c>
      <c r="K80">
        <v>0.22886400000000001</v>
      </c>
      <c r="L80" s="4">
        <f t="shared" si="9"/>
        <v>1.1174999999999999</v>
      </c>
      <c r="M80" s="4"/>
      <c r="N80">
        <v>0.25881599999999999</v>
      </c>
      <c r="O80">
        <v>0.28057599999999999</v>
      </c>
      <c r="P80" s="4">
        <f t="shared" si="6"/>
        <v>1.0840751730959446</v>
      </c>
      <c r="R80">
        <v>0.24166399999999999</v>
      </c>
      <c r="S80">
        <v>0.26233600000000001</v>
      </c>
      <c r="T80" s="4">
        <f t="shared" si="7"/>
        <v>1.0855402542372883</v>
      </c>
      <c r="V80">
        <v>0.28083200000000003</v>
      </c>
      <c r="W80">
        <v>0.30080000000000001</v>
      </c>
      <c r="X80" s="4">
        <f t="shared" si="8"/>
        <v>1.0711030082041932</v>
      </c>
      <c r="AC80">
        <v>0.42431999999999997</v>
      </c>
      <c r="AD80">
        <v>0.42559999999999998</v>
      </c>
      <c r="AE80" s="4">
        <f t="shared" si="10"/>
        <v>1.0030165912518854</v>
      </c>
      <c r="AG80">
        <v>0.45504</v>
      </c>
      <c r="AH80">
        <v>0.45657599999999998</v>
      </c>
      <c r="AI80" s="4">
        <f t="shared" si="11"/>
        <v>1.0033755274261602</v>
      </c>
    </row>
    <row r="81" spans="3:35" x14ac:dyDescent="0.25">
      <c r="C81" t="s">
        <v>5</v>
      </c>
      <c r="D81">
        <v>4</v>
      </c>
      <c r="E81">
        <v>128</v>
      </c>
      <c r="F81">
        <f>8192</f>
        <v>8192</v>
      </c>
      <c r="G81">
        <v>28</v>
      </c>
      <c r="H81">
        <v>4</v>
      </c>
      <c r="J81">
        <v>0.20748800000000001</v>
      </c>
      <c r="K81">
        <v>0.22720000000000001</v>
      </c>
      <c r="L81" s="4">
        <f t="shared" si="9"/>
        <v>1.095003084515731</v>
      </c>
      <c r="M81" s="4"/>
      <c r="N81">
        <v>0.25888</v>
      </c>
      <c r="O81">
        <v>0.28064</v>
      </c>
      <c r="P81" s="4">
        <f t="shared" si="6"/>
        <v>1.0840543881334981</v>
      </c>
      <c r="R81">
        <v>0.25747199999999998</v>
      </c>
      <c r="S81">
        <v>0.27705600000000002</v>
      </c>
      <c r="T81" s="4">
        <f t="shared" si="7"/>
        <v>1.0760626398210293</v>
      </c>
      <c r="V81">
        <v>0.301952</v>
      </c>
      <c r="W81">
        <v>0.32364799999999999</v>
      </c>
      <c r="X81" s="4">
        <f t="shared" si="8"/>
        <v>1.0718524798643492</v>
      </c>
      <c r="AC81">
        <v>0.42848000000000003</v>
      </c>
      <c r="AD81">
        <v>0.43136000000000002</v>
      </c>
      <c r="AE81" s="4">
        <f t="shared" si="10"/>
        <v>1.0067214339058999</v>
      </c>
      <c r="AG81">
        <v>0.50579200000000002</v>
      </c>
      <c r="AH81">
        <v>0.50822400000000001</v>
      </c>
      <c r="AI81" s="4">
        <f t="shared" si="11"/>
        <v>1.0048083006453246</v>
      </c>
    </row>
    <row r="82" spans="3:35" x14ac:dyDescent="0.25">
      <c r="C82" t="s">
        <v>5</v>
      </c>
      <c r="D82">
        <v>8</v>
      </c>
      <c r="E82">
        <v>128</v>
      </c>
      <c r="F82">
        <f>8192</f>
        <v>8192</v>
      </c>
      <c r="G82">
        <v>28</v>
      </c>
      <c r="H82">
        <v>4</v>
      </c>
      <c r="J82">
        <v>0.34950399999999998</v>
      </c>
      <c r="K82">
        <v>0.38668799999999998</v>
      </c>
      <c r="L82" s="4">
        <f t="shared" si="9"/>
        <v>1.1063907709210767</v>
      </c>
      <c r="M82" s="4"/>
      <c r="N82">
        <v>0.47155200000000003</v>
      </c>
      <c r="O82">
        <v>0.51392000000000004</v>
      </c>
      <c r="P82" s="4">
        <f t="shared" si="6"/>
        <v>1.0898479913137893</v>
      </c>
      <c r="R82">
        <v>0.45356800000000003</v>
      </c>
      <c r="S82">
        <v>0.48652800000000002</v>
      </c>
      <c r="T82" s="4">
        <f t="shared" si="7"/>
        <v>1.0726682658388598</v>
      </c>
      <c r="V82">
        <v>0.56767999999999996</v>
      </c>
      <c r="W82">
        <v>0.60192000000000001</v>
      </c>
      <c r="X82" s="4">
        <f t="shared" si="8"/>
        <v>1.0603156708004511</v>
      </c>
      <c r="AC82">
        <v>0.73529599999999995</v>
      </c>
      <c r="AD82">
        <v>0.73977599999999999</v>
      </c>
      <c r="AE82" s="4">
        <f t="shared" si="10"/>
        <v>1.0060927844024721</v>
      </c>
      <c r="AG82">
        <v>0.946496</v>
      </c>
      <c r="AH82">
        <v>0.94879999999999998</v>
      </c>
      <c r="AI82" s="4">
        <f t="shared" si="11"/>
        <v>1.0024342416661032</v>
      </c>
    </row>
    <row r="83" spans="3:35" x14ac:dyDescent="0.25">
      <c r="C83" t="s">
        <v>5</v>
      </c>
      <c r="D83">
        <v>16</v>
      </c>
      <c r="E83">
        <v>128</v>
      </c>
      <c r="F83">
        <f>8192</f>
        <v>8192</v>
      </c>
      <c r="G83">
        <v>28</v>
      </c>
      <c r="H83">
        <v>4</v>
      </c>
      <c r="J83">
        <v>0.61452799999999996</v>
      </c>
      <c r="K83">
        <v>0.68249599999999999</v>
      </c>
      <c r="L83" s="4">
        <f t="shared" si="9"/>
        <v>1.1106019579254323</v>
      </c>
      <c r="M83" s="4"/>
      <c r="N83">
        <v>0.906752</v>
      </c>
      <c r="O83">
        <v>0.98483200000000004</v>
      </c>
      <c r="P83" s="4">
        <f t="shared" si="6"/>
        <v>1.0861095426312819</v>
      </c>
      <c r="R83">
        <v>0.84537600000000002</v>
      </c>
      <c r="S83">
        <v>0.90368000000000004</v>
      </c>
      <c r="T83" s="4">
        <f t="shared" si="7"/>
        <v>1.0689681277916572</v>
      </c>
      <c r="V83">
        <v>1.0904959999999999</v>
      </c>
      <c r="W83">
        <v>1.1653119999999999</v>
      </c>
      <c r="X83" s="4">
        <f t="shared" si="8"/>
        <v>1.0686073126357181</v>
      </c>
      <c r="AC83">
        <v>1.372288</v>
      </c>
      <c r="AD83">
        <v>1.3775360000000001</v>
      </c>
      <c r="AE83" s="4">
        <f t="shared" si="10"/>
        <v>1.0038242701240556</v>
      </c>
      <c r="AG83">
        <v>1.8244480000000001</v>
      </c>
      <c r="AH83">
        <v>1.8293759999999999</v>
      </c>
      <c r="AI83" s="4">
        <f t="shared" si="11"/>
        <v>1.0027010909601151</v>
      </c>
    </row>
    <row r="84" spans="3:35" x14ac:dyDescent="0.25">
      <c r="C84" t="s">
        <v>5</v>
      </c>
      <c r="D84">
        <v>32</v>
      </c>
      <c r="E84">
        <v>128</v>
      </c>
      <c r="F84">
        <f>8192</f>
        <v>8192</v>
      </c>
      <c r="G84">
        <v>28</v>
      </c>
      <c r="H84">
        <v>4</v>
      </c>
      <c r="J84">
        <v>1.12256</v>
      </c>
      <c r="K84">
        <v>1.256704</v>
      </c>
      <c r="L84" s="4">
        <f t="shared" si="9"/>
        <v>1.1194982896237173</v>
      </c>
      <c r="M84" s="4"/>
      <c r="N84">
        <v>1.769536</v>
      </c>
      <c r="O84">
        <v>1.9296</v>
      </c>
      <c r="P84" s="4">
        <f t="shared" si="6"/>
        <v>1.0904553510072696</v>
      </c>
      <c r="R84">
        <v>1.60416</v>
      </c>
      <c r="S84">
        <v>1.689792</v>
      </c>
      <c r="T84" s="4">
        <f t="shared" si="7"/>
        <v>1.0533812088569718</v>
      </c>
      <c r="V84">
        <v>2.1240320000000001</v>
      </c>
      <c r="W84">
        <v>2.2533759999999998</v>
      </c>
      <c r="X84" s="4">
        <f t="shared" si="8"/>
        <v>1.0608955043991803</v>
      </c>
      <c r="AC84">
        <v>2.6605439999999998</v>
      </c>
      <c r="AD84">
        <v>2.661184</v>
      </c>
      <c r="AE84" s="4">
        <f t="shared" si="10"/>
        <v>1.0002405523080995</v>
      </c>
      <c r="AG84">
        <v>3.599488</v>
      </c>
      <c r="AH84">
        <v>3.6071049999999998</v>
      </c>
      <c r="AI84" s="4">
        <f t="shared" si="11"/>
        <v>1.0021161342946552</v>
      </c>
    </row>
    <row r="85" spans="3:35" x14ac:dyDescent="0.25">
      <c r="C85" t="s">
        <v>5</v>
      </c>
      <c r="D85">
        <v>64</v>
      </c>
      <c r="E85">
        <v>128</v>
      </c>
      <c r="F85">
        <f>8192</f>
        <v>8192</v>
      </c>
      <c r="G85">
        <v>28</v>
      </c>
      <c r="H85">
        <v>4</v>
      </c>
      <c r="J85">
        <v>2.131456</v>
      </c>
      <c r="K85">
        <v>2.4113920000000002</v>
      </c>
      <c r="L85" s="4">
        <f t="shared" si="9"/>
        <v>1.1313355753062695</v>
      </c>
      <c r="M85" s="4"/>
      <c r="N85">
        <v>3.5256319999999999</v>
      </c>
      <c r="O85">
        <v>3.82944</v>
      </c>
      <c r="P85" s="4">
        <f t="shared" si="6"/>
        <v>1.0861712169619517</v>
      </c>
      <c r="R85">
        <v>3.1050239999999998</v>
      </c>
      <c r="S85">
        <v>3.2232319999999999</v>
      </c>
      <c r="T85" s="4">
        <f t="shared" si="7"/>
        <v>1.0380699150795614</v>
      </c>
      <c r="V85">
        <v>4.170496</v>
      </c>
      <c r="W85">
        <v>4.4295039999999997</v>
      </c>
      <c r="X85" s="4">
        <f t="shared" si="8"/>
        <v>1.0621048431649376</v>
      </c>
      <c r="AC85">
        <v>5.1858560000000002</v>
      </c>
      <c r="AD85">
        <v>5.2002560000000004</v>
      </c>
      <c r="AE85" s="4">
        <f t="shared" si="10"/>
        <v>1.0027767836206791</v>
      </c>
      <c r="AG85">
        <v>7.1283209999999997</v>
      </c>
      <c r="AH85">
        <v>7.1404160000000001</v>
      </c>
      <c r="AI85" s="4">
        <f t="shared" si="11"/>
        <v>1.0016967529941483</v>
      </c>
    </row>
    <row r="86" spans="3:35" x14ac:dyDescent="0.25">
      <c r="C86" t="s">
        <v>31</v>
      </c>
      <c r="D86">
        <v>1</v>
      </c>
      <c r="E86">
        <v>128</v>
      </c>
      <c r="F86">
        <v>64</v>
      </c>
      <c r="G86">
        <v>28</v>
      </c>
      <c r="H86">
        <v>4</v>
      </c>
      <c r="J86">
        <v>4.3903999999999999E-2</v>
      </c>
      <c r="K86">
        <v>4.3776000000000002E-2</v>
      </c>
      <c r="L86" s="4">
        <f t="shared" si="9"/>
        <v>0.99708454810495639</v>
      </c>
      <c r="M86" s="4"/>
      <c r="N86">
        <v>4.3200000000000002E-2</v>
      </c>
      <c r="O86">
        <v>4.3712000000000001E-2</v>
      </c>
      <c r="P86" s="4">
        <f t="shared" si="6"/>
        <v>1.0118518518518518</v>
      </c>
      <c r="R86">
        <v>4.3136000000000001E-2</v>
      </c>
      <c r="S86">
        <v>4.3136000000000001E-2</v>
      </c>
      <c r="T86" s="4">
        <f t="shared" si="7"/>
        <v>1</v>
      </c>
      <c r="V86">
        <v>4.5247999999999997E-2</v>
      </c>
      <c r="W86">
        <v>4.5311999999999998E-2</v>
      </c>
      <c r="X86" s="4">
        <f t="shared" si="8"/>
        <v>1.0014144271570014</v>
      </c>
      <c r="AC86">
        <v>6.3296000000000005E-2</v>
      </c>
      <c r="AD86">
        <v>6.2080000000000003E-2</v>
      </c>
      <c r="AE86" s="4">
        <f t="shared" si="10"/>
        <v>0.98078867542972692</v>
      </c>
      <c r="AG86">
        <v>6.3296000000000005E-2</v>
      </c>
      <c r="AH86">
        <v>6.368E-2</v>
      </c>
      <c r="AI86" s="4">
        <f t="shared" si="11"/>
        <v>1.0060667340748231</v>
      </c>
    </row>
    <row r="87" spans="3:35" x14ac:dyDescent="0.25">
      <c r="C87" t="s">
        <v>31</v>
      </c>
      <c r="D87">
        <v>2</v>
      </c>
      <c r="E87">
        <v>128</v>
      </c>
      <c r="F87">
        <v>64</v>
      </c>
      <c r="G87">
        <v>28</v>
      </c>
      <c r="H87">
        <v>4</v>
      </c>
      <c r="J87">
        <v>4.3647999999999999E-2</v>
      </c>
      <c r="K87">
        <v>4.3071999999999999E-2</v>
      </c>
      <c r="L87" s="4">
        <f t="shared" si="9"/>
        <v>0.98680351906158359</v>
      </c>
      <c r="M87" s="4"/>
      <c r="N87">
        <v>4.3071999999999999E-2</v>
      </c>
      <c r="O87">
        <v>4.2816E-2</v>
      </c>
      <c r="P87" s="4">
        <f t="shared" si="6"/>
        <v>0.99405646359583955</v>
      </c>
      <c r="R87">
        <v>4.2431999999999997E-2</v>
      </c>
      <c r="S87">
        <v>4.1599999999999998E-2</v>
      </c>
      <c r="T87" s="4">
        <f t="shared" si="7"/>
        <v>0.98039215686274506</v>
      </c>
      <c r="V87">
        <v>4.3136000000000001E-2</v>
      </c>
      <c r="W87">
        <v>4.3583999999999998E-2</v>
      </c>
      <c r="X87" s="4">
        <f t="shared" si="8"/>
        <v>1.0103857566765577</v>
      </c>
      <c r="AC87">
        <v>5.9456000000000002E-2</v>
      </c>
      <c r="AD87">
        <v>5.8175999999999999E-2</v>
      </c>
      <c r="AE87" s="4">
        <f t="shared" si="10"/>
        <v>0.97847147470398277</v>
      </c>
      <c r="AG87">
        <v>6.0415999999999997E-2</v>
      </c>
      <c r="AH87">
        <v>6.0735999999999998E-2</v>
      </c>
      <c r="AI87" s="4">
        <f t="shared" si="11"/>
        <v>1.0052966101694916</v>
      </c>
    </row>
    <row r="88" spans="3:35" x14ac:dyDescent="0.25">
      <c r="C88" t="s">
        <v>31</v>
      </c>
      <c r="D88">
        <v>4</v>
      </c>
      <c r="E88">
        <v>128</v>
      </c>
      <c r="F88">
        <v>64</v>
      </c>
      <c r="G88">
        <v>28</v>
      </c>
      <c r="H88">
        <v>4</v>
      </c>
      <c r="J88">
        <v>4.4352000000000003E-2</v>
      </c>
      <c r="K88">
        <v>4.4223999999999999E-2</v>
      </c>
      <c r="L88" s="4">
        <f t="shared" si="9"/>
        <v>0.99711399711399706</v>
      </c>
      <c r="M88" s="4"/>
      <c r="N88">
        <v>4.4032000000000002E-2</v>
      </c>
      <c r="O88">
        <v>4.3520000000000003E-2</v>
      </c>
      <c r="P88" s="4">
        <f t="shared" si="6"/>
        <v>0.98837209302325579</v>
      </c>
      <c r="R88">
        <v>4.3520000000000003E-2</v>
      </c>
      <c r="S88">
        <v>4.3327999999999998E-2</v>
      </c>
      <c r="T88" s="4">
        <f t="shared" si="7"/>
        <v>0.99558823529411755</v>
      </c>
      <c r="V88">
        <v>4.4159999999999998E-2</v>
      </c>
      <c r="W88">
        <v>4.48E-2</v>
      </c>
      <c r="X88" s="4">
        <f t="shared" si="8"/>
        <v>1.0144927536231885</v>
      </c>
      <c r="AC88">
        <v>6.0991999999999998E-2</v>
      </c>
      <c r="AD88">
        <v>5.8880000000000002E-2</v>
      </c>
      <c r="AE88" s="4">
        <f t="shared" si="10"/>
        <v>0.9653725078698846</v>
      </c>
      <c r="AG88">
        <v>6.6496E-2</v>
      </c>
      <c r="AH88">
        <v>6.4703999999999998E-2</v>
      </c>
      <c r="AI88" s="4">
        <f t="shared" si="11"/>
        <v>0.97305101058710297</v>
      </c>
    </row>
    <row r="89" spans="3:35" x14ac:dyDescent="0.25">
      <c r="C89" t="s">
        <v>31</v>
      </c>
      <c r="D89">
        <v>8</v>
      </c>
      <c r="E89">
        <v>128</v>
      </c>
      <c r="F89">
        <v>64</v>
      </c>
      <c r="G89">
        <v>28</v>
      </c>
      <c r="H89">
        <v>4</v>
      </c>
      <c r="J89">
        <v>4.7615999999999999E-2</v>
      </c>
      <c r="K89">
        <v>4.8127999999999997E-2</v>
      </c>
      <c r="L89" s="4">
        <f t="shared" si="9"/>
        <v>1.010752688172043</v>
      </c>
      <c r="M89" s="4"/>
      <c r="N89">
        <v>4.9279999999999997E-2</v>
      </c>
      <c r="O89">
        <v>4.8959999999999997E-2</v>
      </c>
      <c r="P89" s="4">
        <f t="shared" si="6"/>
        <v>0.99350649350649345</v>
      </c>
      <c r="R89">
        <v>4.8447999999999998E-2</v>
      </c>
      <c r="S89">
        <v>4.8640000000000003E-2</v>
      </c>
      <c r="T89" s="4">
        <f t="shared" si="7"/>
        <v>1.0039630118890357</v>
      </c>
      <c r="V89">
        <v>5.0111999999999997E-2</v>
      </c>
      <c r="W89">
        <v>4.9343999999999999E-2</v>
      </c>
      <c r="X89" s="4">
        <f t="shared" si="8"/>
        <v>0.9846743295019158</v>
      </c>
      <c r="AC89">
        <v>6.9760000000000003E-2</v>
      </c>
      <c r="AD89">
        <v>6.8543999999999994E-2</v>
      </c>
      <c r="AE89" s="4">
        <f t="shared" si="10"/>
        <v>0.9825688073394494</v>
      </c>
      <c r="AG89">
        <v>7.9871999999999999E-2</v>
      </c>
      <c r="AH89">
        <v>7.8336000000000003E-2</v>
      </c>
      <c r="AI89" s="4">
        <f t="shared" si="11"/>
        <v>0.98076923076923084</v>
      </c>
    </row>
    <row r="90" spans="3:35" x14ac:dyDescent="0.25">
      <c r="C90" t="s">
        <v>31</v>
      </c>
      <c r="D90">
        <v>16</v>
      </c>
      <c r="E90">
        <v>128</v>
      </c>
      <c r="F90">
        <v>64</v>
      </c>
      <c r="G90">
        <v>28</v>
      </c>
      <c r="H90">
        <v>4</v>
      </c>
      <c r="J90">
        <v>5.568E-2</v>
      </c>
      <c r="K90">
        <v>5.5744000000000002E-2</v>
      </c>
      <c r="L90" s="4">
        <f t="shared" si="9"/>
        <v>1.0011494252873563</v>
      </c>
      <c r="M90" s="4"/>
      <c r="N90">
        <v>5.7728000000000002E-2</v>
      </c>
      <c r="O90">
        <v>5.8495999999999999E-2</v>
      </c>
      <c r="P90" s="4">
        <f t="shared" si="6"/>
        <v>1.0133037694013303</v>
      </c>
      <c r="R90">
        <v>5.7535999999999997E-2</v>
      </c>
      <c r="S90">
        <v>5.8175999999999999E-2</v>
      </c>
      <c r="T90" s="4">
        <f t="shared" si="7"/>
        <v>1.0111234705228032</v>
      </c>
      <c r="V90">
        <v>6.0159999999999998E-2</v>
      </c>
      <c r="W90">
        <v>6.0095999999999997E-2</v>
      </c>
      <c r="X90" s="4">
        <f t="shared" si="8"/>
        <v>0.99893617021276593</v>
      </c>
      <c r="AC90">
        <v>9.1135999999999995E-2</v>
      </c>
      <c r="AD90">
        <v>9.2415999999999998E-2</v>
      </c>
      <c r="AE90" s="4">
        <f t="shared" si="10"/>
        <v>1.0140449438202248</v>
      </c>
      <c r="AG90">
        <v>0.10911999999999999</v>
      </c>
      <c r="AH90">
        <v>0.10847999999999999</v>
      </c>
      <c r="AI90" s="4">
        <f t="shared" si="11"/>
        <v>0.99413489736070382</v>
      </c>
    </row>
    <row r="91" spans="3:35" x14ac:dyDescent="0.25">
      <c r="C91" t="s">
        <v>31</v>
      </c>
      <c r="D91">
        <v>32</v>
      </c>
      <c r="E91">
        <v>128</v>
      </c>
      <c r="F91">
        <v>64</v>
      </c>
      <c r="G91">
        <v>28</v>
      </c>
      <c r="H91">
        <v>4</v>
      </c>
      <c r="J91">
        <v>7.4751999999999999E-2</v>
      </c>
      <c r="K91">
        <v>7.4176000000000006E-2</v>
      </c>
      <c r="L91" s="4">
        <f t="shared" si="9"/>
        <v>0.99229452054794531</v>
      </c>
      <c r="M91" s="4"/>
      <c r="N91">
        <v>7.8079999999999997E-2</v>
      </c>
      <c r="O91">
        <v>7.9871999999999999E-2</v>
      </c>
      <c r="P91" s="4">
        <f t="shared" si="6"/>
        <v>1.0229508196721311</v>
      </c>
      <c r="R91">
        <v>7.8208E-2</v>
      </c>
      <c r="S91">
        <v>7.8719999999999998E-2</v>
      </c>
      <c r="T91" s="4">
        <f t="shared" si="7"/>
        <v>1.0065466448445171</v>
      </c>
      <c r="V91">
        <v>8.2687999999999998E-2</v>
      </c>
      <c r="W91">
        <v>8.0832000000000001E-2</v>
      </c>
      <c r="X91" s="4">
        <f t="shared" si="8"/>
        <v>0.97755417956656354</v>
      </c>
      <c r="AC91">
        <v>0.16134399999999999</v>
      </c>
      <c r="AD91">
        <v>0.15865599999999999</v>
      </c>
      <c r="AE91" s="4">
        <f t="shared" si="10"/>
        <v>0.98333994446648154</v>
      </c>
      <c r="AG91">
        <v>0.18240000000000001</v>
      </c>
      <c r="AH91">
        <v>0.18412800000000001</v>
      </c>
      <c r="AI91" s="4">
        <f t="shared" si="11"/>
        <v>1.0094736842105263</v>
      </c>
    </row>
    <row r="92" spans="3:35" x14ac:dyDescent="0.25">
      <c r="C92" t="s">
        <v>31</v>
      </c>
      <c r="D92">
        <v>64</v>
      </c>
      <c r="E92">
        <v>128</v>
      </c>
      <c r="F92">
        <v>64</v>
      </c>
      <c r="G92">
        <v>28</v>
      </c>
      <c r="H92">
        <v>4</v>
      </c>
      <c r="J92">
        <v>0.10470400000000001</v>
      </c>
      <c r="K92">
        <v>0.10617600000000001</v>
      </c>
      <c r="L92" s="4">
        <f t="shared" si="9"/>
        <v>1.0140586797066016</v>
      </c>
      <c r="M92" s="4"/>
      <c r="N92">
        <v>0.11673600000000001</v>
      </c>
      <c r="O92">
        <v>0.11904000000000001</v>
      </c>
      <c r="P92" s="4">
        <f t="shared" si="6"/>
        <v>1.0197368421052631</v>
      </c>
      <c r="R92">
        <v>0.109824</v>
      </c>
      <c r="S92">
        <v>0.110016</v>
      </c>
      <c r="T92" s="4">
        <f t="shared" si="7"/>
        <v>1.0017482517482517</v>
      </c>
      <c r="V92">
        <v>0.126528</v>
      </c>
      <c r="W92">
        <v>0.12288</v>
      </c>
      <c r="X92" s="4">
        <f t="shared" si="8"/>
        <v>0.97116843702579669</v>
      </c>
      <c r="AC92">
        <v>0.267264</v>
      </c>
      <c r="AD92">
        <v>0.27257599999999998</v>
      </c>
      <c r="AE92" s="4">
        <f t="shared" si="10"/>
        <v>1.0198754789272031</v>
      </c>
      <c r="AG92">
        <v>0.30143999999999999</v>
      </c>
      <c r="AH92">
        <v>0.30470399999999997</v>
      </c>
      <c r="AI92" s="4">
        <f t="shared" si="11"/>
        <v>1.0108280254777069</v>
      </c>
    </row>
    <row r="93" spans="3:35" x14ac:dyDescent="0.25">
      <c r="C93" t="s">
        <v>31</v>
      </c>
      <c r="D93">
        <v>1</v>
      </c>
      <c r="E93">
        <v>128</v>
      </c>
      <c r="F93">
        <v>128</v>
      </c>
      <c r="G93">
        <v>28</v>
      </c>
      <c r="H93">
        <v>4</v>
      </c>
      <c r="J93">
        <v>4.6463999999999998E-2</v>
      </c>
      <c r="K93">
        <v>4.6848000000000001E-2</v>
      </c>
      <c r="L93" s="4">
        <f t="shared" si="9"/>
        <v>1.0082644628099173</v>
      </c>
      <c r="M93" s="4"/>
      <c r="N93">
        <v>4.5440000000000001E-2</v>
      </c>
      <c r="O93">
        <v>4.6080000000000003E-2</v>
      </c>
      <c r="P93" s="4">
        <f t="shared" si="6"/>
        <v>1.0140845070422535</v>
      </c>
      <c r="R93">
        <v>4.4991999999999997E-2</v>
      </c>
      <c r="S93">
        <v>4.4991999999999997E-2</v>
      </c>
      <c r="T93" s="4">
        <f t="shared" si="7"/>
        <v>1</v>
      </c>
      <c r="V93">
        <v>4.7168000000000002E-2</v>
      </c>
      <c r="W93">
        <v>4.7232000000000003E-2</v>
      </c>
      <c r="X93" s="4">
        <f t="shared" si="8"/>
        <v>1.0013568521031209</v>
      </c>
      <c r="AC93">
        <v>6.5535999999999997E-2</v>
      </c>
      <c r="AD93">
        <v>6.4895999999999995E-2</v>
      </c>
      <c r="AE93" s="4">
        <f t="shared" si="10"/>
        <v>0.990234375</v>
      </c>
      <c r="AG93">
        <v>6.4512E-2</v>
      </c>
      <c r="AH93">
        <v>6.6239999999999993E-2</v>
      </c>
      <c r="AI93" s="4">
        <f t="shared" si="11"/>
        <v>1.0267857142857142</v>
      </c>
    </row>
    <row r="94" spans="3:35" x14ac:dyDescent="0.25">
      <c r="C94" t="s">
        <v>31</v>
      </c>
      <c r="D94">
        <v>2</v>
      </c>
      <c r="E94">
        <v>128</v>
      </c>
      <c r="F94">
        <v>128</v>
      </c>
      <c r="G94">
        <v>28</v>
      </c>
      <c r="H94">
        <v>4</v>
      </c>
      <c r="J94">
        <v>4.512E-2</v>
      </c>
      <c r="K94">
        <v>4.5247999999999997E-2</v>
      </c>
      <c r="L94" s="4">
        <f t="shared" si="9"/>
        <v>1.0028368794326241</v>
      </c>
      <c r="M94" s="4"/>
      <c r="N94">
        <v>4.4928000000000003E-2</v>
      </c>
      <c r="O94">
        <v>4.4608000000000002E-2</v>
      </c>
      <c r="P94" s="4">
        <f t="shared" si="6"/>
        <v>0.99287749287749283</v>
      </c>
      <c r="R94">
        <v>4.4096000000000003E-2</v>
      </c>
      <c r="S94">
        <v>4.3647999999999999E-2</v>
      </c>
      <c r="T94" s="4">
        <f t="shared" si="7"/>
        <v>0.98984034833091428</v>
      </c>
      <c r="V94">
        <v>4.512E-2</v>
      </c>
      <c r="W94">
        <v>4.5504000000000003E-2</v>
      </c>
      <c r="X94" s="4">
        <f t="shared" si="8"/>
        <v>1.0085106382978724</v>
      </c>
      <c r="AC94">
        <v>6.0991999999999998E-2</v>
      </c>
      <c r="AD94">
        <v>6.0288000000000001E-2</v>
      </c>
      <c r="AE94" s="4">
        <f t="shared" si="10"/>
        <v>0.9884575026232949</v>
      </c>
      <c r="AG94">
        <v>6.3936000000000007E-2</v>
      </c>
      <c r="AH94">
        <v>6.4255999999999994E-2</v>
      </c>
      <c r="AI94" s="4">
        <f t="shared" si="11"/>
        <v>1.0050050050050048</v>
      </c>
    </row>
    <row r="95" spans="3:35" x14ac:dyDescent="0.25">
      <c r="C95" t="s">
        <v>31</v>
      </c>
      <c r="D95">
        <v>4</v>
      </c>
      <c r="E95">
        <v>128</v>
      </c>
      <c r="F95">
        <v>128</v>
      </c>
      <c r="G95">
        <v>28</v>
      </c>
      <c r="H95">
        <v>4</v>
      </c>
      <c r="J95">
        <v>4.5440000000000001E-2</v>
      </c>
      <c r="K95">
        <v>4.5311999999999998E-2</v>
      </c>
      <c r="L95" s="4">
        <f t="shared" si="9"/>
        <v>0.99718309859154919</v>
      </c>
      <c r="M95" s="4"/>
      <c r="N95">
        <v>4.6336000000000002E-2</v>
      </c>
      <c r="O95">
        <v>4.5887999999999998E-2</v>
      </c>
      <c r="P95" s="4">
        <f t="shared" si="6"/>
        <v>0.99033149171270707</v>
      </c>
      <c r="R95">
        <v>4.6016000000000001E-2</v>
      </c>
      <c r="S95">
        <v>4.5887999999999998E-2</v>
      </c>
      <c r="T95" s="4">
        <f t="shared" si="7"/>
        <v>0.99721835883171062</v>
      </c>
      <c r="V95">
        <v>4.6783999999999999E-2</v>
      </c>
      <c r="W95">
        <v>4.6848000000000001E-2</v>
      </c>
      <c r="X95" s="4">
        <f t="shared" si="8"/>
        <v>1.0013679890560876</v>
      </c>
      <c r="AC95">
        <v>6.3231999999999997E-2</v>
      </c>
      <c r="AD95">
        <v>6.2784000000000006E-2</v>
      </c>
      <c r="AE95" s="4">
        <f t="shared" si="10"/>
        <v>0.9929149797570852</v>
      </c>
      <c r="AG95">
        <v>6.9248000000000004E-2</v>
      </c>
      <c r="AH95">
        <v>6.8479999999999999E-2</v>
      </c>
      <c r="AI95" s="4">
        <f t="shared" si="11"/>
        <v>0.98890942698706097</v>
      </c>
    </row>
    <row r="96" spans="3:35" x14ac:dyDescent="0.25">
      <c r="C96" t="s">
        <v>31</v>
      </c>
      <c r="D96">
        <v>8</v>
      </c>
      <c r="E96">
        <v>128</v>
      </c>
      <c r="F96">
        <v>128</v>
      </c>
      <c r="G96">
        <v>28</v>
      </c>
      <c r="H96">
        <v>4</v>
      </c>
      <c r="J96">
        <v>5.1071999999999999E-2</v>
      </c>
      <c r="K96">
        <v>5.1456000000000002E-2</v>
      </c>
      <c r="L96" s="4">
        <f t="shared" si="9"/>
        <v>1.0075187969924813</v>
      </c>
      <c r="M96" s="4"/>
      <c r="N96">
        <v>5.2544E-2</v>
      </c>
      <c r="O96">
        <v>5.1520000000000003E-2</v>
      </c>
      <c r="P96" s="4">
        <f t="shared" si="6"/>
        <v>0.98051157125456767</v>
      </c>
      <c r="R96">
        <v>5.1392E-2</v>
      </c>
      <c r="S96">
        <v>5.2096000000000003E-2</v>
      </c>
      <c r="T96" s="4">
        <f t="shared" si="7"/>
        <v>1.0136986301369864</v>
      </c>
      <c r="V96">
        <v>5.3887999999999998E-2</v>
      </c>
      <c r="W96">
        <v>5.3823999999999997E-2</v>
      </c>
      <c r="X96" s="4">
        <f t="shared" si="8"/>
        <v>0.99881235154394299</v>
      </c>
      <c r="AC96">
        <v>7.3663999999999993E-2</v>
      </c>
      <c r="AD96">
        <v>7.0463999999999999E-2</v>
      </c>
      <c r="AE96" s="4">
        <f t="shared" si="10"/>
        <v>0.95655951346655088</v>
      </c>
      <c r="AG96">
        <v>8.1280000000000005E-2</v>
      </c>
      <c r="AH96">
        <v>8.0320000000000003E-2</v>
      </c>
      <c r="AI96" s="4">
        <f t="shared" si="11"/>
        <v>0.98818897637795278</v>
      </c>
    </row>
    <row r="97" spans="3:35" x14ac:dyDescent="0.25">
      <c r="C97" t="s">
        <v>31</v>
      </c>
      <c r="D97">
        <v>16</v>
      </c>
      <c r="E97">
        <v>128</v>
      </c>
      <c r="F97">
        <v>128</v>
      </c>
      <c r="G97">
        <v>28</v>
      </c>
      <c r="H97">
        <v>4</v>
      </c>
      <c r="J97">
        <v>6.4255999999999994E-2</v>
      </c>
      <c r="K97">
        <v>6.3296000000000005E-2</v>
      </c>
      <c r="L97" s="4">
        <f t="shared" si="9"/>
        <v>0.98505976095617542</v>
      </c>
      <c r="M97" s="4"/>
      <c r="N97">
        <v>6.6687999999999997E-2</v>
      </c>
      <c r="O97">
        <v>6.6367999999999996E-2</v>
      </c>
      <c r="P97" s="4">
        <f t="shared" si="6"/>
        <v>0.99520153550863721</v>
      </c>
      <c r="R97">
        <v>6.4255999999999994E-2</v>
      </c>
      <c r="S97">
        <v>6.4832000000000001E-2</v>
      </c>
      <c r="T97" s="4">
        <f t="shared" si="7"/>
        <v>1.008964143426295</v>
      </c>
      <c r="V97">
        <v>6.8671999999999997E-2</v>
      </c>
      <c r="W97">
        <v>6.8863999999999995E-2</v>
      </c>
      <c r="X97" s="4">
        <f t="shared" si="8"/>
        <v>1.0027958993476234</v>
      </c>
      <c r="AC97">
        <v>9.5551999999999998E-2</v>
      </c>
      <c r="AD97">
        <v>9.2352000000000004E-2</v>
      </c>
      <c r="AE97" s="4">
        <f t="shared" si="10"/>
        <v>0.96651038178164772</v>
      </c>
      <c r="AG97">
        <v>0.116672</v>
      </c>
      <c r="AH97">
        <v>0.11552</v>
      </c>
      <c r="AI97" s="4">
        <f t="shared" si="11"/>
        <v>0.99012616566099831</v>
      </c>
    </row>
    <row r="98" spans="3:35" x14ac:dyDescent="0.25">
      <c r="C98" t="s">
        <v>31</v>
      </c>
      <c r="D98">
        <v>32</v>
      </c>
      <c r="E98">
        <v>128</v>
      </c>
      <c r="F98">
        <v>128</v>
      </c>
      <c r="G98">
        <v>28</v>
      </c>
      <c r="H98">
        <v>4</v>
      </c>
      <c r="J98">
        <v>8.9983999999999995E-2</v>
      </c>
      <c r="K98">
        <v>8.7615999999999999E-2</v>
      </c>
      <c r="L98" s="4">
        <f t="shared" si="9"/>
        <v>0.97368421052631582</v>
      </c>
      <c r="M98" s="4"/>
      <c r="N98">
        <v>9.5871999999999999E-2</v>
      </c>
      <c r="O98">
        <v>9.5808000000000004E-2</v>
      </c>
      <c r="P98" s="4">
        <f t="shared" si="6"/>
        <v>0.99933244325767701</v>
      </c>
      <c r="R98">
        <v>8.9088000000000001E-2</v>
      </c>
      <c r="S98">
        <v>8.8064000000000003E-2</v>
      </c>
      <c r="T98" s="4">
        <f t="shared" si="7"/>
        <v>0.9885057471264368</v>
      </c>
      <c r="V98">
        <v>9.9968000000000001E-2</v>
      </c>
      <c r="W98">
        <v>9.8944000000000004E-2</v>
      </c>
      <c r="X98" s="4">
        <f t="shared" si="8"/>
        <v>0.98975672215108834</v>
      </c>
      <c r="AC98">
        <v>0.173952</v>
      </c>
      <c r="AD98">
        <v>0.16953599999999999</v>
      </c>
      <c r="AE98" s="4">
        <f t="shared" si="10"/>
        <v>0.97461368653421632</v>
      </c>
      <c r="AG98">
        <v>0.18956799999999999</v>
      </c>
      <c r="AH98">
        <v>0.19072</v>
      </c>
      <c r="AI98" s="4">
        <f t="shared" si="11"/>
        <v>1.0060769750168805</v>
      </c>
    </row>
    <row r="99" spans="3:35" x14ac:dyDescent="0.25">
      <c r="C99" t="s">
        <v>31</v>
      </c>
      <c r="D99">
        <v>64</v>
      </c>
      <c r="E99">
        <v>128</v>
      </c>
      <c r="F99">
        <v>128</v>
      </c>
      <c r="G99">
        <v>28</v>
      </c>
      <c r="H99">
        <v>4</v>
      </c>
      <c r="J99">
        <v>0.13644800000000001</v>
      </c>
      <c r="K99">
        <v>0.135744</v>
      </c>
      <c r="L99" s="4">
        <f t="shared" si="9"/>
        <v>0.99484052532833012</v>
      </c>
      <c r="M99" s="4"/>
      <c r="N99">
        <v>0.15385599999999999</v>
      </c>
      <c r="O99">
        <v>0.152896</v>
      </c>
      <c r="P99" s="4">
        <f t="shared" si="6"/>
        <v>0.99376039933444271</v>
      </c>
      <c r="R99">
        <v>0.13855999999999999</v>
      </c>
      <c r="S99">
        <v>0.13670399999999999</v>
      </c>
      <c r="T99" s="4">
        <f t="shared" si="7"/>
        <v>0.98660508083140885</v>
      </c>
      <c r="V99">
        <v>0.16044800000000001</v>
      </c>
      <c r="W99">
        <v>0.15750400000000001</v>
      </c>
      <c r="X99" s="4">
        <f t="shared" si="8"/>
        <v>0.98165137614678899</v>
      </c>
      <c r="AC99">
        <v>0.28755199999999997</v>
      </c>
      <c r="AD99">
        <v>0.289024</v>
      </c>
      <c r="AE99" s="4">
        <f t="shared" si="10"/>
        <v>1.0051190741152904</v>
      </c>
      <c r="AG99">
        <v>0.32735999999999998</v>
      </c>
      <c r="AH99">
        <v>0.32595200000000002</v>
      </c>
      <c r="AI99" s="4">
        <f t="shared" si="11"/>
        <v>0.99569892473118293</v>
      </c>
    </row>
    <row r="100" spans="3:35" x14ac:dyDescent="0.25">
      <c r="C100" t="s">
        <v>31</v>
      </c>
      <c r="D100">
        <v>1</v>
      </c>
      <c r="E100">
        <v>128</v>
      </c>
      <c r="F100">
        <v>256</v>
      </c>
      <c r="G100">
        <v>28</v>
      </c>
      <c r="H100">
        <v>4</v>
      </c>
      <c r="J100">
        <v>5.0304000000000001E-2</v>
      </c>
      <c r="K100">
        <v>5.0368000000000003E-2</v>
      </c>
      <c r="L100" s="4">
        <f t="shared" si="9"/>
        <v>1.0012722646310432</v>
      </c>
      <c r="M100" s="4"/>
      <c r="N100">
        <v>5.1327999999999999E-2</v>
      </c>
      <c r="O100">
        <v>5.0751999999999999E-2</v>
      </c>
      <c r="P100" s="4">
        <f t="shared" si="6"/>
        <v>0.98877805486284287</v>
      </c>
      <c r="R100">
        <v>4.9279999999999997E-2</v>
      </c>
      <c r="S100">
        <v>4.8703999999999997E-2</v>
      </c>
      <c r="T100" s="4">
        <f t="shared" si="7"/>
        <v>0.98831168831168836</v>
      </c>
      <c r="V100">
        <v>5.1136000000000001E-2</v>
      </c>
      <c r="W100">
        <v>5.1456000000000002E-2</v>
      </c>
      <c r="X100" s="4">
        <f t="shared" si="8"/>
        <v>1.0062578222778473</v>
      </c>
      <c r="AC100">
        <v>7.3856000000000005E-2</v>
      </c>
      <c r="AD100">
        <v>7.2639999999999996E-2</v>
      </c>
      <c r="AE100" s="4">
        <f t="shared" si="10"/>
        <v>0.98353552859618709</v>
      </c>
      <c r="AG100">
        <v>7.3983999999999994E-2</v>
      </c>
      <c r="AH100">
        <v>7.5200000000000003E-2</v>
      </c>
      <c r="AI100" s="4">
        <f t="shared" si="11"/>
        <v>1.0164359861591696</v>
      </c>
    </row>
    <row r="101" spans="3:35" x14ac:dyDescent="0.25">
      <c r="C101" t="s">
        <v>31</v>
      </c>
      <c r="D101">
        <v>2</v>
      </c>
      <c r="E101">
        <v>128</v>
      </c>
      <c r="F101">
        <v>256</v>
      </c>
      <c r="G101">
        <v>28</v>
      </c>
      <c r="H101">
        <v>4</v>
      </c>
      <c r="J101">
        <v>4.9088E-2</v>
      </c>
      <c r="K101">
        <v>4.9535999999999997E-2</v>
      </c>
      <c r="L101" s="4">
        <f t="shared" si="9"/>
        <v>1.0091264667535853</v>
      </c>
      <c r="M101" s="4"/>
      <c r="N101">
        <v>4.9792000000000003E-2</v>
      </c>
      <c r="O101">
        <v>4.9535999999999997E-2</v>
      </c>
      <c r="P101" s="4">
        <f t="shared" si="6"/>
        <v>0.99485861182519264</v>
      </c>
      <c r="R101">
        <v>5.0304000000000001E-2</v>
      </c>
      <c r="S101">
        <v>4.9152000000000001E-2</v>
      </c>
      <c r="T101" s="4">
        <f t="shared" si="7"/>
        <v>0.97709923664122134</v>
      </c>
      <c r="V101">
        <v>5.0816E-2</v>
      </c>
      <c r="W101">
        <v>5.0880000000000002E-2</v>
      </c>
      <c r="X101" s="4">
        <f t="shared" si="8"/>
        <v>1.0012594458438286</v>
      </c>
      <c r="AC101">
        <v>6.8288000000000001E-2</v>
      </c>
      <c r="AD101">
        <v>6.6752000000000006E-2</v>
      </c>
      <c r="AE101" s="4">
        <f t="shared" si="10"/>
        <v>0.97750702905342091</v>
      </c>
      <c r="AG101">
        <v>7.5712000000000002E-2</v>
      </c>
      <c r="AH101">
        <v>7.6480000000000006E-2</v>
      </c>
      <c r="AI101" s="4">
        <f t="shared" si="11"/>
        <v>1.0101437024513948</v>
      </c>
    </row>
    <row r="102" spans="3:35" x14ac:dyDescent="0.25">
      <c r="C102" t="s">
        <v>31</v>
      </c>
      <c r="D102">
        <v>4</v>
      </c>
      <c r="E102">
        <v>128</v>
      </c>
      <c r="F102">
        <v>256</v>
      </c>
      <c r="G102">
        <v>28</v>
      </c>
      <c r="H102">
        <v>4</v>
      </c>
      <c r="J102">
        <v>4.9792000000000003E-2</v>
      </c>
      <c r="K102">
        <v>5.0175999999999998E-2</v>
      </c>
      <c r="L102" s="4">
        <f t="shared" si="9"/>
        <v>1.0077120822622108</v>
      </c>
      <c r="M102" s="4"/>
      <c r="N102">
        <v>5.0624000000000002E-2</v>
      </c>
      <c r="O102">
        <v>5.024E-2</v>
      </c>
      <c r="P102" s="4">
        <f t="shared" si="6"/>
        <v>0.99241466498103659</v>
      </c>
      <c r="R102">
        <v>5.2032000000000002E-2</v>
      </c>
      <c r="S102">
        <v>5.2032000000000002E-2</v>
      </c>
      <c r="T102" s="4">
        <f t="shared" si="7"/>
        <v>1</v>
      </c>
      <c r="V102">
        <v>5.2544E-2</v>
      </c>
      <c r="W102">
        <v>5.2415999999999997E-2</v>
      </c>
      <c r="X102" s="4">
        <f t="shared" si="8"/>
        <v>0.99756394640682089</v>
      </c>
      <c r="AC102">
        <v>7.2127999999999998E-2</v>
      </c>
      <c r="AD102">
        <v>6.8671999999999997E-2</v>
      </c>
      <c r="AE102" s="4">
        <f t="shared" si="10"/>
        <v>0.9520851818988465</v>
      </c>
      <c r="AG102">
        <v>8.3391999999999994E-2</v>
      </c>
      <c r="AH102">
        <v>8.2816000000000001E-2</v>
      </c>
      <c r="AI102" s="4">
        <f t="shared" si="11"/>
        <v>0.9930928626247123</v>
      </c>
    </row>
    <row r="103" spans="3:35" x14ac:dyDescent="0.25">
      <c r="C103" t="s">
        <v>31</v>
      </c>
      <c r="D103">
        <v>8</v>
      </c>
      <c r="E103">
        <v>128</v>
      </c>
      <c r="F103">
        <v>256</v>
      </c>
      <c r="G103">
        <v>28</v>
      </c>
      <c r="H103">
        <v>4</v>
      </c>
      <c r="J103">
        <v>5.9776000000000003E-2</v>
      </c>
      <c r="K103">
        <v>5.9200000000000003E-2</v>
      </c>
      <c r="L103" s="4">
        <f t="shared" si="9"/>
        <v>0.99036402569593152</v>
      </c>
      <c r="M103" s="4"/>
      <c r="N103">
        <v>6.1760000000000002E-2</v>
      </c>
      <c r="O103">
        <v>6.1184000000000002E-2</v>
      </c>
      <c r="P103" s="4">
        <f t="shared" si="6"/>
        <v>0.99067357512953369</v>
      </c>
      <c r="R103">
        <v>6.1887999999999999E-2</v>
      </c>
      <c r="S103">
        <v>6.3039999999999999E-2</v>
      </c>
      <c r="T103" s="4">
        <f t="shared" si="7"/>
        <v>1.0186142709410548</v>
      </c>
      <c r="V103">
        <v>6.4895999999999995E-2</v>
      </c>
      <c r="W103">
        <v>6.4383999999999997E-2</v>
      </c>
      <c r="X103" s="4">
        <f t="shared" si="8"/>
        <v>0.99211045364891526</v>
      </c>
      <c r="AC103">
        <v>8.5952000000000001E-2</v>
      </c>
      <c r="AD103">
        <v>8.4608000000000003E-2</v>
      </c>
      <c r="AE103" s="4">
        <f t="shared" si="10"/>
        <v>0.98436336559940429</v>
      </c>
      <c r="AG103">
        <v>0.103168</v>
      </c>
      <c r="AH103">
        <v>0.10220799999999999</v>
      </c>
      <c r="AI103" s="4">
        <f t="shared" si="11"/>
        <v>0.9906947890818858</v>
      </c>
    </row>
    <row r="104" spans="3:35" x14ac:dyDescent="0.25">
      <c r="C104" t="s">
        <v>31</v>
      </c>
      <c r="D104">
        <v>16</v>
      </c>
      <c r="E104">
        <v>128</v>
      </c>
      <c r="F104">
        <v>256</v>
      </c>
      <c r="G104">
        <v>28</v>
      </c>
      <c r="H104">
        <v>4</v>
      </c>
      <c r="J104">
        <v>7.9616000000000006E-2</v>
      </c>
      <c r="K104">
        <v>7.9423999999999995E-2</v>
      </c>
      <c r="L104" s="4">
        <f t="shared" si="9"/>
        <v>0.99758842443729889</v>
      </c>
      <c r="M104" s="4"/>
      <c r="N104">
        <v>8.6720000000000005E-2</v>
      </c>
      <c r="O104">
        <v>8.4671999999999997E-2</v>
      </c>
      <c r="P104" s="4">
        <f t="shared" si="6"/>
        <v>0.97638376383763825</v>
      </c>
      <c r="R104">
        <v>8.2816000000000001E-2</v>
      </c>
      <c r="S104">
        <v>8.4159999999999999E-2</v>
      </c>
      <c r="T104" s="4">
        <f t="shared" si="7"/>
        <v>1.0162287480680061</v>
      </c>
      <c r="V104">
        <v>9.1135999999999995E-2</v>
      </c>
      <c r="W104">
        <v>9.0431999999999998E-2</v>
      </c>
      <c r="X104" s="4">
        <f t="shared" si="8"/>
        <v>0.9922752808988764</v>
      </c>
      <c r="AC104">
        <v>0.11955200000000001</v>
      </c>
      <c r="AD104">
        <v>0.12166399999999999</v>
      </c>
      <c r="AE104" s="4">
        <f t="shared" si="10"/>
        <v>1.0176659528907921</v>
      </c>
      <c r="AG104">
        <v>0.15820799999999999</v>
      </c>
      <c r="AH104">
        <v>0.15814400000000001</v>
      </c>
      <c r="AI104" s="4">
        <f t="shared" si="11"/>
        <v>0.99959546925566356</v>
      </c>
    </row>
    <row r="105" spans="3:35" x14ac:dyDescent="0.25">
      <c r="C105" t="s">
        <v>31</v>
      </c>
      <c r="D105">
        <v>32</v>
      </c>
      <c r="E105">
        <v>128</v>
      </c>
      <c r="F105">
        <v>256</v>
      </c>
      <c r="G105">
        <v>28</v>
      </c>
      <c r="H105">
        <v>4</v>
      </c>
      <c r="J105">
        <v>0.120896</v>
      </c>
      <c r="K105">
        <v>0.11705599999999999</v>
      </c>
      <c r="L105" s="4">
        <f t="shared" si="9"/>
        <v>0.9682371625198517</v>
      </c>
      <c r="M105" s="4"/>
      <c r="N105">
        <v>0.13625599999999999</v>
      </c>
      <c r="O105">
        <v>0.13375999999999999</v>
      </c>
      <c r="P105" s="4">
        <f t="shared" si="6"/>
        <v>0.98168154062940349</v>
      </c>
      <c r="R105">
        <v>0.123392</v>
      </c>
      <c r="S105">
        <v>0.12396799999999999</v>
      </c>
      <c r="T105" s="4">
        <f t="shared" si="7"/>
        <v>1.0046680497925311</v>
      </c>
      <c r="V105">
        <v>0.143424</v>
      </c>
      <c r="W105">
        <v>0.14080000000000001</v>
      </c>
      <c r="X105" s="4">
        <f t="shared" si="8"/>
        <v>0.98170459616242756</v>
      </c>
      <c r="AC105">
        <v>0.2112</v>
      </c>
      <c r="AD105">
        <v>0.20947199999999999</v>
      </c>
      <c r="AE105" s="4">
        <f t="shared" si="10"/>
        <v>0.99181818181818182</v>
      </c>
      <c r="AG105">
        <v>0.27456000000000003</v>
      </c>
      <c r="AH105">
        <v>0.276032</v>
      </c>
      <c r="AI105" s="4">
        <f t="shared" si="11"/>
        <v>1.0053613053613053</v>
      </c>
    </row>
    <row r="106" spans="3:35" x14ac:dyDescent="0.25">
      <c r="C106" t="s">
        <v>31</v>
      </c>
      <c r="D106">
        <v>64</v>
      </c>
      <c r="E106">
        <v>128</v>
      </c>
      <c r="F106">
        <v>256</v>
      </c>
      <c r="G106">
        <v>28</v>
      </c>
      <c r="H106">
        <v>4</v>
      </c>
      <c r="J106">
        <v>0.19750400000000001</v>
      </c>
      <c r="K106">
        <v>0.19359999999999999</v>
      </c>
      <c r="L106" s="4">
        <f t="shared" si="9"/>
        <v>0.9802333117303953</v>
      </c>
      <c r="M106" s="4"/>
      <c r="N106">
        <v>0.23289599999999999</v>
      </c>
      <c r="O106">
        <v>0.22515199999999999</v>
      </c>
      <c r="P106" s="4">
        <f t="shared" si="6"/>
        <v>0.96674910689749927</v>
      </c>
      <c r="R106">
        <v>0.208512</v>
      </c>
      <c r="S106">
        <v>0.20435200000000001</v>
      </c>
      <c r="T106" s="4">
        <f t="shared" si="7"/>
        <v>0.98004910988336402</v>
      </c>
      <c r="V106">
        <v>0.242752</v>
      </c>
      <c r="W106">
        <v>0.23910400000000001</v>
      </c>
      <c r="X106" s="4">
        <f t="shared" si="8"/>
        <v>0.98497231742683899</v>
      </c>
      <c r="AC106">
        <v>0.39961600000000003</v>
      </c>
      <c r="AD106">
        <v>0.39155200000000001</v>
      </c>
      <c r="AE106" s="4">
        <f t="shared" si="10"/>
        <v>0.97982062780269052</v>
      </c>
      <c r="AG106">
        <v>0.51200000000000001</v>
      </c>
      <c r="AH106">
        <v>0.50624000000000002</v>
      </c>
      <c r="AI106" s="4">
        <f t="shared" si="11"/>
        <v>0.98875000000000002</v>
      </c>
    </row>
    <row r="107" spans="3:35" x14ac:dyDescent="0.25">
      <c r="C107" t="s">
        <v>31</v>
      </c>
      <c r="D107">
        <v>1</v>
      </c>
      <c r="E107">
        <v>128</v>
      </c>
      <c r="F107">
        <v>512</v>
      </c>
      <c r="G107">
        <v>28</v>
      </c>
      <c r="H107">
        <v>4</v>
      </c>
      <c r="J107">
        <v>5.9968E-2</v>
      </c>
      <c r="K107">
        <v>6.0032000000000002E-2</v>
      </c>
      <c r="L107" s="4">
        <f t="shared" si="9"/>
        <v>1.0010672358591248</v>
      </c>
      <c r="M107" s="4"/>
      <c r="N107">
        <v>6.1567999999999998E-2</v>
      </c>
      <c r="O107">
        <v>6.0479999999999999E-2</v>
      </c>
      <c r="P107" s="4">
        <f t="shared" si="6"/>
        <v>0.98232848232848236</v>
      </c>
      <c r="R107">
        <v>5.9136000000000001E-2</v>
      </c>
      <c r="S107">
        <v>5.7088E-2</v>
      </c>
      <c r="T107" s="4">
        <f t="shared" si="7"/>
        <v>0.96536796536796532</v>
      </c>
      <c r="V107">
        <v>6.1696000000000001E-2</v>
      </c>
      <c r="W107">
        <v>6.1504000000000003E-2</v>
      </c>
      <c r="X107" s="4">
        <f t="shared" si="8"/>
        <v>0.99688796680497926</v>
      </c>
      <c r="AC107">
        <v>9.3119999999999994E-2</v>
      </c>
      <c r="AD107">
        <v>9.2287999999999995E-2</v>
      </c>
      <c r="AE107" s="4">
        <f t="shared" si="10"/>
        <v>0.99106529209621996</v>
      </c>
      <c r="AG107">
        <v>9.2735999999999999E-2</v>
      </c>
      <c r="AH107">
        <v>9.2735999999999999E-2</v>
      </c>
      <c r="AI107" s="4">
        <f t="shared" si="11"/>
        <v>1</v>
      </c>
    </row>
    <row r="108" spans="3:35" x14ac:dyDescent="0.25">
      <c r="C108" t="s">
        <v>31</v>
      </c>
      <c r="D108">
        <v>2</v>
      </c>
      <c r="E108">
        <v>128</v>
      </c>
      <c r="F108">
        <v>512</v>
      </c>
      <c r="G108">
        <v>28</v>
      </c>
      <c r="H108">
        <v>4</v>
      </c>
      <c r="J108">
        <v>5.8495999999999999E-2</v>
      </c>
      <c r="K108">
        <v>5.8751999999999999E-2</v>
      </c>
      <c r="L108" s="4">
        <f t="shared" si="9"/>
        <v>1.0043763676148796</v>
      </c>
      <c r="M108" s="4"/>
      <c r="N108">
        <v>6.0991999999999998E-2</v>
      </c>
      <c r="O108">
        <v>5.9263999999999997E-2</v>
      </c>
      <c r="P108" s="4">
        <f t="shared" si="6"/>
        <v>0.97166841552990557</v>
      </c>
      <c r="R108">
        <v>6.1376E-2</v>
      </c>
      <c r="S108">
        <v>6.0288000000000001E-2</v>
      </c>
      <c r="T108" s="4">
        <f t="shared" si="7"/>
        <v>0.98227320125130346</v>
      </c>
      <c r="V108">
        <v>6.1631999999999999E-2</v>
      </c>
      <c r="W108">
        <v>6.1311999999999998E-2</v>
      </c>
      <c r="X108" s="4">
        <f t="shared" si="8"/>
        <v>0.99480789200415365</v>
      </c>
      <c r="AC108">
        <v>8.5952000000000001E-2</v>
      </c>
      <c r="AD108">
        <v>8.8447999999999999E-2</v>
      </c>
      <c r="AE108" s="4">
        <f t="shared" si="10"/>
        <v>1.0290394638868205</v>
      </c>
      <c r="AG108">
        <v>0.101312</v>
      </c>
      <c r="AH108">
        <v>0.101184</v>
      </c>
      <c r="AI108" s="4">
        <f t="shared" si="11"/>
        <v>0.99873657612128863</v>
      </c>
    </row>
    <row r="109" spans="3:35" x14ac:dyDescent="0.25">
      <c r="C109" t="s">
        <v>31</v>
      </c>
      <c r="D109">
        <v>4</v>
      </c>
      <c r="E109">
        <v>128</v>
      </c>
      <c r="F109">
        <v>512</v>
      </c>
      <c r="G109">
        <v>28</v>
      </c>
      <c r="H109">
        <v>4</v>
      </c>
      <c r="J109">
        <v>5.9968E-2</v>
      </c>
      <c r="K109">
        <v>5.9839999999999997E-2</v>
      </c>
      <c r="L109" s="4">
        <f t="shared" si="9"/>
        <v>0.99786552828175024</v>
      </c>
      <c r="M109" s="4"/>
      <c r="N109">
        <v>6.0415999999999997E-2</v>
      </c>
      <c r="O109">
        <v>6.0608000000000002E-2</v>
      </c>
      <c r="P109" s="4">
        <f t="shared" si="6"/>
        <v>1.0031779661016951</v>
      </c>
      <c r="R109">
        <v>6.4832000000000001E-2</v>
      </c>
      <c r="S109">
        <v>6.2719999999999998E-2</v>
      </c>
      <c r="T109" s="4">
        <f t="shared" si="7"/>
        <v>0.96742349457058241</v>
      </c>
      <c r="V109">
        <v>6.3488000000000003E-2</v>
      </c>
      <c r="W109">
        <v>6.3423999999999994E-2</v>
      </c>
      <c r="X109" s="4">
        <f t="shared" si="8"/>
        <v>0.99899193548387089</v>
      </c>
      <c r="AC109">
        <v>8.992E-2</v>
      </c>
      <c r="AD109">
        <v>8.8384000000000004E-2</v>
      </c>
      <c r="AE109" s="4">
        <f t="shared" si="10"/>
        <v>0.98291814946619227</v>
      </c>
      <c r="AG109">
        <v>0.112064</v>
      </c>
      <c r="AH109">
        <v>0.111488</v>
      </c>
      <c r="AI109" s="4">
        <f t="shared" si="11"/>
        <v>0.99486007995431192</v>
      </c>
    </row>
    <row r="110" spans="3:35" x14ac:dyDescent="0.25">
      <c r="C110" t="s">
        <v>31</v>
      </c>
      <c r="D110">
        <v>8</v>
      </c>
      <c r="E110">
        <v>128</v>
      </c>
      <c r="F110">
        <v>512</v>
      </c>
      <c r="G110">
        <v>28</v>
      </c>
      <c r="H110">
        <v>4</v>
      </c>
      <c r="J110">
        <v>7.6799999999999993E-2</v>
      </c>
      <c r="K110">
        <v>7.6992000000000005E-2</v>
      </c>
      <c r="L110" s="4">
        <f t="shared" si="9"/>
        <v>1.0025000000000002</v>
      </c>
      <c r="M110" s="4"/>
      <c r="N110">
        <v>8.1535999999999997E-2</v>
      </c>
      <c r="O110">
        <v>7.9871999999999999E-2</v>
      </c>
      <c r="P110" s="4">
        <f t="shared" si="6"/>
        <v>0.97959183673469385</v>
      </c>
      <c r="R110">
        <v>8.1407999999999994E-2</v>
      </c>
      <c r="S110">
        <v>8.1215999999999997E-2</v>
      </c>
      <c r="T110" s="4">
        <f t="shared" si="7"/>
        <v>0.99764150943396224</v>
      </c>
      <c r="V110">
        <v>8.8127999999999998E-2</v>
      </c>
      <c r="W110">
        <v>8.6208000000000007E-2</v>
      </c>
      <c r="X110" s="4">
        <f t="shared" si="8"/>
        <v>0.97821350762527248</v>
      </c>
      <c r="AC110">
        <v>0.116352</v>
      </c>
      <c r="AD110">
        <v>0.11776</v>
      </c>
      <c r="AE110" s="4">
        <f t="shared" si="10"/>
        <v>1.0121012101210121</v>
      </c>
      <c r="AG110">
        <v>0.14835200000000001</v>
      </c>
      <c r="AH110">
        <v>0.14860799999999999</v>
      </c>
      <c r="AI110" s="4">
        <f t="shared" si="11"/>
        <v>1.0017256255392579</v>
      </c>
    </row>
    <row r="111" spans="3:35" x14ac:dyDescent="0.25">
      <c r="C111" t="s">
        <v>31</v>
      </c>
      <c r="D111">
        <v>16</v>
      </c>
      <c r="E111">
        <v>128</v>
      </c>
      <c r="F111">
        <v>512</v>
      </c>
      <c r="G111">
        <v>28</v>
      </c>
      <c r="H111">
        <v>4</v>
      </c>
      <c r="J111">
        <v>0.111552</v>
      </c>
      <c r="K111">
        <v>0.11110399999999999</v>
      </c>
      <c r="L111" s="4">
        <f t="shared" si="9"/>
        <v>0.99598393574297184</v>
      </c>
      <c r="M111" s="4"/>
      <c r="N111">
        <v>0.12665599999999999</v>
      </c>
      <c r="O111">
        <v>0.12537599999999999</v>
      </c>
      <c r="P111" s="4">
        <f t="shared" si="6"/>
        <v>0.98989388580090953</v>
      </c>
      <c r="R111">
        <v>0.118144</v>
      </c>
      <c r="S111">
        <v>0.116288</v>
      </c>
      <c r="T111" s="4">
        <f t="shared" si="7"/>
        <v>0.98429035752979421</v>
      </c>
      <c r="V111">
        <v>0.13728000000000001</v>
      </c>
      <c r="W111">
        <v>0.134912</v>
      </c>
      <c r="X111" s="4">
        <f t="shared" si="8"/>
        <v>0.98275058275058269</v>
      </c>
      <c r="AC111">
        <v>0.17644799999999999</v>
      </c>
      <c r="AD111">
        <v>0.17491200000000001</v>
      </c>
      <c r="AE111" s="4">
        <f t="shared" si="10"/>
        <v>0.9912948857453755</v>
      </c>
      <c r="AG111">
        <v>0.24985599999999999</v>
      </c>
      <c r="AH111">
        <v>0.24812799999999999</v>
      </c>
      <c r="AI111" s="4">
        <f t="shared" si="11"/>
        <v>0.99308401639344257</v>
      </c>
    </row>
    <row r="112" spans="3:35" x14ac:dyDescent="0.25">
      <c r="C112" t="s">
        <v>31</v>
      </c>
      <c r="D112">
        <v>32</v>
      </c>
      <c r="E112">
        <v>128</v>
      </c>
      <c r="F112">
        <v>512</v>
      </c>
      <c r="G112">
        <v>28</v>
      </c>
      <c r="H112">
        <v>4</v>
      </c>
      <c r="J112">
        <v>0.18515200000000001</v>
      </c>
      <c r="K112">
        <v>0.18009600000000001</v>
      </c>
      <c r="L112" s="4">
        <f t="shared" si="9"/>
        <v>0.97269270653301065</v>
      </c>
      <c r="M112" s="4"/>
      <c r="N112">
        <v>0.219392</v>
      </c>
      <c r="O112">
        <v>0.21324799999999999</v>
      </c>
      <c r="P112" s="4">
        <f t="shared" si="6"/>
        <v>0.97199533255542581</v>
      </c>
      <c r="R112">
        <v>0.19212799999999999</v>
      </c>
      <c r="S112">
        <v>0.19411200000000001</v>
      </c>
      <c r="T112" s="4">
        <f t="shared" si="7"/>
        <v>1.0103264490339774</v>
      </c>
      <c r="V112">
        <v>0.2336</v>
      </c>
      <c r="W112">
        <v>0.22867199999999999</v>
      </c>
      <c r="X112" s="4">
        <f t="shared" si="8"/>
        <v>0.97890410958904106</v>
      </c>
      <c r="AC112">
        <v>0.3216</v>
      </c>
      <c r="AD112">
        <v>0.30483199999999999</v>
      </c>
      <c r="AE112" s="4">
        <f t="shared" si="10"/>
        <v>0.94786069651741289</v>
      </c>
      <c r="AG112">
        <v>0.45023999999999997</v>
      </c>
      <c r="AH112">
        <v>0.45145600000000002</v>
      </c>
      <c r="AI112" s="4">
        <f t="shared" si="11"/>
        <v>1.0027007818052596</v>
      </c>
    </row>
    <row r="113" spans="3:35" x14ac:dyDescent="0.25">
      <c r="C113" t="s">
        <v>31</v>
      </c>
      <c r="D113">
        <v>64</v>
      </c>
      <c r="E113">
        <v>128</v>
      </c>
      <c r="F113">
        <v>512</v>
      </c>
      <c r="G113">
        <v>28</v>
      </c>
      <c r="H113">
        <v>4</v>
      </c>
      <c r="J113">
        <v>0.31929600000000002</v>
      </c>
      <c r="K113">
        <v>0.30713600000000002</v>
      </c>
      <c r="L113" s="4">
        <f t="shared" si="9"/>
        <v>0.96191621567448382</v>
      </c>
      <c r="M113" s="4"/>
      <c r="N113">
        <v>0.39174399999999998</v>
      </c>
      <c r="O113">
        <v>0.38016</v>
      </c>
      <c r="P113" s="4">
        <f t="shared" si="6"/>
        <v>0.97042966835484401</v>
      </c>
      <c r="R113">
        <v>0.32479999999999998</v>
      </c>
      <c r="S113">
        <v>0.31840000000000002</v>
      </c>
      <c r="T113" s="4">
        <f t="shared" si="7"/>
        <v>0.98029556650246319</v>
      </c>
      <c r="V113">
        <v>0.41772799999999999</v>
      </c>
      <c r="W113">
        <v>0.40876800000000002</v>
      </c>
      <c r="X113" s="4">
        <f t="shared" si="8"/>
        <v>0.97855063582043822</v>
      </c>
      <c r="AC113">
        <v>0.68044800000000005</v>
      </c>
      <c r="AD113">
        <v>0.68064000000000002</v>
      </c>
      <c r="AE113" s="4">
        <f t="shared" si="10"/>
        <v>1.0002821670428894</v>
      </c>
      <c r="AG113">
        <v>0.85811199999999999</v>
      </c>
      <c r="AH113">
        <v>0.85491200000000001</v>
      </c>
      <c r="AI113" s="4">
        <f t="shared" si="11"/>
        <v>0.99627088305489264</v>
      </c>
    </row>
    <row r="114" spans="3:35" x14ac:dyDescent="0.25">
      <c r="C114" t="s">
        <v>31</v>
      </c>
      <c r="D114">
        <v>1</v>
      </c>
      <c r="E114">
        <v>128</v>
      </c>
      <c r="F114">
        <f>1024</f>
        <v>1024</v>
      </c>
      <c r="G114">
        <v>28</v>
      </c>
      <c r="H114">
        <v>4</v>
      </c>
      <c r="J114">
        <v>8.1023999999999999E-2</v>
      </c>
      <c r="K114">
        <v>8.1280000000000005E-2</v>
      </c>
      <c r="L114" s="4">
        <f t="shared" si="9"/>
        <v>1.0031595576619274</v>
      </c>
      <c r="M114" s="4"/>
      <c r="N114">
        <v>8.2047999999999996E-2</v>
      </c>
      <c r="O114">
        <v>8.0575999999999995E-2</v>
      </c>
      <c r="P114" s="4">
        <f t="shared" si="6"/>
        <v>0.98205928237129481</v>
      </c>
      <c r="R114">
        <v>7.8464000000000006E-2</v>
      </c>
      <c r="S114">
        <v>7.6607999999999996E-2</v>
      </c>
      <c r="T114" s="4">
        <f t="shared" si="7"/>
        <v>0.97634584013050563</v>
      </c>
      <c r="V114">
        <v>8.3327999999999999E-2</v>
      </c>
      <c r="W114">
        <v>8.1792000000000004E-2</v>
      </c>
      <c r="X114" s="4">
        <f t="shared" si="8"/>
        <v>0.98156682027649778</v>
      </c>
      <c r="AC114">
        <v>0.14412800000000001</v>
      </c>
      <c r="AD114">
        <v>0.150144</v>
      </c>
      <c r="AE114" s="4">
        <f t="shared" si="10"/>
        <v>1.0417406749555951</v>
      </c>
      <c r="AG114">
        <v>0.131776</v>
      </c>
      <c r="AH114">
        <v>0.13209599999999999</v>
      </c>
      <c r="AI114" s="4">
        <f t="shared" si="11"/>
        <v>1.002428363283147</v>
      </c>
    </row>
    <row r="115" spans="3:35" x14ac:dyDescent="0.25">
      <c r="C115" t="s">
        <v>31</v>
      </c>
      <c r="D115">
        <v>2</v>
      </c>
      <c r="E115">
        <v>128</v>
      </c>
      <c r="F115">
        <f>1024</f>
        <v>1024</v>
      </c>
      <c r="G115">
        <v>28</v>
      </c>
      <c r="H115">
        <v>4</v>
      </c>
      <c r="J115">
        <v>7.9103999999999994E-2</v>
      </c>
      <c r="K115">
        <v>7.7632000000000007E-2</v>
      </c>
      <c r="L115" s="4">
        <f t="shared" si="9"/>
        <v>0.98139158576051799</v>
      </c>
      <c r="M115" s="4"/>
      <c r="N115">
        <v>8.0255999999999994E-2</v>
      </c>
      <c r="O115">
        <v>0.08</v>
      </c>
      <c r="P115" s="4">
        <f t="shared" si="6"/>
        <v>0.99681020733652326</v>
      </c>
      <c r="R115">
        <v>8.448E-2</v>
      </c>
      <c r="S115">
        <v>8.1152000000000002E-2</v>
      </c>
      <c r="T115" s="4">
        <f>S115/R115</f>
        <v>0.96060606060606069</v>
      </c>
      <c r="V115">
        <v>8.4608000000000003E-2</v>
      </c>
      <c r="W115">
        <v>8.2752000000000006E-2</v>
      </c>
      <c r="X115" s="4">
        <f t="shared" si="8"/>
        <v>0.97806354009077157</v>
      </c>
      <c r="AC115">
        <v>0.13139200000000001</v>
      </c>
      <c r="AD115">
        <v>0.13375999999999999</v>
      </c>
      <c r="AE115" s="4">
        <f t="shared" si="10"/>
        <v>1.0180224062347782</v>
      </c>
      <c r="AG115">
        <v>0.153088</v>
      </c>
      <c r="AH115">
        <v>0.154304</v>
      </c>
      <c r="AI115" s="4">
        <f t="shared" si="11"/>
        <v>1.0079431438127089</v>
      </c>
    </row>
    <row r="116" spans="3:35" x14ac:dyDescent="0.25">
      <c r="C116" t="s">
        <v>31</v>
      </c>
      <c r="D116">
        <v>4</v>
      </c>
      <c r="E116">
        <v>128</v>
      </c>
      <c r="F116">
        <f>1024</f>
        <v>1024</v>
      </c>
      <c r="G116">
        <v>28</v>
      </c>
      <c r="H116">
        <v>4</v>
      </c>
      <c r="J116">
        <v>7.9551999999999998E-2</v>
      </c>
      <c r="K116">
        <v>0.08</v>
      </c>
      <c r="L116" s="4">
        <f t="shared" si="9"/>
        <v>1.0056315366049879</v>
      </c>
      <c r="M116" s="4"/>
      <c r="N116">
        <v>8.1920000000000007E-2</v>
      </c>
      <c r="O116">
        <v>8.1215999999999997E-2</v>
      </c>
      <c r="P116" s="4">
        <f t="shared" si="6"/>
        <v>0.99140624999999982</v>
      </c>
      <c r="R116">
        <v>8.7232000000000004E-2</v>
      </c>
      <c r="S116">
        <v>8.5183999999999996E-2</v>
      </c>
      <c r="T116" s="4">
        <f>S116/R116</f>
        <v>0.97652237710931755</v>
      </c>
      <c r="V116">
        <v>8.8319999999999996E-2</v>
      </c>
      <c r="W116">
        <v>8.6912000000000003E-2</v>
      </c>
      <c r="X116" s="4">
        <f t="shared" si="8"/>
        <v>0.98405797101449288</v>
      </c>
      <c r="AC116">
        <v>0.13222400000000001</v>
      </c>
      <c r="AD116">
        <v>0.13203200000000001</v>
      </c>
      <c r="AE116" s="4">
        <f t="shared" si="10"/>
        <v>0.99854791868344628</v>
      </c>
      <c r="AG116">
        <v>0.17574400000000001</v>
      </c>
      <c r="AH116">
        <v>0.176256</v>
      </c>
      <c r="AI116" s="4">
        <f t="shared" si="11"/>
        <v>1.0029133284777858</v>
      </c>
    </row>
    <row r="117" spans="3:35" x14ac:dyDescent="0.25">
      <c r="C117" t="s">
        <v>31</v>
      </c>
      <c r="D117">
        <v>8</v>
      </c>
      <c r="E117">
        <v>128</v>
      </c>
      <c r="F117">
        <f>1024</f>
        <v>1024</v>
      </c>
      <c r="G117">
        <v>28</v>
      </c>
      <c r="H117">
        <v>4</v>
      </c>
      <c r="J117">
        <v>0.11046400000000001</v>
      </c>
      <c r="K117">
        <v>0.108672</v>
      </c>
      <c r="L117" s="4">
        <f t="shared" si="9"/>
        <v>0.98377752027809962</v>
      </c>
      <c r="M117" s="4"/>
      <c r="N117">
        <v>0.121472</v>
      </c>
      <c r="O117">
        <v>0.118272</v>
      </c>
      <c r="P117" s="4">
        <f t="shared" si="6"/>
        <v>0.97365648050579567</v>
      </c>
      <c r="R117">
        <v>0.119424</v>
      </c>
      <c r="S117">
        <v>0.120896</v>
      </c>
      <c r="T117" s="4">
        <f>S117/R117</f>
        <v>1.012325830653805</v>
      </c>
      <c r="V117">
        <v>0.13081599999999999</v>
      </c>
      <c r="W117">
        <v>0.12767999999999999</v>
      </c>
      <c r="X117" s="4">
        <f t="shared" si="8"/>
        <v>0.97602739726027399</v>
      </c>
      <c r="AC117">
        <v>0.176512</v>
      </c>
      <c r="AD117">
        <v>0.17024</v>
      </c>
      <c r="AE117" s="4">
        <f t="shared" si="10"/>
        <v>0.96446700507614214</v>
      </c>
      <c r="AG117">
        <v>0.25267200000000001</v>
      </c>
      <c r="AH117">
        <v>0.25196800000000003</v>
      </c>
      <c r="AI117" s="4">
        <f t="shared" si="11"/>
        <v>0.99721377912867282</v>
      </c>
    </row>
    <row r="118" spans="3:35" x14ac:dyDescent="0.25">
      <c r="C118" t="s">
        <v>31</v>
      </c>
      <c r="D118">
        <v>16</v>
      </c>
      <c r="E118">
        <v>128</v>
      </c>
      <c r="F118">
        <f>1024</f>
        <v>1024</v>
      </c>
      <c r="G118">
        <v>28</v>
      </c>
      <c r="H118">
        <v>4</v>
      </c>
      <c r="J118">
        <v>0.172544</v>
      </c>
      <c r="K118">
        <v>0.16889599999999999</v>
      </c>
      <c r="L118" s="4">
        <f t="shared" si="9"/>
        <v>0.97885756676557856</v>
      </c>
      <c r="M118" s="4"/>
      <c r="N118">
        <v>0.20608000000000001</v>
      </c>
      <c r="O118">
        <v>0.199936</v>
      </c>
      <c r="P118" s="4">
        <f t="shared" si="6"/>
        <v>0.97018633540372667</v>
      </c>
      <c r="R118">
        <v>0.19072</v>
      </c>
      <c r="S118">
        <v>0.18406400000000001</v>
      </c>
      <c r="T118" s="4">
        <f>S118/R118</f>
        <v>0.96510067114093967</v>
      </c>
      <c r="V118">
        <v>0.22233600000000001</v>
      </c>
      <c r="W118">
        <v>0.216192</v>
      </c>
      <c r="X118" s="4">
        <f t="shared" si="8"/>
        <v>0.97236614853195158</v>
      </c>
      <c r="AC118">
        <v>0.31315199999999999</v>
      </c>
      <c r="AD118">
        <v>0.300288</v>
      </c>
      <c r="AE118" s="4">
        <f t="shared" si="10"/>
        <v>0.95892090741876157</v>
      </c>
      <c r="AG118">
        <v>0.44358399999999998</v>
      </c>
      <c r="AH118">
        <v>0.44595200000000002</v>
      </c>
      <c r="AI118" s="4">
        <f t="shared" si="11"/>
        <v>1.0053383350165923</v>
      </c>
    </row>
    <row r="119" spans="3:35" x14ac:dyDescent="0.25">
      <c r="C119" t="s">
        <v>31</v>
      </c>
      <c r="D119">
        <v>32</v>
      </c>
      <c r="E119">
        <v>128</v>
      </c>
      <c r="F119">
        <f>1024</f>
        <v>1024</v>
      </c>
      <c r="G119">
        <v>28</v>
      </c>
      <c r="H119">
        <v>4</v>
      </c>
      <c r="J119">
        <v>0.29824000000000001</v>
      </c>
      <c r="K119">
        <v>0.28799999999999998</v>
      </c>
      <c r="L119" s="4">
        <f t="shared" si="9"/>
        <v>0.96566523605150201</v>
      </c>
      <c r="M119" s="4"/>
      <c r="N119">
        <v>0.375168</v>
      </c>
      <c r="O119">
        <v>0.36211199999999999</v>
      </c>
      <c r="P119" s="4">
        <f t="shared" si="6"/>
        <v>0.96519959058341864</v>
      </c>
      <c r="R119">
        <v>0.32403199999999999</v>
      </c>
      <c r="S119">
        <v>0.30559999999999998</v>
      </c>
      <c r="T119" s="4">
        <f>S119/R119</f>
        <v>0.94311672921192968</v>
      </c>
      <c r="V119">
        <v>0.40089599999999997</v>
      </c>
      <c r="W119">
        <v>0.38751999999999998</v>
      </c>
      <c r="X119" s="4">
        <f t="shared" si="8"/>
        <v>0.96663473818646228</v>
      </c>
      <c r="AC119">
        <v>0.65151999999999999</v>
      </c>
      <c r="AD119">
        <v>0.66246400000000005</v>
      </c>
      <c r="AE119" s="4">
        <f t="shared" si="10"/>
        <v>1.0167976424361493</v>
      </c>
      <c r="AG119">
        <v>0.86912</v>
      </c>
      <c r="AH119">
        <v>0.86022399999999999</v>
      </c>
      <c r="AI119" s="4">
        <f t="shared" si="11"/>
        <v>0.98976435935198825</v>
      </c>
    </row>
    <row r="120" spans="3:35" x14ac:dyDescent="0.25">
      <c r="C120" t="s">
        <v>31</v>
      </c>
      <c r="D120">
        <v>64</v>
      </c>
      <c r="E120">
        <v>128</v>
      </c>
      <c r="F120">
        <f>1024</f>
        <v>1024</v>
      </c>
      <c r="G120">
        <v>28</v>
      </c>
      <c r="H120">
        <v>4</v>
      </c>
      <c r="J120">
        <v>0.54739199999999999</v>
      </c>
      <c r="K120">
        <v>0.52396799999999999</v>
      </c>
      <c r="L120" s="4">
        <f t="shared" si="9"/>
        <v>0.95720799719396699</v>
      </c>
      <c r="M120" s="4"/>
      <c r="N120">
        <v>0.69247999999999998</v>
      </c>
      <c r="O120">
        <v>0.66649599999999998</v>
      </c>
      <c r="P120" s="4">
        <f t="shared" si="6"/>
        <v>0.96247689463955632</v>
      </c>
      <c r="R120">
        <v>0.55871999999999999</v>
      </c>
      <c r="S120">
        <v>0.53952</v>
      </c>
      <c r="T120" s="4">
        <f>S120/R120</f>
        <v>0.96563573883161513</v>
      </c>
      <c r="V120">
        <v>0.75257600000000002</v>
      </c>
      <c r="W120">
        <v>0.73094400000000004</v>
      </c>
      <c r="X120" s="4">
        <f t="shared" si="8"/>
        <v>0.9712560591887065</v>
      </c>
      <c r="AC120">
        <v>1.1969920000000001</v>
      </c>
      <c r="AD120">
        <v>1.2095359999999999</v>
      </c>
      <c r="AE120" s="4">
        <f t="shared" si="10"/>
        <v>1.010479602202855</v>
      </c>
      <c r="AG120">
        <v>1.6449279999999999</v>
      </c>
      <c r="AH120">
        <v>1.6572800000000001</v>
      </c>
      <c r="AI120" s="4">
        <f t="shared" si="11"/>
        <v>1.0075091432573342</v>
      </c>
    </row>
    <row r="121" spans="3:35" x14ac:dyDescent="0.25">
      <c r="C121" t="s">
        <v>31</v>
      </c>
      <c r="D121">
        <v>1</v>
      </c>
      <c r="E121">
        <v>128</v>
      </c>
      <c r="F121">
        <f>2048</f>
        <v>2048</v>
      </c>
      <c r="G121">
        <v>28</v>
      </c>
      <c r="H121">
        <v>4</v>
      </c>
      <c r="J121">
        <v>0.12620799999999999</v>
      </c>
      <c r="K121">
        <v>0.121984</v>
      </c>
      <c r="L121" s="4">
        <f t="shared" si="9"/>
        <v>0.96653144016227188</v>
      </c>
      <c r="M121" s="4"/>
      <c r="N121">
        <v>0.125504</v>
      </c>
      <c r="O121">
        <v>0.122112</v>
      </c>
      <c r="P121" s="4">
        <f t="shared" si="6"/>
        <v>0.97297297297297292</v>
      </c>
      <c r="R121">
        <v>0.11737599999999999</v>
      </c>
      <c r="S121">
        <v>0.114176</v>
      </c>
      <c r="T121" s="4">
        <f>S121/R121</f>
        <v>0.97273718647764451</v>
      </c>
      <c r="V121">
        <v>0.126528</v>
      </c>
      <c r="W121">
        <v>0.123584</v>
      </c>
      <c r="X121" s="4">
        <f t="shared" si="8"/>
        <v>0.97673242286292361</v>
      </c>
      <c r="AC121">
        <v>0.22988800000000001</v>
      </c>
      <c r="AD121">
        <v>0.21817600000000001</v>
      </c>
      <c r="AE121" s="4">
        <f t="shared" si="10"/>
        <v>0.94905345211581293</v>
      </c>
      <c r="AG121">
        <v>0.208896</v>
      </c>
      <c r="AH121">
        <v>0.20691200000000001</v>
      </c>
      <c r="AI121" s="4">
        <f t="shared" si="11"/>
        <v>0.99050245098039225</v>
      </c>
    </row>
    <row r="122" spans="3:35" x14ac:dyDescent="0.25">
      <c r="C122" t="s">
        <v>31</v>
      </c>
      <c r="D122">
        <v>2</v>
      </c>
      <c r="E122">
        <v>128</v>
      </c>
      <c r="F122">
        <f>2048</f>
        <v>2048</v>
      </c>
      <c r="G122">
        <v>28</v>
      </c>
      <c r="H122">
        <v>4</v>
      </c>
      <c r="J122">
        <v>0.120896</v>
      </c>
      <c r="K122">
        <v>0.117824</v>
      </c>
      <c r="L122" s="4">
        <f t="shared" si="9"/>
        <v>0.97458973001588134</v>
      </c>
      <c r="M122" s="4"/>
      <c r="N122">
        <v>0.124544</v>
      </c>
      <c r="O122">
        <v>0.12096</v>
      </c>
      <c r="P122" s="4">
        <f t="shared" si="6"/>
        <v>0.97122302158273377</v>
      </c>
      <c r="R122">
        <v>0.12972800000000001</v>
      </c>
      <c r="S122">
        <v>0.12595200000000001</v>
      </c>
      <c r="T122" s="4">
        <f>S122/R122</f>
        <v>0.97089294523926983</v>
      </c>
      <c r="V122">
        <v>0.13023999999999999</v>
      </c>
      <c r="W122">
        <v>0.12767999999999999</v>
      </c>
      <c r="X122" s="4">
        <f t="shared" si="8"/>
        <v>0.98034398034398029</v>
      </c>
      <c r="AC122">
        <v>0.20460800000000001</v>
      </c>
      <c r="AD122">
        <v>0.21990399999999999</v>
      </c>
      <c r="AE122" s="4">
        <f t="shared" si="10"/>
        <v>1.0747575852361588</v>
      </c>
      <c r="AG122">
        <v>0.26047999999999999</v>
      </c>
      <c r="AH122">
        <v>0.25779200000000002</v>
      </c>
      <c r="AI122" s="4">
        <f t="shared" si="11"/>
        <v>0.98968058968058981</v>
      </c>
    </row>
    <row r="123" spans="3:35" x14ac:dyDescent="0.25">
      <c r="C123" t="s">
        <v>31</v>
      </c>
      <c r="D123">
        <v>4</v>
      </c>
      <c r="E123">
        <v>128</v>
      </c>
      <c r="F123">
        <f>2048</f>
        <v>2048</v>
      </c>
      <c r="G123">
        <v>28</v>
      </c>
      <c r="H123">
        <v>4</v>
      </c>
      <c r="J123">
        <v>0.121728</v>
      </c>
      <c r="K123">
        <v>0.11987200000000001</v>
      </c>
      <c r="L123" s="4">
        <f t="shared" si="9"/>
        <v>0.98475289169295477</v>
      </c>
      <c r="M123" s="4"/>
      <c r="N123">
        <v>0.124544</v>
      </c>
      <c r="O123">
        <v>0.122944</v>
      </c>
      <c r="P123" s="4">
        <f t="shared" si="6"/>
        <v>0.98715313463514898</v>
      </c>
      <c r="R123">
        <v>0.14169599999999999</v>
      </c>
      <c r="S123">
        <v>0.136576</v>
      </c>
      <c r="T123" s="4">
        <f>S123/R123</f>
        <v>0.96386630532972006</v>
      </c>
      <c r="V123">
        <v>0.13568</v>
      </c>
      <c r="W123">
        <v>0.13267200000000001</v>
      </c>
      <c r="X123" s="4">
        <f t="shared" si="8"/>
        <v>0.97783018867924543</v>
      </c>
      <c r="AC123">
        <v>0.20940800000000001</v>
      </c>
      <c r="AD123">
        <v>0.20108799999999999</v>
      </c>
      <c r="AE123" s="4">
        <f t="shared" si="10"/>
        <v>0.96026894865525658</v>
      </c>
      <c r="AG123">
        <v>0.30182399999999998</v>
      </c>
      <c r="AH123">
        <v>0.29542400000000002</v>
      </c>
      <c r="AI123" s="4">
        <f t="shared" si="11"/>
        <v>0.97879558948261247</v>
      </c>
    </row>
    <row r="124" spans="3:35" x14ac:dyDescent="0.25">
      <c r="C124" t="s">
        <v>31</v>
      </c>
      <c r="D124">
        <v>8</v>
      </c>
      <c r="E124">
        <v>128</v>
      </c>
      <c r="F124">
        <f>2048</f>
        <v>2048</v>
      </c>
      <c r="G124">
        <v>28</v>
      </c>
      <c r="H124">
        <v>4</v>
      </c>
      <c r="J124">
        <v>0.18188799999999999</v>
      </c>
      <c r="K124">
        <v>0.17471999999999999</v>
      </c>
      <c r="L124" s="4">
        <f t="shared" si="9"/>
        <v>0.96059113300492605</v>
      </c>
      <c r="M124" s="4"/>
      <c r="N124">
        <v>0.20288</v>
      </c>
      <c r="O124">
        <v>0.19552</v>
      </c>
      <c r="P124" s="4">
        <f t="shared" si="6"/>
        <v>0.9637223974763407</v>
      </c>
      <c r="R124">
        <v>0.20255999999999999</v>
      </c>
      <c r="S124">
        <v>0.19923199999999999</v>
      </c>
      <c r="T124" s="4">
        <f>S124/R124</f>
        <v>0.98357030015797786</v>
      </c>
      <c r="V124">
        <v>0.21984000000000001</v>
      </c>
      <c r="W124">
        <v>0.214592</v>
      </c>
      <c r="X124" s="4">
        <f t="shared" si="8"/>
        <v>0.97612809315866078</v>
      </c>
      <c r="AC124">
        <v>0.286528</v>
      </c>
      <c r="AD124">
        <v>0.28793600000000003</v>
      </c>
      <c r="AE124" s="4">
        <f t="shared" si="10"/>
        <v>1.0049140049140051</v>
      </c>
      <c r="AG124">
        <v>0.44703999999999999</v>
      </c>
      <c r="AH124">
        <v>0.45273600000000003</v>
      </c>
      <c r="AI124" s="4">
        <f t="shared" si="11"/>
        <v>1.0127415891195419</v>
      </c>
    </row>
    <row r="125" spans="3:35" x14ac:dyDescent="0.25">
      <c r="C125" t="s">
        <v>31</v>
      </c>
      <c r="D125">
        <v>16</v>
      </c>
      <c r="E125">
        <v>128</v>
      </c>
      <c r="F125">
        <f>2048</f>
        <v>2048</v>
      </c>
      <c r="G125">
        <v>28</v>
      </c>
      <c r="H125">
        <v>4</v>
      </c>
      <c r="J125">
        <v>0.29958400000000002</v>
      </c>
      <c r="K125">
        <v>0.28710400000000003</v>
      </c>
      <c r="L125" s="4">
        <f t="shared" si="9"/>
        <v>0.95834223456526391</v>
      </c>
      <c r="M125" s="4"/>
      <c r="N125">
        <v>0.36249599999999998</v>
      </c>
      <c r="O125">
        <v>0.35039999999999999</v>
      </c>
      <c r="P125" s="4">
        <f t="shared" si="6"/>
        <v>0.9666313559322034</v>
      </c>
      <c r="R125">
        <v>0.33702399999999999</v>
      </c>
      <c r="S125">
        <v>0.32710400000000001</v>
      </c>
      <c r="T125" s="4">
        <f>S125/R125</f>
        <v>0.97056589441701491</v>
      </c>
      <c r="V125">
        <v>0.39257599999999998</v>
      </c>
      <c r="W125">
        <v>0.38041599999999998</v>
      </c>
      <c r="X125" s="4">
        <f t="shared" si="8"/>
        <v>0.96902510596674274</v>
      </c>
      <c r="AC125">
        <v>0.62707199999999996</v>
      </c>
      <c r="AD125">
        <v>0.64966400000000002</v>
      </c>
      <c r="AE125" s="4">
        <f t="shared" si="10"/>
        <v>1.0360277607675037</v>
      </c>
      <c r="AG125">
        <v>0.91488000000000003</v>
      </c>
      <c r="AH125">
        <v>0.90732800000000002</v>
      </c>
      <c r="AI125" s="4">
        <f t="shared" si="11"/>
        <v>0.99174536551241688</v>
      </c>
    </row>
    <row r="126" spans="3:35" x14ac:dyDescent="0.25">
      <c r="C126" t="s">
        <v>31</v>
      </c>
      <c r="D126">
        <v>32</v>
      </c>
      <c r="E126">
        <v>128</v>
      </c>
      <c r="F126">
        <f>2048</f>
        <v>2048</v>
      </c>
      <c r="G126">
        <v>28</v>
      </c>
      <c r="H126">
        <v>4</v>
      </c>
      <c r="J126">
        <v>0.54195199999999999</v>
      </c>
      <c r="K126">
        <v>0.51462399999999997</v>
      </c>
      <c r="L126" s="4">
        <f t="shared" si="9"/>
        <v>0.94957487009919694</v>
      </c>
      <c r="M126" s="4"/>
      <c r="N126">
        <v>0.67788800000000005</v>
      </c>
      <c r="O126">
        <v>0.65004799999999996</v>
      </c>
      <c r="P126" s="4">
        <f t="shared" si="6"/>
        <v>0.95893126888217506</v>
      </c>
      <c r="R126">
        <v>0.58009599999999995</v>
      </c>
      <c r="S126">
        <v>0.55935999999999997</v>
      </c>
      <c r="T126" s="4">
        <f>S126/R126</f>
        <v>0.96425419240953225</v>
      </c>
      <c r="V126">
        <v>0.73254399999999997</v>
      </c>
      <c r="W126">
        <v>0.705152</v>
      </c>
      <c r="X126" s="4">
        <f t="shared" si="8"/>
        <v>0.96260702428796086</v>
      </c>
      <c r="AC126">
        <v>1.1792640000000001</v>
      </c>
      <c r="AD126">
        <v>1.1919999999999999</v>
      </c>
      <c r="AE126" s="4">
        <f t="shared" si="10"/>
        <v>1.010799956583089</v>
      </c>
      <c r="AG126">
        <v>1.7936639999999999</v>
      </c>
      <c r="AH126">
        <v>1.8042879999999999</v>
      </c>
      <c r="AI126" s="4">
        <f t="shared" si="11"/>
        <v>1.0059230714336687</v>
      </c>
    </row>
    <row r="127" spans="3:35" x14ac:dyDescent="0.25">
      <c r="C127" t="s">
        <v>31</v>
      </c>
      <c r="D127">
        <v>64</v>
      </c>
      <c r="E127">
        <v>128</v>
      </c>
      <c r="F127">
        <f>2048</f>
        <v>2048</v>
      </c>
      <c r="G127">
        <v>28</v>
      </c>
      <c r="H127">
        <v>4</v>
      </c>
      <c r="J127">
        <v>1.015936</v>
      </c>
      <c r="K127">
        <v>0.96537600000000001</v>
      </c>
      <c r="L127" s="4">
        <f t="shared" si="9"/>
        <v>0.95023308554869601</v>
      </c>
      <c r="M127" s="4"/>
      <c r="N127">
        <v>1.3114239999999999</v>
      </c>
      <c r="O127">
        <v>1.259968</v>
      </c>
      <c r="P127" s="4">
        <f t="shared" si="6"/>
        <v>0.96076326191986727</v>
      </c>
      <c r="R127">
        <v>1.04128</v>
      </c>
      <c r="S127">
        <v>0.99961599999999995</v>
      </c>
      <c r="T127" s="4">
        <f>S127/R127</f>
        <v>0.95998770743700057</v>
      </c>
      <c r="V127">
        <v>1.405376</v>
      </c>
      <c r="W127">
        <v>1.3518079999999999</v>
      </c>
      <c r="X127" s="4">
        <f t="shared" si="8"/>
        <v>0.96188351017805906</v>
      </c>
      <c r="AC127">
        <v>2.2430720000000002</v>
      </c>
      <c r="AD127">
        <v>2.2266240000000002</v>
      </c>
      <c r="AE127" s="4">
        <f t="shared" si="10"/>
        <v>0.99266719926957314</v>
      </c>
      <c r="AG127">
        <v>3.5512320000000002</v>
      </c>
      <c r="AH127">
        <v>3.560384</v>
      </c>
      <c r="AI127" s="4">
        <f t="shared" si="11"/>
        <v>1.0025771337946943</v>
      </c>
    </row>
    <row r="128" spans="3:35" x14ac:dyDescent="0.25">
      <c r="C128" t="s">
        <v>31</v>
      </c>
      <c r="D128">
        <v>1</v>
      </c>
      <c r="E128">
        <v>128</v>
      </c>
      <c r="F128">
        <f>3072</f>
        <v>3072</v>
      </c>
      <c r="G128">
        <v>28</v>
      </c>
      <c r="H128">
        <v>4</v>
      </c>
      <c r="J128">
        <v>0.16639999999999999</v>
      </c>
      <c r="K128">
        <v>0.15948799999999999</v>
      </c>
      <c r="L128" s="4">
        <f t="shared" si="9"/>
        <v>0.95846153846153848</v>
      </c>
      <c r="M128" s="4"/>
      <c r="N128">
        <v>0.16806399999999999</v>
      </c>
      <c r="O128">
        <v>0.163136</v>
      </c>
      <c r="P128" s="4">
        <f t="shared" si="6"/>
        <v>0.97067783701447075</v>
      </c>
      <c r="R128">
        <v>0.156416</v>
      </c>
      <c r="S128">
        <v>0.152256</v>
      </c>
      <c r="T128" s="4">
        <f>S128/R128</f>
        <v>0.97340425531914898</v>
      </c>
      <c r="V128">
        <v>0.170048</v>
      </c>
      <c r="W128">
        <v>0.16550400000000001</v>
      </c>
      <c r="X128" s="4">
        <f t="shared" si="8"/>
        <v>0.97327813323296952</v>
      </c>
      <c r="AC128">
        <v>0.31372800000000001</v>
      </c>
      <c r="AD128">
        <v>0.320768</v>
      </c>
      <c r="AE128" s="4">
        <f t="shared" si="10"/>
        <v>1.0224398204814362</v>
      </c>
      <c r="AG128">
        <v>0.28633599999999998</v>
      </c>
      <c r="AH128">
        <v>0.28409600000000002</v>
      </c>
      <c r="AI128" s="4">
        <f t="shared" si="11"/>
        <v>0.99217702279839082</v>
      </c>
    </row>
    <row r="129" spans="3:35" x14ac:dyDescent="0.25">
      <c r="C129" t="s">
        <v>31</v>
      </c>
      <c r="D129">
        <v>2</v>
      </c>
      <c r="E129">
        <v>128</v>
      </c>
      <c r="F129">
        <f>3072</f>
        <v>3072</v>
      </c>
      <c r="G129">
        <v>28</v>
      </c>
      <c r="H129">
        <v>4</v>
      </c>
      <c r="J129">
        <v>0.16755200000000001</v>
      </c>
      <c r="K129">
        <v>0.16089600000000001</v>
      </c>
      <c r="L129" s="4">
        <f t="shared" si="9"/>
        <v>0.96027501909854851</v>
      </c>
      <c r="M129" s="4"/>
      <c r="N129">
        <v>0.16742399999999999</v>
      </c>
      <c r="O129">
        <v>0.162304</v>
      </c>
      <c r="P129" s="4">
        <f t="shared" si="6"/>
        <v>0.96941896024464835</v>
      </c>
      <c r="R129">
        <v>0.17344000000000001</v>
      </c>
      <c r="S129">
        <v>0.168128</v>
      </c>
      <c r="T129" s="4">
        <f>S129/R129</f>
        <v>0.96937269372693724</v>
      </c>
      <c r="V129">
        <v>0.17612800000000001</v>
      </c>
      <c r="W129">
        <v>0.17177600000000001</v>
      </c>
      <c r="X129" s="4">
        <f t="shared" si="8"/>
        <v>0.97529069767441867</v>
      </c>
      <c r="AC129">
        <v>0.28044799999999998</v>
      </c>
      <c r="AD129">
        <v>0.27404800000000001</v>
      </c>
      <c r="AE129" s="4">
        <f t="shared" si="10"/>
        <v>0.97717937015061629</v>
      </c>
      <c r="AG129">
        <v>0.36876799999999998</v>
      </c>
      <c r="AH129">
        <v>0.36448000000000003</v>
      </c>
      <c r="AI129" s="4">
        <f t="shared" si="11"/>
        <v>0.9883720930232559</v>
      </c>
    </row>
    <row r="130" spans="3:35" x14ac:dyDescent="0.25">
      <c r="C130" t="s">
        <v>31</v>
      </c>
      <c r="D130">
        <v>4</v>
      </c>
      <c r="E130">
        <v>128</v>
      </c>
      <c r="F130">
        <f>3072</f>
        <v>3072</v>
      </c>
      <c r="G130">
        <v>28</v>
      </c>
      <c r="H130">
        <v>4</v>
      </c>
      <c r="J130">
        <v>0.16409599999999999</v>
      </c>
      <c r="K130">
        <v>0.16025600000000001</v>
      </c>
      <c r="L130" s="4">
        <f t="shared" si="9"/>
        <v>0.97659906396255858</v>
      </c>
      <c r="M130" s="4"/>
      <c r="N130">
        <v>0.16825599999999999</v>
      </c>
      <c r="O130">
        <v>0.16339200000000001</v>
      </c>
      <c r="P130" s="4">
        <f t="shared" ref="P130:P154" si="12">O130/N130</f>
        <v>0.9710916698364398</v>
      </c>
      <c r="R130">
        <v>0.19097600000000001</v>
      </c>
      <c r="S130">
        <v>0.18464</v>
      </c>
      <c r="T130" s="4">
        <f>S130/R130</f>
        <v>0.9668230563002681</v>
      </c>
      <c r="V130">
        <v>0.185472</v>
      </c>
      <c r="W130">
        <v>0.180672</v>
      </c>
      <c r="X130" s="4">
        <f t="shared" ref="X130:X169" si="13">W130/V130</f>
        <v>0.97412008281573503</v>
      </c>
      <c r="AC130">
        <v>0.275584</v>
      </c>
      <c r="AD130">
        <v>0.26912000000000003</v>
      </c>
      <c r="AE130" s="4">
        <f t="shared" si="10"/>
        <v>0.97654435671156536</v>
      </c>
      <c r="AG130">
        <v>0.41932799999999998</v>
      </c>
      <c r="AH130">
        <v>0.41510399999999997</v>
      </c>
      <c r="AI130" s="4">
        <f t="shared" si="11"/>
        <v>0.98992673992673996</v>
      </c>
    </row>
    <row r="131" spans="3:35" x14ac:dyDescent="0.25">
      <c r="C131" t="s">
        <v>31</v>
      </c>
      <c r="D131">
        <v>8</v>
      </c>
      <c r="E131">
        <v>128</v>
      </c>
      <c r="F131">
        <f>3072</f>
        <v>3072</v>
      </c>
      <c r="G131">
        <v>28</v>
      </c>
      <c r="H131">
        <v>4</v>
      </c>
      <c r="J131">
        <v>0.25241599999999997</v>
      </c>
      <c r="K131">
        <v>0.24345600000000001</v>
      </c>
      <c r="L131" s="4">
        <f t="shared" ref="L131:L169" si="14">K131/J131</f>
        <v>0.964503042596349</v>
      </c>
      <c r="M131" s="4"/>
      <c r="N131">
        <v>0.28467199999999998</v>
      </c>
      <c r="O131">
        <v>0.27513599999999999</v>
      </c>
      <c r="P131" s="4">
        <f t="shared" si="12"/>
        <v>0.96650179856115115</v>
      </c>
      <c r="R131">
        <v>0.28492800000000001</v>
      </c>
      <c r="S131">
        <v>0.278528</v>
      </c>
      <c r="T131" s="4">
        <f>S131/R131</f>
        <v>0.97753818508535484</v>
      </c>
      <c r="V131">
        <v>0.30969600000000003</v>
      </c>
      <c r="W131">
        <v>0.30041600000000002</v>
      </c>
      <c r="X131" s="4">
        <f t="shared" si="13"/>
        <v>0.97003513122545981</v>
      </c>
      <c r="AC131">
        <v>0.50713600000000003</v>
      </c>
      <c r="AD131">
        <v>0.52166400000000002</v>
      </c>
      <c r="AE131" s="4">
        <f t="shared" ref="AE131:AE169" si="15">AD131/AC131</f>
        <v>1.0286471479050985</v>
      </c>
      <c r="AG131">
        <v>0.71027200000000001</v>
      </c>
      <c r="AH131">
        <v>0.72115200000000002</v>
      </c>
      <c r="AI131" s="4">
        <f t="shared" ref="AI131:AI169" si="16">AH131/AG131</f>
        <v>1.0153180753288882</v>
      </c>
    </row>
    <row r="132" spans="3:35" x14ac:dyDescent="0.25">
      <c r="C132" t="s">
        <v>31</v>
      </c>
      <c r="D132">
        <v>16</v>
      </c>
      <c r="E132">
        <v>128</v>
      </c>
      <c r="F132">
        <f>3072</f>
        <v>3072</v>
      </c>
      <c r="G132">
        <v>28</v>
      </c>
      <c r="H132">
        <v>4</v>
      </c>
      <c r="J132">
        <v>0.42899199999999998</v>
      </c>
      <c r="K132">
        <v>0.40960000000000002</v>
      </c>
      <c r="L132" s="4">
        <f t="shared" si="14"/>
        <v>0.95479635983887823</v>
      </c>
      <c r="M132" s="4"/>
      <c r="N132">
        <v>0.52051199999999997</v>
      </c>
      <c r="O132">
        <v>0.50067200000000001</v>
      </c>
      <c r="P132" s="4">
        <f t="shared" si="12"/>
        <v>0.96188368375753108</v>
      </c>
      <c r="R132">
        <v>0.45939200000000002</v>
      </c>
      <c r="S132">
        <v>0.448384</v>
      </c>
      <c r="T132" s="4">
        <f>S132/R132</f>
        <v>0.97603789356366677</v>
      </c>
      <c r="V132">
        <v>0.560832</v>
      </c>
      <c r="W132">
        <v>0.54297600000000001</v>
      </c>
      <c r="X132" s="4">
        <f t="shared" si="13"/>
        <v>0.96816158849709011</v>
      </c>
      <c r="AC132">
        <v>0.96678399999999998</v>
      </c>
      <c r="AD132">
        <v>0.90118399999999999</v>
      </c>
      <c r="AE132" s="4">
        <f t="shared" si="15"/>
        <v>0.93214616708592613</v>
      </c>
      <c r="AG132">
        <v>1.40768</v>
      </c>
      <c r="AH132">
        <v>1.408512</v>
      </c>
      <c r="AI132" s="4">
        <f t="shared" si="16"/>
        <v>1.0005910434189589</v>
      </c>
    </row>
    <row r="133" spans="3:35" x14ac:dyDescent="0.25">
      <c r="C133" t="s">
        <v>31</v>
      </c>
      <c r="D133">
        <v>32</v>
      </c>
      <c r="E133">
        <v>128</v>
      </c>
      <c r="F133">
        <f>3072</f>
        <v>3072</v>
      </c>
      <c r="G133">
        <v>28</v>
      </c>
      <c r="H133">
        <v>4</v>
      </c>
      <c r="J133">
        <v>0.77881599999999995</v>
      </c>
      <c r="K133">
        <v>0.74220799999999998</v>
      </c>
      <c r="L133" s="4">
        <f t="shared" si="14"/>
        <v>0.95299531596680087</v>
      </c>
      <c r="M133" s="4"/>
      <c r="N133">
        <v>1.0037119999999999</v>
      </c>
      <c r="O133">
        <v>0.96128000000000002</v>
      </c>
      <c r="P133" s="4">
        <f t="shared" si="12"/>
        <v>0.95772492507811013</v>
      </c>
      <c r="R133">
        <v>0.82777599999999996</v>
      </c>
      <c r="S133">
        <v>0.80307200000000001</v>
      </c>
      <c r="T133" s="4">
        <f>S133/R133</f>
        <v>0.97015617751662286</v>
      </c>
      <c r="V133">
        <v>1.0654079999999999</v>
      </c>
      <c r="W133">
        <v>1.025728</v>
      </c>
      <c r="X133" s="4">
        <f t="shared" si="13"/>
        <v>0.96275605214152704</v>
      </c>
      <c r="AC133">
        <v>1.747968</v>
      </c>
      <c r="AD133">
        <v>1.7496320000000001</v>
      </c>
      <c r="AE133" s="4">
        <f t="shared" si="15"/>
        <v>1.0009519625073229</v>
      </c>
      <c r="AG133">
        <v>2.730944</v>
      </c>
      <c r="AH133">
        <v>2.7454079999999998</v>
      </c>
      <c r="AI133" s="4">
        <f t="shared" si="16"/>
        <v>1.0052963370907642</v>
      </c>
    </row>
    <row r="134" spans="3:35" x14ac:dyDescent="0.25">
      <c r="C134" t="s">
        <v>31</v>
      </c>
      <c r="D134">
        <v>64</v>
      </c>
      <c r="E134">
        <v>128</v>
      </c>
      <c r="F134">
        <f>3072</f>
        <v>3072</v>
      </c>
      <c r="G134">
        <v>28</v>
      </c>
      <c r="H134">
        <v>4</v>
      </c>
      <c r="J134">
        <v>1.473984</v>
      </c>
      <c r="K134">
        <v>1.4017919999999999</v>
      </c>
      <c r="L134" s="4">
        <f t="shared" si="14"/>
        <v>0.95102253484434018</v>
      </c>
      <c r="M134" s="4"/>
      <c r="N134">
        <v>1.925888</v>
      </c>
      <c r="O134">
        <v>1.843072</v>
      </c>
      <c r="P134" s="4">
        <f t="shared" si="12"/>
        <v>0.95699853781736011</v>
      </c>
      <c r="R134">
        <v>1.5143040000000001</v>
      </c>
      <c r="S134">
        <v>1.4538880000000001</v>
      </c>
      <c r="T134" s="4">
        <f>S134/R134</f>
        <v>0.96010312328303959</v>
      </c>
      <c r="V134">
        <v>2.055488</v>
      </c>
      <c r="W134">
        <v>1.9767680000000001</v>
      </c>
      <c r="X134" s="4">
        <f t="shared" si="13"/>
        <v>0.96170252514244792</v>
      </c>
      <c r="AC134">
        <v>3.2565759999999999</v>
      </c>
      <c r="AD134">
        <v>3.263296</v>
      </c>
      <c r="AE134" s="4">
        <f t="shared" si="15"/>
        <v>1.0020635170191023</v>
      </c>
      <c r="AG134">
        <v>5.5072640000000002</v>
      </c>
      <c r="AH134">
        <v>5.5171840000000003</v>
      </c>
      <c r="AI134" s="4">
        <f t="shared" si="16"/>
        <v>1.001801257393871</v>
      </c>
    </row>
    <row r="135" spans="3:35" x14ac:dyDescent="0.25">
      <c r="C135" t="s">
        <v>31</v>
      </c>
      <c r="D135">
        <v>1</v>
      </c>
      <c r="E135">
        <v>128</v>
      </c>
      <c r="F135">
        <f>4096</f>
        <v>4096</v>
      </c>
      <c r="G135">
        <v>28</v>
      </c>
      <c r="H135">
        <v>4</v>
      </c>
      <c r="J135">
        <v>0.212864</v>
      </c>
      <c r="K135">
        <v>0.20127999999999999</v>
      </c>
      <c r="L135" s="4">
        <f t="shared" si="14"/>
        <v>0.94558027660853872</v>
      </c>
      <c r="M135" s="4"/>
      <c r="N135">
        <v>0.21171200000000001</v>
      </c>
      <c r="O135">
        <v>0.20480000000000001</v>
      </c>
      <c r="P135" s="4">
        <f t="shared" si="12"/>
        <v>0.96735187424425639</v>
      </c>
      <c r="R135">
        <v>0.19583999999999999</v>
      </c>
      <c r="S135">
        <v>0.18944</v>
      </c>
      <c r="T135" s="4">
        <f>S135/R135</f>
        <v>0.9673202614379085</v>
      </c>
      <c r="V135">
        <v>0.213504</v>
      </c>
      <c r="W135">
        <v>0.20716799999999999</v>
      </c>
      <c r="X135" s="4">
        <f t="shared" si="13"/>
        <v>0.97032374100719421</v>
      </c>
      <c r="AC135">
        <v>0.39391999999999999</v>
      </c>
      <c r="AD135">
        <v>0.38873600000000003</v>
      </c>
      <c r="AE135" s="4">
        <f t="shared" si="15"/>
        <v>0.98683996750609271</v>
      </c>
      <c r="AG135">
        <v>0.36460799999999999</v>
      </c>
      <c r="AH135">
        <v>0.360064</v>
      </c>
      <c r="AI135" s="4">
        <f t="shared" si="16"/>
        <v>0.98753730033350884</v>
      </c>
    </row>
    <row r="136" spans="3:35" x14ac:dyDescent="0.25">
      <c r="C136" t="s">
        <v>31</v>
      </c>
      <c r="D136">
        <v>2</v>
      </c>
      <c r="E136">
        <v>128</v>
      </c>
      <c r="F136">
        <f>4096</f>
        <v>4096</v>
      </c>
      <c r="G136">
        <v>28</v>
      </c>
      <c r="H136">
        <v>4</v>
      </c>
      <c r="J136">
        <v>0.205568</v>
      </c>
      <c r="K136">
        <v>0.20044799999999999</v>
      </c>
      <c r="L136" s="4">
        <f t="shared" si="14"/>
        <v>0.9750933997509339</v>
      </c>
      <c r="M136" s="4"/>
      <c r="N136">
        <v>0.20992</v>
      </c>
      <c r="O136">
        <v>0.203456</v>
      </c>
      <c r="P136" s="4">
        <f t="shared" si="12"/>
        <v>0.96920731707317076</v>
      </c>
      <c r="R136">
        <v>0.21945600000000001</v>
      </c>
      <c r="S136">
        <v>0.21107200000000001</v>
      </c>
      <c r="T136" s="4">
        <f>S136/R136</f>
        <v>0.96179644211140269</v>
      </c>
      <c r="V136">
        <v>0.22489600000000001</v>
      </c>
      <c r="W136">
        <v>0.21804799999999999</v>
      </c>
      <c r="X136" s="4">
        <f t="shared" si="13"/>
        <v>0.96955036994877619</v>
      </c>
      <c r="AC136">
        <v>0.368448</v>
      </c>
      <c r="AD136">
        <v>0.35327999999999998</v>
      </c>
      <c r="AE136" s="4">
        <f t="shared" si="15"/>
        <v>0.95883272537780084</v>
      </c>
      <c r="AG136">
        <v>0.47372799999999998</v>
      </c>
      <c r="AH136">
        <v>0.46873599999999999</v>
      </c>
      <c r="AI136" s="4">
        <f t="shared" si="16"/>
        <v>0.98946230748446362</v>
      </c>
    </row>
    <row r="137" spans="3:35" x14ac:dyDescent="0.25">
      <c r="C137" t="s">
        <v>31</v>
      </c>
      <c r="D137">
        <v>4</v>
      </c>
      <c r="E137">
        <v>128</v>
      </c>
      <c r="F137">
        <f>4096</f>
        <v>4096</v>
      </c>
      <c r="G137">
        <v>28</v>
      </c>
      <c r="H137">
        <v>4</v>
      </c>
      <c r="J137">
        <v>0.20691200000000001</v>
      </c>
      <c r="K137">
        <v>0.202432</v>
      </c>
      <c r="L137" s="4">
        <f t="shared" si="14"/>
        <v>0.97834828332817814</v>
      </c>
      <c r="M137" s="4"/>
      <c r="N137">
        <v>0.21094399999999999</v>
      </c>
      <c r="O137">
        <v>0.204544</v>
      </c>
      <c r="P137" s="4">
        <f t="shared" si="12"/>
        <v>0.96966019417475735</v>
      </c>
      <c r="R137">
        <v>0.24384</v>
      </c>
      <c r="S137">
        <v>0.23641599999999999</v>
      </c>
      <c r="T137" s="4">
        <f>S137/R137</f>
        <v>0.96955380577427819</v>
      </c>
      <c r="V137">
        <v>0.23539199999999999</v>
      </c>
      <c r="W137">
        <v>0.227712</v>
      </c>
      <c r="X137" s="4">
        <f t="shared" si="13"/>
        <v>0.96737357259380097</v>
      </c>
      <c r="AC137">
        <v>0.36953599999999998</v>
      </c>
      <c r="AD137">
        <v>0.36492799999999997</v>
      </c>
      <c r="AE137" s="4">
        <f t="shared" si="15"/>
        <v>0.98753030827848975</v>
      </c>
      <c r="AG137">
        <v>0.548736</v>
      </c>
      <c r="AH137">
        <v>0.53894399999999998</v>
      </c>
      <c r="AI137" s="4">
        <f t="shared" si="16"/>
        <v>0.98215535339398174</v>
      </c>
    </row>
    <row r="138" spans="3:35" x14ac:dyDescent="0.25">
      <c r="C138" t="s">
        <v>31</v>
      </c>
      <c r="D138">
        <v>8</v>
      </c>
      <c r="E138">
        <v>128</v>
      </c>
      <c r="F138">
        <f>4096</f>
        <v>4096</v>
      </c>
      <c r="G138">
        <v>28</v>
      </c>
      <c r="H138">
        <v>4</v>
      </c>
      <c r="J138">
        <v>0.32211200000000001</v>
      </c>
      <c r="K138">
        <v>0.31027199999999999</v>
      </c>
      <c r="L138" s="4">
        <f t="shared" si="14"/>
        <v>0.96324259884760577</v>
      </c>
      <c r="M138" s="4"/>
      <c r="N138">
        <v>0.36339199999999999</v>
      </c>
      <c r="O138">
        <v>0.35052800000000001</v>
      </c>
      <c r="P138" s="4">
        <f t="shared" si="12"/>
        <v>0.9646002113420219</v>
      </c>
      <c r="R138">
        <v>0.37440000000000001</v>
      </c>
      <c r="S138">
        <v>0.36326399999999998</v>
      </c>
      <c r="T138" s="4">
        <f>S138/R138</f>
        <v>0.97025641025641018</v>
      </c>
      <c r="V138">
        <v>0.397312</v>
      </c>
      <c r="W138">
        <v>0.38374399999999997</v>
      </c>
      <c r="X138" s="4">
        <f t="shared" si="13"/>
        <v>0.96585051546391743</v>
      </c>
      <c r="AC138">
        <v>0.61113600000000001</v>
      </c>
      <c r="AD138">
        <v>0.59507200000000005</v>
      </c>
      <c r="AE138" s="4">
        <f t="shared" si="15"/>
        <v>0.97371452508116041</v>
      </c>
      <c r="AG138">
        <v>0.97260800000000003</v>
      </c>
      <c r="AH138">
        <v>0.98572800000000005</v>
      </c>
      <c r="AI138" s="4">
        <f t="shared" si="16"/>
        <v>1.0134895045074686</v>
      </c>
    </row>
    <row r="139" spans="3:35" x14ac:dyDescent="0.25">
      <c r="C139" t="s">
        <v>31</v>
      </c>
      <c r="D139">
        <v>16</v>
      </c>
      <c r="E139">
        <v>128</v>
      </c>
      <c r="F139">
        <f>4096</f>
        <v>4096</v>
      </c>
      <c r="G139">
        <v>28</v>
      </c>
      <c r="H139">
        <v>4</v>
      </c>
      <c r="J139">
        <v>0.55366400000000004</v>
      </c>
      <c r="K139">
        <v>0.527424</v>
      </c>
      <c r="L139" s="4">
        <f t="shared" si="14"/>
        <v>0.95260663507109</v>
      </c>
      <c r="M139" s="4"/>
      <c r="N139">
        <v>0.67321600000000004</v>
      </c>
      <c r="O139">
        <v>0.64550399999999997</v>
      </c>
      <c r="P139" s="4">
        <f t="shared" si="12"/>
        <v>0.95883639129194775</v>
      </c>
      <c r="R139">
        <v>0.614784</v>
      </c>
      <c r="S139">
        <v>0.59590399999999999</v>
      </c>
      <c r="T139" s="4">
        <f>S139/R139</f>
        <v>0.96929002706641676</v>
      </c>
      <c r="V139">
        <v>0.731456</v>
      </c>
      <c r="W139">
        <v>0.70553600000000005</v>
      </c>
      <c r="X139" s="4">
        <f t="shared" si="13"/>
        <v>0.964563828856418</v>
      </c>
      <c r="AC139">
        <v>1.154112</v>
      </c>
      <c r="AD139">
        <v>1.1884159999999999</v>
      </c>
      <c r="AE139" s="4">
        <f t="shared" si="15"/>
        <v>1.0297232850884488</v>
      </c>
      <c r="AG139">
        <v>1.924736</v>
      </c>
      <c r="AH139">
        <v>1.91648</v>
      </c>
      <c r="AI139" s="4">
        <f t="shared" si="16"/>
        <v>0.99571058056793238</v>
      </c>
    </row>
    <row r="140" spans="3:35" x14ac:dyDescent="0.25">
      <c r="C140" t="s">
        <v>31</v>
      </c>
      <c r="D140">
        <v>32</v>
      </c>
      <c r="E140">
        <v>128</v>
      </c>
      <c r="F140">
        <f>4096</f>
        <v>4096</v>
      </c>
      <c r="G140">
        <v>28</v>
      </c>
      <c r="H140">
        <v>4</v>
      </c>
      <c r="J140">
        <v>1.0190079999999999</v>
      </c>
      <c r="K140">
        <v>0.97062400000000004</v>
      </c>
      <c r="L140" s="4">
        <f t="shared" si="14"/>
        <v>0.95251852782313795</v>
      </c>
      <c r="M140" s="4"/>
      <c r="N140">
        <v>1.296192</v>
      </c>
      <c r="O140">
        <v>1.2388479999999999</v>
      </c>
      <c r="P140" s="4">
        <f t="shared" si="12"/>
        <v>0.9557596405470794</v>
      </c>
      <c r="R140">
        <v>1.082112</v>
      </c>
      <c r="S140">
        <v>1.034624</v>
      </c>
      <c r="T140" s="4">
        <f>S140/R140</f>
        <v>0.95611544830849304</v>
      </c>
      <c r="V140">
        <v>1.393856</v>
      </c>
      <c r="W140">
        <v>1.3422719999999999</v>
      </c>
      <c r="X140" s="4">
        <f t="shared" si="13"/>
        <v>0.96299187290509203</v>
      </c>
      <c r="AC140">
        <v>2.2591999999999999</v>
      </c>
      <c r="AD140">
        <v>2.2814079999999999</v>
      </c>
      <c r="AE140" s="4">
        <f t="shared" si="15"/>
        <v>1.0098300283286119</v>
      </c>
      <c r="AG140">
        <v>3.7079040000000001</v>
      </c>
      <c r="AH140">
        <v>3.7151999999999998</v>
      </c>
      <c r="AI140" s="4">
        <f t="shared" si="16"/>
        <v>1.0019676884838442</v>
      </c>
    </row>
    <row r="141" spans="3:35" x14ac:dyDescent="0.25">
      <c r="C141" t="s">
        <v>31</v>
      </c>
      <c r="D141">
        <v>64</v>
      </c>
      <c r="E141">
        <v>128</v>
      </c>
      <c r="F141">
        <f>4096</f>
        <v>4096</v>
      </c>
      <c r="G141">
        <v>28</v>
      </c>
      <c r="H141">
        <v>4</v>
      </c>
      <c r="J141">
        <v>1.9342079999999999</v>
      </c>
      <c r="K141">
        <v>1.8387199999999999</v>
      </c>
      <c r="L141" s="4">
        <f t="shared" si="14"/>
        <v>0.95063198994110254</v>
      </c>
      <c r="M141" s="4"/>
      <c r="N141">
        <v>2.5473279999999998</v>
      </c>
      <c r="O141">
        <v>2.4364159999999999</v>
      </c>
      <c r="P141" s="4">
        <f t="shared" si="12"/>
        <v>0.9564594743982715</v>
      </c>
      <c r="R141">
        <v>1.988864</v>
      </c>
      <c r="S141">
        <v>1.9006719999999999</v>
      </c>
      <c r="T141" s="4">
        <f>S141/R141</f>
        <v>0.9556570987257047</v>
      </c>
      <c r="V141">
        <v>2.7086079999999999</v>
      </c>
      <c r="W141">
        <v>2.6031360000000001</v>
      </c>
      <c r="X141" s="4">
        <f t="shared" si="13"/>
        <v>0.96106044137800684</v>
      </c>
      <c r="AC141">
        <v>4.3017599999999998</v>
      </c>
      <c r="AD141">
        <v>4.2258560000000003</v>
      </c>
      <c r="AE141" s="4">
        <f t="shared" si="15"/>
        <v>0.98235512906345324</v>
      </c>
      <c r="AG141">
        <v>7.4629770000000004</v>
      </c>
      <c r="AH141">
        <v>7.4215039999999997</v>
      </c>
      <c r="AI141" s="4">
        <f t="shared" si="16"/>
        <v>0.99444283427377567</v>
      </c>
    </row>
    <row r="142" spans="3:35" x14ac:dyDescent="0.25">
      <c r="C142" t="s">
        <v>31</v>
      </c>
      <c r="D142">
        <v>1</v>
      </c>
      <c r="E142">
        <v>128</v>
      </c>
      <c r="F142">
        <f>5120</f>
        <v>5120</v>
      </c>
      <c r="G142">
        <v>28</v>
      </c>
      <c r="H142">
        <v>4</v>
      </c>
      <c r="J142">
        <v>0.25702399999999997</v>
      </c>
      <c r="K142">
        <v>0.24710399999999999</v>
      </c>
      <c r="L142" s="4">
        <f t="shared" si="14"/>
        <v>0.96140438247011961</v>
      </c>
      <c r="M142" s="4"/>
      <c r="N142">
        <v>0.25375999999999999</v>
      </c>
      <c r="O142">
        <v>0.24556800000000001</v>
      </c>
      <c r="P142" s="4">
        <f t="shared" si="12"/>
        <v>0.96771752837326619</v>
      </c>
      <c r="R142">
        <v>0.23411199999999999</v>
      </c>
      <c r="S142">
        <v>0.226688</v>
      </c>
      <c r="T142" s="4">
        <f>S142/R142</f>
        <v>0.96828868234007659</v>
      </c>
      <c r="V142">
        <v>0.25772800000000001</v>
      </c>
      <c r="W142">
        <v>0.24959999999999999</v>
      </c>
      <c r="X142" s="4">
        <f t="shared" si="13"/>
        <v>0.96846287558976896</v>
      </c>
      <c r="AC142">
        <v>0.56921600000000006</v>
      </c>
      <c r="AD142">
        <v>0.55590399999999995</v>
      </c>
      <c r="AE142" s="4">
        <f t="shared" si="15"/>
        <v>0.97661344726782084</v>
      </c>
      <c r="AG142">
        <v>0.44307200000000002</v>
      </c>
      <c r="AH142">
        <v>0.43718400000000002</v>
      </c>
      <c r="AI142" s="4">
        <f t="shared" si="16"/>
        <v>0.98671096345514953</v>
      </c>
    </row>
    <row r="143" spans="3:35" x14ac:dyDescent="0.25">
      <c r="C143" t="s">
        <v>31</v>
      </c>
      <c r="D143">
        <v>2</v>
      </c>
      <c r="E143">
        <v>128</v>
      </c>
      <c r="F143">
        <f>5120</f>
        <v>5120</v>
      </c>
      <c r="G143">
        <v>28</v>
      </c>
      <c r="H143">
        <v>4</v>
      </c>
      <c r="J143">
        <v>0.25612800000000002</v>
      </c>
      <c r="K143">
        <v>0.245312</v>
      </c>
      <c r="L143" s="4">
        <f t="shared" si="14"/>
        <v>0.95777111444277852</v>
      </c>
      <c r="M143" s="4"/>
      <c r="N143">
        <v>0.254272</v>
      </c>
      <c r="O143">
        <v>0.24524799999999999</v>
      </c>
      <c r="P143" s="4">
        <f t="shared" si="12"/>
        <v>0.96451044550717335</v>
      </c>
      <c r="R143">
        <v>0.26432</v>
      </c>
      <c r="S143">
        <v>0.25600000000000001</v>
      </c>
      <c r="T143" s="4">
        <f>S143/R143</f>
        <v>0.96852300242130751</v>
      </c>
      <c r="V143">
        <v>0.26976</v>
      </c>
      <c r="W143">
        <v>0.26163199999999998</v>
      </c>
      <c r="X143" s="4">
        <f t="shared" si="13"/>
        <v>0.96986951364175555</v>
      </c>
      <c r="AC143">
        <v>0.57324799999999998</v>
      </c>
      <c r="AD143">
        <v>0.52787200000000001</v>
      </c>
      <c r="AE143" s="4">
        <f t="shared" si="15"/>
        <v>0.92084403260020098</v>
      </c>
      <c r="AG143">
        <v>0.58208000000000004</v>
      </c>
      <c r="AH143">
        <v>0.57279999999999998</v>
      </c>
      <c r="AI143" s="4">
        <f t="shared" si="16"/>
        <v>0.98405717427157768</v>
      </c>
    </row>
    <row r="144" spans="3:35" x14ac:dyDescent="0.25">
      <c r="C144" t="s">
        <v>31</v>
      </c>
      <c r="D144">
        <v>4</v>
      </c>
      <c r="E144">
        <v>128</v>
      </c>
      <c r="F144">
        <f>5120</f>
        <v>5120</v>
      </c>
      <c r="G144">
        <v>28</v>
      </c>
      <c r="H144">
        <v>4</v>
      </c>
      <c r="J144">
        <v>0.248192</v>
      </c>
      <c r="K144">
        <v>0.24083199999999999</v>
      </c>
      <c r="L144" s="4">
        <f t="shared" si="14"/>
        <v>0.97034553893759667</v>
      </c>
      <c r="M144" s="4"/>
      <c r="N144">
        <v>0.25625599999999998</v>
      </c>
      <c r="O144">
        <v>0.247808</v>
      </c>
      <c r="P144" s="4">
        <f t="shared" si="12"/>
        <v>0.96703296703296715</v>
      </c>
      <c r="R144">
        <v>0.29459200000000002</v>
      </c>
      <c r="S144">
        <v>0.28716799999999998</v>
      </c>
      <c r="T144" s="4">
        <f>S144/R144</f>
        <v>0.97479904410167273</v>
      </c>
      <c r="V144">
        <v>0.281472</v>
      </c>
      <c r="W144">
        <v>0.27328000000000002</v>
      </c>
      <c r="X144" s="4">
        <f t="shared" si="13"/>
        <v>0.97089586175534337</v>
      </c>
      <c r="AC144">
        <v>0.50406399999999996</v>
      </c>
      <c r="AD144">
        <v>0.48819200000000001</v>
      </c>
      <c r="AE144" s="4">
        <f t="shared" si="15"/>
        <v>0.96851193499238208</v>
      </c>
      <c r="AG144">
        <v>0.68025599999999997</v>
      </c>
      <c r="AH144">
        <v>0.67206399999999999</v>
      </c>
      <c r="AI144" s="4">
        <f t="shared" si="16"/>
        <v>0.98795747483300411</v>
      </c>
    </row>
    <row r="145" spans="3:35" x14ac:dyDescent="0.25">
      <c r="C145" t="s">
        <v>31</v>
      </c>
      <c r="D145">
        <v>8</v>
      </c>
      <c r="E145">
        <v>128</v>
      </c>
      <c r="F145">
        <f>5120</f>
        <v>5120</v>
      </c>
      <c r="G145">
        <v>28</v>
      </c>
      <c r="H145">
        <v>4</v>
      </c>
      <c r="J145">
        <v>0.39232</v>
      </c>
      <c r="K145">
        <v>0.37728</v>
      </c>
      <c r="L145" s="4">
        <f t="shared" si="14"/>
        <v>0.96166394779771613</v>
      </c>
      <c r="M145" s="4"/>
      <c r="N145">
        <v>0.44281599999999999</v>
      </c>
      <c r="O145">
        <v>0.426176</v>
      </c>
      <c r="P145" s="4">
        <f t="shared" si="12"/>
        <v>0.96242231536349188</v>
      </c>
      <c r="R145">
        <v>0.44934400000000002</v>
      </c>
      <c r="S145">
        <v>0.44006400000000001</v>
      </c>
      <c r="T145" s="4">
        <f>S145/R145</f>
        <v>0.97934767127189859</v>
      </c>
      <c r="V145">
        <v>0.48576000000000003</v>
      </c>
      <c r="W145">
        <v>0.46937600000000002</v>
      </c>
      <c r="X145" s="4">
        <f t="shared" si="13"/>
        <v>0.96627140974967063</v>
      </c>
      <c r="AC145">
        <v>0.73843199999999998</v>
      </c>
      <c r="AD145">
        <v>0.72947200000000001</v>
      </c>
      <c r="AE145" s="4">
        <f t="shared" si="15"/>
        <v>0.98786618131391923</v>
      </c>
      <c r="AG145">
        <v>1.233536</v>
      </c>
      <c r="AH145">
        <v>1.2347520000000001</v>
      </c>
      <c r="AI145" s="4">
        <f t="shared" si="16"/>
        <v>1.0009857839576632</v>
      </c>
    </row>
    <row r="146" spans="3:35" x14ac:dyDescent="0.25">
      <c r="C146" t="s">
        <v>31</v>
      </c>
      <c r="D146">
        <v>16</v>
      </c>
      <c r="E146">
        <v>128</v>
      </c>
      <c r="F146">
        <f>5120</f>
        <v>5120</v>
      </c>
      <c r="G146">
        <v>28</v>
      </c>
      <c r="H146">
        <v>4</v>
      </c>
      <c r="J146">
        <v>0.67980799999999997</v>
      </c>
      <c r="K146">
        <v>0.64959999999999996</v>
      </c>
      <c r="L146" s="4">
        <f t="shared" si="14"/>
        <v>0.95556392393146294</v>
      </c>
      <c r="M146" s="4"/>
      <c r="N146">
        <v>0.83737600000000001</v>
      </c>
      <c r="O146">
        <v>0.80198400000000003</v>
      </c>
      <c r="P146" s="4">
        <f t="shared" si="12"/>
        <v>0.9577346377254663</v>
      </c>
      <c r="R146">
        <v>0.73574399999999995</v>
      </c>
      <c r="S146">
        <v>0.70854399999999995</v>
      </c>
      <c r="T146" s="4">
        <f>S146/R146</f>
        <v>0.96303061934585943</v>
      </c>
      <c r="V146">
        <v>0.90080000000000005</v>
      </c>
      <c r="W146">
        <v>0.86848000000000003</v>
      </c>
      <c r="X146" s="4">
        <f t="shared" si="13"/>
        <v>0.96412078152753111</v>
      </c>
      <c r="AC146">
        <v>1.482944</v>
      </c>
      <c r="AD146">
        <v>1.482688</v>
      </c>
      <c r="AE146" s="4">
        <f t="shared" si="15"/>
        <v>0.99982737041992142</v>
      </c>
      <c r="AG146">
        <v>2.4366720000000002</v>
      </c>
      <c r="AH146">
        <v>2.4439039999999999</v>
      </c>
      <c r="AI146" s="4">
        <f t="shared" si="16"/>
        <v>1.0029679825598192</v>
      </c>
    </row>
    <row r="147" spans="3:35" x14ac:dyDescent="0.25">
      <c r="C147" t="s">
        <v>31</v>
      </c>
      <c r="D147">
        <v>32</v>
      </c>
      <c r="E147">
        <v>128</v>
      </c>
      <c r="F147">
        <f>5120</f>
        <v>5120</v>
      </c>
      <c r="G147">
        <v>28</v>
      </c>
      <c r="H147">
        <v>4</v>
      </c>
      <c r="J147">
        <v>1.2567680000000001</v>
      </c>
      <c r="K147">
        <v>1.195584</v>
      </c>
      <c r="L147" s="4">
        <f t="shared" si="14"/>
        <v>0.95131639252431621</v>
      </c>
      <c r="M147" s="4"/>
      <c r="N147">
        <v>1.648512</v>
      </c>
      <c r="O147">
        <v>1.56</v>
      </c>
      <c r="P147" s="4">
        <f t="shared" si="12"/>
        <v>0.94630794316328914</v>
      </c>
      <c r="R147">
        <v>1.3384959999999999</v>
      </c>
      <c r="S147">
        <v>1.297984</v>
      </c>
      <c r="T147" s="4">
        <f>S147/R147</f>
        <v>0.96973319307640826</v>
      </c>
      <c r="V147">
        <v>1.7301120000000001</v>
      </c>
      <c r="W147">
        <v>1.6635519999999999</v>
      </c>
      <c r="X147" s="4">
        <f t="shared" si="13"/>
        <v>0.96152850220101349</v>
      </c>
      <c r="AC147">
        <v>2.7991039999999998</v>
      </c>
      <c r="AD147">
        <v>2.8051840000000001</v>
      </c>
      <c r="AE147" s="4">
        <f t="shared" si="15"/>
        <v>1.0021721236509971</v>
      </c>
      <c r="AG147">
        <v>4.65184</v>
      </c>
      <c r="AH147">
        <v>4.6623999999999999</v>
      </c>
      <c r="AI147" s="4">
        <f t="shared" si="16"/>
        <v>1.0022700694778841</v>
      </c>
    </row>
    <row r="148" spans="3:35" x14ac:dyDescent="0.25">
      <c r="C148" t="s">
        <v>31</v>
      </c>
      <c r="D148">
        <v>64</v>
      </c>
      <c r="E148">
        <v>128</v>
      </c>
      <c r="F148">
        <f>5120</f>
        <v>5120</v>
      </c>
      <c r="G148">
        <v>28</v>
      </c>
      <c r="H148">
        <v>4</v>
      </c>
      <c r="J148">
        <v>2.3985280000000002</v>
      </c>
      <c r="K148">
        <v>2.2741760000000002</v>
      </c>
      <c r="L148" s="4">
        <f t="shared" si="14"/>
        <v>0.94815486831923579</v>
      </c>
      <c r="M148" s="4"/>
      <c r="N148">
        <v>3.1717759999999999</v>
      </c>
      <c r="O148">
        <v>3.0267520000000001</v>
      </c>
      <c r="P148" s="4">
        <f t="shared" si="12"/>
        <v>0.9542767206763656</v>
      </c>
      <c r="R148">
        <v>2.4664320000000002</v>
      </c>
      <c r="S148">
        <v>2.3895040000000001</v>
      </c>
      <c r="T148" s="4">
        <f>S148/R148</f>
        <v>0.96881000570865117</v>
      </c>
      <c r="V148">
        <v>3.364608</v>
      </c>
      <c r="W148">
        <v>3.230464</v>
      </c>
      <c r="X148" s="4">
        <f t="shared" si="13"/>
        <v>0.96013086814273751</v>
      </c>
      <c r="AC148">
        <v>5.2995840000000003</v>
      </c>
      <c r="AD148">
        <v>5.2941440000000002</v>
      </c>
      <c r="AE148" s="4">
        <f t="shared" si="15"/>
        <v>0.99897350433543464</v>
      </c>
      <c r="AG148">
        <v>9.3483520000000002</v>
      </c>
      <c r="AH148">
        <v>9.3542400000000008</v>
      </c>
      <c r="AI148" s="4">
        <f t="shared" si="16"/>
        <v>1.0006298436344716</v>
      </c>
    </row>
    <row r="149" spans="3:35" x14ac:dyDescent="0.25">
      <c r="C149" t="s">
        <v>31</v>
      </c>
      <c r="D149">
        <v>1</v>
      </c>
      <c r="E149">
        <v>128</v>
      </c>
      <c r="F149">
        <f>6144</f>
        <v>6144</v>
      </c>
      <c r="G149">
        <v>28</v>
      </c>
      <c r="H149">
        <v>4</v>
      </c>
      <c r="J149">
        <v>0.30118400000000001</v>
      </c>
      <c r="K149">
        <v>0.287744</v>
      </c>
      <c r="L149" s="4">
        <f t="shared" si="14"/>
        <v>0.95537611559711</v>
      </c>
      <c r="M149" s="4"/>
      <c r="N149">
        <v>0.29702400000000001</v>
      </c>
      <c r="O149">
        <v>0.28684799999999999</v>
      </c>
      <c r="P149" s="4">
        <f t="shared" si="12"/>
        <v>0.96574014221073035</v>
      </c>
      <c r="R149">
        <v>0.27321600000000001</v>
      </c>
      <c r="S149">
        <v>0.26380799999999999</v>
      </c>
      <c r="T149" s="4">
        <f>S149/R149</f>
        <v>0.96556570625439198</v>
      </c>
      <c r="V149">
        <v>0.30163200000000001</v>
      </c>
      <c r="W149">
        <v>0.29158400000000001</v>
      </c>
      <c r="X149" s="4">
        <f t="shared" si="13"/>
        <v>0.96668788457458099</v>
      </c>
      <c r="AC149">
        <v>0.67334400000000005</v>
      </c>
      <c r="AD149">
        <v>0.65267200000000003</v>
      </c>
      <c r="AE149" s="4">
        <f t="shared" si="15"/>
        <v>0.96929949624560396</v>
      </c>
      <c r="AG149">
        <v>0.52051199999999997</v>
      </c>
      <c r="AH149">
        <v>0.51302400000000004</v>
      </c>
      <c r="AI149" s="4">
        <f t="shared" si="16"/>
        <v>0.98561416451493922</v>
      </c>
    </row>
    <row r="150" spans="3:35" x14ac:dyDescent="0.25">
      <c r="C150" t="s">
        <v>31</v>
      </c>
      <c r="D150">
        <v>2</v>
      </c>
      <c r="E150">
        <v>128</v>
      </c>
      <c r="F150">
        <f>6144</f>
        <v>6144</v>
      </c>
      <c r="G150">
        <v>28</v>
      </c>
      <c r="H150">
        <v>4</v>
      </c>
      <c r="J150">
        <v>0.29183999999999999</v>
      </c>
      <c r="K150">
        <v>0.28288000000000002</v>
      </c>
      <c r="L150" s="4">
        <f t="shared" si="14"/>
        <v>0.96929824561403521</v>
      </c>
      <c r="M150" s="4"/>
      <c r="N150">
        <v>0.29676799999999998</v>
      </c>
      <c r="O150">
        <v>0.28608</v>
      </c>
      <c r="P150" s="4">
        <f t="shared" si="12"/>
        <v>0.96398533534612907</v>
      </c>
      <c r="R150">
        <v>0.30995200000000001</v>
      </c>
      <c r="S150">
        <v>0.30975999999999998</v>
      </c>
      <c r="T150" s="4">
        <f>S150/R150</f>
        <v>0.99938054924633479</v>
      </c>
      <c r="V150">
        <v>0.31564799999999998</v>
      </c>
      <c r="W150">
        <v>0.306112</v>
      </c>
      <c r="X150" s="4">
        <f t="shared" si="13"/>
        <v>0.96978913219789131</v>
      </c>
      <c r="AC150">
        <v>0.68409600000000004</v>
      </c>
      <c r="AD150">
        <v>0.67654400000000003</v>
      </c>
      <c r="AE150" s="4">
        <f t="shared" si="15"/>
        <v>0.98896061371503419</v>
      </c>
      <c r="AG150">
        <v>0.685056</v>
      </c>
      <c r="AH150">
        <v>0.6784</v>
      </c>
      <c r="AI150" s="4">
        <f t="shared" si="16"/>
        <v>0.99028400597907329</v>
      </c>
    </row>
    <row r="151" spans="3:35" x14ac:dyDescent="0.25">
      <c r="C151" t="s">
        <v>31</v>
      </c>
      <c r="D151">
        <v>4</v>
      </c>
      <c r="E151">
        <v>128</v>
      </c>
      <c r="F151">
        <f>6144</f>
        <v>6144</v>
      </c>
      <c r="G151">
        <v>28</v>
      </c>
      <c r="H151">
        <v>4</v>
      </c>
      <c r="J151">
        <v>0.29043200000000002</v>
      </c>
      <c r="K151">
        <v>0.28249600000000002</v>
      </c>
      <c r="L151" s="4">
        <f t="shared" si="14"/>
        <v>0.97267518730718383</v>
      </c>
      <c r="M151" s="4"/>
      <c r="N151">
        <v>0.298176</v>
      </c>
      <c r="O151">
        <v>0.28793600000000003</v>
      </c>
      <c r="P151" s="4">
        <f t="shared" si="12"/>
        <v>0.96565786649495611</v>
      </c>
      <c r="R151">
        <v>0.34790399999999999</v>
      </c>
      <c r="S151">
        <v>0.33683200000000002</v>
      </c>
      <c r="T151" s="4">
        <f>S151/R151</f>
        <v>0.9681751287711553</v>
      </c>
      <c r="V151">
        <v>0.32863999999999999</v>
      </c>
      <c r="W151">
        <v>0.31852799999999998</v>
      </c>
      <c r="X151" s="4">
        <f t="shared" si="13"/>
        <v>0.96923076923076923</v>
      </c>
      <c r="AC151">
        <v>0.642432</v>
      </c>
      <c r="AD151">
        <v>0.64281600000000005</v>
      </c>
      <c r="AE151" s="4">
        <f t="shared" si="15"/>
        <v>1.0005977286312016</v>
      </c>
      <c r="AG151">
        <v>0.82508800000000004</v>
      </c>
      <c r="AH151">
        <v>0.81632000000000005</v>
      </c>
      <c r="AI151" s="4">
        <f t="shared" si="16"/>
        <v>0.98937325473161652</v>
      </c>
    </row>
    <row r="152" spans="3:35" x14ac:dyDescent="0.25">
      <c r="C152" t="s">
        <v>31</v>
      </c>
      <c r="D152">
        <v>8</v>
      </c>
      <c r="E152">
        <v>128</v>
      </c>
      <c r="F152">
        <f>6144</f>
        <v>6144</v>
      </c>
      <c r="G152">
        <v>28</v>
      </c>
      <c r="H152">
        <v>4</v>
      </c>
      <c r="J152">
        <v>0.46367999999999998</v>
      </c>
      <c r="K152">
        <v>0.44428800000000002</v>
      </c>
      <c r="L152" s="4">
        <f t="shared" si="14"/>
        <v>0.9581780538302278</v>
      </c>
      <c r="M152" s="4"/>
      <c r="N152">
        <v>0.52435200000000004</v>
      </c>
      <c r="O152">
        <v>0.50431999999999999</v>
      </c>
      <c r="P152" s="4">
        <f t="shared" si="12"/>
        <v>0.96179665568167938</v>
      </c>
      <c r="R152">
        <v>0.53369599999999995</v>
      </c>
      <c r="S152">
        <v>0.51257600000000003</v>
      </c>
      <c r="T152" s="4">
        <f>S152/R152</f>
        <v>0.96042690970140321</v>
      </c>
      <c r="V152">
        <v>0.573376</v>
      </c>
      <c r="W152">
        <v>0.552512</v>
      </c>
      <c r="X152" s="4">
        <f t="shared" si="13"/>
        <v>0.96361201026900323</v>
      </c>
      <c r="AC152">
        <v>0.87519999999999998</v>
      </c>
      <c r="AD152">
        <v>0.86073599999999995</v>
      </c>
      <c r="AE152" s="4">
        <f t="shared" si="15"/>
        <v>0.98347349177330889</v>
      </c>
      <c r="AG152">
        <v>1.4816640000000001</v>
      </c>
      <c r="AH152">
        <v>1.4674560000000001</v>
      </c>
      <c r="AI152" s="4">
        <f t="shared" si="16"/>
        <v>0.99041078139173255</v>
      </c>
    </row>
    <row r="153" spans="3:35" x14ac:dyDescent="0.25">
      <c r="C153" t="s">
        <v>31</v>
      </c>
      <c r="D153">
        <v>16</v>
      </c>
      <c r="E153">
        <v>128</v>
      </c>
      <c r="F153">
        <f>6144</f>
        <v>6144</v>
      </c>
      <c r="G153">
        <v>28</v>
      </c>
      <c r="H153">
        <v>4</v>
      </c>
      <c r="J153">
        <v>0.80735999999999997</v>
      </c>
      <c r="K153">
        <v>0.76601600000000003</v>
      </c>
      <c r="L153" s="4">
        <f t="shared" si="14"/>
        <v>0.94879112168053914</v>
      </c>
      <c r="M153" s="4"/>
      <c r="N153">
        <v>0.99609599999999998</v>
      </c>
      <c r="O153">
        <v>0.95423999999999998</v>
      </c>
      <c r="P153" s="4">
        <f t="shared" si="12"/>
        <v>0.95797995373939859</v>
      </c>
      <c r="R153">
        <v>0.90015999999999996</v>
      </c>
      <c r="S153">
        <v>0.87539199999999995</v>
      </c>
      <c r="T153" s="4">
        <f>S153/R153</f>
        <v>0.97248489157483109</v>
      </c>
      <c r="V153">
        <v>1.073472</v>
      </c>
      <c r="W153">
        <v>1.03424</v>
      </c>
      <c r="X153" s="4">
        <f t="shared" si="13"/>
        <v>0.96345316878316345</v>
      </c>
      <c r="AC153">
        <v>1.7667839999999999</v>
      </c>
      <c r="AD153">
        <v>1.7415039999999999</v>
      </c>
      <c r="AE153" s="4">
        <f t="shared" si="15"/>
        <v>0.98569151633702823</v>
      </c>
      <c r="AG153">
        <v>2.9047679999999998</v>
      </c>
      <c r="AH153">
        <v>2.9136000000000002</v>
      </c>
      <c r="AI153" s="4">
        <f t="shared" si="16"/>
        <v>1.0030405182100604</v>
      </c>
    </row>
    <row r="154" spans="3:35" x14ac:dyDescent="0.25">
      <c r="C154" t="s">
        <v>31</v>
      </c>
      <c r="D154">
        <v>32</v>
      </c>
      <c r="E154">
        <v>128</v>
      </c>
      <c r="F154">
        <f>6144</f>
        <v>6144</v>
      </c>
      <c r="G154">
        <v>28</v>
      </c>
      <c r="H154">
        <v>4</v>
      </c>
      <c r="J154">
        <v>1.4972799999999999</v>
      </c>
      <c r="K154">
        <v>1.420288</v>
      </c>
      <c r="L154" s="4">
        <f t="shared" si="14"/>
        <v>0.9485787561444754</v>
      </c>
      <c r="M154" s="4"/>
      <c r="N154">
        <v>1.917184</v>
      </c>
      <c r="O154">
        <v>1.8300160000000001</v>
      </c>
      <c r="P154" s="4">
        <f t="shared" si="12"/>
        <v>0.9545333155294432</v>
      </c>
      <c r="R154">
        <v>1.5866880000000001</v>
      </c>
      <c r="S154">
        <v>1.519808</v>
      </c>
      <c r="T154" s="4">
        <f>S154/R154</f>
        <v>0.95784930622781539</v>
      </c>
      <c r="V154">
        <v>2.0641919999999998</v>
      </c>
      <c r="W154">
        <v>1.982656</v>
      </c>
      <c r="X154" s="4">
        <f t="shared" si="13"/>
        <v>0.96049979846835964</v>
      </c>
      <c r="AC154">
        <v>3.313088</v>
      </c>
      <c r="AD154">
        <v>3.3779840000000001</v>
      </c>
      <c r="AE154" s="4">
        <f t="shared" si="15"/>
        <v>1.0195877682693608</v>
      </c>
      <c r="AG154">
        <v>5.6085760000000002</v>
      </c>
      <c r="AH154">
        <v>5.6440950000000001</v>
      </c>
      <c r="AI154" s="4">
        <f t="shared" si="16"/>
        <v>1.0063329800648151</v>
      </c>
    </row>
    <row r="155" spans="3:35" x14ac:dyDescent="0.25">
      <c r="C155" t="s">
        <v>31</v>
      </c>
      <c r="D155">
        <v>64</v>
      </c>
      <c r="E155">
        <v>128</v>
      </c>
      <c r="F155">
        <f>6144</f>
        <v>6144</v>
      </c>
      <c r="G155">
        <v>28</v>
      </c>
      <c r="H155">
        <v>4</v>
      </c>
      <c r="J155">
        <v>2.8633600000000001</v>
      </c>
      <c r="K155">
        <v>2.7110400000000001</v>
      </c>
      <c r="L155" s="4">
        <f t="shared" si="14"/>
        <v>0.94680375502905678</v>
      </c>
      <c r="M155" s="4"/>
      <c r="N155">
        <v>3.7916799999999999</v>
      </c>
      <c r="O155">
        <v>3.6285440000000002</v>
      </c>
      <c r="P155" s="4">
        <f>O155/N155</f>
        <v>0.95697527217486711</v>
      </c>
      <c r="R155">
        <v>2.9411839999999998</v>
      </c>
      <c r="S155">
        <v>2.8373759999999999</v>
      </c>
      <c r="T155" s="4">
        <f>S155/R155</f>
        <v>0.96470537035425197</v>
      </c>
      <c r="V155">
        <v>4.0261129999999996</v>
      </c>
      <c r="W155">
        <v>3.8670719999999998</v>
      </c>
      <c r="X155" s="4">
        <f t="shared" si="13"/>
        <v>0.96049763133821631</v>
      </c>
      <c r="AC155">
        <v>6.3036789999999998</v>
      </c>
      <c r="AD155">
        <v>6.2674560000000001</v>
      </c>
      <c r="AE155" s="4">
        <f t="shared" si="15"/>
        <v>0.9942536731327849</v>
      </c>
      <c r="AG155">
        <v>11.281280000000001</v>
      </c>
      <c r="AH155">
        <v>11.223744999999999</v>
      </c>
      <c r="AI155" s="4">
        <f t="shared" si="16"/>
        <v>0.99489995816077592</v>
      </c>
    </row>
    <row r="156" spans="3:35" x14ac:dyDescent="0.25">
      <c r="C156" t="s">
        <v>31</v>
      </c>
      <c r="D156">
        <v>1</v>
      </c>
      <c r="E156">
        <v>128</v>
      </c>
      <c r="F156">
        <f>7168</f>
        <v>7168</v>
      </c>
      <c r="G156">
        <v>28</v>
      </c>
      <c r="H156">
        <v>4</v>
      </c>
      <c r="J156">
        <v>0.34560000000000002</v>
      </c>
      <c r="K156">
        <v>0.32710400000000001</v>
      </c>
      <c r="L156" s="4">
        <f t="shared" si="14"/>
        <v>0.94648148148148148</v>
      </c>
      <c r="M156" s="4"/>
      <c r="N156">
        <v>0.34009600000000001</v>
      </c>
      <c r="O156">
        <v>0.327488</v>
      </c>
      <c r="P156" s="4">
        <f>O156/N156</f>
        <v>0.96292811441475346</v>
      </c>
      <c r="R156">
        <v>0.311616</v>
      </c>
      <c r="S156">
        <v>0.30336000000000002</v>
      </c>
      <c r="T156" s="4">
        <f>S156/R156</f>
        <v>0.97350585335797912</v>
      </c>
      <c r="V156">
        <v>0.346304</v>
      </c>
      <c r="W156">
        <v>0.33356799999999998</v>
      </c>
      <c r="X156" s="4">
        <f t="shared" si="13"/>
        <v>0.96322306412862679</v>
      </c>
      <c r="AC156">
        <v>0.78572799999999998</v>
      </c>
      <c r="AD156">
        <v>0.74982400000000005</v>
      </c>
      <c r="AE156" s="4">
        <f t="shared" si="15"/>
        <v>0.95430479758898756</v>
      </c>
      <c r="AG156">
        <v>0.59660800000000003</v>
      </c>
      <c r="AH156">
        <v>0.58745599999999998</v>
      </c>
      <c r="AI156" s="4">
        <f t="shared" si="16"/>
        <v>0.98465994421797887</v>
      </c>
    </row>
    <row r="157" spans="3:35" x14ac:dyDescent="0.25">
      <c r="C157" t="s">
        <v>31</v>
      </c>
      <c r="D157">
        <v>2</v>
      </c>
      <c r="E157">
        <v>128</v>
      </c>
      <c r="F157">
        <f>7168</f>
        <v>7168</v>
      </c>
      <c r="G157">
        <v>28</v>
      </c>
      <c r="H157">
        <v>4</v>
      </c>
      <c r="J157">
        <v>0.34188800000000003</v>
      </c>
      <c r="K157">
        <v>0.32972800000000002</v>
      </c>
      <c r="L157" s="4">
        <f t="shared" si="14"/>
        <v>0.96443279670535376</v>
      </c>
      <c r="M157" s="4"/>
      <c r="N157">
        <v>0.33977600000000002</v>
      </c>
      <c r="O157">
        <v>0.32735999999999998</v>
      </c>
      <c r="P157" s="4">
        <f>O157/N157</f>
        <v>0.96345827839517784</v>
      </c>
      <c r="R157">
        <v>0.35404799999999997</v>
      </c>
      <c r="S157">
        <v>0.34374399999999999</v>
      </c>
      <c r="T157" s="4">
        <f>S157/R157</f>
        <v>0.97089660159074487</v>
      </c>
      <c r="V157">
        <v>0.36255999999999999</v>
      </c>
      <c r="W157">
        <v>0.35065600000000002</v>
      </c>
      <c r="X157" s="4">
        <f t="shared" si="13"/>
        <v>0.96716681376875557</v>
      </c>
      <c r="AC157">
        <v>0.78822400000000004</v>
      </c>
      <c r="AD157">
        <v>0.78220800000000001</v>
      </c>
      <c r="AE157" s="4">
        <f t="shared" si="15"/>
        <v>0.9923676518350113</v>
      </c>
      <c r="AG157">
        <v>0.79366400000000004</v>
      </c>
      <c r="AH157">
        <v>0.78060799999999997</v>
      </c>
      <c r="AI157" s="4">
        <f t="shared" si="16"/>
        <v>0.98354971373276345</v>
      </c>
    </row>
    <row r="158" spans="3:35" x14ac:dyDescent="0.25">
      <c r="C158" t="s">
        <v>31</v>
      </c>
      <c r="D158">
        <v>4</v>
      </c>
      <c r="E158">
        <v>128</v>
      </c>
      <c r="F158">
        <f>7168</f>
        <v>7168</v>
      </c>
      <c r="G158">
        <v>28</v>
      </c>
      <c r="H158">
        <v>4</v>
      </c>
      <c r="J158">
        <v>0.33516800000000002</v>
      </c>
      <c r="K158">
        <v>0.32153599999999999</v>
      </c>
      <c r="L158" s="4">
        <f t="shared" si="14"/>
        <v>0.95932785946152366</v>
      </c>
      <c r="M158" s="4"/>
      <c r="N158">
        <v>0.34016000000000002</v>
      </c>
      <c r="O158">
        <v>0.32889600000000002</v>
      </c>
      <c r="P158" s="4">
        <f>O158/N158</f>
        <v>0.96688617121354659</v>
      </c>
      <c r="R158">
        <v>0.39872000000000002</v>
      </c>
      <c r="S158">
        <v>0.38656000000000001</v>
      </c>
      <c r="T158" s="4">
        <f>S158/R158</f>
        <v>0.9695024077046549</v>
      </c>
      <c r="V158">
        <v>0.377664</v>
      </c>
      <c r="W158">
        <v>0.36755199999999999</v>
      </c>
      <c r="X158" s="4">
        <f t="shared" si="13"/>
        <v>0.97322487713946781</v>
      </c>
      <c r="AC158">
        <v>0.69472</v>
      </c>
      <c r="AD158">
        <v>0.75091200000000002</v>
      </c>
      <c r="AE158" s="4">
        <f t="shared" si="15"/>
        <v>1.0808843850760019</v>
      </c>
      <c r="AG158">
        <v>0.95116800000000001</v>
      </c>
      <c r="AH158">
        <v>0.93920000000000003</v>
      </c>
      <c r="AI158" s="4">
        <f t="shared" si="16"/>
        <v>0.98741757502354999</v>
      </c>
    </row>
    <row r="159" spans="3:35" x14ac:dyDescent="0.25">
      <c r="C159" t="s">
        <v>31</v>
      </c>
      <c r="D159">
        <v>8</v>
      </c>
      <c r="E159">
        <v>128</v>
      </c>
      <c r="F159">
        <f>7168</f>
        <v>7168</v>
      </c>
      <c r="G159">
        <v>28</v>
      </c>
      <c r="H159">
        <v>4</v>
      </c>
      <c r="J159">
        <v>0.53439999999999999</v>
      </c>
      <c r="K159">
        <v>0.51283199999999995</v>
      </c>
      <c r="L159" s="4">
        <f t="shared" si="14"/>
        <v>0.95964071856287414</v>
      </c>
      <c r="M159" s="4"/>
      <c r="N159">
        <v>0.60684800000000005</v>
      </c>
      <c r="O159">
        <v>0.58278399999999997</v>
      </c>
      <c r="P159" s="4">
        <f>O159/N159</f>
        <v>0.96034591858257734</v>
      </c>
      <c r="R159">
        <v>0.61996799999999996</v>
      </c>
      <c r="S159">
        <v>0.602688</v>
      </c>
      <c r="T159" s="4">
        <f>S159/R159</f>
        <v>0.97212759368225465</v>
      </c>
      <c r="V159">
        <v>0.66316799999999998</v>
      </c>
      <c r="W159">
        <v>0.63929599999999998</v>
      </c>
      <c r="X159" s="4">
        <f t="shared" si="13"/>
        <v>0.96400308820690983</v>
      </c>
      <c r="AC159">
        <v>1.15968</v>
      </c>
      <c r="AD159">
        <v>1.1622399999999999</v>
      </c>
      <c r="AE159" s="4">
        <f t="shared" si="15"/>
        <v>1.0022075055187638</v>
      </c>
      <c r="AG159">
        <v>1.72512</v>
      </c>
      <c r="AH159">
        <v>1.71136</v>
      </c>
      <c r="AI159" s="4">
        <f t="shared" si="16"/>
        <v>0.99202374327583009</v>
      </c>
    </row>
    <row r="160" spans="3:35" x14ac:dyDescent="0.25">
      <c r="C160" t="s">
        <v>31</v>
      </c>
      <c r="D160">
        <v>16</v>
      </c>
      <c r="E160">
        <v>128</v>
      </c>
      <c r="F160">
        <f>7168</f>
        <v>7168</v>
      </c>
      <c r="G160">
        <v>28</v>
      </c>
      <c r="H160">
        <v>4</v>
      </c>
      <c r="J160">
        <v>0.93491199999999997</v>
      </c>
      <c r="K160">
        <v>0.88870400000000005</v>
      </c>
      <c r="L160" s="4">
        <f t="shared" si="14"/>
        <v>0.95057502738225641</v>
      </c>
      <c r="M160" s="4"/>
      <c r="N160">
        <v>1.1519999999999999</v>
      </c>
      <c r="O160">
        <v>1.1057920000000001</v>
      </c>
      <c r="P160" s="4">
        <f>O160/N160</f>
        <v>0.95988888888888901</v>
      </c>
      <c r="R160">
        <v>1.0247679999999999</v>
      </c>
      <c r="S160">
        <v>0.98284800000000005</v>
      </c>
      <c r="T160" s="4">
        <f>S160/R160</f>
        <v>0.95909318011491396</v>
      </c>
      <c r="V160">
        <v>1.241984</v>
      </c>
      <c r="W160">
        <v>1.195776</v>
      </c>
      <c r="X160" s="4">
        <f t="shared" si="13"/>
        <v>0.96279501185200456</v>
      </c>
      <c r="AC160">
        <v>2.0051839999999999</v>
      </c>
      <c r="AD160">
        <v>1.9785600000000001</v>
      </c>
      <c r="AE160" s="4">
        <f t="shared" si="15"/>
        <v>0.98672241549902662</v>
      </c>
      <c r="AG160">
        <v>3.4016000000000002</v>
      </c>
      <c r="AH160">
        <v>3.3847680000000002</v>
      </c>
      <c r="AI160" s="4">
        <f t="shared" si="16"/>
        <v>0.9950517403574789</v>
      </c>
    </row>
    <row r="161" spans="3:35" x14ac:dyDescent="0.25">
      <c r="C161" t="s">
        <v>31</v>
      </c>
      <c r="D161">
        <v>32</v>
      </c>
      <c r="E161">
        <v>128</v>
      </c>
      <c r="F161">
        <f>7168</f>
        <v>7168</v>
      </c>
      <c r="G161">
        <v>28</v>
      </c>
      <c r="H161">
        <v>4</v>
      </c>
      <c r="J161">
        <v>1.737344</v>
      </c>
      <c r="K161">
        <v>1.6487039999999999</v>
      </c>
      <c r="L161" s="4">
        <f t="shared" si="14"/>
        <v>0.94897959183673464</v>
      </c>
      <c r="M161" s="4"/>
      <c r="N161">
        <v>2.2556159999999998</v>
      </c>
      <c r="O161">
        <v>2.149184</v>
      </c>
      <c r="P161" s="4">
        <f>O161/N161</f>
        <v>0.95281466348882082</v>
      </c>
      <c r="R161">
        <v>1.8382080000000001</v>
      </c>
      <c r="S161">
        <v>1.77824</v>
      </c>
      <c r="T161" s="4">
        <f>S161/R161</f>
        <v>0.96737692361256178</v>
      </c>
      <c r="V161">
        <v>2.4017919999999999</v>
      </c>
      <c r="W161">
        <v>2.3091840000000001</v>
      </c>
      <c r="X161" s="4">
        <f t="shared" si="13"/>
        <v>0.96144212321466649</v>
      </c>
      <c r="AC161">
        <v>3.8159999999999998</v>
      </c>
      <c r="AD161">
        <v>3.8220800000000001</v>
      </c>
      <c r="AE161" s="4">
        <f t="shared" si="15"/>
        <v>1.0015932914046122</v>
      </c>
      <c r="AG161">
        <v>6.5622410000000002</v>
      </c>
      <c r="AH161">
        <v>6.57728</v>
      </c>
      <c r="AI161" s="4">
        <f t="shared" si="16"/>
        <v>1.0022917475904953</v>
      </c>
    </row>
    <row r="162" spans="3:35" x14ac:dyDescent="0.25">
      <c r="C162" t="s">
        <v>31</v>
      </c>
      <c r="D162">
        <v>64</v>
      </c>
      <c r="E162">
        <v>128</v>
      </c>
      <c r="F162">
        <f>7168</f>
        <v>7168</v>
      </c>
      <c r="G162">
        <v>28</v>
      </c>
      <c r="H162">
        <v>4</v>
      </c>
      <c r="J162">
        <v>3.3264640000000001</v>
      </c>
      <c r="K162">
        <v>3.1497600000000001</v>
      </c>
      <c r="L162" s="4">
        <f t="shared" si="14"/>
        <v>0.94687932892104054</v>
      </c>
      <c r="M162" s="4"/>
      <c r="N162">
        <v>4.417408</v>
      </c>
      <c r="O162">
        <v>4.2226559999999997</v>
      </c>
      <c r="P162" s="4">
        <f>O162/N162</f>
        <v>0.95591260757439656</v>
      </c>
      <c r="R162">
        <v>3.4117120000000001</v>
      </c>
      <c r="S162">
        <v>3.289088</v>
      </c>
      <c r="T162" s="4">
        <f>S162/R162</f>
        <v>0.96405792751556985</v>
      </c>
      <c r="V162">
        <v>4.6761600000000003</v>
      </c>
      <c r="W162">
        <v>4.4854399999999996</v>
      </c>
      <c r="X162" s="4">
        <f t="shared" si="13"/>
        <v>0.95921439813864351</v>
      </c>
      <c r="AC162">
        <v>7.3531519999999997</v>
      </c>
      <c r="AD162">
        <v>7.2693120000000002</v>
      </c>
      <c r="AE162" s="4">
        <f t="shared" si="15"/>
        <v>0.98859808691565199</v>
      </c>
      <c r="AG162">
        <v>13.130239</v>
      </c>
      <c r="AH162">
        <v>13.104127999999999</v>
      </c>
      <c r="AI162" s="4">
        <f t="shared" si="16"/>
        <v>0.99801138425583868</v>
      </c>
    </row>
    <row r="163" spans="3:35" x14ac:dyDescent="0.25">
      <c r="C163" t="s">
        <v>31</v>
      </c>
      <c r="D163">
        <v>1</v>
      </c>
      <c r="E163">
        <v>128</v>
      </c>
      <c r="F163">
        <f>8192</f>
        <v>8192</v>
      </c>
      <c r="G163">
        <v>28</v>
      </c>
      <c r="H163">
        <v>4</v>
      </c>
      <c r="J163">
        <v>0.38278400000000001</v>
      </c>
      <c r="K163">
        <v>0.37292799999999998</v>
      </c>
      <c r="L163" s="4">
        <f t="shared" si="14"/>
        <v>0.97425179735830125</v>
      </c>
      <c r="M163" s="4"/>
      <c r="N163">
        <v>0.38240000000000002</v>
      </c>
      <c r="O163">
        <v>0.36947200000000002</v>
      </c>
      <c r="P163" s="4">
        <f>O163/N163</f>
        <v>0.9661924686192469</v>
      </c>
      <c r="R163">
        <v>0.35110400000000003</v>
      </c>
      <c r="S163">
        <v>0.33888000000000001</v>
      </c>
      <c r="T163" s="4">
        <f>S163/R163</f>
        <v>0.96518410499453156</v>
      </c>
      <c r="V163">
        <v>0.38873600000000003</v>
      </c>
      <c r="W163">
        <v>0.37503999999999998</v>
      </c>
      <c r="X163" s="4">
        <f t="shared" si="13"/>
        <v>0.96476786302271966</v>
      </c>
      <c r="AC163">
        <v>0.89881599999999995</v>
      </c>
      <c r="AD163">
        <v>0.84019200000000005</v>
      </c>
      <c r="AE163" s="4">
        <f t="shared" si="15"/>
        <v>0.93477641697522085</v>
      </c>
      <c r="AG163">
        <v>0.67475200000000002</v>
      </c>
      <c r="AH163">
        <v>0.66387200000000002</v>
      </c>
      <c r="AI163" s="4">
        <f t="shared" si="16"/>
        <v>0.98387555724177178</v>
      </c>
    </row>
    <row r="164" spans="3:35" x14ac:dyDescent="0.25">
      <c r="C164" t="s">
        <v>31</v>
      </c>
      <c r="D164">
        <v>2</v>
      </c>
      <c r="E164">
        <v>128</v>
      </c>
      <c r="F164">
        <f>8192</f>
        <v>8192</v>
      </c>
      <c r="G164">
        <v>28</v>
      </c>
      <c r="H164">
        <v>4</v>
      </c>
      <c r="J164">
        <v>0.38969599999999999</v>
      </c>
      <c r="K164">
        <v>0.36947200000000002</v>
      </c>
      <c r="L164" s="4">
        <f t="shared" si="14"/>
        <v>0.94810313680407299</v>
      </c>
      <c r="M164" s="4"/>
      <c r="N164">
        <v>0.382272</v>
      </c>
      <c r="O164">
        <v>0.36915199999999998</v>
      </c>
      <c r="P164" s="4">
        <f>O164/N164</f>
        <v>0.96567888833082194</v>
      </c>
      <c r="R164">
        <v>0.39846399999999998</v>
      </c>
      <c r="S164">
        <v>0.38694400000000001</v>
      </c>
      <c r="T164" s="4">
        <f>S164/R164</f>
        <v>0.97108898168968849</v>
      </c>
      <c r="V164">
        <v>0.407808</v>
      </c>
      <c r="W164">
        <v>0.39475199999999999</v>
      </c>
      <c r="X164" s="4">
        <f t="shared" si="13"/>
        <v>0.967984934086629</v>
      </c>
      <c r="AC164">
        <v>0.88415999999999995</v>
      </c>
      <c r="AD164">
        <v>0.87027200000000005</v>
      </c>
      <c r="AE164" s="4">
        <f t="shared" si="15"/>
        <v>0.98429243575823389</v>
      </c>
      <c r="AG164">
        <v>0.89644800000000002</v>
      </c>
      <c r="AH164">
        <v>0.89241599999999999</v>
      </c>
      <c r="AI164" s="4">
        <f t="shared" si="16"/>
        <v>0.99550224887556216</v>
      </c>
    </row>
    <row r="165" spans="3:35" x14ac:dyDescent="0.25">
      <c r="C165" t="s">
        <v>31</v>
      </c>
      <c r="D165">
        <v>4</v>
      </c>
      <c r="E165">
        <v>128</v>
      </c>
      <c r="F165">
        <f>8192</f>
        <v>8192</v>
      </c>
      <c r="G165">
        <v>28</v>
      </c>
      <c r="H165">
        <v>4</v>
      </c>
      <c r="J165">
        <v>0.37548799999999999</v>
      </c>
      <c r="K165">
        <v>0.35936000000000001</v>
      </c>
      <c r="L165" s="4">
        <f t="shared" si="14"/>
        <v>0.95704789500596565</v>
      </c>
      <c r="M165" s="4"/>
      <c r="N165">
        <v>0.38259199999999999</v>
      </c>
      <c r="O165">
        <v>0.36992000000000003</v>
      </c>
      <c r="P165" s="4">
        <f>O165/N165</f>
        <v>0.96687855470056883</v>
      </c>
      <c r="R165">
        <v>0.44889600000000002</v>
      </c>
      <c r="S165">
        <v>0.43801600000000002</v>
      </c>
      <c r="T165" s="4">
        <f>S165/R165</f>
        <v>0.97576276019389796</v>
      </c>
      <c r="V165">
        <v>0.42502400000000001</v>
      </c>
      <c r="W165">
        <v>0.41139199999999998</v>
      </c>
      <c r="X165" s="4">
        <f t="shared" si="13"/>
        <v>0.96792651709079947</v>
      </c>
      <c r="AC165">
        <v>0.82195200000000002</v>
      </c>
      <c r="AD165">
        <v>0.79647999999999997</v>
      </c>
      <c r="AE165" s="4">
        <f t="shared" si="15"/>
        <v>0.96901035583586381</v>
      </c>
      <c r="AG165">
        <v>1.0880639999999999</v>
      </c>
      <c r="AH165">
        <v>1.0727040000000001</v>
      </c>
      <c r="AI165" s="4">
        <f t="shared" si="16"/>
        <v>0.98588318334215652</v>
      </c>
    </row>
    <row r="166" spans="3:35" x14ac:dyDescent="0.25">
      <c r="C166" t="s">
        <v>31</v>
      </c>
      <c r="D166">
        <v>8</v>
      </c>
      <c r="E166">
        <v>128</v>
      </c>
      <c r="F166">
        <f>8192</f>
        <v>8192</v>
      </c>
      <c r="G166">
        <v>28</v>
      </c>
      <c r="H166">
        <v>4</v>
      </c>
      <c r="J166">
        <v>0.60307200000000005</v>
      </c>
      <c r="K166">
        <v>0.57388799999999995</v>
      </c>
      <c r="L166" s="4">
        <f t="shared" si="14"/>
        <v>0.95160776822667925</v>
      </c>
      <c r="M166" s="4"/>
      <c r="N166">
        <v>0.68076800000000004</v>
      </c>
      <c r="O166">
        <v>0.65574399999999999</v>
      </c>
      <c r="P166" s="4">
        <f>O166/N166</f>
        <v>0.96324151546488668</v>
      </c>
      <c r="R166">
        <v>0.70668799999999998</v>
      </c>
      <c r="S166">
        <v>0.68953600000000004</v>
      </c>
      <c r="T166" s="4">
        <f>S166/R166</f>
        <v>0.97572903459518212</v>
      </c>
      <c r="V166">
        <v>0.75136000000000003</v>
      </c>
      <c r="W166">
        <v>0.72409599999999996</v>
      </c>
      <c r="X166" s="4">
        <f t="shared" si="13"/>
        <v>0.96371379897785336</v>
      </c>
      <c r="AC166">
        <v>1.161664</v>
      </c>
      <c r="AD166">
        <v>1.1361920000000001</v>
      </c>
      <c r="AE166" s="4">
        <f t="shared" si="15"/>
        <v>0.97807283345270235</v>
      </c>
      <c r="AG166">
        <v>1.952256</v>
      </c>
      <c r="AH166">
        <v>1.9354880000000001</v>
      </c>
      <c r="AI166" s="4">
        <f t="shared" si="16"/>
        <v>0.99141096249672178</v>
      </c>
    </row>
    <row r="167" spans="3:35" x14ac:dyDescent="0.25">
      <c r="C167" t="s">
        <v>31</v>
      </c>
      <c r="D167">
        <v>16</v>
      </c>
      <c r="E167">
        <v>128</v>
      </c>
      <c r="F167">
        <f>8192</f>
        <v>8192</v>
      </c>
      <c r="G167">
        <v>28</v>
      </c>
      <c r="H167">
        <v>4</v>
      </c>
      <c r="J167">
        <v>1.0576639999999999</v>
      </c>
      <c r="K167">
        <v>1.0036480000000001</v>
      </c>
      <c r="L167" s="4">
        <f t="shared" si="14"/>
        <v>0.9489289604259955</v>
      </c>
      <c r="M167" s="4"/>
      <c r="N167">
        <v>1.295104</v>
      </c>
      <c r="O167">
        <v>1.2405759999999999</v>
      </c>
      <c r="P167" s="4">
        <f>O167/N167</f>
        <v>0.95789681755287592</v>
      </c>
      <c r="R167">
        <v>1.175168</v>
      </c>
      <c r="S167">
        <v>1.128512</v>
      </c>
      <c r="T167" s="4">
        <f>S167/R167</f>
        <v>0.96029844243546447</v>
      </c>
      <c r="V167">
        <v>1.4101760000000001</v>
      </c>
      <c r="W167">
        <v>1.3587199999999999</v>
      </c>
      <c r="X167" s="4">
        <f t="shared" si="13"/>
        <v>0.96351093764182616</v>
      </c>
      <c r="AC167">
        <v>2.2284160000000002</v>
      </c>
      <c r="AD167">
        <v>2.2261120000000001</v>
      </c>
      <c r="AE167" s="4">
        <f t="shared" si="15"/>
        <v>0.99896608173698265</v>
      </c>
      <c r="AG167">
        <v>3.8650880000000001</v>
      </c>
      <c r="AH167">
        <v>3.8443520000000002</v>
      </c>
      <c r="AI167" s="4">
        <f t="shared" si="16"/>
        <v>0.9946350510001325</v>
      </c>
    </row>
    <row r="168" spans="3:35" x14ac:dyDescent="0.25">
      <c r="C168" t="s">
        <v>31</v>
      </c>
      <c r="D168">
        <v>32</v>
      </c>
      <c r="E168">
        <v>128</v>
      </c>
      <c r="F168">
        <f>8192</f>
        <v>8192</v>
      </c>
      <c r="G168">
        <v>28</v>
      </c>
      <c r="H168">
        <v>4</v>
      </c>
      <c r="J168">
        <v>1.975616</v>
      </c>
      <c r="K168">
        <v>1.871424</v>
      </c>
      <c r="L168" s="4">
        <f t="shared" si="14"/>
        <v>0.94726100618743725</v>
      </c>
      <c r="M168" s="4"/>
      <c r="N168">
        <v>2.5411199999999998</v>
      </c>
      <c r="O168">
        <v>2.4287999999999998</v>
      </c>
      <c r="P168" s="4">
        <f>O168/N168</f>
        <v>0.95579901775595011</v>
      </c>
      <c r="R168">
        <v>2.0931199999999999</v>
      </c>
      <c r="S168">
        <v>1.98624</v>
      </c>
      <c r="T168" s="4">
        <f>S168/R168</f>
        <v>0.94893747133465833</v>
      </c>
      <c r="V168">
        <v>2.7283840000000001</v>
      </c>
      <c r="W168">
        <v>2.619008</v>
      </c>
      <c r="X168" s="4">
        <f t="shared" si="13"/>
        <v>0.95991180127137521</v>
      </c>
      <c r="AC168">
        <v>4.3775360000000001</v>
      </c>
      <c r="AD168">
        <v>4.4554879999999999</v>
      </c>
      <c r="AE168" s="4">
        <f t="shared" si="15"/>
        <v>1.0178072778841796</v>
      </c>
      <c r="AG168">
        <v>7.499968</v>
      </c>
      <c r="AH168">
        <v>7.5527040000000003</v>
      </c>
      <c r="AI168" s="4">
        <f t="shared" si="16"/>
        <v>1.0070314966677192</v>
      </c>
    </row>
    <row r="169" spans="3:35" x14ac:dyDescent="0.25">
      <c r="C169" t="s">
        <v>31</v>
      </c>
      <c r="D169">
        <v>64</v>
      </c>
      <c r="E169">
        <v>128</v>
      </c>
      <c r="F169">
        <f>8192</f>
        <v>8192</v>
      </c>
      <c r="G169">
        <v>28</v>
      </c>
      <c r="H169">
        <v>4</v>
      </c>
      <c r="J169">
        <v>3.792192</v>
      </c>
      <c r="K169">
        <v>3.5893120000000001</v>
      </c>
      <c r="L169" s="4">
        <f t="shared" si="14"/>
        <v>0.94650059912578266</v>
      </c>
      <c r="M169" s="4"/>
      <c r="N169">
        <v>5.0405119999999997</v>
      </c>
      <c r="O169">
        <v>4.8158079999999996</v>
      </c>
      <c r="P169" s="4">
        <f>O169/N169</f>
        <v>0.95542040173696641</v>
      </c>
      <c r="R169">
        <v>3.888064</v>
      </c>
      <c r="S169">
        <v>3.730496</v>
      </c>
      <c r="T169" s="4">
        <f>S169/R169</f>
        <v>0.95947391812480454</v>
      </c>
      <c r="V169">
        <v>5.3292159999999997</v>
      </c>
      <c r="W169">
        <v>5.11104</v>
      </c>
      <c r="X169" s="4">
        <f t="shared" si="13"/>
        <v>0.95906039462465031</v>
      </c>
      <c r="AC169">
        <v>8.3509770000000003</v>
      </c>
      <c r="AD169">
        <v>8.31616</v>
      </c>
      <c r="AE169" s="4">
        <f t="shared" si="15"/>
        <v>0.99583078722405771</v>
      </c>
      <c r="AG169">
        <v>15.051778000000001</v>
      </c>
      <c r="AH169">
        <v>14.978432</v>
      </c>
      <c r="AI169" s="4">
        <f t="shared" si="16"/>
        <v>0.99512708731154542</v>
      </c>
    </row>
    <row r="170" spans="3:35" x14ac:dyDescent="0.25">
      <c r="L170" s="4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L663"/>
  <sheetViews>
    <sheetView topLeftCell="A146" workbookViewId="0">
      <selection activeCell="K169" sqref="K169:K336"/>
    </sheetView>
  </sheetViews>
  <sheetFormatPr defaultRowHeight="13.8" x14ac:dyDescent="0.25"/>
  <sheetData>
    <row r="1" spans="4:12" x14ac:dyDescent="0.25">
      <c r="E1" s="3" t="s">
        <v>25</v>
      </c>
      <c r="F1" s="3">
        <v>0.41666666666666669</v>
      </c>
      <c r="G1" t="s">
        <v>26</v>
      </c>
      <c r="H1" t="s">
        <v>27</v>
      </c>
      <c r="I1" t="s">
        <v>28</v>
      </c>
      <c r="J1" t="s">
        <v>29</v>
      </c>
      <c r="K1">
        <v>7.1295999999999998E-2</v>
      </c>
      <c r="L1" t="s">
        <v>30</v>
      </c>
    </row>
    <row r="2" spans="4:12" x14ac:dyDescent="0.25">
      <c r="D2" s="1"/>
      <c r="E2" t="s">
        <v>25</v>
      </c>
      <c r="F2" s="1">
        <v>1</v>
      </c>
      <c r="G2" t="s">
        <v>26</v>
      </c>
      <c r="H2" t="s">
        <v>27</v>
      </c>
      <c r="I2" t="s">
        <v>28</v>
      </c>
      <c r="J2" t="s">
        <v>29</v>
      </c>
      <c r="K2">
        <v>7.1040000000000006E-2</v>
      </c>
      <c r="L2" t="s">
        <v>30</v>
      </c>
    </row>
    <row r="3" spans="4:12" x14ac:dyDescent="0.25">
      <c r="D3" s="1"/>
      <c r="E3" t="s">
        <v>25</v>
      </c>
      <c r="F3" s="1">
        <v>1.5833333333333333</v>
      </c>
      <c r="G3" t="s">
        <v>26</v>
      </c>
      <c r="H3" t="s">
        <v>27</v>
      </c>
      <c r="I3" t="s">
        <v>28</v>
      </c>
      <c r="J3" t="s">
        <v>29</v>
      </c>
      <c r="K3">
        <v>6.6432000000000005E-2</v>
      </c>
      <c r="L3" t="s">
        <v>30</v>
      </c>
    </row>
    <row r="4" spans="4:12" x14ac:dyDescent="0.25">
      <c r="D4" s="1"/>
      <c r="E4" t="s">
        <v>25</v>
      </c>
      <c r="F4" s="1">
        <v>2.1666666666666665</v>
      </c>
      <c r="G4" t="s">
        <v>26</v>
      </c>
      <c r="H4" t="s">
        <v>27</v>
      </c>
      <c r="I4" t="s">
        <v>28</v>
      </c>
      <c r="J4" t="s">
        <v>29</v>
      </c>
      <c r="K4">
        <v>8.1600000000000006E-2</v>
      </c>
      <c r="L4" t="s">
        <v>30</v>
      </c>
    </row>
    <row r="5" spans="4:12" x14ac:dyDescent="0.25">
      <c r="D5" s="1"/>
      <c r="E5" t="s">
        <v>25</v>
      </c>
      <c r="F5" s="1">
        <v>2.75</v>
      </c>
      <c r="G5" t="s">
        <v>26</v>
      </c>
      <c r="H5" t="s">
        <v>27</v>
      </c>
      <c r="I5" t="s">
        <v>28</v>
      </c>
      <c r="J5" t="s">
        <v>29</v>
      </c>
      <c r="K5">
        <v>0.111488</v>
      </c>
      <c r="L5" t="s">
        <v>30</v>
      </c>
    </row>
    <row r="6" spans="4:12" x14ac:dyDescent="0.25">
      <c r="D6" s="1"/>
      <c r="E6" t="s">
        <v>25</v>
      </c>
      <c r="F6" s="1">
        <v>3.3333333333333335</v>
      </c>
      <c r="G6" t="s">
        <v>26</v>
      </c>
      <c r="H6" t="s">
        <v>27</v>
      </c>
      <c r="I6" t="s">
        <v>28</v>
      </c>
      <c r="J6" t="s">
        <v>29</v>
      </c>
      <c r="K6">
        <v>0.17926400000000001</v>
      </c>
      <c r="L6" t="s">
        <v>30</v>
      </c>
    </row>
    <row r="7" spans="4:12" x14ac:dyDescent="0.25">
      <c r="D7" s="1"/>
      <c r="E7" t="s">
        <v>25</v>
      </c>
      <c r="F7" s="1">
        <v>3.9166666666666665</v>
      </c>
      <c r="G7" t="s">
        <v>26</v>
      </c>
      <c r="H7" t="s">
        <v>27</v>
      </c>
      <c r="I7" t="s">
        <v>28</v>
      </c>
      <c r="J7" t="s">
        <v>29</v>
      </c>
      <c r="K7">
        <v>0.31027199999999999</v>
      </c>
      <c r="L7" t="s">
        <v>30</v>
      </c>
    </row>
    <row r="8" spans="4:12" x14ac:dyDescent="0.25">
      <c r="D8" s="1"/>
      <c r="E8" t="s">
        <v>25</v>
      </c>
      <c r="F8" s="1">
        <v>4.5</v>
      </c>
      <c r="G8" t="s">
        <v>26</v>
      </c>
      <c r="H8" t="s">
        <v>27</v>
      </c>
      <c r="I8" t="s">
        <v>28</v>
      </c>
      <c r="J8" t="s">
        <v>29</v>
      </c>
      <c r="K8">
        <v>7.0655999999999997E-2</v>
      </c>
      <c r="L8" t="s">
        <v>30</v>
      </c>
    </row>
    <row r="9" spans="4:12" x14ac:dyDescent="0.25">
      <c r="D9" s="1"/>
      <c r="E9" t="s">
        <v>25</v>
      </c>
      <c r="F9" s="1">
        <v>5.083333333333333</v>
      </c>
      <c r="G9" t="s">
        <v>26</v>
      </c>
      <c r="H9" t="s">
        <v>27</v>
      </c>
      <c r="I9" t="s">
        <v>28</v>
      </c>
      <c r="J9" t="s">
        <v>29</v>
      </c>
      <c r="K9">
        <v>7.0975999999999997E-2</v>
      </c>
      <c r="L9" t="s">
        <v>30</v>
      </c>
    </row>
    <row r="10" spans="4:12" x14ac:dyDescent="0.25">
      <c r="D10" s="1"/>
      <c r="E10" t="s">
        <v>25</v>
      </c>
      <c r="F10" s="1">
        <v>5.666666666666667</v>
      </c>
      <c r="G10" t="s">
        <v>26</v>
      </c>
      <c r="H10" t="s">
        <v>27</v>
      </c>
      <c r="I10" t="s">
        <v>28</v>
      </c>
      <c r="J10" t="s">
        <v>29</v>
      </c>
      <c r="K10">
        <v>6.6496E-2</v>
      </c>
      <c r="L10" t="s">
        <v>30</v>
      </c>
    </row>
    <row r="11" spans="4:12" x14ac:dyDescent="0.25">
      <c r="D11" s="1"/>
      <c r="E11" t="s">
        <v>25</v>
      </c>
      <c r="F11" s="1">
        <v>6.25</v>
      </c>
      <c r="G11" t="s">
        <v>26</v>
      </c>
      <c r="H11" t="s">
        <v>27</v>
      </c>
      <c r="I11" t="s">
        <v>28</v>
      </c>
      <c r="J11" t="s">
        <v>29</v>
      </c>
      <c r="K11">
        <v>8.1664E-2</v>
      </c>
      <c r="L11" t="s">
        <v>30</v>
      </c>
    </row>
    <row r="12" spans="4:12" x14ac:dyDescent="0.25">
      <c r="D12" s="1"/>
      <c r="E12" t="s">
        <v>25</v>
      </c>
      <c r="F12" s="1">
        <v>6.833333333333333</v>
      </c>
      <c r="G12" t="s">
        <v>26</v>
      </c>
      <c r="H12" t="s">
        <v>27</v>
      </c>
      <c r="I12" t="s">
        <v>28</v>
      </c>
      <c r="J12" t="s">
        <v>29</v>
      </c>
      <c r="K12">
        <v>0.11558400000000001</v>
      </c>
      <c r="L12" t="s">
        <v>30</v>
      </c>
    </row>
    <row r="13" spans="4:12" x14ac:dyDescent="0.25">
      <c r="D13" s="1"/>
      <c r="E13" t="s">
        <v>25</v>
      </c>
      <c r="F13" s="1">
        <v>7.416666666666667</v>
      </c>
      <c r="G13" t="s">
        <v>26</v>
      </c>
      <c r="H13" t="s">
        <v>27</v>
      </c>
      <c r="I13" t="s">
        <v>28</v>
      </c>
      <c r="J13" t="s">
        <v>29</v>
      </c>
      <c r="K13">
        <v>0.186112</v>
      </c>
      <c r="L13" t="s">
        <v>30</v>
      </c>
    </row>
    <row r="14" spans="4:12" x14ac:dyDescent="0.25">
      <c r="D14" s="1"/>
      <c r="E14" t="s">
        <v>25</v>
      </c>
      <c r="F14" s="1">
        <v>8</v>
      </c>
      <c r="G14" t="s">
        <v>26</v>
      </c>
      <c r="H14" t="s">
        <v>27</v>
      </c>
      <c r="I14" t="s">
        <v>28</v>
      </c>
      <c r="J14" t="s">
        <v>29</v>
      </c>
      <c r="K14">
        <v>0.322496</v>
      </c>
      <c r="L14" t="s">
        <v>30</v>
      </c>
    </row>
    <row r="15" spans="4:12" x14ac:dyDescent="0.25">
      <c r="D15" s="1"/>
      <c r="E15" t="s">
        <v>25</v>
      </c>
      <c r="F15" s="1">
        <v>8.5833333333333339</v>
      </c>
      <c r="G15" t="s">
        <v>26</v>
      </c>
      <c r="H15" t="s">
        <v>27</v>
      </c>
      <c r="I15" t="s">
        <v>28</v>
      </c>
      <c r="J15" t="s">
        <v>29</v>
      </c>
      <c r="K15">
        <v>7.8591999999999995E-2</v>
      </c>
      <c r="L15" t="s">
        <v>30</v>
      </c>
    </row>
    <row r="16" spans="4:12" x14ac:dyDescent="0.25">
      <c r="D16" s="1"/>
      <c r="E16" t="s">
        <v>25</v>
      </c>
      <c r="F16" s="1">
        <v>9.1666666666666661</v>
      </c>
      <c r="G16" t="s">
        <v>26</v>
      </c>
      <c r="H16" t="s">
        <v>27</v>
      </c>
      <c r="I16" t="s">
        <v>28</v>
      </c>
      <c r="J16" t="s">
        <v>29</v>
      </c>
      <c r="K16">
        <v>7.8144000000000005E-2</v>
      </c>
      <c r="L16" t="s">
        <v>30</v>
      </c>
    </row>
    <row r="17" spans="4:12" x14ac:dyDescent="0.25">
      <c r="D17" s="1"/>
      <c r="E17" t="s">
        <v>25</v>
      </c>
      <c r="F17" s="1">
        <v>9.75</v>
      </c>
      <c r="G17" t="s">
        <v>26</v>
      </c>
      <c r="H17" t="s">
        <v>27</v>
      </c>
      <c r="I17" t="s">
        <v>28</v>
      </c>
      <c r="J17" t="s">
        <v>29</v>
      </c>
      <c r="K17">
        <v>7.3599999999999999E-2</v>
      </c>
      <c r="L17" t="s">
        <v>30</v>
      </c>
    </row>
    <row r="18" spans="4:12" x14ac:dyDescent="0.25">
      <c r="D18" s="1"/>
      <c r="E18" t="s">
        <v>25</v>
      </c>
      <c r="F18" s="1">
        <v>10.333333333333334</v>
      </c>
      <c r="G18" t="s">
        <v>26</v>
      </c>
      <c r="H18" t="s">
        <v>27</v>
      </c>
      <c r="I18" t="s">
        <v>28</v>
      </c>
      <c r="J18" t="s">
        <v>29</v>
      </c>
      <c r="K18">
        <v>9.3119999999999994E-2</v>
      </c>
      <c r="L18" t="s">
        <v>30</v>
      </c>
    </row>
    <row r="19" spans="4:12" x14ac:dyDescent="0.25">
      <c r="D19" s="1"/>
      <c r="E19" t="s">
        <v>25</v>
      </c>
      <c r="F19" s="1">
        <v>10.916666666666666</v>
      </c>
      <c r="G19" t="s">
        <v>26</v>
      </c>
      <c r="H19" t="s">
        <v>27</v>
      </c>
      <c r="I19" t="s">
        <v>28</v>
      </c>
      <c r="J19" t="s">
        <v>29</v>
      </c>
      <c r="K19">
        <v>0.13062399999999999</v>
      </c>
      <c r="L19" t="s">
        <v>30</v>
      </c>
    </row>
    <row r="20" spans="4:12" x14ac:dyDescent="0.25">
      <c r="D20" s="1"/>
      <c r="E20" t="s">
        <v>25</v>
      </c>
      <c r="F20" s="1">
        <v>11.5</v>
      </c>
      <c r="G20" t="s">
        <v>26</v>
      </c>
      <c r="H20" t="s">
        <v>27</v>
      </c>
      <c r="I20" t="s">
        <v>28</v>
      </c>
      <c r="J20" t="s">
        <v>29</v>
      </c>
      <c r="K20">
        <v>0.20947199999999999</v>
      </c>
      <c r="L20" t="s">
        <v>30</v>
      </c>
    </row>
    <row r="21" spans="4:12" x14ac:dyDescent="0.25">
      <c r="D21" s="1"/>
      <c r="E21" t="s">
        <v>25</v>
      </c>
      <c r="F21" s="1">
        <v>12.083333333333334</v>
      </c>
      <c r="G21" t="s">
        <v>26</v>
      </c>
      <c r="H21" t="s">
        <v>27</v>
      </c>
      <c r="I21" t="s">
        <v>28</v>
      </c>
      <c r="J21" t="s">
        <v>29</v>
      </c>
      <c r="K21">
        <v>0.36588799999999999</v>
      </c>
      <c r="L21" t="s">
        <v>30</v>
      </c>
    </row>
    <row r="22" spans="4:12" x14ac:dyDescent="0.25">
      <c r="D22" s="1"/>
      <c r="E22" t="s">
        <v>25</v>
      </c>
      <c r="F22" s="1">
        <v>12.666666666666666</v>
      </c>
      <c r="G22" t="s">
        <v>26</v>
      </c>
      <c r="H22" t="s">
        <v>27</v>
      </c>
      <c r="I22" t="s">
        <v>28</v>
      </c>
      <c r="J22" t="s">
        <v>29</v>
      </c>
      <c r="K22">
        <v>9.536E-2</v>
      </c>
      <c r="L22" t="s">
        <v>30</v>
      </c>
    </row>
    <row r="23" spans="4:12" x14ac:dyDescent="0.25">
      <c r="D23" s="1"/>
      <c r="E23" t="s">
        <v>25</v>
      </c>
      <c r="F23" s="1">
        <v>13.25</v>
      </c>
      <c r="G23" t="s">
        <v>26</v>
      </c>
      <c r="H23" t="s">
        <v>27</v>
      </c>
      <c r="I23" t="s">
        <v>28</v>
      </c>
      <c r="J23" t="s">
        <v>29</v>
      </c>
      <c r="K23">
        <v>9.536E-2</v>
      </c>
      <c r="L23" t="s">
        <v>30</v>
      </c>
    </row>
    <row r="24" spans="4:12" x14ac:dyDescent="0.25">
      <c r="D24" s="1"/>
      <c r="E24" t="s">
        <v>25</v>
      </c>
      <c r="F24" s="1">
        <v>13.833333333333334</v>
      </c>
      <c r="G24" t="s">
        <v>26</v>
      </c>
      <c r="H24" t="s">
        <v>27</v>
      </c>
      <c r="I24" t="s">
        <v>28</v>
      </c>
      <c r="J24" t="s">
        <v>29</v>
      </c>
      <c r="K24">
        <v>9.1263999999999998E-2</v>
      </c>
      <c r="L24" t="s">
        <v>30</v>
      </c>
    </row>
    <row r="25" spans="4:12" x14ac:dyDescent="0.25">
      <c r="D25" s="1"/>
      <c r="E25" t="s">
        <v>25</v>
      </c>
      <c r="F25" s="1">
        <v>14.416666666666666</v>
      </c>
      <c r="G25" t="s">
        <v>26</v>
      </c>
      <c r="H25" t="s">
        <v>27</v>
      </c>
      <c r="I25" t="s">
        <v>28</v>
      </c>
      <c r="J25" t="s">
        <v>29</v>
      </c>
      <c r="K25">
        <v>0.11935999999999999</v>
      </c>
      <c r="L25" t="s">
        <v>30</v>
      </c>
    </row>
    <row r="26" spans="4:12" x14ac:dyDescent="0.25">
      <c r="D26" s="1"/>
      <c r="E26" t="s">
        <v>25</v>
      </c>
      <c r="F26" s="1">
        <v>15</v>
      </c>
      <c r="G26" t="s">
        <v>26</v>
      </c>
      <c r="H26" t="s">
        <v>27</v>
      </c>
      <c r="I26" t="s">
        <v>28</v>
      </c>
      <c r="J26" t="s">
        <v>29</v>
      </c>
      <c r="K26">
        <v>0.17465600000000001</v>
      </c>
      <c r="L26" t="s">
        <v>30</v>
      </c>
    </row>
    <row r="27" spans="4:12" x14ac:dyDescent="0.25">
      <c r="D27" s="1"/>
      <c r="E27" t="s">
        <v>25</v>
      </c>
      <c r="F27" s="1">
        <v>15.583333333333334</v>
      </c>
      <c r="G27" t="s">
        <v>26</v>
      </c>
      <c r="H27" t="s">
        <v>27</v>
      </c>
      <c r="I27" t="s">
        <v>28</v>
      </c>
      <c r="J27" t="s">
        <v>29</v>
      </c>
      <c r="K27">
        <v>0.28851199999999999</v>
      </c>
      <c r="L27" t="s">
        <v>30</v>
      </c>
    </row>
    <row r="28" spans="4:12" x14ac:dyDescent="0.25">
      <c r="D28" s="1"/>
      <c r="E28" t="s">
        <v>25</v>
      </c>
      <c r="F28" s="1">
        <v>16.166666666666668</v>
      </c>
      <c r="G28" t="s">
        <v>26</v>
      </c>
      <c r="H28" t="s">
        <v>27</v>
      </c>
      <c r="I28" t="s">
        <v>28</v>
      </c>
      <c r="J28" t="s">
        <v>29</v>
      </c>
      <c r="K28">
        <v>0.52921600000000002</v>
      </c>
      <c r="L28" t="s">
        <v>30</v>
      </c>
    </row>
    <row r="29" spans="4:12" x14ac:dyDescent="0.25">
      <c r="D29" s="1"/>
      <c r="E29" t="s">
        <v>25</v>
      </c>
      <c r="F29" s="1">
        <v>16.75</v>
      </c>
      <c r="G29" t="s">
        <v>26</v>
      </c>
      <c r="H29" t="s">
        <v>27</v>
      </c>
      <c r="I29" t="s">
        <v>28</v>
      </c>
      <c r="J29" t="s">
        <v>29</v>
      </c>
      <c r="K29">
        <v>0.12614400000000001</v>
      </c>
      <c r="L29" t="s">
        <v>30</v>
      </c>
    </row>
    <row r="30" spans="4:12" x14ac:dyDescent="0.25">
      <c r="D30" s="1"/>
      <c r="E30" t="s">
        <v>25</v>
      </c>
      <c r="F30" s="1">
        <v>17.333333333333332</v>
      </c>
      <c r="G30" t="s">
        <v>26</v>
      </c>
      <c r="H30" t="s">
        <v>27</v>
      </c>
      <c r="I30" t="s">
        <v>28</v>
      </c>
      <c r="J30" t="s">
        <v>29</v>
      </c>
      <c r="K30">
        <v>0.12614400000000001</v>
      </c>
      <c r="L30" t="s">
        <v>30</v>
      </c>
    </row>
    <row r="31" spans="4:12" x14ac:dyDescent="0.25">
      <c r="D31" s="1"/>
      <c r="E31" t="s">
        <v>25</v>
      </c>
      <c r="F31" s="1">
        <v>17.916666666666668</v>
      </c>
      <c r="G31" t="s">
        <v>26</v>
      </c>
      <c r="H31" t="s">
        <v>27</v>
      </c>
      <c r="I31" t="s">
        <v>28</v>
      </c>
      <c r="J31" t="s">
        <v>29</v>
      </c>
      <c r="K31">
        <v>0.12096</v>
      </c>
      <c r="L31" t="s">
        <v>30</v>
      </c>
    </row>
    <row r="32" spans="4:12" x14ac:dyDescent="0.25">
      <c r="D32" s="1"/>
      <c r="E32" t="s">
        <v>25</v>
      </c>
      <c r="F32" s="1">
        <v>18.5</v>
      </c>
      <c r="G32" t="s">
        <v>26</v>
      </c>
      <c r="H32" t="s">
        <v>27</v>
      </c>
      <c r="I32" t="s">
        <v>28</v>
      </c>
      <c r="J32" t="s">
        <v>29</v>
      </c>
      <c r="K32">
        <v>0.16966400000000001</v>
      </c>
      <c r="L32" t="s">
        <v>30</v>
      </c>
    </row>
    <row r="33" spans="4:12" x14ac:dyDescent="0.25">
      <c r="D33" s="1"/>
      <c r="E33" t="s">
        <v>25</v>
      </c>
      <c r="F33" s="1">
        <v>19.083333333333332</v>
      </c>
      <c r="G33" t="s">
        <v>26</v>
      </c>
      <c r="H33" t="s">
        <v>27</v>
      </c>
      <c r="I33" t="s">
        <v>28</v>
      </c>
      <c r="J33" t="s">
        <v>29</v>
      </c>
      <c r="K33">
        <v>0.270144</v>
      </c>
      <c r="L33" t="s">
        <v>30</v>
      </c>
    </row>
    <row r="34" spans="4:12" x14ac:dyDescent="0.25">
      <c r="D34" s="1"/>
      <c r="E34" t="s">
        <v>25</v>
      </c>
      <c r="F34" s="1">
        <v>19.666666666666668</v>
      </c>
      <c r="G34" t="s">
        <v>26</v>
      </c>
      <c r="H34" t="s">
        <v>27</v>
      </c>
      <c r="I34" t="s">
        <v>28</v>
      </c>
      <c r="J34" t="s">
        <v>29</v>
      </c>
      <c r="K34">
        <v>0.46105600000000002</v>
      </c>
      <c r="L34" t="s">
        <v>30</v>
      </c>
    </row>
    <row r="35" spans="4:12" x14ac:dyDescent="0.25">
      <c r="D35" s="1"/>
      <c r="E35" t="s">
        <v>25</v>
      </c>
      <c r="F35" s="1">
        <v>20.25</v>
      </c>
      <c r="G35" t="s">
        <v>26</v>
      </c>
      <c r="H35" t="s">
        <v>27</v>
      </c>
      <c r="I35" t="s">
        <v>28</v>
      </c>
      <c r="J35" t="s">
        <v>29</v>
      </c>
      <c r="K35">
        <v>0.79443200000000003</v>
      </c>
      <c r="L35" t="s">
        <v>30</v>
      </c>
    </row>
    <row r="36" spans="4:12" x14ac:dyDescent="0.25">
      <c r="D36" s="1"/>
      <c r="E36" t="s">
        <v>25</v>
      </c>
      <c r="F36" s="1">
        <v>20.833333333333332</v>
      </c>
      <c r="G36" t="s">
        <v>26</v>
      </c>
      <c r="H36" t="s">
        <v>27</v>
      </c>
      <c r="I36" t="s">
        <v>28</v>
      </c>
      <c r="J36" t="s">
        <v>29</v>
      </c>
      <c r="K36">
        <v>0.168768</v>
      </c>
      <c r="L36" t="s">
        <v>30</v>
      </c>
    </row>
    <row r="37" spans="4:12" x14ac:dyDescent="0.25">
      <c r="D37" s="1"/>
      <c r="E37" t="s">
        <v>25</v>
      </c>
      <c r="F37" s="1">
        <v>21.416666666666668</v>
      </c>
      <c r="G37" t="s">
        <v>26</v>
      </c>
      <c r="H37" t="s">
        <v>27</v>
      </c>
      <c r="I37" t="s">
        <v>28</v>
      </c>
      <c r="J37" t="s">
        <v>29</v>
      </c>
      <c r="K37">
        <v>0.170048</v>
      </c>
      <c r="L37" t="s">
        <v>30</v>
      </c>
    </row>
    <row r="38" spans="4:12" x14ac:dyDescent="0.25">
      <c r="D38" s="1"/>
      <c r="E38" t="s">
        <v>25</v>
      </c>
      <c r="F38" s="1">
        <v>22</v>
      </c>
      <c r="G38" t="s">
        <v>26</v>
      </c>
      <c r="H38" t="s">
        <v>27</v>
      </c>
      <c r="I38" t="s">
        <v>28</v>
      </c>
      <c r="J38" t="s">
        <v>29</v>
      </c>
      <c r="K38">
        <v>0.16608000000000001</v>
      </c>
      <c r="L38" t="s">
        <v>30</v>
      </c>
    </row>
    <row r="39" spans="4:12" x14ac:dyDescent="0.25">
      <c r="D39" s="1"/>
      <c r="E39" t="s">
        <v>25</v>
      </c>
      <c r="F39" s="1">
        <v>22.583333333333332</v>
      </c>
      <c r="G39" t="s">
        <v>26</v>
      </c>
      <c r="H39" t="s">
        <v>27</v>
      </c>
      <c r="I39" t="s">
        <v>28</v>
      </c>
      <c r="J39" t="s">
        <v>29</v>
      </c>
      <c r="K39">
        <v>0.25939200000000001</v>
      </c>
      <c r="L39" t="s">
        <v>30</v>
      </c>
    </row>
    <row r="40" spans="4:12" x14ac:dyDescent="0.25">
      <c r="D40" s="1"/>
      <c r="E40" t="s">
        <v>25</v>
      </c>
      <c r="F40" s="1">
        <v>23.166666666666668</v>
      </c>
      <c r="G40" t="s">
        <v>26</v>
      </c>
      <c r="H40" t="s">
        <v>27</v>
      </c>
      <c r="I40" t="s">
        <v>28</v>
      </c>
      <c r="J40" t="s">
        <v>29</v>
      </c>
      <c r="K40">
        <v>0.450432</v>
      </c>
      <c r="L40" t="s">
        <v>30</v>
      </c>
    </row>
    <row r="41" spans="4:12" x14ac:dyDescent="0.25">
      <c r="D41" s="1"/>
      <c r="E41" t="s">
        <v>25</v>
      </c>
      <c r="F41" s="1">
        <v>23.75</v>
      </c>
      <c r="G41" t="s">
        <v>26</v>
      </c>
      <c r="H41" t="s">
        <v>27</v>
      </c>
      <c r="I41" t="s">
        <v>28</v>
      </c>
      <c r="J41" t="s">
        <v>29</v>
      </c>
      <c r="K41">
        <v>0.761216</v>
      </c>
      <c r="L41" t="s">
        <v>30</v>
      </c>
    </row>
    <row r="42" spans="4:12" x14ac:dyDescent="0.25">
      <c r="D42" s="1"/>
      <c r="E42" t="s">
        <v>25</v>
      </c>
      <c r="F42" s="1">
        <v>24.333333333333332</v>
      </c>
      <c r="G42" t="s">
        <v>26</v>
      </c>
      <c r="H42" t="s">
        <v>27</v>
      </c>
      <c r="I42" t="s">
        <v>28</v>
      </c>
      <c r="J42" t="s">
        <v>29</v>
      </c>
      <c r="K42">
        <v>1.4295679999999999</v>
      </c>
      <c r="L42" t="s">
        <v>30</v>
      </c>
    </row>
    <row r="43" spans="4:12" x14ac:dyDescent="0.25">
      <c r="D43" s="1"/>
      <c r="E43" t="s">
        <v>25</v>
      </c>
      <c r="F43" s="1">
        <v>24.916666666666668</v>
      </c>
      <c r="G43" t="s">
        <v>26</v>
      </c>
      <c r="H43" t="s">
        <v>27</v>
      </c>
      <c r="I43" t="s">
        <v>28</v>
      </c>
      <c r="J43" t="s">
        <v>29</v>
      </c>
      <c r="K43">
        <v>0.21075199999999999</v>
      </c>
      <c r="L43" t="s">
        <v>30</v>
      </c>
    </row>
    <row r="44" spans="4:12" x14ac:dyDescent="0.25">
      <c r="D44" s="1"/>
      <c r="E44" t="s">
        <v>25</v>
      </c>
      <c r="F44" s="1">
        <v>25.5</v>
      </c>
      <c r="G44" t="s">
        <v>26</v>
      </c>
      <c r="H44" t="s">
        <v>27</v>
      </c>
      <c r="I44" t="s">
        <v>28</v>
      </c>
      <c r="J44" t="s">
        <v>29</v>
      </c>
      <c r="K44">
        <v>0.21446399999999999</v>
      </c>
      <c r="L44" t="s">
        <v>30</v>
      </c>
    </row>
    <row r="45" spans="4:12" x14ac:dyDescent="0.25">
      <c r="D45" s="1"/>
      <c r="E45" t="s">
        <v>25</v>
      </c>
      <c r="F45" s="1">
        <v>26.083333333333332</v>
      </c>
      <c r="G45" t="s">
        <v>26</v>
      </c>
      <c r="H45" t="s">
        <v>27</v>
      </c>
      <c r="I45" t="s">
        <v>28</v>
      </c>
      <c r="J45" t="s">
        <v>29</v>
      </c>
      <c r="K45">
        <v>0.20614399999999999</v>
      </c>
      <c r="L45" t="s">
        <v>30</v>
      </c>
    </row>
    <row r="46" spans="4:12" x14ac:dyDescent="0.25">
      <c r="D46" s="1"/>
      <c r="E46" t="s">
        <v>25</v>
      </c>
      <c r="F46" s="1">
        <v>26.666666666666668</v>
      </c>
      <c r="G46" t="s">
        <v>26</v>
      </c>
      <c r="H46" t="s">
        <v>27</v>
      </c>
      <c r="I46" t="s">
        <v>28</v>
      </c>
      <c r="J46" t="s">
        <v>29</v>
      </c>
      <c r="K46">
        <v>0.35360000000000003</v>
      </c>
      <c r="L46" t="s">
        <v>30</v>
      </c>
    </row>
    <row r="47" spans="4:12" x14ac:dyDescent="0.25">
      <c r="D47" s="1"/>
      <c r="E47" t="s">
        <v>25</v>
      </c>
      <c r="F47" s="1">
        <v>27.25</v>
      </c>
      <c r="G47" t="s">
        <v>26</v>
      </c>
      <c r="H47" t="s">
        <v>27</v>
      </c>
      <c r="I47" t="s">
        <v>28</v>
      </c>
      <c r="J47" t="s">
        <v>29</v>
      </c>
      <c r="K47">
        <v>0.61683200000000005</v>
      </c>
      <c r="L47" t="s">
        <v>30</v>
      </c>
    </row>
    <row r="48" spans="4:12" x14ac:dyDescent="0.25">
      <c r="D48" s="1"/>
      <c r="E48" t="s">
        <v>25</v>
      </c>
      <c r="F48" s="1">
        <v>27.833333333333332</v>
      </c>
      <c r="G48" t="s">
        <v>26</v>
      </c>
      <c r="H48" t="s">
        <v>27</v>
      </c>
      <c r="I48" t="s">
        <v>28</v>
      </c>
      <c r="J48" t="s">
        <v>29</v>
      </c>
      <c r="K48">
        <v>1.712256</v>
      </c>
      <c r="L48" t="s">
        <v>30</v>
      </c>
    </row>
    <row r="49" spans="4:12" x14ac:dyDescent="0.25">
      <c r="D49" s="1"/>
      <c r="E49" t="s">
        <v>25</v>
      </c>
      <c r="F49" s="1">
        <v>28.416666666666668</v>
      </c>
      <c r="G49" t="s">
        <v>26</v>
      </c>
      <c r="H49" t="s">
        <v>27</v>
      </c>
      <c r="I49" t="s">
        <v>28</v>
      </c>
      <c r="J49" t="s">
        <v>29</v>
      </c>
      <c r="K49">
        <v>2.0593279999999998</v>
      </c>
      <c r="L49" t="s">
        <v>30</v>
      </c>
    </row>
    <row r="50" spans="4:12" x14ac:dyDescent="0.25">
      <c r="D50" s="1"/>
      <c r="E50" t="s">
        <v>25</v>
      </c>
      <c r="F50" s="1">
        <v>29</v>
      </c>
      <c r="G50" t="s">
        <v>26</v>
      </c>
      <c r="H50" t="s">
        <v>27</v>
      </c>
      <c r="I50" t="s">
        <v>28</v>
      </c>
      <c r="J50" t="s">
        <v>29</v>
      </c>
      <c r="K50">
        <v>0.25491200000000003</v>
      </c>
      <c r="L50" t="s">
        <v>30</v>
      </c>
    </row>
    <row r="51" spans="4:12" x14ac:dyDescent="0.25">
      <c r="D51" s="1"/>
      <c r="E51" t="s">
        <v>25</v>
      </c>
      <c r="F51" s="1">
        <v>29.583333333333332</v>
      </c>
      <c r="G51" t="s">
        <v>26</v>
      </c>
      <c r="H51" t="s">
        <v>27</v>
      </c>
      <c r="I51" t="s">
        <v>28</v>
      </c>
      <c r="J51" t="s">
        <v>29</v>
      </c>
      <c r="K51">
        <v>0.25856000000000001</v>
      </c>
      <c r="L51" t="s">
        <v>30</v>
      </c>
    </row>
    <row r="52" spans="4:12" x14ac:dyDescent="0.25">
      <c r="D52" s="1"/>
      <c r="E52" t="s">
        <v>25</v>
      </c>
      <c r="F52" s="1">
        <v>30.166666666666668</v>
      </c>
      <c r="G52" t="s">
        <v>26</v>
      </c>
      <c r="H52" t="s">
        <v>27</v>
      </c>
      <c r="I52" t="s">
        <v>28</v>
      </c>
      <c r="J52" t="s">
        <v>29</v>
      </c>
      <c r="K52">
        <v>0.255104</v>
      </c>
      <c r="L52" t="s">
        <v>30</v>
      </c>
    </row>
    <row r="53" spans="4:12" x14ac:dyDescent="0.25">
      <c r="D53" s="1"/>
      <c r="E53" t="s">
        <v>25</v>
      </c>
      <c r="F53" s="1">
        <v>30.75</v>
      </c>
      <c r="G53" t="s">
        <v>26</v>
      </c>
      <c r="H53" t="s">
        <v>27</v>
      </c>
      <c r="I53" t="s">
        <v>28</v>
      </c>
      <c r="J53" t="s">
        <v>29</v>
      </c>
      <c r="K53">
        <v>0.437056</v>
      </c>
      <c r="L53" t="s">
        <v>30</v>
      </c>
    </row>
    <row r="54" spans="4:12" x14ac:dyDescent="0.25">
      <c r="D54" s="1"/>
      <c r="E54" t="s">
        <v>25</v>
      </c>
      <c r="F54" s="1">
        <v>31.333333333333332</v>
      </c>
      <c r="G54" t="s">
        <v>26</v>
      </c>
      <c r="H54" t="s">
        <v>27</v>
      </c>
      <c r="I54" t="s">
        <v>28</v>
      </c>
      <c r="J54" t="s">
        <v>29</v>
      </c>
      <c r="K54">
        <v>0.74419199999999996</v>
      </c>
      <c r="L54" t="s">
        <v>30</v>
      </c>
    </row>
    <row r="55" spans="4:12" x14ac:dyDescent="0.25">
      <c r="D55" s="1"/>
      <c r="E55" t="s">
        <v>25</v>
      </c>
      <c r="F55" s="1">
        <v>31.916666666666668</v>
      </c>
      <c r="G55" t="s">
        <v>26</v>
      </c>
      <c r="H55" t="s">
        <v>27</v>
      </c>
      <c r="I55" t="s">
        <v>28</v>
      </c>
      <c r="J55" t="s">
        <v>29</v>
      </c>
      <c r="K55">
        <v>1.39392</v>
      </c>
      <c r="L55" t="s">
        <v>30</v>
      </c>
    </row>
    <row r="56" spans="4:12" x14ac:dyDescent="0.25">
      <c r="D56" s="1"/>
      <c r="E56" t="s">
        <v>25</v>
      </c>
      <c r="F56" s="1">
        <v>32.5</v>
      </c>
      <c r="G56" t="s">
        <v>26</v>
      </c>
      <c r="H56" t="s">
        <v>27</v>
      </c>
      <c r="I56" t="s">
        <v>28</v>
      </c>
      <c r="J56" t="s">
        <v>29</v>
      </c>
      <c r="K56">
        <v>2.695872</v>
      </c>
      <c r="L56" t="s">
        <v>30</v>
      </c>
    </row>
    <row r="57" spans="4:12" x14ac:dyDescent="0.25">
      <c r="D57" s="1"/>
      <c r="E57" t="s">
        <v>25</v>
      </c>
      <c r="F57" s="1">
        <v>33.083333333333336</v>
      </c>
      <c r="G57" t="s">
        <v>26</v>
      </c>
      <c r="H57" t="s">
        <v>27</v>
      </c>
      <c r="I57" t="s">
        <v>28</v>
      </c>
      <c r="J57" t="s">
        <v>29</v>
      </c>
      <c r="K57">
        <v>0.29759999999999998</v>
      </c>
      <c r="L57" t="s">
        <v>30</v>
      </c>
    </row>
    <row r="58" spans="4:12" x14ac:dyDescent="0.25">
      <c r="D58" s="1"/>
      <c r="E58" t="s">
        <v>25</v>
      </c>
      <c r="F58" s="1">
        <v>33.666666666666664</v>
      </c>
      <c r="G58" t="s">
        <v>26</v>
      </c>
      <c r="H58" t="s">
        <v>27</v>
      </c>
      <c r="I58" t="s">
        <v>28</v>
      </c>
      <c r="J58" t="s">
        <v>29</v>
      </c>
      <c r="K58">
        <v>0.29759999999999998</v>
      </c>
      <c r="L58" t="s">
        <v>30</v>
      </c>
    </row>
    <row r="59" spans="4:12" x14ac:dyDescent="0.25">
      <c r="D59" s="1"/>
      <c r="E59" t="s">
        <v>25</v>
      </c>
      <c r="F59" s="1">
        <v>34.25</v>
      </c>
      <c r="G59" t="s">
        <v>26</v>
      </c>
      <c r="H59" t="s">
        <v>27</v>
      </c>
      <c r="I59" t="s">
        <v>28</v>
      </c>
      <c r="J59" t="s">
        <v>29</v>
      </c>
      <c r="K59">
        <v>0.29113600000000001</v>
      </c>
      <c r="L59" t="s">
        <v>30</v>
      </c>
    </row>
    <row r="60" spans="4:12" x14ac:dyDescent="0.25">
      <c r="D60" s="1"/>
      <c r="E60" t="s">
        <v>25</v>
      </c>
      <c r="F60" s="1">
        <v>34.833333333333336</v>
      </c>
      <c r="G60" t="s">
        <v>26</v>
      </c>
      <c r="H60" t="s">
        <v>27</v>
      </c>
      <c r="I60" t="s">
        <v>28</v>
      </c>
      <c r="J60" t="s">
        <v>29</v>
      </c>
      <c r="K60">
        <v>0.53068800000000005</v>
      </c>
      <c r="L60" t="s">
        <v>30</v>
      </c>
    </row>
    <row r="61" spans="4:12" x14ac:dyDescent="0.25">
      <c r="D61" s="1"/>
      <c r="E61" t="s">
        <v>25</v>
      </c>
      <c r="F61" s="1">
        <v>35.416666666666664</v>
      </c>
      <c r="G61" t="s">
        <v>26</v>
      </c>
      <c r="H61" t="s">
        <v>27</v>
      </c>
      <c r="I61" t="s">
        <v>28</v>
      </c>
      <c r="J61" t="s">
        <v>29</v>
      </c>
      <c r="K61">
        <v>1.3702399999999999</v>
      </c>
      <c r="L61" t="s">
        <v>30</v>
      </c>
    </row>
    <row r="62" spans="4:12" x14ac:dyDescent="0.25">
      <c r="D62" s="1"/>
      <c r="E62" t="s">
        <v>25</v>
      </c>
      <c r="F62" s="1">
        <v>36</v>
      </c>
      <c r="G62" t="s">
        <v>26</v>
      </c>
      <c r="H62" t="s">
        <v>27</v>
      </c>
      <c r="I62" t="s">
        <v>28</v>
      </c>
      <c r="J62" t="s">
        <v>29</v>
      </c>
      <c r="K62">
        <v>2.8224</v>
      </c>
      <c r="L62" t="s">
        <v>30</v>
      </c>
    </row>
    <row r="63" spans="4:12" x14ac:dyDescent="0.25">
      <c r="D63" s="1"/>
      <c r="E63" t="s">
        <v>25</v>
      </c>
      <c r="F63" s="1">
        <v>36.583333333333336</v>
      </c>
      <c r="G63" t="s">
        <v>26</v>
      </c>
      <c r="H63" t="s">
        <v>27</v>
      </c>
      <c r="I63" t="s">
        <v>28</v>
      </c>
      <c r="J63" t="s">
        <v>29</v>
      </c>
      <c r="K63">
        <v>3.3093119999999998</v>
      </c>
      <c r="L63" t="s">
        <v>30</v>
      </c>
    </row>
    <row r="64" spans="4:12" x14ac:dyDescent="0.25">
      <c r="D64" s="1"/>
      <c r="E64" t="s">
        <v>25</v>
      </c>
      <c r="F64" s="1">
        <v>37.166666666666664</v>
      </c>
      <c r="G64" t="s">
        <v>26</v>
      </c>
      <c r="H64" t="s">
        <v>27</v>
      </c>
      <c r="I64" t="s">
        <v>28</v>
      </c>
      <c r="J64" t="s">
        <v>29</v>
      </c>
      <c r="K64">
        <v>0.34099200000000002</v>
      </c>
      <c r="L64" t="s">
        <v>30</v>
      </c>
    </row>
    <row r="65" spans="4:12" x14ac:dyDescent="0.25">
      <c r="D65" s="1"/>
      <c r="E65" t="s">
        <v>25</v>
      </c>
      <c r="F65" s="1">
        <v>37.75</v>
      </c>
      <c r="G65" t="s">
        <v>26</v>
      </c>
      <c r="H65" t="s">
        <v>27</v>
      </c>
      <c r="I65" t="s">
        <v>28</v>
      </c>
      <c r="J65" t="s">
        <v>29</v>
      </c>
      <c r="K65">
        <v>0.33881600000000001</v>
      </c>
      <c r="L65" t="s">
        <v>30</v>
      </c>
    </row>
    <row r="66" spans="4:12" x14ac:dyDescent="0.25">
      <c r="D66" s="1"/>
      <c r="E66" t="s">
        <v>25</v>
      </c>
      <c r="F66" s="1">
        <v>38.333333333333336</v>
      </c>
      <c r="G66" t="s">
        <v>26</v>
      </c>
      <c r="H66" t="s">
        <v>27</v>
      </c>
      <c r="I66" t="s">
        <v>28</v>
      </c>
      <c r="J66" t="s">
        <v>29</v>
      </c>
      <c r="K66">
        <v>0.345024</v>
      </c>
      <c r="L66" t="s">
        <v>30</v>
      </c>
    </row>
    <row r="67" spans="4:12" x14ac:dyDescent="0.25">
      <c r="D67" s="1"/>
      <c r="E67" t="s">
        <v>25</v>
      </c>
      <c r="F67" s="1">
        <v>38.916666666666664</v>
      </c>
      <c r="G67" t="s">
        <v>26</v>
      </c>
      <c r="H67" t="s">
        <v>27</v>
      </c>
      <c r="I67" t="s">
        <v>28</v>
      </c>
      <c r="J67" t="s">
        <v>29</v>
      </c>
      <c r="K67">
        <v>0.61024</v>
      </c>
      <c r="L67" t="s">
        <v>30</v>
      </c>
    </row>
    <row r="68" spans="4:12" x14ac:dyDescent="0.25">
      <c r="D68" s="1"/>
      <c r="E68" t="s">
        <v>25</v>
      </c>
      <c r="F68" s="1">
        <v>39.5</v>
      </c>
      <c r="G68" t="s">
        <v>26</v>
      </c>
      <c r="H68" t="s">
        <v>27</v>
      </c>
      <c r="I68" t="s">
        <v>28</v>
      </c>
      <c r="J68" t="s">
        <v>29</v>
      </c>
      <c r="K68">
        <v>1.63744</v>
      </c>
      <c r="L68" t="s">
        <v>30</v>
      </c>
    </row>
    <row r="69" spans="4:12" x14ac:dyDescent="0.25">
      <c r="D69" s="1"/>
      <c r="E69" t="s">
        <v>25</v>
      </c>
      <c r="F69" s="1">
        <v>40.083333333333336</v>
      </c>
      <c r="G69" t="s">
        <v>26</v>
      </c>
      <c r="H69" t="s">
        <v>27</v>
      </c>
      <c r="I69" t="s">
        <v>28</v>
      </c>
      <c r="J69" t="s">
        <v>29</v>
      </c>
      <c r="K69">
        <v>2.015104</v>
      </c>
      <c r="L69" t="s">
        <v>30</v>
      </c>
    </row>
    <row r="70" spans="4:12" x14ac:dyDescent="0.25">
      <c r="D70" s="1"/>
      <c r="E70" t="s">
        <v>25</v>
      </c>
      <c r="F70" s="1">
        <v>40.666666666666664</v>
      </c>
      <c r="G70" t="s">
        <v>26</v>
      </c>
      <c r="H70" t="s">
        <v>27</v>
      </c>
      <c r="I70" t="s">
        <v>28</v>
      </c>
      <c r="J70" t="s">
        <v>29</v>
      </c>
      <c r="K70">
        <v>3.9390079999999998</v>
      </c>
      <c r="L70" t="s">
        <v>30</v>
      </c>
    </row>
    <row r="71" spans="4:12" x14ac:dyDescent="0.25">
      <c r="D71" s="1"/>
      <c r="E71" t="s">
        <v>25</v>
      </c>
      <c r="F71" s="1">
        <v>41.25</v>
      </c>
      <c r="G71" t="s">
        <v>26</v>
      </c>
      <c r="H71" t="s">
        <v>27</v>
      </c>
      <c r="I71" t="s">
        <v>28</v>
      </c>
      <c r="J71" t="s">
        <v>29</v>
      </c>
      <c r="K71">
        <v>0.38758399999999998</v>
      </c>
      <c r="L71" t="s">
        <v>30</v>
      </c>
    </row>
    <row r="72" spans="4:12" x14ac:dyDescent="0.25">
      <c r="D72" s="1"/>
      <c r="E72" t="s">
        <v>25</v>
      </c>
      <c r="F72" s="1">
        <v>41.833333333333336</v>
      </c>
      <c r="G72" t="s">
        <v>26</v>
      </c>
      <c r="H72" t="s">
        <v>27</v>
      </c>
      <c r="I72" t="s">
        <v>28</v>
      </c>
      <c r="J72" t="s">
        <v>29</v>
      </c>
      <c r="K72">
        <v>0.385216</v>
      </c>
      <c r="L72" t="s">
        <v>30</v>
      </c>
    </row>
    <row r="73" spans="4:12" x14ac:dyDescent="0.25">
      <c r="D73" s="1"/>
      <c r="E73" t="s">
        <v>25</v>
      </c>
      <c r="F73" s="1">
        <v>42.416666666666664</v>
      </c>
      <c r="G73" t="s">
        <v>26</v>
      </c>
      <c r="H73" t="s">
        <v>27</v>
      </c>
      <c r="I73" t="s">
        <v>28</v>
      </c>
      <c r="J73" t="s">
        <v>29</v>
      </c>
      <c r="K73">
        <v>0.37747199999999997</v>
      </c>
      <c r="L73" t="s">
        <v>30</v>
      </c>
    </row>
    <row r="74" spans="4:12" x14ac:dyDescent="0.25">
      <c r="D74" s="1"/>
      <c r="E74" t="s">
        <v>25</v>
      </c>
      <c r="F74" s="1">
        <v>43</v>
      </c>
      <c r="G74" t="s">
        <v>26</v>
      </c>
      <c r="H74" t="s">
        <v>27</v>
      </c>
      <c r="I74" t="s">
        <v>28</v>
      </c>
      <c r="J74" t="s">
        <v>29</v>
      </c>
      <c r="K74">
        <v>0.70079999999999998</v>
      </c>
      <c r="L74" t="s">
        <v>30</v>
      </c>
    </row>
    <row r="75" spans="4:12" x14ac:dyDescent="0.25">
      <c r="D75" s="1"/>
      <c r="E75" t="s">
        <v>25</v>
      </c>
      <c r="F75" s="1">
        <v>43.583333333333336</v>
      </c>
      <c r="G75" t="s">
        <v>26</v>
      </c>
      <c r="H75" t="s">
        <v>27</v>
      </c>
      <c r="I75" t="s">
        <v>28</v>
      </c>
      <c r="J75" t="s">
        <v>29</v>
      </c>
      <c r="K75">
        <v>1.8780159999999999</v>
      </c>
      <c r="L75" t="s">
        <v>30</v>
      </c>
    </row>
    <row r="76" spans="4:12" x14ac:dyDescent="0.25">
      <c r="D76" s="1"/>
      <c r="E76" t="s">
        <v>25</v>
      </c>
      <c r="F76" s="1">
        <v>44.166666666666664</v>
      </c>
      <c r="G76" t="s">
        <v>26</v>
      </c>
      <c r="H76" t="s">
        <v>27</v>
      </c>
      <c r="I76" t="s">
        <v>28</v>
      </c>
      <c r="J76" t="s">
        <v>29</v>
      </c>
      <c r="K76">
        <v>3.9150079999999998</v>
      </c>
      <c r="L76" t="s">
        <v>30</v>
      </c>
    </row>
    <row r="77" spans="4:12" x14ac:dyDescent="0.25">
      <c r="D77" s="1"/>
      <c r="E77" t="s">
        <v>25</v>
      </c>
      <c r="F77" s="1">
        <v>44.75</v>
      </c>
      <c r="G77" t="s">
        <v>26</v>
      </c>
      <c r="H77" t="s">
        <v>27</v>
      </c>
      <c r="I77" t="s">
        <v>28</v>
      </c>
      <c r="J77" t="s">
        <v>29</v>
      </c>
      <c r="K77">
        <v>4.5513599999999999</v>
      </c>
      <c r="L77" t="s">
        <v>30</v>
      </c>
    </row>
    <row r="78" spans="4:12" x14ac:dyDescent="0.25">
      <c r="D78" s="1"/>
      <c r="E78" t="s">
        <v>25</v>
      </c>
      <c r="F78" s="1">
        <v>45.333333333333336</v>
      </c>
      <c r="G78" t="s">
        <v>26</v>
      </c>
      <c r="H78" t="s">
        <v>27</v>
      </c>
      <c r="I78" t="s">
        <v>28</v>
      </c>
      <c r="J78" t="s">
        <v>29</v>
      </c>
      <c r="K78">
        <v>0.42636800000000002</v>
      </c>
      <c r="L78" t="s">
        <v>30</v>
      </c>
    </row>
    <row r="79" spans="4:12" x14ac:dyDescent="0.25">
      <c r="D79" s="1"/>
      <c r="E79" t="s">
        <v>25</v>
      </c>
      <c r="F79" s="1">
        <v>45.916666666666664</v>
      </c>
      <c r="G79" t="s">
        <v>26</v>
      </c>
      <c r="H79" t="s">
        <v>27</v>
      </c>
      <c r="I79" t="s">
        <v>28</v>
      </c>
      <c r="J79" t="s">
        <v>29</v>
      </c>
      <c r="K79">
        <v>0.42924800000000002</v>
      </c>
      <c r="L79" t="s">
        <v>30</v>
      </c>
    </row>
    <row r="80" spans="4:12" x14ac:dyDescent="0.25">
      <c r="D80" s="1"/>
      <c r="E80" t="s">
        <v>25</v>
      </c>
      <c r="F80" s="1">
        <v>46.5</v>
      </c>
      <c r="G80" t="s">
        <v>26</v>
      </c>
      <c r="H80" t="s">
        <v>27</v>
      </c>
      <c r="I80" t="s">
        <v>28</v>
      </c>
      <c r="J80" t="s">
        <v>29</v>
      </c>
      <c r="K80">
        <v>0.42636800000000002</v>
      </c>
      <c r="L80" t="s">
        <v>30</v>
      </c>
    </row>
    <row r="81" spans="4:12" x14ac:dyDescent="0.25">
      <c r="D81" s="1"/>
      <c r="E81" t="s">
        <v>25</v>
      </c>
      <c r="F81" s="1">
        <v>47.083333333333336</v>
      </c>
      <c r="G81" t="s">
        <v>26</v>
      </c>
      <c r="H81" t="s">
        <v>27</v>
      </c>
      <c r="I81" t="s">
        <v>28</v>
      </c>
      <c r="J81" t="s">
        <v>29</v>
      </c>
      <c r="K81">
        <v>0.73420799999999997</v>
      </c>
      <c r="L81" t="s">
        <v>30</v>
      </c>
    </row>
    <row r="82" spans="4:12" x14ac:dyDescent="0.25">
      <c r="D82" s="1"/>
      <c r="E82" t="s">
        <v>25</v>
      </c>
      <c r="F82" s="1">
        <v>47.666666666666664</v>
      </c>
      <c r="G82" t="s">
        <v>26</v>
      </c>
      <c r="H82" t="s">
        <v>27</v>
      </c>
      <c r="I82" t="s">
        <v>28</v>
      </c>
      <c r="J82" t="s">
        <v>29</v>
      </c>
      <c r="K82">
        <v>1.3644799999999999</v>
      </c>
      <c r="L82" t="s">
        <v>30</v>
      </c>
    </row>
    <row r="83" spans="4:12" x14ac:dyDescent="0.25">
      <c r="D83" s="1"/>
      <c r="E83" t="s">
        <v>25</v>
      </c>
      <c r="F83" s="1">
        <v>48.25</v>
      </c>
      <c r="G83" t="s">
        <v>26</v>
      </c>
      <c r="H83" t="s">
        <v>27</v>
      </c>
      <c r="I83" t="s">
        <v>28</v>
      </c>
      <c r="J83" t="s">
        <v>29</v>
      </c>
      <c r="K83">
        <v>2.6399360000000001</v>
      </c>
      <c r="L83" t="s">
        <v>30</v>
      </c>
    </row>
    <row r="84" spans="4:12" x14ac:dyDescent="0.25">
      <c r="D84" s="1"/>
      <c r="E84" t="s">
        <v>25</v>
      </c>
      <c r="F84" s="1">
        <v>48.833333333333336</v>
      </c>
      <c r="G84" t="s">
        <v>26</v>
      </c>
      <c r="H84" t="s">
        <v>27</v>
      </c>
      <c r="I84" t="s">
        <v>28</v>
      </c>
      <c r="J84" t="s">
        <v>29</v>
      </c>
      <c r="K84">
        <v>5.1768960000000002</v>
      </c>
      <c r="L84" t="s">
        <v>30</v>
      </c>
    </row>
    <row r="85" spans="4:12" x14ac:dyDescent="0.25">
      <c r="D85" s="1"/>
      <c r="E85" t="s">
        <v>25</v>
      </c>
      <c r="F85" s="1">
        <v>49.416666666666664</v>
      </c>
      <c r="G85" t="s">
        <v>26</v>
      </c>
      <c r="H85" t="s">
        <v>27</v>
      </c>
      <c r="I85" t="s">
        <v>28</v>
      </c>
      <c r="J85" t="s">
        <v>29</v>
      </c>
      <c r="K85">
        <v>6.2911999999999996E-2</v>
      </c>
      <c r="L85" t="s">
        <v>30</v>
      </c>
    </row>
    <row r="86" spans="4:12" x14ac:dyDescent="0.25">
      <c r="D86" s="1"/>
      <c r="E86" t="s">
        <v>25</v>
      </c>
      <c r="F86" s="1">
        <v>50</v>
      </c>
      <c r="G86" t="s">
        <v>26</v>
      </c>
      <c r="H86" t="s">
        <v>27</v>
      </c>
      <c r="I86" t="s">
        <v>28</v>
      </c>
      <c r="J86" t="s">
        <v>29</v>
      </c>
      <c r="K86">
        <v>6.2911999999999996E-2</v>
      </c>
      <c r="L86" t="s">
        <v>30</v>
      </c>
    </row>
    <row r="87" spans="4:12" x14ac:dyDescent="0.25">
      <c r="D87" s="1"/>
      <c r="E87" t="s">
        <v>25</v>
      </c>
      <c r="F87" s="1">
        <v>50.583333333333336</v>
      </c>
      <c r="G87" t="s">
        <v>26</v>
      </c>
      <c r="H87" t="s">
        <v>27</v>
      </c>
      <c r="I87" t="s">
        <v>28</v>
      </c>
      <c r="J87" t="s">
        <v>29</v>
      </c>
      <c r="K87">
        <v>5.8751999999999999E-2</v>
      </c>
      <c r="L87" t="s">
        <v>30</v>
      </c>
    </row>
    <row r="88" spans="4:12" x14ac:dyDescent="0.25">
      <c r="D88" s="1"/>
      <c r="E88" t="s">
        <v>25</v>
      </c>
      <c r="F88" s="1">
        <v>51.166666666666664</v>
      </c>
      <c r="G88" t="s">
        <v>26</v>
      </c>
      <c r="H88" t="s">
        <v>27</v>
      </c>
      <c r="I88" t="s">
        <v>28</v>
      </c>
      <c r="J88" t="s">
        <v>29</v>
      </c>
      <c r="K88">
        <v>6.5855999999999998E-2</v>
      </c>
      <c r="L88" t="s">
        <v>30</v>
      </c>
    </row>
    <row r="89" spans="4:12" x14ac:dyDescent="0.25">
      <c r="D89" s="1"/>
      <c r="E89" t="s">
        <v>25</v>
      </c>
      <c r="F89" s="1">
        <v>51.75</v>
      </c>
      <c r="G89" t="s">
        <v>26</v>
      </c>
      <c r="H89" t="s">
        <v>27</v>
      </c>
      <c r="I89" t="s">
        <v>28</v>
      </c>
      <c r="J89" t="s">
        <v>29</v>
      </c>
      <c r="K89">
        <v>9.1135999999999995E-2</v>
      </c>
      <c r="L89" t="s">
        <v>30</v>
      </c>
    </row>
    <row r="90" spans="4:12" x14ac:dyDescent="0.25">
      <c r="D90" s="1"/>
      <c r="E90" t="s">
        <v>25</v>
      </c>
      <c r="F90" s="1">
        <v>52.333333333333336</v>
      </c>
      <c r="G90" t="s">
        <v>26</v>
      </c>
      <c r="H90" t="s">
        <v>27</v>
      </c>
      <c r="I90" t="s">
        <v>28</v>
      </c>
      <c r="J90" t="s">
        <v>29</v>
      </c>
      <c r="K90">
        <v>0.15385599999999999</v>
      </c>
      <c r="L90" t="s">
        <v>30</v>
      </c>
    </row>
    <row r="91" spans="4:12" x14ac:dyDescent="0.25">
      <c r="D91" s="1"/>
      <c r="E91" t="s">
        <v>25</v>
      </c>
      <c r="F91" s="1">
        <v>52.916666666666664</v>
      </c>
      <c r="G91" t="s">
        <v>26</v>
      </c>
      <c r="H91" t="s">
        <v>27</v>
      </c>
      <c r="I91" t="s">
        <v>28</v>
      </c>
      <c r="J91" t="s">
        <v>29</v>
      </c>
      <c r="K91">
        <v>0.248</v>
      </c>
      <c r="L91" t="s">
        <v>30</v>
      </c>
    </row>
    <row r="92" spans="4:12" x14ac:dyDescent="0.25">
      <c r="D92" s="1"/>
      <c r="E92" t="s">
        <v>25</v>
      </c>
      <c r="F92" s="1">
        <v>53.5</v>
      </c>
      <c r="G92" t="s">
        <v>26</v>
      </c>
      <c r="H92" t="s">
        <v>27</v>
      </c>
      <c r="I92" t="s">
        <v>28</v>
      </c>
      <c r="J92" t="s">
        <v>29</v>
      </c>
      <c r="K92">
        <v>6.5727999999999995E-2</v>
      </c>
      <c r="L92" t="s">
        <v>30</v>
      </c>
    </row>
    <row r="93" spans="4:12" x14ac:dyDescent="0.25">
      <c r="D93" s="1"/>
      <c r="E93" t="s">
        <v>25</v>
      </c>
      <c r="F93" s="1">
        <v>54.083333333333336</v>
      </c>
      <c r="G93" t="s">
        <v>26</v>
      </c>
      <c r="H93" t="s">
        <v>27</v>
      </c>
      <c r="I93" t="s">
        <v>28</v>
      </c>
      <c r="J93" t="s">
        <v>29</v>
      </c>
      <c r="K93">
        <v>6.5920000000000006E-2</v>
      </c>
      <c r="L93" t="s">
        <v>30</v>
      </c>
    </row>
    <row r="94" spans="4:12" x14ac:dyDescent="0.25">
      <c r="D94" s="1"/>
      <c r="E94" t="s">
        <v>25</v>
      </c>
      <c r="F94" s="1">
        <v>54.666666666666664</v>
      </c>
      <c r="G94" t="s">
        <v>26</v>
      </c>
      <c r="H94" t="s">
        <v>27</v>
      </c>
      <c r="I94" t="s">
        <v>28</v>
      </c>
      <c r="J94" t="s">
        <v>29</v>
      </c>
      <c r="K94">
        <v>6.1376E-2</v>
      </c>
      <c r="L94" t="s">
        <v>30</v>
      </c>
    </row>
    <row r="95" spans="4:12" x14ac:dyDescent="0.25">
      <c r="D95" s="1"/>
      <c r="E95" t="s">
        <v>25</v>
      </c>
      <c r="F95" s="1">
        <v>55.25</v>
      </c>
      <c r="G95" t="s">
        <v>26</v>
      </c>
      <c r="H95" t="s">
        <v>27</v>
      </c>
      <c r="I95" t="s">
        <v>28</v>
      </c>
      <c r="J95" t="s">
        <v>29</v>
      </c>
      <c r="K95">
        <v>6.8224000000000007E-2</v>
      </c>
      <c r="L95" t="s">
        <v>30</v>
      </c>
    </row>
    <row r="96" spans="4:12" x14ac:dyDescent="0.25">
      <c r="D96" s="1"/>
      <c r="E96" t="s">
        <v>25</v>
      </c>
      <c r="F96" s="1">
        <v>55.833333333333336</v>
      </c>
      <c r="G96" t="s">
        <v>26</v>
      </c>
      <c r="H96" t="s">
        <v>27</v>
      </c>
      <c r="I96" t="s">
        <v>28</v>
      </c>
      <c r="J96" t="s">
        <v>29</v>
      </c>
      <c r="K96">
        <v>9.3759999999999996E-2</v>
      </c>
      <c r="L96" t="s">
        <v>30</v>
      </c>
    </row>
    <row r="97" spans="4:12" x14ac:dyDescent="0.25">
      <c r="D97" s="1"/>
      <c r="E97" t="s">
        <v>25</v>
      </c>
      <c r="F97" s="1">
        <v>56.416666666666664</v>
      </c>
      <c r="G97" t="s">
        <v>26</v>
      </c>
      <c r="H97" t="s">
        <v>27</v>
      </c>
      <c r="I97" t="s">
        <v>28</v>
      </c>
      <c r="J97" t="s">
        <v>29</v>
      </c>
      <c r="K97">
        <v>0.157056</v>
      </c>
      <c r="L97" t="s">
        <v>30</v>
      </c>
    </row>
    <row r="98" spans="4:12" x14ac:dyDescent="0.25">
      <c r="D98" s="1"/>
      <c r="E98" t="s">
        <v>25</v>
      </c>
      <c r="F98" s="1">
        <v>57</v>
      </c>
      <c r="G98" t="s">
        <v>26</v>
      </c>
      <c r="H98" t="s">
        <v>27</v>
      </c>
      <c r="I98" t="s">
        <v>28</v>
      </c>
      <c r="J98" t="s">
        <v>29</v>
      </c>
      <c r="K98">
        <v>0.27039999999999997</v>
      </c>
      <c r="L98" t="s">
        <v>30</v>
      </c>
    </row>
    <row r="99" spans="4:12" x14ac:dyDescent="0.25">
      <c r="D99" s="1"/>
      <c r="E99" t="s">
        <v>25</v>
      </c>
      <c r="F99" s="1">
        <v>57.583333333333336</v>
      </c>
      <c r="G99" t="s">
        <v>26</v>
      </c>
      <c r="H99" t="s">
        <v>27</v>
      </c>
      <c r="I99" t="s">
        <v>28</v>
      </c>
      <c r="J99" t="s">
        <v>29</v>
      </c>
      <c r="K99">
        <v>7.2767999999999999E-2</v>
      </c>
      <c r="L99" t="s">
        <v>30</v>
      </c>
    </row>
    <row r="100" spans="4:12" x14ac:dyDescent="0.25">
      <c r="D100" s="1"/>
      <c r="E100" t="s">
        <v>25</v>
      </c>
      <c r="F100" s="1">
        <v>58.166666666666664</v>
      </c>
      <c r="G100" t="s">
        <v>26</v>
      </c>
      <c r="H100" t="s">
        <v>27</v>
      </c>
      <c r="I100" t="s">
        <v>28</v>
      </c>
      <c r="J100" t="s">
        <v>29</v>
      </c>
      <c r="K100">
        <v>7.3216000000000003E-2</v>
      </c>
      <c r="L100" t="s">
        <v>30</v>
      </c>
    </row>
    <row r="101" spans="4:12" x14ac:dyDescent="0.25">
      <c r="D101" s="1"/>
      <c r="E101" t="s">
        <v>25</v>
      </c>
      <c r="F101" s="1">
        <v>58.75</v>
      </c>
      <c r="G101" t="s">
        <v>26</v>
      </c>
      <c r="H101" t="s">
        <v>27</v>
      </c>
      <c r="I101" t="s">
        <v>28</v>
      </c>
      <c r="J101" t="s">
        <v>29</v>
      </c>
      <c r="K101">
        <v>6.8288000000000001E-2</v>
      </c>
      <c r="L101" t="s">
        <v>30</v>
      </c>
    </row>
    <row r="102" spans="4:12" x14ac:dyDescent="0.25">
      <c r="D102" s="1"/>
      <c r="E102" t="s">
        <v>25</v>
      </c>
      <c r="F102" s="1">
        <v>59.333333333333336</v>
      </c>
      <c r="G102" t="s">
        <v>26</v>
      </c>
      <c r="H102" t="s">
        <v>27</v>
      </c>
      <c r="I102" t="s">
        <v>28</v>
      </c>
      <c r="J102" t="s">
        <v>29</v>
      </c>
      <c r="K102">
        <v>8.1280000000000005E-2</v>
      </c>
      <c r="L102" t="s">
        <v>30</v>
      </c>
    </row>
    <row r="103" spans="4:12" x14ac:dyDescent="0.25">
      <c r="D103" s="1"/>
      <c r="E103" t="s">
        <v>25</v>
      </c>
      <c r="F103" s="1">
        <v>59.916666666666664</v>
      </c>
      <c r="G103" t="s">
        <v>26</v>
      </c>
      <c r="H103" t="s">
        <v>27</v>
      </c>
      <c r="I103" t="s">
        <v>28</v>
      </c>
      <c r="J103" t="s">
        <v>29</v>
      </c>
      <c r="K103">
        <v>0.124416</v>
      </c>
      <c r="L103" t="s">
        <v>30</v>
      </c>
    </row>
    <row r="104" spans="4:12" x14ac:dyDescent="0.25">
      <c r="D104" s="1"/>
      <c r="E104" t="s">
        <v>25</v>
      </c>
      <c r="F104" s="1">
        <v>60.5</v>
      </c>
      <c r="G104" t="s">
        <v>26</v>
      </c>
      <c r="H104" t="s">
        <v>27</v>
      </c>
      <c r="I104" t="s">
        <v>28</v>
      </c>
      <c r="J104" t="s">
        <v>29</v>
      </c>
      <c r="K104">
        <v>0.19359999999999999</v>
      </c>
      <c r="L104" t="s">
        <v>30</v>
      </c>
    </row>
    <row r="105" spans="4:12" x14ac:dyDescent="0.25">
      <c r="D105" s="1"/>
      <c r="E105" t="s">
        <v>25</v>
      </c>
      <c r="F105" s="1">
        <v>61.083333333333336</v>
      </c>
      <c r="G105" t="s">
        <v>26</v>
      </c>
      <c r="H105" t="s">
        <v>27</v>
      </c>
      <c r="I105" t="s">
        <v>28</v>
      </c>
      <c r="J105" t="s">
        <v>29</v>
      </c>
      <c r="K105">
        <v>0.38284800000000002</v>
      </c>
      <c r="L105" t="s">
        <v>30</v>
      </c>
    </row>
    <row r="106" spans="4:12" x14ac:dyDescent="0.25">
      <c r="D106" s="1"/>
      <c r="E106" t="s">
        <v>25</v>
      </c>
      <c r="F106" s="1">
        <v>61.666666666666664</v>
      </c>
      <c r="G106" t="s">
        <v>26</v>
      </c>
      <c r="H106" t="s">
        <v>27</v>
      </c>
      <c r="I106" t="s">
        <v>28</v>
      </c>
      <c r="J106" t="s">
        <v>29</v>
      </c>
      <c r="K106">
        <v>9.3567999999999998E-2</v>
      </c>
      <c r="L106" t="s">
        <v>30</v>
      </c>
    </row>
    <row r="107" spans="4:12" x14ac:dyDescent="0.25">
      <c r="D107" s="1"/>
      <c r="E107" t="s">
        <v>25</v>
      </c>
      <c r="F107" s="1">
        <v>62.25</v>
      </c>
      <c r="G107" t="s">
        <v>26</v>
      </c>
      <c r="H107" t="s">
        <v>27</v>
      </c>
      <c r="I107" t="s">
        <v>28</v>
      </c>
      <c r="J107" t="s">
        <v>29</v>
      </c>
      <c r="K107">
        <v>9.1392000000000001E-2</v>
      </c>
      <c r="L107" t="s">
        <v>30</v>
      </c>
    </row>
    <row r="108" spans="4:12" x14ac:dyDescent="0.25">
      <c r="D108" s="1"/>
      <c r="E108" t="s">
        <v>25</v>
      </c>
      <c r="F108" s="1">
        <v>62.833333333333336</v>
      </c>
      <c r="G108" t="s">
        <v>26</v>
      </c>
      <c r="H108" t="s">
        <v>27</v>
      </c>
      <c r="I108" t="s">
        <v>28</v>
      </c>
      <c r="J108" t="s">
        <v>29</v>
      </c>
      <c r="K108">
        <v>8.5823999999999998E-2</v>
      </c>
      <c r="L108" t="s">
        <v>30</v>
      </c>
    </row>
    <row r="109" spans="4:12" x14ac:dyDescent="0.25">
      <c r="D109" s="1"/>
      <c r="E109" t="s">
        <v>25</v>
      </c>
      <c r="F109" s="1">
        <v>63.416666666666664</v>
      </c>
      <c r="G109" t="s">
        <v>26</v>
      </c>
      <c r="H109" t="s">
        <v>27</v>
      </c>
      <c r="I109" t="s">
        <v>28</v>
      </c>
      <c r="J109" t="s">
        <v>29</v>
      </c>
      <c r="K109">
        <v>0.12620799999999999</v>
      </c>
      <c r="L109" t="s">
        <v>30</v>
      </c>
    </row>
    <row r="110" spans="4:12" x14ac:dyDescent="0.25">
      <c r="D110" s="1"/>
      <c r="E110" t="s">
        <v>25</v>
      </c>
      <c r="F110" s="1">
        <v>64</v>
      </c>
      <c r="G110" t="s">
        <v>26</v>
      </c>
      <c r="H110" t="s">
        <v>27</v>
      </c>
      <c r="I110" t="s">
        <v>28</v>
      </c>
      <c r="J110" t="s">
        <v>29</v>
      </c>
      <c r="K110">
        <v>0.186944</v>
      </c>
      <c r="L110" t="s">
        <v>30</v>
      </c>
    </row>
    <row r="111" spans="4:12" x14ac:dyDescent="0.25">
      <c r="D111" s="1"/>
      <c r="E111" t="s">
        <v>25</v>
      </c>
      <c r="F111" s="1">
        <v>64.583333333333329</v>
      </c>
      <c r="G111" t="s">
        <v>26</v>
      </c>
      <c r="H111" t="s">
        <v>27</v>
      </c>
      <c r="I111" t="s">
        <v>28</v>
      </c>
      <c r="J111" t="s">
        <v>29</v>
      </c>
      <c r="K111">
        <v>0.301952</v>
      </c>
      <c r="L111" t="s">
        <v>30</v>
      </c>
    </row>
    <row r="112" spans="4:12" x14ac:dyDescent="0.25">
      <c r="D112" s="1"/>
      <c r="E112" t="s">
        <v>25</v>
      </c>
      <c r="F112" s="1">
        <v>65.166666666666671</v>
      </c>
      <c r="G112" t="s">
        <v>26</v>
      </c>
      <c r="H112" t="s">
        <v>27</v>
      </c>
      <c r="I112" t="s">
        <v>28</v>
      </c>
      <c r="J112" t="s">
        <v>29</v>
      </c>
      <c r="K112">
        <v>0.67334400000000005</v>
      </c>
      <c r="L112" t="s">
        <v>30</v>
      </c>
    </row>
    <row r="113" spans="4:12" x14ac:dyDescent="0.25">
      <c r="D113" s="1"/>
      <c r="E113" t="s">
        <v>25</v>
      </c>
      <c r="F113" s="1">
        <v>65.75</v>
      </c>
      <c r="G113" t="s">
        <v>26</v>
      </c>
      <c r="H113" t="s">
        <v>27</v>
      </c>
      <c r="I113" t="s">
        <v>28</v>
      </c>
      <c r="J113" t="s">
        <v>29</v>
      </c>
      <c r="K113">
        <v>0.143872</v>
      </c>
      <c r="L113" t="s">
        <v>30</v>
      </c>
    </row>
    <row r="114" spans="4:12" x14ac:dyDescent="0.25">
      <c r="D114" s="1"/>
      <c r="E114" t="s">
        <v>25</v>
      </c>
      <c r="F114" s="1">
        <v>66.333333333333329</v>
      </c>
      <c r="G114" t="s">
        <v>26</v>
      </c>
      <c r="H114" t="s">
        <v>27</v>
      </c>
      <c r="I114" t="s">
        <v>28</v>
      </c>
      <c r="J114" t="s">
        <v>29</v>
      </c>
      <c r="K114">
        <v>0.145536</v>
      </c>
      <c r="L114" t="s">
        <v>30</v>
      </c>
    </row>
    <row r="115" spans="4:12" x14ac:dyDescent="0.25">
      <c r="D115" s="1"/>
      <c r="E115" t="s">
        <v>25</v>
      </c>
      <c r="F115" s="1">
        <v>66.916666666666671</v>
      </c>
      <c r="G115" t="s">
        <v>26</v>
      </c>
      <c r="H115" t="s">
        <v>27</v>
      </c>
      <c r="I115" t="s">
        <v>28</v>
      </c>
      <c r="J115" t="s">
        <v>29</v>
      </c>
      <c r="K115">
        <v>0.127744</v>
      </c>
      <c r="L115" t="s">
        <v>30</v>
      </c>
    </row>
    <row r="116" spans="4:12" x14ac:dyDescent="0.25">
      <c r="D116" s="1"/>
      <c r="E116" t="s">
        <v>25</v>
      </c>
      <c r="F116" s="1">
        <v>67.5</v>
      </c>
      <c r="G116" t="s">
        <v>26</v>
      </c>
      <c r="H116" t="s">
        <v>27</v>
      </c>
      <c r="I116" t="s">
        <v>28</v>
      </c>
      <c r="J116" t="s">
        <v>29</v>
      </c>
      <c r="K116">
        <v>0.19436800000000001</v>
      </c>
      <c r="L116" t="s">
        <v>30</v>
      </c>
    </row>
    <row r="117" spans="4:12" x14ac:dyDescent="0.25">
      <c r="D117" s="1"/>
      <c r="E117" t="s">
        <v>25</v>
      </c>
      <c r="F117" s="1">
        <v>68.083333333333329</v>
      </c>
      <c r="G117" t="s">
        <v>26</v>
      </c>
      <c r="H117" t="s">
        <v>27</v>
      </c>
      <c r="I117" t="s">
        <v>28</v>
      </c>
      <c r="J117" t="s">
        <v>29</v>
      </c>
      <c r="K117">
        <v>0.32108799999999998</v>
      </c>
      <c r="L117" t="s">
        <v>30</v>
      </c>
    </row>
    <row r="118" spans="4:12" x14ac:dyDescent="0.25">
      <c r="D118" s="1"/>
      <c r="E118" t="s">
        <v>25</v>
      </c>
      <c r="F118" s="1">
        <v>68.666666666666671</v>
      </c>
      <c r="G118" t="s">
        <v>26</v>
      </c>
      <c r="H118" t="s">
        <v>27</v>
      </c>
      <c r="I118" t="s">
        <v>28</v>
      </c>
      <c r="J118" t="s">
        <v>29</v>
      </c>
      <c r="K118">
        <v>0.67353600000000002</v>
      </c>
      <c r="L118" t="s">
        <v>30</v>
      </c>
    </row>
    <row r="119" spans="4:12" x14ac:dyDescent="0.25">
      <c r="D119" s="1"/>
      <c r="E119" t="s">
        <v>25</v>
      </c>
      <c r="F119" s="1">
        <v>69.25</v>
      </c>
      <c r="G119" t="s">
        <v>26</v>
      </c>
      <c r="H119" t="s">
        <v>27</v>
      </c>
      <c r="I119" t="s">
        <v>28</v>
      </c>
      <c r="J119" t="s">
        <v>29</v>
      </c>
      <c r="K119">
        <v>1.203136</v>
      </c>
      <c r="L119" t="s">
        <v>30</v>
      </c>
    </row>
    <row r="120" spans="4:12" x14ac:dyDescent="0.25">
      <c r="D120" s="1"/>
      <c r="E120" t="s">
        <v>25</v>
      </c>
      <c r="F120" s="1">
        <v>69.833333333333329</v>
      </c>
      <c r="G120" t="s">
        <v>26</v>
      </c>
      <c r="H120" t="s">
        <v>27</v>
      </c>
      <c r="I120" t="s">
        <v>28</v>
      </c>
      <c r="J120" t="s">
        <v>29</v>
      </c>
      <c r="K120">
        <v>0.22688</v>
      </c>
      <c r="L120" t="s">
        <v>30</v>
      </c>
    </row>
    <row r="121" spans="4:12" x14ac:dyDescent="0.25">
      <c r="D121" s="1"/>
      <c r="E121" t="s">
        <v>25</v>
      </c>
      <c r="F121" s="1">
        <v>70.416666666666671</v>
      </c>
      <c r="G121" t="s">
        <v>26</v>
      </c>
      <c r="H121" t="s">
        <v>27</v>
      </c>
      <c r="I121" t="s">
        <v>28</v>
      </c>
      <c r="J121" t="s">
        <v>29</v>
      </c>
      <c r="K121">
        <v>0.22048000000000001</v>
      </c>
      <c r="L121" t="s">
        <v>30</v>
      </c>
    </row>
    <row r="122" spans="4:12" x14ac:dyDescent="0.25">
      <c r="D122" s="1"/>
      <c r="E122" t="s">
        <v>25</v>
      </c>
      <c r="F122" s="1">
        <v>71</v>
      </c>
      <c r="G122" t="s">
        <v>26</v>
      </c>
      <c r="H122" t="s">
        <v>27</v>
      </c>
      <c r="I122" t="s">
        <v>28</v>
      </c>
      <c r="J122" t="s">
        <v>29</v>
      </c>
      <c r="K122">
        <v>0.21343999999999999</v>
      </c>
      <c r="L122" t="s">
        <v>30</v>
      </c>
    </row>
    <row r="123" spans="4:12" x14ac:dyDescent="0.25">
      <c r="D123" s="1"/>
      <c r="E123" t="s">
        <v>25</v>
      </c>
      <c r="F123" s="1">
        <v>71.583333333333329</v>
      </c>
      <c r="G123" t="s">
        <v>26</v>
      </c>
      <c r="H123" t="s">
        <v>27</v>
      </c>
      <c r="I123" t="s">
        <v>28</v>
      </c>
      <c r="J123" t="s">
        <v>29</v>
      </c>
      <c r="K123">
        <v>0.34304000000000001</v>
      </c>
      <c r="L123" t="s">
        <v>30</v>
      </c>
    </row>
    <row r="124" spans="4:12" x14ac:dyDescent="0.25">
      <c r="D124" s="1"/>
      <c r="E124" t="s">
        <v>25</v>
      </c>
      <c r="F124" s="1">
        <v>72.166666666666671</v>
      </c>
      <c r="G124" t="s">
        <v>26</v>
      </c>
      <c r="H124" t="s">
        <v>27</v>
      </c>
      <c r="I124" t="s">
        <v>28</v>
      </c>
      <c r="J124" t="s">
        <v>29</v>
      </c>
      <c r="K124">
        <v>0.68908800000000003</v>
      </c>
      <c r="L124" t="s">
        <v>30</v>
      </c>
    </row>
    <row r="125" spans="4:12" x14ac:dyDescent="0.25">
      <c r="D125" s="1"/>
      <c r="E125" t="s">
        <v>25</v>
      </c>
      <c r="F125" s="1">
        <v>72.75</v>
      </c>
      <c r="G125" t="s">
        <v>26</v>
      </c>
      <c r="H125" t="s">
        <v>27</v>
      </c>
      <c r="I125" t="s">
        <v>28</v>
      </c>
      <c r="J125" t="s">
        <v>29</v>
      </c>
      <c r="K125">
        <v>1.244032</v>
      </c>
      <c r="L125" t="s">
        <v>30</v>
      </c>
    </row>
    <row r="126" spans="4:12" x14ac:dyDescent="0.25">
      <c r="D126" s="1"/>
      <c r="E126" t="s">
        <v>25</v>
      </c>
      <c r="F126" s="1">
        <v>73.333333333333329</v>
      </c>
      <c r="G126" t="s">
        <v>26</v>
      </c>
      <c r="H126" t="s">
        <v>27</v>
      </c>
      <c r="I126" t="s">
        <v>28</v>
      </c>
      <c r="J126" t="s">
        <v>29</v>
      </c>
      <c r="K126">
        <v>2.2583039999999999</v>
      </c>
      <c r="L126" t="s">
        <v>30</v>
      </c>
    </row>
    <row r="127" spans="4:12" x14ac:dyDescent="0.25">
      <c r="D127" s="1"/>
      <c r="E127" t="s">
        <v>25</v>
      </c>
      <c r="F127" s="1">
        <v>73.916666666666671</v>
      </c>
      <c r="G127" t="s">
        <v>26</v>
      </c>
      <c r="H127" t="s">
        <v>27</v>
      </c>
      <c r="I127" t="s">
        <v>28</v>
      </c>
      <c r="J127" t="s">
        <v>29</v>
      </c>
      <c r="K127">
        <v>0.29491200000000001</v>
      </c>
      <c r="L127" t="s">
        <v>30</v>
      </c>
    </row>
    <row r="128" spans="4:12" x14ac:dyDescent="0.25">
      <c r="D128" s="1"/>
      <c r="E128" t="s">
        <v>25</v>
      </c>
      <c r="F128" s="1">
        <v>74.5</v>
      </c>
      <c r="G128" t="s">
        <v>26</v>
      </c>
      <c r="H128" t="s">
        <v>27</v>
      </c>
      <c r="I128" t="s">
        <v>28</v>
      </c>
      <c r="J128" t="s">
        <v>29</v>
      </c>
      <c r="K128">
        <v>0.32307200000000003</v>
      </c>
      <c r="L128" t="s">
        <v>30</v>
      </c>
    </row>
    <row r="129" spans="4:12" x14ac:dyDescent="0.25">
      <c r="D129" s="1"/>
      <c r="E129" t="s">
        <v>25</v>
      </c>
      <c r="F129" s="1">
        <v>75.083333333333329</v>
      </c>
      <c r="G129" t="s">
        <v>26</v>
      </c>
      <c r="H129" t="s">
        <v>27</v>
      </c>
      <c r="I129" t="s">
        <v>28</v>
      </c>
      <c r="J129" t="s">
        <v>29</v>
      </c>
      <c r="K129">
        <v>0.30355199999999999</v>
      </c>
      <c r="L129" t="s">
        <v>30</v>
      </c>
    </row>
    <row r="130" spans="4:12" x14ac:dyDescent="0.25">
      <c r="D130" s="1"/>
      <c r="E130" t="s">
        <v>25</v>
      </c>
      <c r="F130" s="1">
        <v>75.666666666666671</v>
      </c>
      <c r="G130" t="s">
        <v>26</v>
      </c>
      <c r="H130" t="s">
        <v>27</v>
      </c>
      <c r="I130" t="s">
        <v>28</v>
      </c>
      <c r="J130" t="s">
        <v>29</v>
      </c>
      <c r="K130">
        <v>0.51673599999999997</v>
      </c>
      <c r="L130" t="s">
        <v>30</v>
      </c>
    </row>
    <row r="131" spans="4:12" x14ac:dyDescent="0.25">
      <c r="D131" s="1"/>
      <c r="E131" t="s">
        <v>25</v>
      </c>
      <c r="F131" s="1">
        <v>76.25</v>
      </c>
      <c r="G131" t="s">
        <v>26</v>
      </c>
      <c r="H131" t="s">
        <v>27</v>
      </c>
      <c r="I131" t="s">
        <v>28</v>
      </c>
      <c r="J131" t="s">
        <v>29</v>
      </c>
      <c r="K131">
        <v>0.98431999999999997</v>
      </c>
      <c r="L131" t="s">
        <v>30</v>
      </c>
    </row>
    <row r="132" spans="4:12" x14ac:dyDescent="0.25">
      <c r="D132" s="1"/>
      <c r="E132" t="s">
        <v>25</v>
      </c>
      <c r="F132" s="1">
        <v>76.833333333333329</v>
      </c>
      <c r="G132" t="s">
        <v>26</v>
      </c>
      <c r="H132" t="s">
        <v>27</v>
      </c>
      <c r="I132" t="s">
        <v>28</v>
      </c>
      <c r="J132" t="s">
        <v>29</v>
      </c>
      <c r="K132">
        <v>1.726208</v>
      </c>
      <c r="L132" t="s">
        <v>30</v>
      </c>
    </row>
    <row r="133" spans="4:12" x14ac:dyDescent="0.25">
      <c r="D133" s="1"/>
      <c r="E133" t="s">
        <v>25</v>
      </c>
      <c r="F133" s="1">
        <v>77.416666666666671</v>
      </c>
      <c r="G133" t="s">
        <v>26</v>
      </c>
      <c r="H133" t="s">
        <v>27</v>
      </c>
      <c r="I133" t="s">
        <v>28</v>
      </c>
      <c r="J133" t="s">
        <v>29</v>
      </c>
      <c r="K133">
        <v>3.2831359999999998</v>
      </c>
      <c r="L133" t="s">
        <v>30</v>
      </c>
    </row>
    <row r="134" spans="4:12" x14ac:dyDescent="0.25">
      <c r="D134" s="1"/>
      <c r="E134" t="s">
        <v>25</v>
      </c>
      <c r="F134" s="1">
        <v>78</v>
      </c>
      <c r="G134" t="s">
        <v>26</v>
      </c>
      <c r="H134" t="s">
        <v>27</v>
      </c>
      <c r="I134" t="s">
        <v>28</v>
      </c>
      <c r="J134" t="s">
        <v>29</v>
      </c>
      <c r="K134">
        <v>0.416128</v>
      </c>
      <c r="L134" t="s">
        <v>30</v>
      </c>
    </row>
    <row r="135" spans="4:12" x14ac:dyDescent="0.25">
      <c r="D135" s="1"/>
      <c r="E135" t="s">
        <v>25</v>
      </c>
      <c r="F135" s="1">
        <v>78.583333333333329</v>
      </c>
      <c r="G135" t="s">
        <v>26</v>
      </c>
      <c r="H135" t="s">
        <v>27</v>
      </c>
      <c r="I135" t="s">
        <v>28</v>
      </c>
      <c r="J135" t="s">
        <v>29</v>
      </c>
      <c r="K135">
        <v>0.41887999999999997</v>
      </c>
      <c r="L135" t="s">
        <v>30</v>
      </c>
    </row>
    <row r="136" spans="4:12" x14ac:dyDescent="0.25">
      <c r="D136" s="1"/>
      <c r="E136" t="s">
        <v>25</v>
      </c>
      <c r="F136" s="1">
        <v>79.166666666666671</v>
      </c>
      <c r="G136" t="s">
        <v>26</v>
      </c>
      <c r="H136" t="s">
        <v>27</v>
      </c>
      <c r="I136" t="s">
        <v>28</v>
      </c>
      <c r="J136" t="s">
        <v>29</v>
      </c>
      <c r="K136">
        <v>0.40473599999999998</v>
      </c>
      <c r="L136" t="s">
        <v>30</v>
      </c>
    </row>
    <row r="137" spans="4:12" x14ac:dyDescent="0.25">
      <c r="D137" s="1"/>
      <c r="E137" t="s">
        <v>25</v>
      </c>
      <c r="F137" s="1">
        <v>79.75</v>
      </c>
      <c r="G137" t="s">
        <v>26</v>
      </c>
      <c r="H137" t="s">
        <v>27</v>
      </c>
      <c r="I137" t="s">
        <v>28</v>
      </c>
      <c r="J137" t="s">
        <v>29</v>
      </c>
      <c r="K137">
        <v>0.68159999999999998</v>
      </c>
      <c r="L137" t="s">
        <v>30</v>
      </c>
    </row>
    <row r="138" spans="4:12" x14ac:dyDescent="0.25">
      <c r="D138" s="1"/>
      <c r="E138" t="s">
        <v>25</v>
      </c>
      <c r="F138" s="1">
        <v>80.333333333333329</v>
      </c>
      <c r="G138" t="s">
        <v>26</v>
      </c>
      <c r="H138" t="s">
        <v>27</v>
      </c>
      <c r="I138" t="s">
        <v>28</v>
      </c>
      <c r="J138" t="s">
        <v>29</v>
      </c>
      <c r="K138">
        <v>1.272</v>
      </c>
      <c r="L138" t="s">
        <v>30</v>
      </c>
    </row>
    <row r="139" spans="4:12" x14ac:dyDescent="0.25">
      <c r="D139" s="1"/>
      <c r="E139" t="s">
        <v>25</v>
      </c>
      <c r="F139" s="1">
        <v>80.916666666666671</v>
      </c>
      <c r="G139" t="s">
        <v>26</v>
      </c>
      <c r="H139" t="s">
        <v>27</v>
      </c>
      <c r="I139" t="s">
        <v>28</v>
      </c>
      <c r="J139" t="s">
        <v>29</v>
      </c>
      <c r="K139">
        <v>2.3731840000000002</v>
      </c>
      <c r="L139" t="s">
        <v>30</v>
      </c>
    </row>
    <row r="140" spans="4:12" x14ac:dyDescent="0.25">
      <c r="D140" s="1"/>
      <c r="E140" t="s">
        <v>25</v>
      </c>
      <c r="F140" s="1">
        <v>81.5</v>
      </c>
      <c r="G140" t="s">
        <v>26</v>
      </c>
      <c r="H140" t="s">
        <v>27</v>
      </c>
      <c r="I140" t="s">
        <v>28</v>
      </c>
      <c r="J140" t="s">
        <v>29</v>
      </c>
      <c r="K140">
        <v>4.3162880000000001</v>
      </c>
      <c r="L140" t="s">
        <v>30</v>
      </c>
    </row>
    <row r="141" spans="4:12" x14ac:dyDescent="0.25">
      <c r="D141" s="1"/>
      <c r="E141" t="s">
        <v>25</v>
      </c>
      <c r="F141" s="1">
        <v>82.083333333333329</v>
      </c>
      <c r="G141" t="s">
        <v>26</v>
      </c>
      <c r="H141" t="s">
        <v>27</v>
      </c>
      <c r="I141" t="s">
        <v>28</v>
      </c>
      <c r="J141" t="s">
        <v>29</v>
      </c>
      <c r="K141">
        <v>0.58048</v>
      </c>
      <c r="L141" t="s">
        <v>30</v>
      </c>
    </row>
    <row r="142" spans="4:12" x14ac:dyDescent="0.25">
      <c r="D142" s="1"/>
      <c r="E142" t="s">
        <v>25</v>
      </c>
      <c r="F142" s="1">
        <v>82.666666666666671</v>
      </c>
      <c r="G142" t="s">
        <v>26</v>
      </c>
      <c r="H142" t="s">
        <v>27</v>
      </c>
      <c r="I142" t="s">
        <v>28</v>
      </c>
      <c r="J142" t="s">
        <v>29</v>
      </c>
      <c r="K142">
        <v>0.59609599999999996</v>
      </c>
      <c r="L142" t="s">
        <v>30</v>
      </c>
    </row>
    <row r="143" spans="4:12" x14ac:dyDescent="0.25">
      <c r="D143" s="1"/>
      <c r="E143" t="s">
        <v>25</v>
      </c>
      <c r="F143" s="1">
        <v>83.25</v>
      </c>
      <c r="G143" t="s">
        <v>26</v>
      </c>
      <c r="H143" t="s">
        <v>27</v>
      </c>
      <c r="I143" t="s">
        <v>28</v>
      </c>
      <c r="J143" t="s">
        <v>29</v>
      </c>
      <c r="K143">
        <v>0.50841599999999998</v>
      </c>
      <c r="L143" t="s">
        <v>30</v>
      </c>
    </row>
    <row r="144" spans="4:12" x14ac:dyDescent="0.25">
      <c r="D144" s="1"/>
      <c r="E144" t="s">
        <v>25</v>
      </c>
      <c r="F144" s="1">
        <v>83.833333333333329</v>
      </c>
      <c r="G144" t="s">
        <v>26</v>
      </c>
      <c r="H144" t="s">
        <v>27</v>
      </c>
      <c r="I144" t="s">
        <v>28</v>
      </c>
      <c r="J144" t="s">
        <v>29</v>
      </c>
      <c r="K144">
        <v>0.84774400000000005</v>
      </c>
      <c r="L144" t="s">
        <v>30</v>
      </c>
    </row>
    <row r="145" spans="4:12" x14ac:dyDescent="0.25">
      <c r="D145" s="1"/>
      <c r="E145" t="s">
        <v>25</v>
      </c>
      <c r="F145" s="1">
        <v>84.416666666666671</v>
      </c>
      <c r="G145" t="s">
        <v>26</v>
      </c>
      <c r="H145" t="s">
        <v>27</v>
      </c>
      <c r="I145" t="s">
        <v>28</v>
      </c>
      <c r="J145" t="s">
        <v>29</v>
      </c>
      <c r="K145">
        <v>1.4927360000000001</v>
      </c>
      <c r="L145" t="s">
        <v>30</v>
      </c>
    </row>
    <row r="146" spans="4:12" x14ac:dyDescent="0.25">
      <c r="D146" s="1"/>
      <c r="E146" t="s">
        <v>25</v>
      </c>
      <c r="F146" s="1">
        <v>3.3333333333333335</v>
      </c>
      <c r="G146" t="s">
        <v>26</v>
      </c>
      <c r="H146" t="s">
        <v>27</v>
      </c>
      <c r="I146" t="s">
        <v>28</v>
      </c>
      <c r="J146" t="s">
        <v>29</v>
      </c>
      <c r="K146">
        <v>2.7440639999999998</v>
      </c>
      <c r="L146" t="s">
        <v>30</v>
      </c>
    </row>
    <row r="147" spans="4:12" x14ac:dyDescent="0.25">
      <c r="D147" s="1"/>
      <c r="E147" t="s">
        <v>25</v>
      </c>
      <c r="F147" s="1">
        <v>3.9166666666666665</v>
      </c>
      <c r="G147" t="s">
        <v>26</v>
      </c>
      <c r="H147" t="s">
        <v>27</v>
      </c>
      <c r="I147" t="s">
        <v>28</v>
      </c>
      <c r="J147" t="s">
        <v>29</v>
      </c>
      <c r="K147">
        <v>5.3909760000000002</v>
      </c>
      <c r="L147" t="s">
        <v>30</v>
      </c>
    </row>
    <row r="148" spans="4:12" x14ac:dyDescent="0.25">
      <c r="D148" s="1"/>
      <c r="E148" t="s">
        <v>25</v>
      </c>
      <c r="F148" s="1">
        <v>4.5</v>
      </c>
      <c r="G148" t="s">
        <v>26</v>
      </c>
      <c r="H148" t="s">
        <v>27</v>
      </c>
      <c r="I148" t="s">
        <v>28</v>
      </c>
      <c r="J148" t="s">
        <v>29</v>
      </c>
      <c r="K148">
        <v>0.68537599999999999</v>
      </c>
      <c r="L148" t="s">
        <v>30</v>
      </c>
    </row>
    <row r="149" spans="4:12" x14ac:dyDescent="0.25">
      <c r="D149" s="1"/>
      <c r="E149" t="s">
        <v>25</v>
      </c>
      <c r="F149" s="1">
        <v>5.083333333333333</v>
      </c>
      <c r="G149" t="s">
        <v>26</v>
      </c>
      <c r="H149" t="s">
        <v>27</v>
      </c>
      <c r="I149" t="s">
        <v>28</v>
      </c>
      <c r="J149" t="s">
        <v>29</v>
      </c>
      <c r="K149">
        <v>0.66380799999999995</v>
      </c>
      <c r="L149" t="s">
        <v>30</v>
      </c>
    </row>
    <row r="150" spans="4:12" x14ac:dyDescent="0.25">
      <c r="D150" s="1"/>
      <c r="E150" t="s">
        <v>25</v>
      </c>
      <c r="F150" s="1">
        <v>5.666666666666667</v>
      </c>
      <c r="G150" t="s">
        <v>26</v>
      </c>
      <c r="H150" t="s">
        <v>27</v>
      </c>
      <c r="I150" t="s">
        <v>28</v>
      </c>
      <c r="J150" t="s">
        <v>29</v>
      </c>
      <c r="K150">
        <v>0.669184</v>
      </c>
      <c r="L150" t="s">
        <v>30</v>
      </c>
    </row>
    <row r="151" spans="4:12" x14ac:dyDescent="0.25">
      <c r="D151" s="1"/>
      <c r="E151" t="s">
        <v>25</v>
      </c>
      <c r="F151" s="1">
        <v>6.25</v>
      </c>
      <c r="G151" t="s">
        <v>26</v>
      </c>
      <c r="H151" t="s">
        <v>27</v>
      </c>
      <c r="I151" t="s">
        <v>28</v>
      </c>
      <c r="J151" t="s">
        <v>29</v>
      </c>
      <c r="K151">
        <v>1.0580480000000001</v>
      </c>
      <c r="L151" t="s">
        <v>30</v>
      </c>
    </row>
    <row r="152" spans="4:12" x14ac:dyDescent="0.25">
      <c r="D152" s="1"/>
      <c r="E152" t="s">
        <v>25</v>
      </c>
      <c r="F152" s="1">
        <v>6.833333333333333</v>
      </c>
      <c r="G152" t="s">
        <v>26</v>
      </c>
      <c r="H152" t="s">
        <v>27</v>
      </c>
      <c r="I152" t="s">
        <v>28</v>
      </c>
      <c r="J152" t="s">
        <v>29</v>
      </c>
      <c r="K152">
        <v>1.847296</v>
      </c>
      <c r="L152" t="s">
        <v>30</v>
      </c>
    </row>
    <row r="153" spans="4:12" x14ac:dyDescent="0.25">
      <c r="D153" s="1"/>
      <c r="E153" t="s">
        <v>25</v>
      </c>
      <c r="F153" s="1">
        <v>7.416666666666667</v>
      </c>
      <c r="G153" t="s">
        <v>26</v>
      </c>
      <c r="H153" t="s">
        <v>27</v>
      </c>
      <c r="I153" t="s">
        <v>28</v>
      </c>
      <c r="J153" t="s">
        <v>29</v>
      </c>
      <c r="K153">
        <v>3.5614080000000001</v>
      </c>
      <c r="L153" t="s">
        <v>30</v>
      </c>
    </row>
    <row r="154" spans="4:12" x14ac:dyDescent="0.25">
      <c r="D154" s="1"/>
      <c r="E154" t="s">
        <v>25</v>
      </c>
      <c r="F154" s="1">
        <v>8</v>
      </c>
      <c r="G154" t="s">
        <v>26</v>
      </c>
      <c r="H154" t="s">
        <v>27</v>
      </c>
      <c r="I154" t="s">
        <v>28</v>
      </c>
      <c r="J154" t="s">
        <v>29</v>
      </c>
      <c r="K154">
        <v>6.370368</v>
      </c>
      <c r="L154" t="s">
        <v>30</v>
      </c>
    </row>
    <row r="155" spans="4:12" x14ac:dyDescent="0.25">
      <c r="D155" s="1"/>
      <c r="E155" t="s">
        <v>25</v>
      </c>
      <c r="F155" s="1">
        <v>8.5833333333333339</v>
      </c>
      <c r="G155" t="s">
        <v>26</v>
      </c>
      <c r="H155" t="s">
        <v>27</v>
      </c>
      <c r="I155" t="s">
        <v>28</v>
      </c>
      <c r="J155" t="s">
        <v>29</v>
      </c>
      <c r="K155">
        <v>0.778304</v>
      </c>
      <c r="L155" t="s">
        <v>30</v>
      </c>
    </row>
    <row r="156" spans="4:12" x14ac:dyDescent="0.25">
      <c r="D156" s="1"/>
      <c r="E156" t="s">
        <v>25</v>
      </c>
      <c r="F156" s="1">
        <v>9.1666666666666661</v>
      </c>
      <c r="G156" t="s">
        <v>26</v>
      </c>
      <c r="H156" t="s">
        <v>27</v>
      </c>
      <c r="I156" t="s">
        <v>28</v>
      </c>
      <c r="J156" t="s">
        <v>29</v>
      </c>
      <c r="K156">
        <v>0.82092799999999999</v>
      </c>
      <c r="L156" t="s">
        <v>30</v>
      </c>
    </row>
    <row r="157" spans="4:12" x14ac:dyDescent="0.25">
      <c r="D157" s="1"/>
      <c r="E157" t="s">
        <v>25</v>
      </c>
      <c r="F157" s="1">
        <v>9.75</v>
      </c>
      <c r="G157" t="s">
        <v>26</v>
      </c>
      <c r="H157" t="s">
        <v>27</v>
      </c>
      <c r="I157" t="s">
        <v>28</v>
      </c>
      <c r="J157" t="s">
        <v>29</v>
      </c>
      <c r="K157">
        <v>0.69945599999999997</v>
      </c>
      <c r="L157" t="s">
        <v>30</v>
      </c>
    </row>
    <row r="158" spans="4:12" x14ac:dyDescent="0.25">
      <c r="D158" s="1"/>
      <c r="E158" t="s">
        <v>25</v>
      </c>
      <c r="F158" s="1">
        <v>10.333333333333334</v>
      </c>
      <c r="G158" t="s">
        <v>26</v>
      </c>
      <c r="H158" t="s">
        <v>27</v>
      </c>
      <c r="I158" t="s">
        <v>28</v>
      </c>
      <c r="J158" t="s">
        <v>29</v>
      </c>
      <c r="K158">
        <v>1.166336</v>
      </c>
      <c r="L158" t="s">
        <v>30</v>
      </c>
    </row>
    <row r="159" spans="4:12" x14ac:dyDescent="0.25">
      <c r="D159" s="1"/>
      <c r="E159" t="s">
        <v>25</v>
      </c>
      <c r="F159" s="1">
        <v>10.916666666666666</v>
      </c>
      <c r="G159" t="s">
        <v>26</v>
      </c>
      <c r="H159" t="s">
        <v>27</v>
      </c>
      <c r="I159" t="s">
        <v>28</v>
      </c>
      <c r="J159" t="s">
        <v>29</v>
      </c>
      <c r="K159">
        <v>1.9322239999999999</v>
      </c>
      <c r="L159" t="s">
        <v>30</v>
      </c>
    </row>
    <row r="160" spans="4:12" x14ac:dyDescent="0.25">
      <c r="D160" s="1"/>
      <c r="E160" t="s">
        <v>25</v>
      </c>
      <c r="F160" s="1">
        <v>11.5</v>
      </c>
      <c r="G160" t="s">
        <v>26</v>
      </c>
      <c r="H160" t="s">
        <v>27</v>
      </c>
      <c r="I160" t="s">
        <v>28</v>
      </c>
      <c r="J160" t="s">
        <v>29</v>
      </c>
      <c r="K160">
        <v>3.7339519999999999</v>
      </c>
      <c r="L160" t="s">
        <v>30</v>
      </c>
    </row>
    <row r="161" spans="4:12" x14ac:dyDescent="0.25">
      <c r="D161" s="1"/>
      <c r="E161" t="s">
        <v>25</v>
      </c>
      <c r="F161" s="1">
        <v>12.083333333333334</v>
      </c>
      <c r="G161" t="s">
        <v>26</v>
      </c>
      <c r="H161" t="s">
        <v>27</v>
      </c>
      <c r="I161" t="s">
        <v>28</v>
      </c>
      <c r="J161" t="s">
        <v>29</v>
      </c>
      <c r="K161">
        <v>7.3761279999999996</v>
      </c>
      <c r="L161" t="s">
        <v>30</v>
      </c>
    </row>
    <row r="162" spans="4:12" x14ac:dyDescent="0.25">
      <c r="D162" s="1"/>
      <c r="E162" t="s">
        <v>25</v>
      </c>
      <c r="F162" s="1">
        <v>12.666666666666666</v>
      </c>
      <c r="G162" t="s">
        <v>26</v>
      </c>
      <c r="H162" t="s">
        <v>27</v>
      </c>
      <c r="I162" t="s">
        <v>28</v>
      </c>
      <c r="J162" t="s">
        <v>29</v>
      </c>
      <c r="K162">
        <v>0.89676800000000001</v>
      </c>
      <c r="L162" t="s">
        <v>30</v>
      </c>
    </row>
    <row r="163" spans="4:12" x14ac:dyDescent="0.25">
      <c r="D163" s="1"/>
      <c r="E163" t="s">
        <v>25</v>
      </c>
      <c r="F163" s="1">
        <v>13.25</v>
      </c>
      <c r="G163" t="s">
        <v>26</v>
      </c>
      <c r="H163" t="s">
        <v>27</v>
      </c>
      <c r="I163" t="s">
        <v>28</v>
      </c>
      <c r="J163" t="s">
        <v>29</v>
      </c>
      <c r="K163">
        <v>0.92057599999999995</v>
      </c>
      <c r="L163" t="s">
        <v>30</v>
      </c>
    </row>
    <row r="164" spans="4:12" x14ac:dyDescent="0.25">
      <c r="D164" s="1"/>
      <c r="E164" t="s">
        <v>25</v>
      </c>
      <c r="F164" s="1">
        <v>13.833333333333334</v>
      </c>
      <c r="G164" t="s">
        <v>26</v>
      </c>
      <c r="H164" t="s">
        <v>27</v>
      </c>
      <c r="I164" t="s">
        <v>28</v>
      </c>
      <c r="J164" t="s">
        <v>29</v>
      </c>
      <c r="K164">
        <v>0.89580800000000005</v>
      </c>
      <c r="L164" t="s">
        <v>30</v>
      </c>
    </row>
    <row r="165" spans="4:12" x14ac:dyDescent="0.25">
      <c r="D165" s="1"/>
      <c r="E165" t="s">
        <v>25</v>
      </c>
      <c r="F165" s="1">
        <v>14.416666666666666</v>
      </c>
      <c r="G165" t="s">
        <v>26</v>
      </c>
      <c r="H165" t="s">
        <v>27</v>
      </c>
      <c r="I165" t="s">
        <v>28</v>
      </c>
      <c r="J165" t="s">
        <v>29</v>
      </c>
      <c r="K165">
        <v>1.4190719999999999</v>
      </c>
      <c r="L165" t="s">
        <v>30</v>
      </c>
    </row>
    <row r="166" spans="4:12" x14ac:dyDescent="0.25">
      <c r="D166" s="1"/>
      <c r="E166" t="s">
        <v>25</v>
      </c>
      <c r="F166" s="1">
        <v>15</v>
      </c>
      <c r="G166" t="s">
        <v>26</v>
      </c>
      <c r="H166" t="s">
        <v>27</v>
      </c>
      <c r="I166" t="s">
        <v>28</v>
      </c>
      <c r="J166" t="s">
        <v>29</v>
      </c>
      <c r="K166">
        <v>2.4904320000000002</v>
      </c>
      <c r="L166" t="s">
        <v>30</v>
      </c>
    </row>
    <row r="167" spans="4:12" x14ac:dyDescent="0.25">
      <c r="D167" s="1"/>
      <c r="E167" t="s">
        <v>25</v>
      </c>
      <c r="F167" s="1">
        <v>15.583333333333334</v>
      </c>
      <c r="G167" t="s">
        <v>26</v>
      </c>
      <c r="H167" t="s">
        <v>27</v>
      </c>
      <c r="I167" t="s">
        <v>28</v>
      </c>
      <c r="J167" t="s">
        <v>29</v>
      </c>
      <c r="K167">
        <v>4.6594559999999996</v>
      </c>
      <c r="L167" t="s">
        <v>30</v>
      </c>
    </row>
    <row r="168" spans="4:12" x14ac:dyDescent="0.25">
      <c r="D168" s="1"/>
      <c r="E168" t="s">
        <v>25</v>
      </c>
      <c r="F168" s="1">
        <v>16.166666666666668</v>
      </c>
      <c r="G168" t="s">
        <v>26</v>
      </c>
      <c r="H168" t="s">
        <v>27</v>
      </c>
      <c r="I168" t="s">
        <v>28</v>
      </c>
      <c r="J168" t="s">
        <v>29</v>
      </c>
      <c r="K168">
        <v>8.3546239999999994</v>
      </c>
      <c r="L168" t="s">
        <v>30</v>
      </c>
    </row>
    <row r="169" spans="4:12" x14ac:dyDescent="0.25">
      <c r="D169" s="1"/>
      <c r="E169" t="s">
        <v>25</v>
      </c>
      <c r="F169" s="1">
        <v>16.75</v>
      </c>
      <c r="G169" t="s">
        <v>26</v>
      </c>
      <c r="H169" t="s">
        <v>27</v>
      </c>
      <c r="I169" t="s">
        <v>28</v>
      </c>
      <c r="J169" t="s">
        <v>29</v>
      </c>
      <c r="K169">
        <v>6.9888000000000006E-2</v>
      </c>
      <c r="L169" t="s">
        <v>30</v>
      </c>
    </row>
    <row r="170" spans="4:12" x14ac:dyDescent="0.25">
      <c r="D170" s="1"/>
      <c r="E170" t="s">
        <v>25</v>
      </c>
      <c r="F170" s="1">
        <v>17.333333333333332</v>
      </c>
      <c r="G170" t="s">
        <v>26</v>
      </c>
      <c r="H170" t="s">
        <v>27</v>
      </c>
      <c r="I170" t="s">
        <v>28</v>
      </c>
      <c r="J170" t="s">
        <v>29</v>
      </c>
      <c r="K170">
        <v>7.0272000000000001E-2</v>
      </c>
      <c r="L170" t="s">
        <v>30</v>
      </c>
    </row>
    <row r="171" spans="4:12" x14ac:dyDescent="0.25">
      <c r="D171" s="1"/>
      <c r="E171" t="s">
        <v>25</v>
      </c>
      <c r="F171" s="1">
        <v>17.916666666666668</v>
      </c>
      <c r="G171" t="s">
        <v>26</v>
      </c>
      <c r="H171" t="s">
        <v>27</v>
      </c>
      <c r="I171" t="s">
        <v>28</v>
      </c>
      <c r="J171" t="s">
        <v>29</v>
      </c>
      <c r="K171">
        <v>6.7711999999999994E-2</v>
      </c>
      <c r="L171" t="s">
        <v>30</v>
      </c>
    </row>
    <row r="172" spans="4:12" x14ac:dyDescent="0.25">
      <c r="D172" s="1"/>
      <c r="E172" t="s">
        <v>25</v>
      </c>
      <c r="F172" s="1">
        <v>18.5</v>
      </c>
      <c r="G172" t="s">
        <v>26</v>
      </c>
      <c r="H172" t="s">
        <v>27</v>
      </c>
      <c r="I172" t="s">
        <v>28</v>
      </c>
      <c r="J172" t="s">
        <v>29</v>
      </c>
      <c r="K172">
        <v>8.4096000000000004E-2</v>
      </c>
      <c r="L172" t="s">
        <v>30</v>
      </c>
    </row>
    <row r="173" spans="4:12" x14ac:dyDescent="0.25">
      <c r="D173" s="1"/>
      <c r="E173" t="s">
        <v>25</v>
      </c>
      <c r="F173" s="1">
        <v>19.083333333333332</v>
      </c>
      <c r="G173" t="s">
        <v>26</v>
      </c>
      <c r="H173" t="s">
        <v>27</v>
      </c>
      <c r="I173" t="s">
        <v>28</v>
      </c>
      <c r="J173" t="s">
        <v>29</v>
      </c>
      <c r="K173">
        <v>0.11584</v>
      </c>
      <c r="L173" t="s">
        <v>30</v>
      </c>
    </row>
    <row r="174" spans="4:12" x14ac:dyDescent="0.25">
      <c r="D174" s="1"/>
      <c r="E174" t="s">
        <v>25</v>
      </c>
      <c r="F174" s="1">
        <v>19.666666666666668</v>
      </c>
      <c r="G174" t="s">
        <v>26</v>
      </c>
      <c r="H174" t="s">
        <v>27</v>
      </c>
      <c r="I174" t="s">
        <v>28</v>
      </c>
      <c r="J174" t="s">
        <v>29</v>
      </c>
      <c r="K174">
        <v>0.181312</v>
      </c>
      <c r="L174" t="s">
        <v>30</v>
      </c>
    </row>
    <row r="175" spans="4:12" x14ac:dyDescent="0.25">
      <c r="D175" s="1"/>
      <c r="E175" t="s">
        <v>25</v>
      </c>
      <c r="F175" s="1">
        <v>20.25</v>
      </c>
      <c r="G175" t="s">
        <v>26</v>
      </c>
      <c r="H175" t="s">
        <v>27</v>
      </c>
      <c r="I175" t="s">
        <v>28</v>
      </c>
      <c r="J175" t="s">
        <v>29</v>
      </c>
      <c r="K175">
        <v>0.31059199999999998</v>
      </c>
      <c r="L175" t="s">
        <v>30</v>
      </c>
    </row>
    <row r="176" spans="4:12" x14ac:dyDescent="0.25">
      <c r="D176" s="1"/>
      <c r="E176" t="s">
        <v>25</v>
      </c>
      <c r="F176" s="1">
        <v>20.833333333333332</v>
      </c>
      <c r="G176" t="s">
        <v>26</v>
      </c>
      <c r="H176" t="s">
        <v>27</v>
      </c>
      <c r="I176" t="s">
        <v>28</v>
      </c>
      <c r="J176" t="s">
        <v>29</v>
      </c>
      <c r="K176">
        <v>7.0592000000000002E-2</v>
      </c>
      <c r="L176" t="s">
        <v>30</v>
      </c>
    </row>
    <row r="177" spans="4:12" x14ac:dyDescent="0.25">
      <c r="D177" s="1"/>
      <c r="E177" t="s">
        <v>25</v>
      </c>
      <c r="F177" s="1">
        <v>21.416666666666668</v>
      </c>
      <c r="G177" t="s">
        <v>26</v>
      </c>
      <c r="H177" t="s">
        <v>27</v>
      </c>
      <c r="I177" t="s">
        <v>28</v>
      </c>
      <c r="J177" t="s">
        <v>29</v>
      </c>
      <c r="K177">
        <v>7.1104000000000001E-2</v>
      </c>
      <c r="L177" t="s">
        <v>30</v>
      </c>
    </row>
    <row r="178" spans="4:12" x14ac:dyDescent="0.25">
      <c r="D178" s="1"/>
      <c r="E178" t="s">
        <v>25</v>
      </c>
      <c r="F178" s="1">
        <v>22</v>
      </c>
      <c r="G178" t="s">
        <v>26</v>
      </c>
      <c r="H178" t="s">
        <v>27</v>
      </c>
      <c r="I178" t="s">
        <v>28</v>
      </c>
      <c r="J178" t="s">
        <v>29</v>
      </c>
      <c r="K178">
        <v>6.9440000000000002E-2</v>
      </c>
      <c r="L178" t="s">
        <v>30</v>
      </c>
    </row>
    <row r="179" spans="4:12" x14ac:dyDescent="0.25">
      <c r="D179" s="1"/>
      <c r="E179" t="s">
        <v>25</v>
      </c>
      <c r="F179" s="1">
        <v>22.583333333333332</v>
      </c>
      <c r="G179" t="s">
        <v>26</v>
      </c>
      <c r="H179" t="s">
        <v>27</v>
      </c>
      <c r="I179" t="s">
        <v>28</v>
      </c>
      <c r="J179" t="s">
        <v>29</v>
      </c>
      <c r="K179">
        <v>8.5503999999999997E-2</v>
      </c>
      <c r="L179" t="s">
        <v>30</v>
      </c>
    </row>
    <row r="180" spans="4:12" x14ac:dyDescent="0.25">
      <c r="D180" s="1"/>
      <c r="E180" t="s">
        <v>25</v>
      </c>
      <c r="F180" s="1">
        <v>23.166666666666668</v>
      </c>
      <c r="G180" t="s">
        <v>26</v>
      </c>
      <c r="H180" t="s">
        <v>27</v>
      </c>
      <c r="I180" t="s">
        <v>28</v>
      </c>
      <c r="J180" t="s">
        <v>29</v>
      </c>
      <c r="K180">
        <v>0.118336</v>
      </c>
      <c r="L180" t="s">
        <v>30</v>
      </c>
    </row>
    <row r="181" spans="4:12" x14ac:dyDescent="0.25">
      <c r="D181" s="1"/>
      <c r="E181" t="s">
        <v>25</v>
      </c>
      <c r="F181" s="1">
        <v>23.75</v>
      </c>
      <c r="G181" t="s">
        <v>26</v>
      </c>
      <c r="H181" t="s">
        <v>27</v>
      </c>
      <c r="I181" t="s">
        <v>28</v>
      </c>
      <c r="J181" t="s">
        <v>29</v>
      </c>
      <c r="K181">
        <v>0.18623999999999999</v>
      </c>
      <c r="L181" t="s">
        <v>30</v>
      </c>
    </row>
    <row r="182" spans="4:12" x14ac:dyDescent="0.25">
      <c r="D182" s="1"/>
      <c r="E182" t="s">
        <v>25</v>
      </c>
      <c r="F182" s="1">
        <v>24.333333333333332</v>
      </c>
      <c r="G182" t="s">
        <v>26</v>
      </c>
      <c r="H182" t="s">
        <v>27</v>
      </c>
      <c r="I182" t="s">
        <v>28</v>
      </c>
      <c r="J182" t="s">
        <v>29</v>
      </c>
      <c r="K182">
        <v>0.32294400000000001</v>
      </c>
      <c r="L182" t="s">
        <v>30</v>
      </c>
    </row>
    <row r="183" spans="4:12" x14ac:dyDescent="0.25">
      <c r="D183" s="1"/>
      <c r="E183" t="s">
        <v>25</v>
      </c>
      <c r="F183" s="1">
        <v>24.916666666666668</v>
      </c>
      <c r="G183" t="s">
        <v>26</v>
      </c>
      <c r="H183" t="s">
        <v>27</v>
      </c>
      <c r="I183" t="s">
        <v>28</v>
      </c>
      <c r="J183" t="s">
        <v>29</v>
      </c>
      <c r="K183">
        <v>7.8016000000000002E-2</v>
      </c>
      <c r="L183" t="s">
        <v>30</v>
      </c>
    </row>
    <row r="184" spans="4:12" x14ac:dyDescent="0.25">
      <c r="D184" s="1"/>
      <c r="E184" t="s">
        <v>25</v>
      </c>
      <c r="F184" s="1">
        <v>25.5</v>
      </c>
      <c r="G184" t="s">
        <v>26</v>
      </c>
      <c r="H184" t="s">
        <v>27</v>
      </c>
      <c r="I184" t="s">
        <v>28</v>
      </c>
      <c r="J184" t="s">
        <v>29</v>
      </c>
      <c r="K184">
        <v>7.9423999999999995E-2</v>
      </c>
      <c r="L184" t="s">
        <v>30</v>
      </c>
    </row>
    <row r="185" spans="4:12" x14ac:dyDescent="0.25">
      <c r="D185" s="1"/>
      <c r="E185" t="s">
        <v>25</v>
      </c>
      <c r="F185" s="1">
        <v>26.083333333333332</v>
      </c>
      <c r="G185" t="s">
        <v>26</v>
      </c>
      <c r="H185" t="s">
        <v>27</v>
      </c>
      <c r="I185" t="s">
        <v>28</v>
      </c>
      <c r="J185" t="s">
        <v>29</v>
      </c>
      <c r="K185">
        <v>7.7887999999999999E-2</v>
      </c>
      <c r="L185" t="s">
        <v>30</v>
      </c>
    </row>
    <row r="186" spans="4:12" x14ac:dyDescent="0.25">
      <c r="D186" s="1"/>
      <c r="E186" t="s">
        <v>25</v>
      </c>
      <c r="F186" s="1">
        <v>26.666666666666668</v>
      </c>
      <c r="G186" t="s">
        <v>26</v>
      </c>
      <c r="H186" t="s">
        <v>27</v>
      </c>
      <c r="I186" t="s">
        <v>28</v>
      </c>
      <c r="J186" t="s">
        <v>29</v>
      </c>
      <c r="K186">
        <v>9.7727999999999995E-2</v>
      </c>
      <c r="L186" t="s">
        <v>30</v>
      </c>
    </row>
    <row r="187" spans="4:12" x14ac:dyDescent="0.25">
      <c r="D187" s="1"/>
      <c r="E187" t="s">
        <v>25</v>
      </c>
      <c r="F187" s="1">
        <v>27.25</v>
      </c>
      <c r="G187" t="s">
        <v>26</v>
      </c>
      <c r="H187" t="s">
        <v>27</v>
      </c>
      <c r="I187" t="s">
        <v>28</v>
      </c>
      <c r="J187" t="s">
        <v>29</v>
      </c>
      <c r="K187">
        <v>0.135488</v>
      </c>
      <c r="L187" t="s">
        <v>30</v>
      </c>
    </row>
    <row r="188" spans="4:12" x14ac:dyDescent="0.25">
      <c r="D188" s="1"/>
      <c r="E188" t="s">
        <v>25</v>
      </c>
      <c r="F188" s="1">
        <v>27.833333333333332</v>
      </c>
      <c r="G188" t="s">
        <v>26</v>
      </c>
      <c r="H188" t="s">
        <v>27</v>
      </c>
      <c r="I188" t="s">
        <v>28</v>
      </c>
      <c r="J188" t="s">
        <v>29</v>
      </c>
      <c r="K188">
        <v>0.22067200000000001</v>
      </c>
      <c r="L188" t="s">
        <v>30</v>
      </c>
    </row>
    <row r="189" spans="4:12" x14ac:dyDescent="0.25">
      <c r="D189" s="1"/>
      <c r="E189" t="s">
        <v>25</v>
      </c>
      <c r="F189" s="1">
        <v>28.416666666666668</v>
      </c>
      <c r="G189" t="s">
        <v>26</v>
      </c>
      <c r="H189" t="s">
        <v>27</v>
      </c>
      <c r="I189" t="s">
        <v>28</v>
      </c>
      <c r="J189" t="s">
        <v>29</v>
      </c>
      <c r="K189">
        <v>0.39846399999999998</v>
      </c>
      <c r="L189" t="s">
        <v>30</v>
      </c>
    </row>
    <row r="190" spans="4:12" x14ac:dyDescent="0.25">
      <c r="D190" s="1"/>
      <c r="E190" t="s">
        <v>25</v>
      </c>
      <c r="F190" s="1">
        <v>29</v>
      </c>
      <c r="G190" t="s">
        <v>26</v>
      </c>
      <c r="H190" t="s">
        <v>27</v>
      </c>
      <c r="I190" t="s">
        <v>28</v>
      </c>
      <c r="J190" t="s">
        <v>29</v>
      </c>
      <c r="K190">
        <v>9.4848000000000002E-2</v>
      </c>
      <c r="L190" t="s">
        <v>30</v>
      </c>
    </row>
    <row r="191" spans="4:12" x14ac:dyDescent="0.25">
      <c r="D191" s="1"/>
      <c r="E191" t="s">
        <v>25</v>
      </c>
      <c r="F191" s="1">
        <v>29.583333333333332</v>
      </c>
      <c r="G191" t="s">
        <v>26</v>
      </c>
      <c r="H191" t="s">
        <v>27</v>
      </c>
      <c r="I191" t="s">
        <v>28</v>
      </c>
      <c r="J191" t="s">
        <v>29</v>
      </c>
      <c r="K191">
        <v>9.6575999999999995E-2</v>
      </c>
      <c r="L191" t="s">
        <v>30</v>
      </c>
    </row>
    <row r="192" spans="4:12" x14ac:dyDescent="0.25">
      <c r="D192" s="1"/>
      <c r="E192" t="s">
        <v>25</v>
      </c>
      <c r="F192" s="1">
        <v>30.166666666666668</v>
      </c>
      <c r="G192" t="s">
        <v>26</v>
      </c>
      <c r="H192" t="s">
        <v>27</v>
      </c>
      <c r="I192" t="s">
        <v>28</v>
      </c>
      <c r="J192" t="s">
        <v>29</v>
      </c>
      <c r="K192">
        <v>9.7535999999999998E-2</v>
      </c>
      <c r="L192" t="s">
        <v>30</v>
      </c>
    </row>
    <row r="193" spans="4:12" x14ac:dyDescent="0.25">
      <c r="D193" s="1"/>
      <c r="E193" t="s">
        <v>25</v>
      </c>
      <c r="F193" s="1">
        <v>30.75</v>
      </c>
      <c r="G193" t="s">
        <v>26</v>
      </c>
      <c r="H193" t="s">
        <v>27</v>
      </c>
      <c r="I193" t="s">
        <v>28</v>
      </c>
      <c r="J193" t="s">
        <v>29</v>
      </c>
      <c r="K193">
        <v>0.12959999999999999</v>
      </c>
      <c r="L193" t="s">
        <v>30</v>
      </c>
    </row>
    <row r="194" spans="4:12" x14ac:dyDescent="0.25">
      <c r="D194" s="1"/>
      <c r="E194" t="s">
        <v>25</v>
      </c>
      <c r="F194" s="1">
        <v>31.333333333333332</v>
      </c>
      <c r="G194" t="s">
        <v>26</v>
      </c>
      <c r="H194" t="s">
        <v>27</v>
      </c>
      <c r="I194" t="s">
        <v>28</v>
      </c>
      <c r="J194" t="s">
        <v>29</v>
      </c>
      <c r="K194">
        <v>0.19129599999999999</v>
      </c>
      <c r="L194" t="s">
        <v>30</v>
      </c>
    </row>
    <row r="195" spans="4:12" x14ac:dyDescent="0.25">
      <c r="D195" s="1"/>
      <c r="E195" t="s">
        <v>25</v>
      </c>
      <c r="F195" s="1">
        <v>31.916666666666668</v>
      </c>
      <c r="G195" t="s">
        <v>26</v>
      </c>
      <c r="H195" t="s">
        <v>27</v>
      </c>
      <c r="I195" t="s">
        <v>28</v>
      </c>
      <c r="J195" t="s">
        <v>29</v>
      </c>
      <c r="K195">
        <v>0.33190399999999998</v>
      </c>
      <c r="L195" t="s">
        <v>30</v>
      </c>
    </row>
    <row r="196" spans="4:12" x14ac:dyDescent="0.25">
      <c r="D196" s="1"/>
      <c r="E196" t="s">
        <v>25</v>
      </c>
      <c r="F196" s="1">
        <v>32.5</v>
      </c>
      <c r="G196" t="s">
        <v>26</v>
      </c>
      <c r="H196" t="s">
        <v>27</v>
      </c>
      <c r="I196" t="s">
        <v>28</v>
      </c>
      <c r="J196" t="s">
        <v>29</v>
      </c>
      <c r="K196">
        <v>0.60972800000000005</v>
      </c>
      <c r="L196" t="s">
        <v>30</v>
      </c>
    </row>
    <row r="197" spans="4:12" x14ac:dyDescent="0.25">
      <c r="D197" s="1"/>
      <c r="E197" t="s">
        <v>25</v>
      </c>
      <c r="F197" s="1">
        <v>33.083333333333336</v>
      </c>
      <c r="G197" t="s">
        <v>26</v>
      </c>
      <c r="H197" t="s">
        <v>27</v>
      </c>
      <c r="I197" t="s">
        <v>28</v>
      </c>
      <c r="J197" t="s">
        <v>29</v>
      </c>
      <c r="K197">
        <v>0.123264</v>
      </c>
      <c r="L197" t="s">
        <v>30</v>
      </c>
    </row>
    <row r="198" spans="4:12" x14ac:dyDescent="0.25">
      <c r="D198" s="1"/>
      <c r="E198" t="s">
        <v>25</v>
      </c>
      <c r="F198" s="1">
        <v>33.666666666666664</v>
      </c>
      <c r="G198" t="s">
        <v>26</v>
      </c>
      <c r="H198" t="s">
        <v>27</v>
      </c>
      <c r="I198" t="s">
        <v>28</v>
      </c>
      <c r="J198" t="s">
        <v>29</v>
      </c>
      <c r="K198">
        <v>0.12723200000000001</v>
      </c>
      <c r="L198" t="s">
        <v>30</v>
      </c>
    </row>
    <row r="199" spans="4:12" x14ac:dyDescent="0.25">
      <c r="D199" s="1"/>
      <c r="E199" t="s">
        <v>25</v>
      </c>
      <c r="F199" s="1">
        <v>34.25</v>
      </c>
      <c r="G199" t="s">
        <v>26</v>
      </c>
      <c r="H199" t="s">
        <v>27</v>
      </c>
      <c r="I199" t="s">
        <v>28</v>
      </c>
      <c r="J199" t="s">
        <v>29</v>
      </c>
      <c r="K199">
        <v>0.13120000000000001</v>
      </c>
      <c r="L199" t="s">
        <v>30</v>
      </c>
    </row>
    <row r="200" spans="4:12" x14ac:dyDescent="0.25">
      <c r="D200" s="1"/>
      <c r="E200" t="s">
        <v>25</v>
      </c>
      <c r="F200" s="1">
        <v>34.833333333333336</v>
      </c>
      <c r="G200" t="s">
        <v>26</v>
      </c>
      <c r="H200" t="s">
        <v>27</v>
      </c>
      <c r="I200" t="s">
        <v>28</v>
      </c>
      <c r="J200" t="s">
        <v>29</v>
      </c>
      <c r="K200">
        <v>0.188416</v>
      </c>
      <c r="L200" t="s">
        <v>30</v>
      </c>
    </row>
    <row r="201" spans="4:12" x14ac:dyDescent="0.25">
      <c r="D201" s="1"/>
      <c r="E201" t="s">
        <v>25</v>
      </c>
      <c r="F201" s="1">
        <v>35.416666666666664</v>
      </c>
      <c r="G201" t="s">
        <v>26</v>
      </c>
      <c r="H201" t="s">
        <v>27</v>
      </c>
      <c r="I201" t="s">
        <v>28</v>
      </c>
      <c r="J201" t="s">
        <v>29</v>
      </c>
      <c r="K201">
        <v>0.30815999999999999</v>
      </c>
      <c r="L201" t="s">
        <v>30</v>
      </c>
    </row>
    <row r="202" spans="4:12" x14ac:dyDescent="0.25">
      <c r="D202" s="1"/>
      <c r="E202" t="s">
        <v>25</v>
      </c>
      <c r="F202" s="1">
        <v>36</v>
      </c>
      <c r="G202" t="s">
        <v>26</v>
      </c>
      <c r="H202" t="s">
        <v>27</v>
      </c>
      <c r="I202" t="s">
        <v>28</v>
      </c>
      <c r="J202" t="s">
        <v>29</v>
      </c>
      <c r="K202">
        <v>0.55302399999999996</v>
      </c>
      <c r="L202" t="s">
        <v>30</v>
      </c>
    </row>
    <row r="203" spans="4:12" x14ac:dyDescent="0.25">
      <c r="D203" s="1"/>
      <c r="E203" t="s">
        <v>25</v>
      </c>
      <c r="F203" s="1">
        <v>36.583333333333336</v>
      </c>
      <c r="G203" t="s">
        <v>26</v>
      </c>
      <c r="H203" t="s">
        <v>27</v>
      </c>
      <c r="I203" t="s">
        <v>28</v>
      </c>
      <c r="J203" t="s">
        <v>29</v>
      </c>
      <c r="K203">
        <v>1.047296</v>
      </c>
      <c r="L203" t="s">
        <v>30</v>
      </c>
    </row>
    <row r="204" spans="4:12" x14ac:dyDescent="0.25">
      <c r="D204" s="1"/>
      <c r="E204" t="s">
        <v>25</v>
      </c>
      <c r="F204" s="1">
        <v>37.166666666666664</v>
      </c>
      <c r="G204" t="s">
        <v>26</v>
      </c>
      <c r="H204" t="s">
        <v>27</v>
      </c>
      <c r="I204" t="s">
        <v>28</v>
      </c>
      <c r="J204" t="s">
        <v>29</v>
      </c>
      <c r="K204">
        <v>0.167488</v>
      </c>
      <c r="L204" t="s">
        <v>30</v>
      </c>
    </row>
    <row r="205" spans="4:12" x14ac:dyDescent="0.25">
      <c r="D205" s="1"/>
      <c r="E205" t="s">
        <v>25</v>
      </c>
      <c r="F205" s="1">
        <v>37.75</v>
      </c>
      <c r="G205" t="s">
        <v>26</v>
      </c>
      <c r="H205" t="s">
        <v>27</v>
      </c>
      <c r="I205" t="s">
        <v>28</v>
      </c>
      <c r="J205" t="s">
        <v>29</v>
      </c>
      <c r="K205">
        <v>0.17433599999999999</v>
      </c>
      <c r="L205" t="s">
        <v>30</v>
      </c>
    </row>
    <row r="206" spans="4:12" x14ac:dyDescent="0.25">
      <c r="D206" s="1"/>
      <c r="E206" t="s">
        <v>25</v>
      </c>
      <c r="F206" s="1">
        <v>38.333333333333336</v>
      </c>
      <c r="G206" t="s">
        <v>26</v>
      </c>
      <c r="H206" t="s">
        <v>27</v>
      </c>
      <c r="I206" t="s">
        <v>28</v>
      </c>
      <c r="J206" t="s">
        <v>29</v>
      </c>
      <c r="K206">
        <v>0.18406400000000001</v>
      </c>
      <c r="L206" t="s">
        <v>30</v>
      </c>
    </row>
    <row r="207" spans="4:12" x14ac:dyDescent="0.25">
      <c r="D207" s="1"/>
      <c r="E207" t="s">
        <v>25</v>
      </c>
      <c r="F207" s="1">
        <v>38.916666666666664</v>
      </c>
      <c r="G207" t="s">
        <v>26</v>
      </c>
      <c r="H207" t="s">
        <v>27</v>
      </c>
      <c r="I207" t="s">
        <v>28</v>
      </c>
      <c r="J207" t="s">
        <v>29</v>
      </c>
      <c r="K207">
        <v>0.29747200000000001</v>
      </c>
      <c r="L207" t="s">
        <v>30</v>
      </c>
    </row>
    <row r="208" spans="4:12" x14ac:dyDescent="0.25">
      <c r="D208" s="1"/>
      <c r="E208" t="s">
        <v>25</v>
      </c>
      <c r="F208" s="1">
        <v>39.5</v>
      </c>
      <c r="G208" t="s">
        <v>26</v>
      </c>
      <c r="H208" t="s">
        <v>27</v>
      </c>
      <c r="I208" t="s">
        <v>28</v>
      </c>
      <c r="J208" t="s">
        <v>29</v>
      </c>
      <c r="K208">
        <v>0.52646400000000004</v>
      </c>
      <c r="L208" t="s">
        <v>30</v>
      </c>
    </row>
    <row r="209" spans="4:12" x14ac:dyDescent="0.25">
      <c r="D209" s="1"/>
      <c r="E209" t="s">
        <v>25</v>
      </c>
      <c r="F209" s="1">
        <v>40.083333333333336</v>
      </c>
      <c r="G209" t="s">
        <v>26</v>
      </c>
      <c r="H209" t="s">
        <v>27</v>
      </c>
      <c r="I209" t="s">
        <v>28</v>
      </c>
      <c r="J209" t="s">
        <v>29</v>
      </c>
      <c r="K209">
        <v>0.99059200000000003</v>
      </c>
      <c r="L209" t="s">
        <v>30</v>
      </c>
    </row>
    <row r="210" spans="4:12" x14ac:dyDescent="0.25">
      <c r="D210" s="1"/>
      <c r="E210" t="s">
        <v>25</v>
      </c>
      <c r="F210" s="1">
        <v>40.666666666666664</v>
      </c>
      <c r="G210" t="s">
        <v>26</v>
      </c>
      <c r="H210" t="s">
        <v>27</v>
      </c>
      <c r="I210" t="s">
        <v>28</v>
      </c>
      <c r="J210" t="s">
        <v>29</v>
      </c>
      <c r="K210">
        <v>1.9208959999999999</v>
      </c>
      <c r="L210" t="s">
        <v>30</v>
      </c>
    </row>
    <row r="211" spans="4:12" x14ac:dyDescent="0.25">
      <c r="D211" s="1"/>
      <c r="E211" t="s">
        <v>25</v>
      </c>
      <c r="F211" s="1">
        <v>41.25</v>
      </c>
      <c r="G211" t="s">
        <v>26</v>
      </c>
      <c r="H211" t="s">
        <v>27</v>
      </c>
      <c r="I211" t="s">
        <v>28</v>
      </c>
      <c r="J211" t="s">
        <v>29</v>
      </c>
      <c r="K211">
        <v>0.21113599999999999</v>
      </c>
      <c r="L211" t="s">
        <v>30</v>
      </c>
    </row>
    <row r="212" spans="4:12" x14ac:dyDescent="0.25">
      <c r="D212" s="1"/>
      <c r="E212" t="s">
        <v>25</v>
      </c>
      <c r="F212" s="1">
        <v>41.833333333333336</v>
      </c>
      <c r="G212" t="s">
        <v>26</v>
      </c>
      <c r="H212" t="s">
        <v>27</v>
      </c>
      <c r="I212" t="s">
        <v>28</v>
      </c>
      <c r="J212" t="s">
        <v>29</v>
      </c>
      <c r="K212">
        <v>0.22239999999999999</v>
      </c>
      <c r="L212" t="s">
        <v>30</v>
      </c>
    </row>
    <row r="213" spans="4:12" x14ac:dyDescent="0.25">
      <c r="D213" s="1"/>
      <c r="E213" t="s">
        <v>25</v>
      </c>
      <c r="F213" s="1">
        <v>42.416666666666664</v>
      </c>
      <c r="G213" t="s">
        <v>26</v>
      </c>
      <c r="H213" t="s">
        <v>27</v>
      </c>
      <c r="I213" t="s">
        <v>28</v>
      </c>
      <c r="J213" t="s">
        <v>29</v>
      </c>
      <c r="K213">
        <v>0.23718400000000001</v>
      </c>
      <c r="L213" t="s">
        <v>30</v>
      </c>
    </row>
    <row r="214" spans="4:12" x14ac:dyDescent="0.25">
      <c r="D214" s="1"/>
      <c r="E214" t="s">
        <v>25</v>
      </c>
      <c r="F214" s="1">
        <v>43</v>
      </c>
      <c r="G214" t="s">
        <v>26</v>
      </c>
      <c r="H214" t="s">
        <v>27</v>
      </c>
      <c r="I214" t="s">
        <v>28</v>
      </c>
      <c r="J214" t="s">
        <v>29</v>
      </c>
      <c r="K214">
        <v>0.407744</v>
      </c>
      <c r="L214" t="s">
        <v>30</v>
      </c>
    </row>
    <row r="215" spans="4:12" x14ac:dyDescent="0.25">
      <c r="D215" s="1"/>
      <c r="E215" t="s">
        <v>25</v>
      </c>
      <c r="F215" s="1">
        <v>43.583333333333336</v>
      </c>
      <c r="G215" t="s">
        <v>26</v>
      </c>
      <c r="H215" t="s">
        <v>27</v>
      </c>
      <c r="I215" t="s">
        <v>28</v>
      </c>
      <c r="J215" t="s">
        <v>29</v>
      </c>
      <c r="K215">
        <v>0.74284799999999995</v>
      </c>
      <c r="L215" t="s">
        <v>30</v>
      </c>
    </row>
    <row r="216" spans="4:12" x14ac:dyDescent="0.25">
      <c r="D216" s="1"/>
      <c r="E216" t="s">
        <v>25</v>
      </c>
      <c r="F216" s="1">
        <v>44.166666666666664</v>
      </c>
      <c r="G216" t="s">
        <v>26</v>
      </c>
      <c r="H216" t="s">
        <v>27</v>
      </c>
      <c r="I216" t="s">
        <v>28</v>
      </c>
      <c r="J216" t="s">
        <v>29</v>
      </c>
      <c r="K216">
        <v>1.425664</v>
      </c>
      <c r="L216" t="s">
        <v>30</v>
      </c>
    </row>
    <row r="217" spans="4:12" x14ac:dyDescent="0.25">
      <c r="D217" s="1"/>
      <c r="E217" t="s">
        <v>25</v>
      </c>
      <c r="F217" s="1">
        <v>44.75</v>
      </c>
      <c r="G217" t="s">
        <v>26</v>
      </c>
      <c r="H217" t="s">
        <v>27</v>
      </c>
      <c r="I217" t="s">
        <v>28</v>
      </c>
      <c r="J217" t="s">
        <v>29</v>
      </c>
      <c r="K217">
        <v>2.7759999999999998</v>
      </c>
      <c r="L217" t="s">
        <v>30</v>
      </c>
    </row>
    <row r="218" spans="4:12" x14ac:dyDescent="0.25">
      <c r="D218" s="1"/>
      <c r="E218" t="s">
        <v>25</v>
      </c>
      <c r="F218" s="1">
        <v>45.333333333333336</v>
      </c>
      <c r="G218" t="s">
        <v>26</v>
      </c>
      <c r="H218" t="s">
        <v>27</v>
      </c>
      <c r="I218" t="s">
        <v>28</v>
      </c>
      <c r="J218" t="s">
        <v>29</v>
      </c>
      <c r="K218">
        <v>0.255552</v>
      </c>
      <c r="L218" t="s">
        <v>30</v>
      </c>
    </row>
    <row r="219" spans="4:12" x14ac:dyDescent="0.25">
      <c r="D219" s="1"/>
      <c r="E219" t="s">
        <v>25</v>
      </c>
      <c r="F219" s="1">
        <v>45.916666666666664</v>
      </c>
      <c r="G219" t="s">
        <v>26</v>
      </c>
      <c r="H219" t="s">
        <v>27</v>
      </c>
      <c r="I219" t="s">
        <v>28</v>
      </c>
      <c r="J219" t="s">
        <v>29</v>
      </c>
      <c r="K219">
        <v>0.269376</v>
      </c>
      <c r="L219" t="s">
        <v>30</v>
      </c>
    </row>
    <row r="220" spans="4:12" x14ac:dyDescent="0.25">
      <c r="D220" s="1"/>
      <c r="E220" t="s">
        <v>25</v>
      </c>
      <c r="F220" s="1">
        <v>46.5</v>
      </c>
      <c r="G220" t="s">
        <v>26</v>
      </c>
      <c r="H220" t="s">
        <v>27</v>
      </c>
      <c r="I220" t="s">
        <v>28</v>
      </c>
      <c r="J220" t="s">
        <v>29</v>
      </c>
      <c r="K220">
        <v>0.291072</v>
      </c>
      <c r="L220" t="s">
        <v>30</v>
      </c>
    </row>
    <row r="221" spans="4:12" x14ac:dyDescent="0.25">
      <c r="D221" s="1"/>
      <c r="E221" t="s">
        <v>25</v>
      </c>
      <c r="F221" s="1">
        <v>47.083333333333336</v>
      </c>
      <c r="G221" t="s">
        <v>26</v>
      </c>
      <c r="H221" t="s">
        <v>27</v>
      </c>
      <c r="I221" t="s">
        <v>28</v>
      </c>
      <c r="J221" t="s">
        <v>29</v>
      </c>
      <c r="K221">
        <v>0.51468800000000003</v>
      </c>
      <c r="L221" t="s">
        <v>30</v>
      </c>
    </row>
    <row r="222" spans="4:12" x14ac:dyDescent="0.25">
      <c r="D222" s="1"/>
      <c r="E222" t="s">
        <v>25</v>
      </c>
      <c r="F222" s="1">
        <v>47.666666666666664</v>
      </c>
      <c r="G222" t="s">
        <v>26</v>
      </c>
      <c r="H222" t="s">
        <v>27</v>
      </c>
      <c r="I222" t="s">
        <v>28</v>
      </c>
      <c r="J222" t="s">
        <v>29</v>
      </c>
      <c r="K222">
        <v>0.95782400000000001</v>
      </c>
      <c r="L222" t="s">
        <v>30</v>
      </c>
    </row>
    <row r="223" spans="4:12" x14ac:dyDescent="0.25">
      <c r="D223" s="1"/>
      <c r="E223" t="s">
        <v>25</v>
      </c>
      <c r="F223" s="1">
        <v>48.25</v>
      </c>
      <c r="G223" t="s">
        <v>26</v>
      </c>
      <c r="H223" t="s">
        <v>27</v>
      </c>
      <c r="I223" t="s">
        <v>28</v>
      </c>
      <c r="J223" t="s">
        <v>29</v>
      </c>
      <c r="K223">
        <v>1.859264</v>
      </c>
      <c r="L223" t="s">
        <v>30</v>
      </c>
    </row>
    <row r="224" spans="4:12" x14ac:dyDescent="0.25">
      <c r="D224" s="1"/>
      <c r="E224" t="s">
        <v>25</v>
      </c>
      <c r="F224" s="1">
        <v>48.833333333333336</v>
      </c>
      <c r="G224" t="s">
        <v>26</v>
      </c>
      <c r="H224" t="s">
        <v>27</v>
      </c>
      <c r="I224" t="s">
        <v>28</v>
      </c>
      <c r="J224" t="s">
        <v>29</v>
      </c>
      <c r="K224">
        <v>3.6533760000000002</v>
      </c>
      <c r="L224" t="s">
        <v>30</v>
      </c>
    </row>
    <row r="225" spans="4:12" x14ac:dyDescent="0.25">
      <c r="D225" s="1"/>
      <c r="E225" t="s">
        <v>25</v>
      </c>
      <c r="F225" s="1">
        <v>49.416666666666664</v>
      </c>
      <c r="G225" t="s">
        <v>26</v>
      </c>
      <c r="H225" t="s">
        <v>27</v>
      </c>
      <c r="I225" t="s">
        <v>28</v>
      </c>
      <c r="J225" t="s">
        <v>29</v>
      </c>
      <c r="K225">
        <v>0.30060799999999999</v>
      </c>
      <c r="L225" t="s">
        <v>30</v>
      </c>
    </row>
    <row r="226" spans="4:12" x14ac:dyDescent="0.25">
      <c r="D226" s="1"/>
      <c r="E226" t="s">
        <v>25</v>
      </c>
      <c r="F226" s="1">
        <v>50</v>
      </c>
      <c r="G226" t="s">
        <v>26</v>
      </c>
      <c r="H226" t="s">
        <v>27</v>
      </c>
      <c r="I226" t="s">
        <v>28</v>
      </c>
      <c r="J226" t="s">
        <v>29</v>
      </c>
      <c r="K226">
        <v>0.31622400000000001</v>
      </c>
      <c r="L226" t="s">
        <v>30</v>
      </c>
    </row>
    <row r="227" spans="4:12" x14ac:dyDescent="0.25">
      <c r="D227" s="1"/>
      <c r="E227" t="s">
        <v>25</v>
      </c>
      <c r="F227" s="1">
        <v>50.583333333333336</v>
      </c>
      <c r="G227" t="s">
        <v>26</v>
      </c>
      <c r="H227" t="s">
        <v>27</v>
      </c>
      <c r="I227" t="s">
        <v>28</v>
      </c>
      <c r="J227" t="s">
        <v>29</v>
      </c>
      <c r="K227">
        <v>0.34425600000000001</v>
      </c>
      <c r="L227" t="s">
        <v>30</v>
      </c>
    </row>
    <row r="228" spans="4:12" x14ac:dyDescent="0.25">
      <c r="D228" s="1"/>
      <c r="E228" t="s">
        <v>25</v>
      </c>
      <c r="F228" s="1">
        <v>51.166666666666664</v>
      </c>
      <c r="G228" t="s">
        <v>26</v>
      </c>
      <c r="H228" t="s">
        <v>27</v>
      </c>
      <c r="I228" t="s">
        <v>28</v>
      </c>
      <c r="J228" t="s">
        <v>29</v>
      </c>
      <c r="K228">
        <v>0.62220799999999998</v>
      </c>
      <c r="L228" t="s">
        <v>30</v>
      </c>
    </row>
    <row r="229" spans="4:12" x14ac:dyDescent="0.25">
      <c r="D229" s="1"/>
      <c r="E229" t="s">
        <v>25</v>
      </c>
      <c r="F229" s="1">
        <v>51.75</v>
      </c>
      <c r="G229" t="s">
        <v>26</v>
      </c>
      <c r="H229" t="s">
        <v>27</v>
      </c>
      <c r="I229" t="s">
        <v>28</v>
      </c>
      <c r="J229" t="s">
        <v>29</v>
      </c>
      <c r="K229">
        <v>1.173376</v>
      </c>
      <c r="L229" t="s">
        <v>30</v>
      </c>
    </row>
    <row r="230" spans="4:12" x14ac:dyDescent="0.25">
      <c r="D230" s="1"/>
      <c r="E230" t="s">
        <v>25</v>
      </c>
      <c r="F230" s="1">
        <v>52.333333333333336</v>
      </c>
      <c r="G230" t="s">
        <v>26</v>
      </c>
      <c r="H230" t="s">
        <v>27</v>
      </c>
      <c r="I230" t="s">
        <v>28</v>
      </c>
      <c r="J230" t="s">
        <v>29</v>
      </c>
      <c r="K230">
        <v>2.2791039999999998</v>
      </c>
      <c r="L230" t="s">
        <v>30</v>
      </c>
    </row>
    <row r="231" spans="4:12" x14ac:dyDescent="0.25">
      <c r="D231" s="1"/>
      <c r="E231" t="s">
        <v>25</v>
      </c>
      <c r="F231" s="1">
        <v>52.916666666666664</v>
      </c>
      <c r="G231" t="s">
        <v>26</v>
      </c>
      <c r="H231" t="s">
        <v>27</v>
      </c>
      <c r="I231" t="s">
        <v>28</v>
      </c>
      <c r="J231" t="s">
        <v>29</v>
      </c>
      <c r="K231">
        <v>4.5048969999999997</v>
      </c>
      <c r="L231" t="s">
        <v>30</v>
      </c>
    </row>
    <row r="232" spans="4:12" x14ac:dyDescent="0.25">
      <c r="D232" s="1"/>
      <c r="E232" t="s">
        <v>25</v>
      </c>
      <c r="F232" s="1">
        <v>53.5</v>
      </c>
      <c r="G232" t="s">
        <v>26</v>
      </c>
      <c r="H232" t="s">
        <v>27</v>
      </c>
      <c r="I232" t="s">
        <v>28</v>
      </c>
      <c r="J232" t="s">
        <v>29</v>
      </c>
      <c r="K232">
        <v>0.34444799999999998</v>
      </c>
      <c r="L232" t="s">
        <v>30</v>
      </c>
    </row>
    <row r="233" spans="4:12" x14ac:dyDescent="0.25">
      <c r="D233" s="1"/>
      <c r="E233" t="s">
        <v>25</v>
      </c>
      <c r="F233" s="1">
        <v>54.083333333333336</v>
      </c>
      <c r="G233" t="s">
        <v>26</v>
      </c>
      <c r="H233" t="s">
        <v>27</v>
      </c>
      <c r="I233" t="s">
        <v>28</v>
      </c>
      <c r="J233" t="s">
        <v>29</v>
      </c>
      <c r="K233">
        <v>0.36403200000000002</v>
      </c>
      <c r="L233" t="s">
        <v>30</v>
      </c>
    </row>
    <row r="234" spans="4:12" x14ac:dyDescent="0.25">
      <c r="D234" s="1"/>
      <c r="E234" t="s">
        <v>25</v>
      </c>
      <c r="F234" s="1">
        <v>54.666666666666664</v>
      </c>
      <c r="G234" t="s">
        <v>26</v>
      </c>
      <c r="H234" t="s">
        <v>27</v>
      </c>
      <c r="I234" t="s">
        <v>28</v>
      </c>
      <c r="J234" t="s">
        <v>29</v>
      </c>
      <c r="K234">
        <v>0.39776</v>
      </c>
      <c r="L234" t="s">
        <v>30</v>
      </c>
    </row>
    <row r="235" spans="4:12" x14ac:dyDescent="0.25">
      <c r="D235" s="1"/>
      <c r="E235" t="s">
        <v>25</v>
      </c>
      <c r="F235" s="1">
        <v>55.25</v>
      </c>
      <c r="G235" t="s">
        <v>26</v>
      </c>
      <c r="H235" t="s">
        <v>27</v>
      </c>
      <c r="I235" t="s">
        <v>28</v>
      </c>
      <c r="J235" t="s">
        <v>29</v>
      </c>
      <c r="K235">
        <v>0.72940799999999995</v>
      </c>
      <c r="L235" t="s">
        <v>30</v>
      </c>
    </row>
    <row r="236" spans="4:12" x14ac:dyDescent="0.25">
      <c r="D236" s="1"/>
      <c r="E236" t="s">
        <v>25</v>
      </c>
      <c r="F236" s="1">
        <v>55.833333333333336</v>
      </c>
      <c r="G236" t="s">
        <v>26</v>
      </c>
      <c r="H236" t="s">
        <v>27</v>
      </c>
      <c r="I236" t="s">
        <v>28</v>
      </c>
      <c r="J236" t="s">
        <v>29</v>
      </c>
      <c r="K236">
        <v>1.3897600000000001</v>
      </c>
      <c r="L236" t="s">
        <v>30</v>
      </c>
    </row>
    <row r="237" spans="4:12" x14ac:dyDescent="0.25">
      <c r="D237" s="1"/>
      <c r="E237" t="s">
        <v>25</v>
      </c>
      <c r="F237" s="1">
        <v>56.416666666666664</v>
      </c>
      <c r="G237" t="s">
        <v>26</v>
      </c>
      <c r="H237" t="s">
        <v>27</v>
      </c>
      <c r="I237" t="s">
        <v>28</v>
      </c>
      <c r="J237" t="s">
        <v>29</v>
      </c>
      <c r="K237">
        <v>2.7155840000000002</v>
      </c>
      <c r="L237" t="s">
        <v>30</v>
      </c>
    </row>
    <row r="238" spans="4:12" x14ac:dyDescent="0.25">
      <c r="D238" s="1"/>
      <c r="E238" t="s">
        <v>25</v>
      </c>
      <c r="F238" s="1">
        <v>57</v>
      </c>
      <c r="G238" t="s">
        <v>26</v>
      </c>
      <c r="H238" t="s">
        <v>27</v>
      </c>
      <c r="I238" t="s">
        <v>28</v>
      </c>
      <c r="J238" t="s">
        <v>29</v>
      </c>
      <c r="K238">
        <v>5.3683199999999998</v>
      </c>
      <c r="L238" t="s">
        <v>30</v>
      </c>
    </row>
    <row r="239" spans="4:12" x14ac:dyDescent="0.25">
      <c r="D239" s="1"/>
      <c r="E239" t="s">
        <v>25</v>
      </c>
      <c r="F239" s="1">
        <v>57.583333333333336</v>
      </c>
      <c r="G239" t="s">
        <v>26</v>
      </c>
      <c r="H239" t="s">
        <v>27</v>
      </c>
      <c r="I239" t="s">
        <v>28</v>
      </c>
      <c r="J239" t="s">
        <v>29</v>
      </c>
      <c r="K239">
        <v>0.38739200000000001</v>
      </c>
      <c r="L239" t="s">
        <v>30</v>
      </c>
    </row>
    <row r="240" spans="4:12" x14ac:dyDescent="0.25">
      <c r="D240" s="1"/>
      <c r="E240" t="s">
        <v>25</v>
      </c>
      <c r="F240" s="1">
        <v>58.166666666666664</v>
      </c>
      <c r="G240" t="s">
        <v>26</v>
      </c>
      <c r="H240" t="s">
        <v>27</v>
      </c>
      <c r="I240" t="s">
        <v>28</v>
      </c>
      <c r="J240" t="s">
        <v>29</v>
      </c>
      <c r="K240">
        <v>0.41075200000000001</v>
      </c>
      <c r="L240" t="s">
        <v>30</v>
      </c>
    </row>
    <row r="241" spans="4:12" x14ac:dyDescent="0.25">
      <c r="D241" s="1"/>
      <c r="E241" t="s">
        <v>25</v>
      </c>
      <c r="F241" s="1">
        <v>58.75</v>
      </c>
      <c r="G241" t="s">
        <v>26</v>
      </c>
      <c r="H241" t="s">
        <v>27</v>
      </c>
      <c r="I241" t="s">
        <v>28</v>
      </c>
      <c r="J241" t="s">
        <v>29</v>
      </c>
      <c r="K241">
        <v>0.451712</v>
      </c>
      <c r="L241" t="s">
        <v>30</v>
      </c>
    </row>
    <row r="242" spans="4:12" x14ac:dyDescent="0.25">
      <c r="D242" s="1"/>
      <c r="E242" t="s">
        <v>25</v>
      </c>
      <c r="F242" s="1">
        <v>59.333333333333336</v>
      </c>
      <c r="G242" t="s">
        <v>26</v>
      </c>
      <c r="H242" t="s">
        <v>27</v>
      </c>
      <c r="I242" t="s">
        <v>28</v>
      </c>
      <c r="J242" t="s">
        <v>29</v>
      </c>
      <c r="K242">
        <v>0.837696</v>
      </c>
      <c r="L242" t="s">
        <v>30</v>
      </c>
    </row>
    <row r="243" spans="4:12" x14ac:dyDescent="0.25">
      <c r="D243" s="1"/>
      <c r="E243" t="s">
        <v>25</v>
      </c>
      <c r="F243" s="1">
        <v>59.916666666666664</v>
      </c>
      <c r="G243" t="s">
        <v>26</v>
      </c>
      <c r="H243" t="s">
        <v>27</v>
      </c>
      <c r="I243" t="s">
        <v>28</v>
      </c>
      <c r="J243" t="s">
        <v>29</v>
      </c>
      <c r="K243">
        <v>1.6006400000000001</v>
      </c>
      <c r="L243" t="s">
        <v>30</v>
      </c>
    </row>
    <row r="244" spans="4:12" x14ac:dyDescent="0.25">
      <c r="D244" s="1"/>
      <c r="E244" t="s">
        <v>25</v>
      </c>
      <c r="F244" s="1">
        <v>60.5</v>
      </c>
      <c r="G244" t="s">
        <v>26</v>
      </c>
      <c r="H244" t="s">
        <v>27</v>
      </c>
      <c r="I244" t="s">
        <v>28</v>
      </c>
      <c r="J244" t="s">
        <v>29</v>
      </c>
      <c r="K244">
        <v>3.1424639999999999</v>
      </c>
      <c r="L244" t="s">
        <v>30</v>
      </c>
    </row>
    <row r="245" spans="4:12" x14ac:dyDescent="0.25">
      <c r="D245" s="1"/>
      <c r="E245" t="s">
        <v>25</v>
      </c>
      <c r="F245" s="1">
        <v>61.083333333333336</v>
      </c>
      <c r="G245" t="s">
        <v>26</v>
      </c>
      <c r="H245" t="s">
        <v>27</v>
      </c>
      <c r="I245" t="s">
        <v>28</v>
      </c>
      <c r="J245" t="s">
        <v>29</v>
      </c>
      <c r="K245">
        <v>6.2240640000000003</v>
      </c>
      <c r="L245" t="s">
        <v>30</v>
      </c>
    </row>
    <row r="246" spans="4:12" x14ac:dyDescent="0.25">
      <c r="D246" s="1"/>
      <c r="E246" t="s">
        <v>25</v>
      </c>
      <c r="F246" s="1">
        <v>61.666666666666664</v>
      </c>
      <c r="G246" t="s">
        <v>26</v>
      </c>
      <c r="H246" t="s">
        <v>27</v>
      </c>
      <c r="I246" t="s">
        <v>28</v>
      </c>
      <c r="J246" t="s">
        <v>29</v>
      </c>
      <c r="K246">
        <v>0.43302400000000002</v>
      </c>
      <c r="L246" t="s">
        <v>30</v>
      </c>
    </row>
    <row r="247" spans="4:12" x14ac:dyDescent="0.25">
      <c r="D247" s="1"/>
      <c r="E247" t="s">
        <v>25</v>
      </c>
      <c r="F247" s="1">
        <v>62.25</v>
      </c>
      <c r="G247" t="s">
        <v>26</v>
      </c>
      <c r="H247" t="s">
        <v>27</v>
      </c>
      <c r="I247" t="s">
        <v>28</v>
      </c>
      <c r="J247" t="s">
        <v>29</v>
      </c>
      <c r="K247">
        <v>0.45894400000000002</v>
      </c>
      <c r="L247" t="s">
        <v>30</v>
      </c>
    </row>
    <row r="248" spans="4:12" x14ac:dyDescent="0.25">
      <c r="D248" s="1"/>
      <c r="E248" t="s">
        <v>25</v>
      </c>
      <c r="F248" s="1">
        <v>62.833333333333336</v>
      </c>
      <c r="G248" t="s">
        <v>26</v>
      </c>
      <c r="H248" t="s">
        <v>27</v>
      </c>
      <c r="I248" t="s">
        <v>28</v>
      </c>
      <c r="J248" t="s">
        <v>29</v>
      </c>
      <c r="K248">
        <v>0.504</v>
      </c>
      <c r="L248" t="s">
        <v>30</v>
      </c>
    </row>
    <row r="249" spans="4:12" x14ac:dyDescent="0.25">
      <c r="D249" s="1"/>
      <c r="E249" t="s">
        <v>25</v>
      </c>
      <c r="F249" s="1">
        <v>63.416666666666664</v>
      </c>
      <c r="G249" t="s">
        <v>26</v>
      </c>
      <c r="H249" t="s">
        <v>27</v>
      </c>
      <c r="I249" t="s">
        <v>28</v>
      </c>
      <c r="J249" t="s">
        <v>29</v>
      </c>
      <c r="K249">
        <v>0.94246399999999997</v>
      </c>
      <c r="L249" t="s">
        <v>30</v>
      </c>
    </row>
    <row r="250" spans="4:12" x14ac:dyDescent="0.25">
      <c r="D250" s="1"/>
      <c r="E250" t="s">
        <v>25</v>
      </c>
      <c r="F250" s="1">
        <v>64</v>
      </c>
      <c r="G250" t="s">
        <v>26</v>
      </c>
      <c r="H250" t="s">
        <v>27</v>
      </c>
      <c r="I250" t="s">
        <v>28</v>
      </c>
      <c r="J250" t="s">
        <v>29</v>
      </c>
      <c r="K250">
        <v>1.814592</v>
      </c>
      <c r="L250" t="s">
        <v>30</v>
      </c>
    </row>
    <row r="251" spans="4:12" x14ac:dyDescent="0.25">
      <c r="D251" s="1"/>
      <c r="E251" t="s">
        <v>25</v>
      </c>
      <c r="F251" s="1">
        <v>64.583333333333329</v>
      </c>
      <c r="G251" t="s">
        <v>26</v>
      </c>
      <c r="H251" t="s">
        <v>27</v>
      </c>
      <c r="I251" t="s">
        <v>28</v>
      </c>
      <c r="J251" t="s">
        <v>29</v>
      </c>
      <c r="K251">
        <v>3.5735679999999999</v>
      </c>
      <c r="L251" t="s">
        <v>30</v>
      </c>
    </row>
    <row r="252" spans="4:12" x14ac:dyDescent="0.25">
      <c r="D252" s="1"/>
      <c r="E252" t="s">
        <v>25</v>
      </c>
      <c r="F252" s="1">
        <v>65.166666666666671</v>
      </c>
      <c r="G252" t="s">
        <v>26</v>
      </c>
      <c r="H252" t="s">
        <v>27</v>
      </c>
      <c r="I252" t="s">
        <v>28</v>
      </c>
      <c r="J252" t="s">
        <v>29</v>
      </c>
      <c r="K252">
        <v>7.076416</v>
      </c>
      <c r="L252" t="s">
        <v>30</v>
      </c>
    </row>
    <row r="253" spans="4:12" x14ac:dyDescent="0.25">
      <c r="D253" s="1"/>
      <c r="E253" t="s">
        <v>25</v>
      </c>
      <c r="F253" s="1">
        <v>65.75</v>
      </c>
      <c r="G253" t="s">
        <v>26</v>
      </c>
      <c r="H253" t="s">
        <v>27</v>
      </c>
      <c r="I253" t="s">
        <v>28</v>
      </c>
      <c r="J253" t="s">
        <v>29</v>
      </c>
      <c r="K253">
        <v>6.2016000000000002E-2</v>
      </c>
      <c r="L253" t="s">
        <v>30</v>
      </c>
    </row>
    <row r="254" spans="4:12" x14ac:dyDescent="0.25">
      <c r="D254" s="1"/>
      <c r="E254" t="s">
        <v>25</v>
      </c>
      <c r="F254" s="1">
        <v>66.333333333333329</v>
      </c>
      <c r="G254" t="s">
        <v>26</v>
      </c>
      <c r="H254" t="s">
        <v>27</v>
      </c>
      <c r="I254" t="s">
        <v>28</v>
      </c>
      <c r="J254" t="s">
        <v>29</v>
      </c>
      <c r="K254">
        <v>6.5407999999999994E-2</v>
      </c>
      <c r="L254" t="s">
        <v>30</v>
      </c>
    </row>
    <row r="255" spans="4:12" x14ac:dyDescent="0.25">
      <c r="D255" s="1"/>
      <c r="E255" t="s">
        <v>25</v>
      </c>
      <c r="F255" s="1">
        <v>66.916666666666671</v>
      </c>
      <c r="G255" t="s">
        <v>26</v>
      </c>
      <c r="H255" t="s">
        <v>27</v>
      </c>
      <c r="I255" t="s">
        <v>28</v>
      </c>
      <c r="J255" t="s">
        <v>29</v>
      </c>
      <c r="K255">
        <v>6.5152000000000002E-2</v>
      </c>
      <c r="L255" t="s">
        <v>30</v>
      </c>
    </row>
    <row r="256" spans="4:12" x14ac:dyDescent="0.25">
      <c r="D256" s="1"/>
      <c r="E256" t="s">
        <v>25</v>
      </c>
      <c r="F256" s="1">
        <v>67.5</v>
      </c>
      <c r="G256" t="s">
        <v>26</v>
      </c>
      <c r="H256" t="s">
        <v>27</v>
      </c>
      <c r="I256" t="s">
        <v>28</v>
      </c>
      <c r="J256" t="s">
        <v>29</v>
      </c>
      <c r="K256">
        <v>7.6735999999999999E-2</v>
      </c>
      <c r="L256" t="s">
        <v>30</v>
      </c>
    </row>
    <row r="257" spans="4:12" x14ac:dyDescent="0.25">
      <c r="D257" s="1"/>
      <c r="E257" t="s">
        <v>25</v>
      </c>
      <c r="F257" s="1">
        <v>68.083333333333329</v>
      </c>
      <c r="G257" t="s">
        <v>26</v>
      </c>
      <c r="H257" t="s">
        <v>27</v>
      </c>
      <c r="I257" t="s">
        <v>28</v>
      </c>
      <c r="J257" t="s">
        <v>29</v>
      </c>
      <c r="K257">
        <v>0.10617600000000001</v>
      </c>
      <c r="L257" t="s">
        <v>30</v>
      </c>
    </row>
    <row r="258" spans="4:12" x14ac:dyDescent="0.25">
      <c r="D258" s="1"/>
      <c r="E258" t="s">
        <v>25</v>
      </c>
      <c r="F258" s="1">
        <v>68.666666666666671</v>
      </c>
      <c r="G258" t="s">
        <v>26</v>
      </c>
      <c r="H258" t="s">
        <v>27</v>
      </c>
      <c r="I258" t="s">
        <v>28</v>
      </c>
      <c r="J258" t="s">
        <v>29</v>
      </c>
      <c r="K258">
        <v>0.16972799999999999</v>
      </c>
      <c r="L258" t="s">
        <v>30</v>
      </c>
    </row>
    <row r="259" spans="4:12" x14ac:dyDescent="0.25">
      <c r="D259" s="1"/>
      <c r="E259" t="s">
        <v>25</v>
      </c>
      <c r="F259" s="1">
        <v>69.25</v>
      </c>
      <c r="G259" t="s">
        <v>26</v>
      </c>
      <c r="H259" t="s">
        <v>27</v>
      </c>
      <c r="I259" t="s">
        <v>28</v>
      </c>
      <c r="J259" t="s">
        <v>29</v>
      </c>
      <c r="K259">
        <v>0.283136</v>
      </c>
      <c r="L259" t="s">
        <v>30</v>
      </c>
    </row>
    <row r="260" spans="4:12" x14ac:dyDescent="0.25">
      <c r="D260" s="1"/>
      <c r="E260" t="s">
        <v>25</v>
      </c>
      <c r="F260" s="1">
        <v>69.833333333333329</v>
      </c>
      <c r="G260" t="s">
        <v>26</v>
      </c>
      <c r="H260" t="s">
        <v>27</v>
      </c>
      <c r="I260" t="s">
        <v>28</v>
      </c>
      <c r="J260" t="s">
        <v>29</v>
      </c>
      <c r="K260">
        <v>6.4832000000000001E-2</v>
      </c>
      <c r="L260" t="s">
        <v>30</v>
      </c>
    </row>
    <row r="261" spans="4:12" x14ac:dyDescent="0.25">
      <c r="D261" s="1"/>
      <c r="E261" t="s">
        <v>25</v>
      </c>
      <c r="F261" s="1">
        <v>70.416666666666671</v>
      </c>
      <c r="G261" t="s">
        <v>26</v>
      </c>
      <c r="H261" t="s">
        <v>27</v>
      </c>
      <c r="I261" t="s">
        <v>28</v>
      </c>
      <c r="J261" t="s">
        <v>29</v>
      </c>
      <c r="K261">
        <v>6.8736000000000005E-2</v>
      </c>
      <c r="L261" t="s">
        <v>30</v>
      </c>
    </row>
    <row r="262" spans="4:12" x14ac:dyDescent="0.25">
      <c r="D262" s="1"/>
      <c r="E262" t="s">
        <v>25</v>
      </c>
      <c r="F262" s="1">
        <v>71</v>
      </c>
      <c r="G262" t="s">
        <v>26</v>
      </c>
      <c r="H262" t="s">
        <v>27</v>
      </c>
      <c r="I262" t="s">
        <v>28</v>
      </c>
      <c r="J262" t="s">
        <v>29</v>
      </c>
      <c r="K262">
        <v>6.8543999999999994E-2</v>
      </c>
      <c r="L262" t="s">
        <v>30</v>
      </c>
    </row>
    <row r="263" spans="4:12" x14ac:dyDescent="0.25">
      <c r="D263" s="1"/>
      <c r="E263" t="s">
        <v>25</v>
      </c>
      <c r="F263" s="1">
        <v>71.583333333333329</v>
      </c>
      <c r="G263" t="s">
        <v>26</v>
      </c>
      <c r="H263" t="s">
        <v>27</v>
      </c>
      <c r="I263" t="s">
        <v>28</v>
      </c>
      <c r="J263" t="s">
        <v>29</v>
      </c>
      <c r="K263">
        <v>7.7759999999999996E-2</v>
      </c>
      <c r="L263" t="s">
        <v>30</v>
      </c>
    </row>
    <row r="264" spans="4:12" x14ac:dyDescent="0.25">
      <c r="D264" s="1"/>
      <c r="E264" t="s">
        <v>25</v>
      </c>
      <c r="F264" s="1">
        <v>72.166666666666671</v>
      </c>
      <c r="G264" t="s">
        <v>26</v>
      </c>
      <c r="H264" t="s">
        <v>27</v>
      </c>
      <c r="I264" t="s">
        <v>28</v>
      </c>
      <c r="J264" t="s">
        <v>29</v>
      </c>
      <c r="K264">
        <v>0.113024</v>
      </c>
      <c r="L264" t="s">
        <v>30</v>
      </c>
    </row>
    <row r="265" spans="4:12" x14ac:dyDescent="0.25">
      <c r="D265" s="1"/>
      <c r="E265" t="s">
        <v>25</v>
      </c>
      <c r="F265" s="1">
        <v>72.75</v>
      </c>
      <c r="G265" t="s">
        <v>26</v>
      </c>
      <c r="H265" t="s">
        <v>27</v>
      </c>
      <c r="I265" t="s">
        <v>28</v>
      </c>
      <c r="J265" t="s">
        <v>29</v>
      </c>
      <c r="K265">
        <v>0.17907200000000001</v>
      </c>
      <c r="L265" t="s">
        <v>30</v>
      </c>
    </row>
    <row r="266" spans="4:12" x14ac:dyDescent="0.25">
      <c r="D266" s="1"/>
      <c r="E266" t="s">
        <v>25</v>
      </c>
      <c r="F266" s="1">
        <v>73.333333333333329</v>
      </c>
      <c r="G266" t="s">
        <v>26</v>
      </c>
      <c r="H266" t="s">
        <v>27</v>
      </c>
      <c r="I266" t="s">
        <v>28</v>
      </c>
      <c r="J266" t="s">
        <v>29</v>
      </c>
      <c r="K266">
        <v>0.31718400000000002</v>
      </c>
      <c r="L266" t="s">
        <v>30</v>
      </c>
    </row>
    <row r="267" spans="4:12" x14ac:dyDescent="0.25">
      <c r="D267" s="1"/>
      <c r="E267" t="s">
        <v>25</v>
      </c>
      <c r="F267" s="1">
        <v>73.916666666666671</v>
      </c>
      <c r="G267" t="s">
        <v>26</v>
      </c>
      <c r="H267" t="s">
        <v>27</v>
      </c>
      <c r="I267" t="s">
        <v>28</v>
      </c>
      <c r="J267" t="s">
        <v>29</v>
      </c>
      <c r="K267">
        <v>7.4368000000000004E-2</v>
      </c>
      <c r="L267" t="s">
        <v>30</v>
      </c>
    </row>
    <row r="268" spans="4:12" x14ac:dyDescent="0.25">
      <c r="D268" s="1"/>
      <c r="E268" t="s">
        <v>25</v>
      </c>
      <c r="F268" s="1">
        <v>74.5</v>
      </c>
      <c r="G268" t="s">
        <v>26</v>
      </c>
      <c r="H268" t="s">
        <v>27</v>
      </c>
      <c r="I268" t="s">
        <v>28</v>
      </c>
      <c r="J268" t="s">
        <v>29</v>
      </c>
      <c r="K268">
        <v>8.0255999999999994E-2</v>
      </c>
      <c r="L268" t="s">
        <v>30</v>
      </c>
    </row>
    <row r="269" spans="4:12" x14ac:dyDescent="0.25">
      <c r="D269" s="1"/>
      <c r="E269" t="s">
        <v>25</v>
      </c>
      <c r="F269" s="1">
        <v>75.083333333333329</v>
      </c>
      <c r="G269" t="s">
        <v>26</v>
      </c>
      <c r="H269" t="s">
        <v>27</v>
      </c>
      <c r="I269" t="s">
        <v>28</v>
      </c>
      <c r="J269" t="s">
        <v>29</v>
      </c>
      <c r="K269">
        <v>8.2752000000000006E-2</v>
      </c>
      <c r="L269" t="s">
        <v>30</v>
      </c>
    </row>
    <row r="270" spans="4:12" x14ac:dyDescent="0.25">
      <c r="D270" s="1"/>
      <c r="E270" t="s">
        <v>25</v>
      </c>
      <c r="F270" s="1">
        <v>75.666666666666671</v>
      </c>
      <c r="G270" t="s">
        <v>26</v>
      </c>
      <c r="H270" t="s">
        <v>27</v>
      </c>
      <c r="I270" t="s">
        <v>28</v>
      </c>
      <c r="J270" t="s">
        <v>29</v>
      </c>
      <c r="K270">
        <v>9.9519999999999997E-2</v>
      </c>
      <c r="L270" t="s">
        <v>30</v>
      </c>
    </row>
    <row r="271" spans="4:12" x14ac:dyDescent="0.25">
      <c r="D271" s="1"/>
      <c r="E271" t="s">
        <v>25</v>
      </c>
      <c r="F271" s="1">
        <v>76.25</v>
      </c>
      <c r="G271" t="s">
        <v>26</v>
      </c>
      <c r="H271" t="s">
        <v>27</v>
      </c>
      <c r="I271" t="s">
        <v>28</v>
      </c>
      <c r="J271" t="s">
        <v>29</v>
      </c>
      <c r="K271">
        <v>0.15443200000000001</v>
      </c>
      <c r="L271" t="s">
        <v>30</v>
      </c>
    </row>
    <row r="272" spans="4:12" x14ac:dyDescent="0.25">
      <c r="D272" s="1"/>
      <c r="E272" t="s">
        <v>25</v>
      </c>
      <c r="F272" s="1">
        <v>76.833333333333329</v>
      </c>
      <c r="G272" t="s">
        <v>26</v>
      </c>
      <c r="H272" t="s">
        <v>27</v>
      </c>
      <c r="I272" t="s">
        <v>28</v>
      </c>
      <c r="J272" t="s">
        <v>29</v>
      </c>
      <c r="K272">
        <v>0.26630399999999999</v>
      </c>
      <c r="L272" t="s">
        <v>30</v>
      </c>
    </row>
    <row r="273" spans="4:12" x14ac:dyDescent="0.25">
      <c r="D273" s="1"/>
      <c r="E273" t="s">
        <v>25</v>
      </c>
      <c r="F273" s="1">
        <v>77.416666666666671</v>
      </c>
      <c r="G273" t="s">
        <v>26</v>
      </c>
      <c r="H273" t="s">
        <v>27</v>
      </c>
      <c r="I273" t="s">
        <v>28</v>
      </c>
      <c r="J273" t="s">
        <v>29</v>
      </c>
      <c r="K273">
        <v>0.49529600000000001</v>
      </c>
      <c r="L273" t="s">
        <v>30</v>
      </c>
    </row>
    <row r="274" spans="4:12" x14ac:dyDescent="0.25">
      <c r="D274" s="1"/>
      <c r="E274" t="s">
        <v>25</v>
      </c>
      <c r="F274" s="1">
        <v>78</v>
      </c>
      <c r="G274" t="s">
        <v>26</v>
      </c>
      <c r="H274" t="s">
        <v>27</v>
      </c>
      <c r="I274" t="s">
        <v>28</v>
      </c>
      <c r="J274" t="s">
        <v>29</v>
      </c>
      <c r="K274">
        <v>9.2480000000000007E-2</v>
      </c>
      <c r="L274" t="s">
        <v>30</v>
      </c>
    </row>
    <row r="275" spans="4:12" x14ac:dyDescent="0.25">
      <c r="D275" s="1"/>
      <c r="E275" t="s">
        <v>25</v>
      </c>
      <c r="F275" s="1">
        <v>78.583333333333329</v>
      </c>
      <c r="G275" t="s">
        <v>26</v>
      </c>
      <c r="H275" t="s">
        <v>27</v>
      </c>
      <c r="I275" t="s">
        <v>28</v>
      </c>
      <c r="J275" t="s">
        <v>29</v>
      </c>
      <c r="K275">
        <v>0.1056</v>
      </c>
      <c r="L275" t="s">
        <v>30</v>
      </c>
    </row>
    <row r="276" spans="4:12" x14ac:dyDescent="0.25">
      <c r="D276" s="1"/>
      <c r="E276" t="s">
        <v>25</v>
      </c>
      <c r="F276" s="1">
        <v>79.166666666666671</v>
      </c>
      <c r="G276" t="s">
        <v>26</v>
      </c>
      <c r="H276" t="s">
        <v>27</v>
      </c>
      <c r="I276" t="s">
        <v>28</v>
      </c>
      <c r="J276" t="s">
        <v>29</v>
      </c>
      <c r="K276">
        <v>0.110272</v>
      </c>
      <c r="L276" t="s">
        <v>30</v>
      </c>
    </row>
    <row r="277" spans="4:12" x14ac:dyDescent="0.25">
      <c r="D277" s="1"/>
      <c r="E277" t="s">
        <v>25</v>
      </c>
      <c r="F277" s="1">
        <v>79.75</v>
      </c>
      <c r="G277" t="s">
        <v>26</v>
      </c>
      <c r="H277" t="s">
        <v>27</v>
      </c>
      <c r="I277" t="s">
        <v>28</v>
      </c>
      <c r="J277" t="s">
        <v>29</v>
      </c>
      <c r="K277">
        <v>0.14656</v>
      </c>
      <c r="L277" t="s">
        <v>30</v>
      </c>
    </row>
    <row r="278" spans="4:12" x14ac:dyDescent="0.25">
      <c r="D278" s="1"/>
      <c r="E278" t="s">
        <v>25</v>
      </c>
      <c r="F278" s="1">
        <v>80.333333333333329</v>
      </c>
      <c r="G278" t="s">
        <v>26</v>
      </c>
      <c r="H278" t="s">
        <v>27</v>
      </c>
      <c r="I278" t="s">
        <v>28</v>
      </c>
      <c r="J278" t="s">
        <v>29</v>
      </c>
      <c r="K278">
        <v>0.24755199999999999</v>
      </c>
      <c r="L278" t="s">
        <v>30</v>
      </c>
    </row>
    <row r="279" spans="4:12" x14ac:dyDescent="0.25">
      <c r="D279" s="1"/>
      <c r="E279" t="s">
        <v>25</v>
      </c>
      <c r="F279" s="1">
        <v>80.916666666666671</v>
      </c>
      <c r="G279" t="s">
        <v>26</v>
      </c>
      <c r="H279" t="s">
        <v>27</v>
      </c>
      <c r="I279" t="s">
        <v>28</v>
      </c>
      <c r="J279" t="s">
        <v>29</v>
      </c>
      <c r="K279">
        <v>0.43827199999999999</v>
      </c>
      <c r="L279" t="s">
        <v>30</v>
      </c>
    </row>
    <row r="280" spans="4:12" x14ac:dyDescent="0.25">
      <c r="D280" s="1"/>
      <c r="E280" t="s">
        <v>25</v>
      </c>
      <c r="F280" s="1">
        <v>81.5</v>
      </c>
      <c r="G280" t="s">
        <v>26</v>
      </c>
      <c r="H280" t="s">
        <v>27</v>
      </c>
      <c r="I280" t="s">
        <v>28</v>
      </c>
      <c r="J280" t="s">
        <v>29</v>
      </c>
      <c r="K280">
        <v>0.82278399999999996</v>
      </c>
      <c r="L280" t="s">
        <v>30</v>
      </c>
    </row>
    <row r="281" spans="4:12" x14ac:dyDescent="0.25">
      <c r="D281" s="1"/>
      <c r="E281" t="s">
        <v>25</v>
      </c>
      <c r="F281" s="1">
        <v>82.083333333333329</v>
      </c>
      <c r="G281" t="s">
        <v>26</v>
      </c>
      <c r="H281" t="s">
        <v>27</v>
      </c>
      <c r="I281" t="s">
        <v>28</v>
      </c>
      <c r="J281" t="s">
        <v>29</v>
      </c>
      <c r="K281">
        <v>0.13107199999999999</v>
      </c>
      <c r="L281" t="s">
        <v>30</v>
      </c>
    </row>
    <row r="282" spans="4:12" x14ac:dyDescent="0.25">
      <c r="D282" s="1"/>
      <c r="E282" t="s">
        <v>25</v>
      </c>
      <c r="F282" s="1">
        <v>82.666666666666671</v>
      </c>
      <c r="G282" t="s">
        <v>26</v>
      </c>
      <c r="H282" t="s">
        <v>27</v>
      </c>
      <c r="I282" t="s">
        <v>28</v>
      </c>
      <c r="J282" t="s">
        <v>29</v>
      </c>
      <c r="K282">
        <v>0.15776000000000001</v>
      </c>
      <c r="L282" t="s">
        <v>30</v>
      </c>
    </row>
    <row r="283" spans="4:12" x14ac:dyDescent="0.25">
      <c r="D283" s="1"/>
      <c r="E283" t="s">
        <v>25</v>
      </c>
      <c r="F283" s="1">
        <v>83.25</v>
      </c>
      <c r="G283" t="s">
        <v>26</v>
      </c>
      <c r="H283" t="s">
        <v>27</v>
      </c>
      <c r="I283" t="s">
        <v>28</v>
      </c>
      <c r="J283" t="s">
        <v>29</v>
      </c>
      <c r="K283">
        <v>0.17183999999999999</v>
      </c>
      <c r="L283" t="s">
        <v>30</v>
      </c>
    </row>
    <row r="284" spans="4:12" x14ac:dyDescent="0.25">
      <c r="D284" s="1"/>
      <c r="E284" t="s">
        <v>25</v>
      </c>
      <c r="F284" s="1">
        <v>83.833333333333329</v>
      </c>
      <c r="G284" t="s">
        <v>26</v>
      </c>
      <c r="H284" t="s">
        <v>27</v>
      </c>
      <c r="I284" t="s">
        <v>28</v>
      </c>
      <c r="J284" t="s">
        <v>29</v>
      </c>
      <c r="K284">
        <v>0.25203199999999998</v>
      </c>
      <c r="L284" t="s">
        <v>30</v>
      </c>
    </row>
    <row r="285" spans="4:12" x14ac:dyDescent="0.25">
      <c r="D285" s="1"/>
      <c r="E285" t="s">
        <v>25</v>
      </c>
      <c r="F285" s="1">
        <v>84.416666666666671</v>
      </c>
      <c r="G285" t="s">
        <v>26</v>
      </c>
      <c r="H285" t="s">
        <v>27</v>
      </c>
      <c r="I285" t="s">
        <v>28</v>
      </c>
      <c r="J285" t="s">
        <v>29</v>
      </c>
      <c r="K285">
        <v>0.43763200000000002</v>
      </c>
      <c r="L285" t="s">
        <v>30</v>
      </c>
    </row>
    <row r="286" spans="4:12" x14ac:dyDescent="0.25">
      <c r="D286" s="1"/>
      <c r="E286" t="s">
        <v>25</v>
      </c>
      <c r="F286" s="1">
        <v>85</v>
      </c>
      <c r="G286" t="s">
        <v>26</v>
      </c>
      <c r="H286" t="s">
        <v>27</v>
      </c>
      <c r="I286" t="s">
        <v>28</v>
      </c>
      <c r="J286" t="s">
        <v>29</v>
      </c>
      <c r="K286">
        <v>0.85209599999999996</v>
      </c>
      <c r="L286" t="s">
        <v>30</v>
      </c>
    </row>
    <row r="287" spans="4:12" x14ac:dyDescent="0.25">
      <c r="D287" s="1"/>
      <c r="E287" t="s">
        <v>25</v>
      </c>
      <c r="F287" s="1">
        <v>85.583333333333329</v>
      </c>
      <c r="G287" t="s">
        <v>26</v>
      </c>
      <c r="H287" t="s">
        <v>27</v>
      </c>
      <c r="I287" t="s">
        <v>28</v>
      </c>
      <c r="J287" t="s">
        <v>29</v>
      </c>
      <c r="K287">
        <v>1.6272</v>
      </c>
      <c r="L287" t="s">
        <v>30</v>
      </c>
    </row>
    <row r="288" spans="4:12" x14ac:dyDescent="0.25">
      <c r="D288" s="1"/>
      <c r="E288" t="s">
        <v>25</v>
      </c>
      <c r="F288" s="1">
        <v>86.166666666666671</v>
      </c>
      <c r="G288" t="s">
        <v>26</v>
      </c>
      <c r="H288" t="s">
        <v>27</v>
      </c>
      <c r="I288" t="s">
        <v>28</v>
      </c>
      <c r="J288" t="s">
        <v>29</v>
      </c>
      <c r="K288">
        <v>0.20582400000000001</v>
      </c>
      <c r="L288" t="s">
        <v>30</v>
      </c>
    </row>
    <row r="289" spans="4:12" x14ac:dyDescent="0.25">
      <c r="D289" s="1"/>
      <c r="E289" t="s">
        <v>25</v>
      </c>
      <c r="F289" s="1">
        <v>86.75</v>
      </c>
      <c r="G289" t="s">
        <v>26</v>
      </c>
      <c r="H289" t="s">
        <v>27</v>
      </c>
      <c r="I289" t="s">
        <v>28</v>
      </c>
      <c r="J289" t="s">
        <v>29</v>
      </c>
      <c r="K289">
        <v>0.26067200000000001</v>
      </c>
      <c r="L289" t="s">
        <v>30</v>
      </c>
    </row>
    <row r="290" spans="4:12" x14ac:dyDescent="0.25">
      <c r="D290" s="1"/>
      <c r="E290" t="s">
        <v>25</v>
      </c>
      <c r="F290" s="1">
        <v>87.333333333333329</v>
      </c>
      <c r="G290" t="s">
        <v>26</v>
      </c>
      <c r="H290" t="s">
        <v>27</v>
      </c>
      <c r="I290" t="s">
        <v>28</v>
      </c>
      <c r="J290" t="s">
        <v>29</v>
      </c>
      <c r="K290">
        <v>0.293184</v>
      </c>
      <c r="L290" t="s">
        <v>30</v>
      </c>
    </row>
    <row r="291" spans="4:12" x14ac:dyDescent="0.25">
      <c r="D291" s="1"/>
      <c r="E291" t="s">
        <v>25</v>
      </c>
      <c r="F291" s="1">
        <v>87.916666666666671</v>
      </c>
      <c r="G291" t="s">
        <v>26</v>
      </c>
      <c r="H291" t="s">
        <v>27</v>
      </c>
      <c r="I291" t="s">
        <v>28</v>
      </c>
      <c r="J291" t="s">
        <v>29</v>
      </c>
      <c r="K291">
        <v>0.44966400000000001</v>
      </c>
      <c r="L291" t="s">
        <v>30</v>
      </c>
    </row>
    <row r="292" spans="4:12" x14ac:dyDescent="0.25">
      <c r="D292" s="1"/>
      <c r="E292" t="s">
        <v>25</v>
      </c>
      <c r="F292" s="1">
        <v>88.5</v>
      </c>
      <c r="G292" t="s">
        <v>26</v>
      </c>
      <c r="H292" t="s">
        <v>27</v>
      </c>
      <c r="I292" t="s">
        <v>28</v>
      </c>
      <c r="J292" t="s">
        <v>29</v>
      </c>
      <c r="K292">
        <v>0.90873599999999999</v>
      </c>
      <c r="L292" t="s">
        <v>30</v>
      </c>
    </row>
    <row r="293" spans="4:12" x14ac:dyDescent="0.25">
      <c r="D293" s="1"/>
      <c r="E293" t="s">
        <v>25</v>
      </c>
      <c r="F293" s="1">
        <v>89.083333333333329</v>
      </c>
      <c r="G293" t="s">
        <v>26</v>
      </c>
      <c r="H293" t="s">
        <v>27</v>
      </c>
      <c r="I293" t="s">
        <v>28</v>
      </c>
      <c r="J293" t="s">
        <v>29</v>
      </c>
      <c r="K293">
        <v>1.7847040000000001</v>
      </c>
      <c r="L293" t="s">
        <v>30</v>
      </c>
    </row>
    <row r="294" spans="4:12" x14ac:dyDescent="0.25">
      <c r="D294" s="1"/>
      <c r="E294" t="s">
        <v>25</v>
      </c>
      <c r="F294" s="1">
        <v>89.666666666666671</v>
      </c>
      <c r="G294" t="s">
        <v>26</v>
      </c>
      <c r="H294" t="s">
        <v>27</v>
      </c>
      <c r="I294" t="s">
        <v>28</v>
      </c>
      <c r="J294" t="s">
        <v>29</v>
      </c>
      <c r="K294">
        <v>3.564416</v>
      </c>
      <c r="L294" t="s">
        <v>30</v>
      </c>
    </row>
    <row r="295" spans="4:12" x14ac:dyDescent="0.25">
      <c r="D295" s="1"/>
      <c r="E295" t="s">
        <v>25</v>
      </c>
      <c r="F295" s="1">
        <v>90.25</v>
      </c>
      <c r="G295" t="s">
        <v>26</v>
      </c>
      <c r="H295" t="s">
        <v>27</v>
      </c>
      <c r="I295" t="s">
        <v>28</v>
      </c>
      <c r="J295" t="s">
        <v>29</v>
      </c>
      <c r="K295">
        <v>0.282752</v>
      </c>
      <c r="L295" t="s">
        <v>30</v>
      </c>
    </row>
    <row r="296" spans="4:12" x14ac:dyDescent="0.25">
      <c r="D296" s="1"/>
      <c r="E296" t="s">
        <v>25</v>
      </c>
      <c r="F296" s="1">
        <v>90.833333333333329</v>
      </c>
      <c r="G296" t="s">
        <v>26</v>
      </c>
      <c r="H296" t="s">
        <v>27</v>
      </c>
      <c r="I296" t="s">
        <v>28</v>
      </c>
      <c r="J296" t="s">
        <v>29</v>
      </c>
      <c r="K296">
        <v>0.36614400000000002</v>
      </c>
      <c r="L296" t="s">
        <v>30</v>
      </c>
    </row>
    <row r="297" spans="4:12" x14ac:dyDescent="0.25">
      <c r="D297" s="1"/>
      <c r="E297" t="s">
        <v>25</v>
      </c>
      <c r="F297" s="1">
        <v>91.416666666666671</v>
      </c>
      <c r="G297" t="s">
        <v>26</v>
      </c>
      <c r="H297" t="s">
        <v>27</v>
      </c>
      <c r="I297" t="s">
        <v>28</v>
      </c>
      <c r="J297" t="s">
        <v>29</v>
      </c>
      <c r="K297">
        <v>0.412416</v>
      </c>
      <c r="L297" t="s">
        <v>30</v>
      </c>
    </row>
    <row r="298" spans="4:12" x14ac:dyDescent="0.25">
      <c r="D298" s="1"/>
      <c r="E298" t="s">
        <v>25</v>
      </c>
      <c r="F298" s="1">
        <v>92</v>
      </c>
      <c r="G298" t="s">
        <v>26</v>
      </c>
      <c r="H298" t="s">
        <v>27</v>
      </c>
      <c r="I298" t="s">
        <v>28</v>
      </c>
      <c r="J298" t="s">
        <v>29</v>
      </c>
      <c r="K298">
        <v>0.70425599999999999</v>
      </c>
      <c r="L298" t="s">
        <v>30</v>
      </c>
    </row>
    <row r="299" spans="4:12" x14ac:dyDescent="0.25">
      <c r="D299" s="1"/>
      <c r="E299" t="s">
        <v>25</v>
      </c>
      <c r="F299" s="1">
        <v>92.583333333333329</v>
      </c>
      <c r="G299" t="s">
        <v>26</v>
      </c>
      <c r="H299" t="s">
        <v>27</v>
      </c>
      <c r="I299" t="s">
        <v>28</v>
      </c>
      <c r="J299" t="s">
        <v>29</v>
      </c>
      <c r="K299">
        <v>1.3773439999999999</v>
      </c>
      <c r="L299" t="s">
        <v>30</v>
      </c>
    </row>
    <row r="300" spans="4:12" x14ac:dyDescent="0.25">
      <c r="D300" s="1"/>
      <c r="E300" t="s">
        <v>25</v>
      </c>
      <c r="F300" s="1">
        <v>93.166666666666671</v>
      </c>
      <c r="G300" t="s">
        <v>26</v>
      </c>
      <c r="H300" t="s">
        <v>27</v>
      </c>
      <c r="I300" t="s">
        <v>28</v>
      </c>
      <c r="J300" t="s">
        <v>29</v>
      </c>
      <c r="K300">
        <v>2.7839999999999998</v>
      </c>
      <c r="L300" t="s">
        <v>30</v>
      </c>
    </row>
    <row r="301" spans="4:12" x14ac:dyDescent="0.25">
      <c r="D301" s="1"/>
      <c r="E301" t="s">
        <v>25</v>
      </c>
      <c r="F301" s="1">
        <v>93.75</v>
      </c>
      <c r="G301" t="s">
        <v>26</v>
      </c>
      <c r="H301" t="s">
        <v>27</v>
      </c>
      <c r="I301" t="s">
        <v>28</v>
      </c>
      <c r="J301" t="s">
        <v>29</v>
      </c>
      <c r="K301">
        <v>5.4803199999999999</v>
      </c>
      <c r="L301" t="s">
        <v>30</v>
      </c>
    </row>
    <row r="302" spans="4:12" x14ac:dyDescent="0.25">
      <c r="D302" s="1"/>
      <c r="E302" t="s">
        <v>25</v>
      </c>
      <c r="F302" s="1">
        <v>94.333333333333329</v>
      </c>
      <c r="G302" t="s">
        <v>26</v>
      </c>
      <c r="H302" t="s">
        <v>27</v>
      </c>
      <c r="I302" t="s">
        <v>28</v>
      </c>
      <c r="J302" t="s">
        <v>29</v>
      </c>
      <c r="K302">
        <v>0.35833599999999999</v>
      </c>
      <c r="L302" t="s">
        <v>30</v>
      </c>
    </row>
    <row r="303" spans="4:12" x14ac:dyDescent="0.25">
      <c r="D303" s="1"/>
      <c r="E303" t="s">
        <v>25</v>
      </c>
      <c r="F303" s="1">
        <v>94.916666666666671</v>
      </c>
      <c r="G303" t="s">
        <v>26</v>
      </c>
      <c r="H303" t="s">
        <v>27</v>
      </c>
      <c r="I303" t="s">
        <v>28</v>
      </c>
      <c r="J303" t="s">
        <v>29</v>
      </c>
      <c r="K303">
        <v>0.47129599999999999</v>
      </c>
      <c r="L303" t="s">
        <v>30</v>
      </c>
    </row>
    <row r="304" spans="4:12" x14ac:dyDescent="0.25">
      <c r="D304" s="1"/>
      <c r="E304" t="s">
        <v>25</v>
      </c>
      <c r="F304" s="1">
        <v>95.5</v>
      </c>
      <c r="G304" t="s">
        <v>26</v>
      </c>
      <c r="H304" t="s">
        <v>27</v>
      </c>
      <c r="I304" t="s">
        <v>28</v>
      </c>
      <c r="J304" t="s">
        <v>29</v>
      </c>
      <c r="K304">
        <v>0.54035200000000005</v>
      </c>
      <c r="L304" t="s">
        <v>30</v>
      </c>
    </row>
    <row r="305" spans="4:12" x14ac:dyDescent="0.25">
      <c r="D305" s="1"/>
      <c r="E305" t="s">
        <v>25</v>
      </c>
      <c r="F305" s="1">
        <v>96.083333333333329</v>
      </c>
      <c r="G305" t="s">
        <v>26</v>
      </c>
      <c r="H305" t="s">
        <v>27</v>
      </c>
      <c r="I305" t="s">
        <v>28</v>
      </c>
      <c r="J305" t="s">
        <v>29</v>
      </c>
      <c r="K305">
        <v>0.97760000000000002</v>
      </c>
      <c r="L305" t="s">
        <v>30</v>
      </c>
    </row>
    <row r="306" spans="4:12" x14ac:dyDescent="0.25">
      <c r="D306" s="1"/>
      <c r="E306" t="s">
        <v>25</v>
      </c>
      <c r="F306" s="1">
        <v>96.666666666666671</v>
      </c>
      <c r="G306" t="s">
        <v>26</v>
      </c>
      <c r="H306" t="s">
        <v>27</v>
      </c>
      <c r="I306" t="s">
        <v>28</v>
      </c>
      <c r="J306" t="s">
        <v>29</v>
      </c>
      <c r="K306">
        <v>1.904704</v>
      </c>
      <c r="L306" t="s">
        <v>30</v>
      </c>
    </row>
    <row r="307" spans="4:12" x14ac:dyDescent="0.25">
      <c r="D307" s="1"/>
      <c r="E307" t="s">
        <v>25</v>
      </c>
      <c r="F307" s="1">
        <v>97.25</v>
      </c>
      <c r="G307" t="s">
        <v>26</v>
      </c>
      <c r="H307" t="s">
        <v>27</v>
      </c>
      <c r="I307" t="s">
        <v>28</v>
      </c>
      <c r="J307" t="s">
        <v>29</v>
      </c>
      <c r="K307">
        <v>3.7831039999999998</v>
      </c>
      <c r="L307" t="s">
        <v>30</v>
      </c>
    </row>
    <row r="308" spans="4:12" x14ac:dyDescent="0.25">
      <c r="D308" s="1"/>
      <c r="E308" t="s">
        <v>25</v>
      </c>
      <c r="F308" s="1">
        <v>97.833333333333329</v>
      </c>
      <c r="G308" t="s">
        <v>26</v>
      </c>
      <c r="H308" t="s">
        <v>27</v>
      </c>
      <c r="I308" t="s">
        <v>28</v>
      </c>
      <c r="J308" t="s">
        <v>29</v>
      </c>
      <c r="K308">
        <v>7.4033920000000002</v>
      </c>
      <c r="L308" t="s">
        <v>30</v>
      </c>
    </row>
    <row r="309" spans="4:12" x14ac:dyDescent="0.25">
      <c r="D309" s="1"/>
      <c r="E309" t="s">
        <v>25</v>
      </c>
      <c r="F309" s="1">
        <v>98.416666666666671</v>
      </c>
      <c r="G309" t="s">
        <v>26</v>
      </c>
      <c r="H309" t="s">
        <v>27</v>
      </c>
      <c r="I309" t="s">
        <v>28</v>
      </c>
      <c r="J309" t="s">
        <v>29</v>
      </c>
      <c r="K309">
        <v>0.43635200000000002</v>
      </c>
      <c r="L309" t="s">
        <v>30</v>
      </c>
    </row>
    <row r="310" spans="4:12" x14ac:dyDescent="0.25">
      <c r="D310" s="1"/>
      <c r="E310" t="s">
        <v>25</v>
      </c>
      <c r="F310" s="1">
        <v>99</v>
      </c>
      <c r="G310" t="s">
        <v>26</v>
      </c>
      <c r="H310" t="s">
        <v>27</v>
      </c>
      <c r="I310" t="s">
        <v>28</v>
      </c>
      <c r="J310" t="s">
        <v>29</v>
      </c>
      <c r="K310">
        <v>0.57535999999999998</v>
      </c>
      <c r="L310" t="s">
        <v>30</v>
      </c>
    </row>
    <row r="311" spans="4:12" x14ac:dyDescent="0.25">
      <c r="D311" s="1"/>
      <c r="E311" t="s">
        <v>25</v>
      </c>
      <c r="F311" s="1">
        <v>99.583333333333329</v>
      </c>
      <c r="G311" t="s">
        <v>26</v>
      </c>
      <c r="H311" t="s">
        <v>27</v>
      </c>
      <c r="I311" t="s">
        <v>28</v>
      </c>
      <c r="J311" t="s">
        <v>29</v>
      </c>
      <c r="K311">
        <v>0.67264000000000002</v>
      </c>
      <c r="L311" t="s">
        <v>30</v>
      </c>
    </row>
    <row r="312" spans="4:12" x14ac:dyDescent="0.25">
      <c r="D312" s="1"/>
      <c r="E312" t="s">
        <v>25</v>
      </c>
      <c r="F312" s="1">
        <v>100.16666666666667</v>
      </c>
      <c r="G312" t="s">
        <v>26</v>
      </c>
      <c r="H312" t="s">
        <v>27</v>
      </c>
      <c r="I312" t="s">
        <v>28</v>
      </c>
      <c r="J312" t="s">
        <v>29</v>
      </c>
      <c r="K312">
        <v>1.240896</v>
      </c>
      <c r="L312" t="s">
        <v>30</v>
      </c>
    </row>
    <row r="313" spans="4:12" x14ac:dyDescent="0.25">
      <c r="D313" s="1"/>
      <c r="E313" t="s">
        <v>25</v>
      </c>
      <c r="F313" s="1">
        <v>100.75</v>
      </c>
      <c r="G313" t="s">
        <v>26</v>
      </c>
      <c r="H313" t="s">
        <v>27</v>
      </c>
      <c r="I313" t="s">
        <v>28</v>
      </c>
      <c r="J313" t="s">
        <v>29</v>
      </c>
      <c r="K313">
        <v>2.3912960000000001</v>
      </c>
      <c r="L313" t="s">
        <v>30</v>
      </c>
    </row>
    <row r="314" spans="4:12" x14ac:dyDescent="0.25">
      <c r="D314" s="1"/>
      <c r="E314" t="s">
        <v>25</v>
      </c>
      <c r="F314" s="1">
        <v>101.33333333333333</v>
      </c>
      <c r="G314" t="s">
        <v>26</v>
      </c>
      <c r="H314" t="s">
        <v>27</v>
      </c>
      <c r="I314" t="s">
        <v>28</v>
      </c>
      <c r="J314" t="s">
        <v>29</v>
      </c>
      <c r="K314">
        <v>4.7538559999999999</v>
      </c>
      <c r="L314" t="s">
        <v>30</v>
      </c>
    </row>
    <row r="315" spans="4:12" x14ac:dyDescent="0.25">
      <c r="D315" s="1"/>
      <c r="E315" t="s">
        <v>25</v>
      </c>
      <c r="F315" s="1">
        <v>101.91666666666667</v>
      </c>
      <c r="G315" t="s">
        <v>26</v>
      </c>
      <c r="H315" t="s">
        <v>27</v>
      </c>
      <c r="I315" t="s">
        <v>28</v>
      </c>
      <c r="J315" t="s">
        <v>29</v>
      </c>
      <c r="K315">
        <v>9.3007369999999998</v>
      </c>
      <c r="L315" t="s">
        <v>30</v>
      </c>
    </row>
    <row r="316" spans="4:12" x14ac:dyDescent="0.25">
      <c r="D316" s="1"/>
      <c r="E316" t="s">
        <v>25</v>
      </c>
      <c r="F316" s="1">
        <v>102.5</v>
      </c>
      <c r="G316" t="s">
        <v>26</v>
      </c>
      <c r="H316" t="s">
        <v>27</v>
      </c>
      <c r="I316" t="s">
        <v>28</v>
      </c>
      <c r="J316" t="s">
        <v>29</v>
      </c>
      <c r="K316">
        <v>0.51232</v>
      </c>
      <c r="L316" t="s">
        <v>30</v>
      </c>
    </row>
    <row r="317" spans="4:12" x14ac:dyDescent="0.25">
      <c r="D317" s="1"/>
      <c r="E317" t="s">
        <v>25</v>
      </c>
      <c r="F317" s="1">
        <v>103.08333333333333</v>
      </c>
      <c r="G317" t="s">
        <v>26</v>
      </c>
      <c r="H317" t="s">
        <v>27</v>
      </c>
      <c r="I317" t="s">
        <v>28</v>
      </c>
      <c r="J317" t="s">
        <v>29</v>
      </c>
      <c r="K317">
        <v>0.68134399999999995</v>
      </c>
      <c r="L317" t="s">
        <v>30</v>
      </c>
    </row>
    <row r="318" spans="4:12" x14ac:dyDescent="0.25">
      <c r="D318" s="1"/>
      <c r="E318" t="s">
        <v>25</v>
      </c>
      <c r="F318" s="1">
        <v>103.66666666666667</v>
      </c>
      <c r="G318" t="s">
        <v>26</v>
      </c>
      <c r="H318" t="s">
        <v>27</v>
      </c>
      <c r="I318" t="s">
        <v>28</v>
      </c>
      <c r="J318" t="s">
        <v>29</v>
      </c>
      <c r="K318">
        <v>0.81433599999999995</v>
      </c>
      <c r="L318" t="s">
        <v>30</v>
      </c>
    </row>
    <row r="319" spans="4:12" x14ac:dyDescent="0.25">
      <c r="D319" s="1"/>
      <c r="E319" t="s">
        <v>25</v>
      </c>
      <c r="F319" s="1">
        <v>104.25</v>
      </c>
      <c r="G319" t="s">
        <v>26</v>
      </c>
      <c r="H319" t="s">
        <v>27</v>
      </c>
      <c r="I319" t="s">
        <v>28</v>
      </c>
      <c r="J319" t="s">
        <v>29</v>
      </c>
      <c r="K319">
        <v>1.4976640000000001</v>
      </c>
      <c r="L319" t="s">
        <v>30</v>
      </c>
    </row>
    <row r="320" spans="4:12" x14ac:dyDescent="0.25">
      <c r="D320" s="1"/>
      <c r="E320" t="s">
        <v>25</v>
      </c>
      <c r="F320" s="1">
        <v>104.83333333333333</v>
      </c>
      <c r="G320" t="s">
        <v>26</v>
      </c>
      <c r="H320" t="s">
        <v>27</v>
      </c>
      <c r="I320" t="s">
        <v>28</v>
      </c>
      <c r="J320" t="s">
        <v>29</v>
      </c>
      <c r="K320">
        <v>2.8640639999999999</v>
      </c>
      <c r="L320" t="s">
        <v>30</v>
      </c>
    </row>
    <row r="321" spans="4:12" x14ac:dyDescent="0.25">
      <c r="D321" s="1"/>
      <c r="E321" t="s">
        <v>25</v>
      </c>
      <c r="F321" s="1">
        <v>105.41666666666667</v>
      </c>
      <c r="G321" t="s">
        <v>26</v>
      </c>
      <c r="H321" t="s">
        <v>27</v>
      </c>
      <c r="I321" t="s">
        <v>28</v>
      </c>
      <c r="J321" t="s">
        <v>29</v>
      </c>
      <c r="K321">
        <v>5.6914559999999996</v>
      </c>
      <c r="L321" t="s">
        <v>30</v>
      </c>
    </row>
    <row r="322" spans="4:12" x14ac:dyDescent="0.25">
      <c r="D322" s="1"/>
      <c r="E322" t="s">
        <v>25</v>
      </c>
      <c r="F322" s="1">
        <v>106</v>
      </c>
      <c r="G322" t="s">
        <v>26</v>
      </c>
      <c r="H322" t="s">
        <v>27</v>
      </c>
      <c r="I322" t="s">
        <v>28</v>
      </c>
      <c r="J322" t="s">
        <v>29</v>
      </c>
      <c r="K322">
        <v>11.159424</v>
      </c>
      <c r="L322" t="s">
        <v>30</v>
      </c>
    </row>
    <row r="323" spans="4:12" x14ac:dyDescent="0.25">
      <c r="D323" s="1"/>
      <c r="E323" t="s">
        <v>25</v>
      </c>
      <c r="F323" s="1">
        <v>106.58333333333333</v>
      </c>
      <c r="G323" t="s">
        <v>26</v>
      </c>
      <c r="H323" t="s">
        <v>27</v>
      </c>
      <c r="I323" t="s">
        <v>28</v>
      </c>
      <c r="J323" t="s">
        <v>29</v>
      </c>
      <c r="K323">
        <v>0.58745599999999998</v>
      </c>
      <c r="L323" t="s">
        <v>30</v>
      </c>
    </row>
    <row r="324" spans="4:12" x14ac:dyDescent="0.25">
      <c r="D324" s="1"/>
      <c r="E324" t="s">
        <v>25</v>
      </c>
      <c r="F324" s="1">
        <v>107.16666666666667</v>
      </c>
      <c r="G324" t="s">
        <v>26</v>
      </c>
      <c r="H324" t="s">
        <v>27</v>
      </c>
      <c r="I324" t="s">
        <v>28</v>
      </c>
      <c r="J324" t="s">
        <v>29</v>
      </c>
      <c r="K324">
        <v>0.79052800000000001</v>
      </c>
      <c r="L324" t="s">
        <v>30</v>
      </c>
    </row>
    <row r="325" spans="4:12" x14ac:dyDescent="0.25">
      <c r="D325" s="1"/>
      <c r="E325" t="s">
        <v>25</v>
      </c>
      <c r="F325" s="1">
        <v>107.75</v>
      </c>
      <c r="G325" t="s">
        <v>26</v>
      </c>
      <c r="H325" t="s">
        <v>27</v>
      </c>
      <c r="I325" t="s">
        <v>28</v>
      </c>
      <c r="J325" t="s">
        <v>29</v>
      </c>
      <c r="K325">
        <v>0.93785600000000002</v>
      </c>
      <c r="L325" t="s">
        <v>30</v>
      </c>
    </row>
    <row r="326" spans="4:12" x14ac:dyDescent="0.25">
      <c r="D326" s="1"/>
      <c r="E326" t="s">
        <v>25</v>
      </c>
      <c r="F326" s="1">
        <v>108.33333333333333</v>
      </c>
      <c r="G326" t="s">
        <v>26</v>
      </c>
      <c r="H326" t="s">
        <v>27</v>
      </c>
      <c r="I326" t="s">
        <v>28</v>
      </c>
      <c r="J326" t="s">
        <v>29</v>
      </c>
      <c r="K326">
        <v>1.708928</v>
      </c>
      <c r="L326" t="s">
        <v>30</v>
      </c>
    </row>
    <row r="327" spans="4:12" x14ac:dyDescent="0.25">
      <c r="D327" s="1"/>
      <c r="E327" t="s">
        <v>25</v>
      </c>
      <c r="F327" s="1">
        <v>108.91666666666667</v>
      </c>
      <c r="G327" t="s">
        <v>26</v>
      </c>
      <c r="H327" t="s">
        <v>27</v>
      </c>
      <c r="I327" t="s">
        <v>28</v>
      </c>
      <c r="J327" t="s">
        <v>29</v>
      </c>
      <c r="K327">
        <v>3.3502719999999999</v>
      </c>
      <c r="L327" t="s">
        <v>30</v>
      </c>
    </row>
    <row r="328" spans="4:12" x14ac:dyDescent="0.25">
      <c r="D328" s="1"/>
      <c r="E328" t="s">
        <v>25</v>
      </c>
      <c r="F328" s="1">
        <v>109.5</v>
      </c>
      <c r="G328" t="s">
        <v>26</v>
      </c>
      <c r="H328" t="s">
        <v>27</v>
      </c>
      <c r="I328" t="s">
        <v>28</v>
      </c>
      <c r="J328" t="s">
        <v>29</v>
      </c>
      <c r="K328">
        <v>6.6811509999999998</v>
      </c>
      <c r="L328" t="s">
        <v>30</v>
      </c>
    </row>
    <row r="329" spans="4:12" x14ac:dyDescent="0.25">
      <c r="D329" s="1"/>
      <c r="E329" t="s">
        <v>25</v>
      </c>
      <c r="F329" s="1">
        <v>110.08333333333333</v>
      </c>
      <c r="G329" t="s">
        <v>26</v>
      </c>
      <c r="H329" t="s">
        <v>27</v>
      </c>
      <c r="I329" t="s">
        <v>28</v>
      </c>
      <c r="J329" t="s">
        <v>29</v>
      </c>
      <c r="K329">
        <v>13.097025</v>
      </c>
      <c r="L329" t="s">
        <v>30</v>
      </c>
    </row>
    <row r="330" spans="4:12" x14ac:dyDescent="0.25">
      <c r="D330" s="1"/>
      <c r="E330" t="s">
        <v>25</v>
      </c>
      <c r="F330" s="1">
        <v>110.66666666666667</v>
      </c>
      <c r="G330" t="s">
        <v>26</v>
      </c>
      <c r="H330" t="s">
        <v>27</v>
      </c>
      <c r="I330" t="s">
        <v>28</v>
      </c>
      <c r="J330" t="s">
        <v>29</v>
      </c>
      <c r="K330">
        <v>0.66291199999999995</v>
      </c>
      <c r="L330" t="s">
        <v>30</v>
      </c>
    </row>
    <row r="331" spans="4:12" x14ac:dyDescent="0.25">
      <c r="D331" s="1"/>
      <c r="E331" t="s">
        <v>25</v>
      </c>
      <c r="F331" s="1">
        <v>111.25</v>
      </c>
      <c r="G331" t="s">
        <v>26</v>
      </c>
      <c r="H331" t="s">
        <v>27</v>
      </c>
      <c r="I331" t="s">
        <v>28</v>
      </c>
      <c r="J331" t="s">
        <v>29</v>
      </c>
      <c r="K331">
        <v>0.89478400000000002</v>
      </c>
      <c r="L331" t="s">
        <v>30</v>
      </c>
    </row>
    <row r="332" spans="4:12" x14ac:dyDescent="0.25">
      <c r="D332" s="1"/>
      <c r="E332" t="s">
        <v>25</v>
      </c>
      <c r="F332" s="1">
        <v>111.83333333333333</v>
      </c>
      <c r="G332" t="s">
        <v>26</v>
      </c>
      <c r="H332" t="s">
        <v>27</v>
      </c>
      <c r="I332" t="s">
        <v>28</v>
      </c>
      <c r="J332" t="s">
        <v>29</v>
      </c>
      <c r="K332">
        <v>1.0791679999999999</v>
      </c>
      <c r="L332" t="s">
        <v>30</v>
      </c>
    </row>
    <row r="333" spans="4:12" x14ac:dyDescent="0.25">
      <c r="D333" s="1"/>
      <c r="E333" t="s">
        <v>25</v>
      </c>
      <c r="F333" s="1">
        <v>112.41666666666667</v>
      </c>
      <c r="G333" t="s">
        <v>26</v>
      </c>
      <c r="H333" t="s">
        <v>27</v>
      </c>
      <c r="I333" t="s">
        <v>28</v>
      </c>
      <c r="J333" t="s">
        <v>29</v>
      </c>
      <c r="K333">
        <v>1.955776</v>
      </c>
      <c r="L333" t="s">
        <v>30</v>
      </c>
    </row>
    <row r="334" spans="4:12" x14ac:dyDescent="0.25">
      <c r="D334" s="1"/>
      <c r="E334" t="s">
        <v>25</v>
      </c>
      <c r="F334" s="1">
        <v>113</v>
      </c>
      <c r="G334" t="s">
        <v>26</v>
      </c>
      <c r="H334" t="s">
        <v>27</v>
      </c>
      <c r="I334" t="s">
        <v>28</v>
      </c>
      <c r="J334" t="s">
        <v>29</v>
      </c>
      <c r="K334">
        <v>3.8088959999999998</v>
      </c>
      <c r="L334" t="s">
        <v>30</v>
      </c>
    </row>
    <row r="335" spans="4:12" x14ac:dyDescent="0.25">
      <c r="D335" s="1"/>
      <c r="E335" t="s">
        <v>25</v>
      </c>
      <c r="F335" s="1">
        <v>113.58333333333333</v>
      </c>
      <c r="G335" t="s">
        <v>26</v>
      </c>
      <c r="H335" t="s">
        <v>27</v>
      </c>
      <c r="I335" t="s">
        <v>28</v>
      </c>
      <c r="J335" t="s">
        <v>29</v>
      </c>
      <c r="K335">
        <v>7.6110720000000001</v>
      </c>
      <c r="L335" t="s">
        <v>30</v>
      </c>
    </row>
    <row r="336" spans="4:12" x14ac:dyDescent="0.25">
      <c r="D336" s="1"/>
      <c r="E336" t="s">
        <v>25</v>
      </c>
      <c r="F336" s="1">
        <v>114.16666666666667</v>
      </c>
      <c r="G336" t="s">
        <v>26</v>
      </c>
      <c r="H336" t="s">
        <v>27</v>
      </c>
      <c r="I336" t="s">
        <v>28</v>
      </c>
      <c r="J336" t="s">
        <v>29</v>
      </c>
      <c r="K336">
        <v>14.990781999999999</v>
      </c>
      <c r="L336" t="s">
        <v>30</v>
      </c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GQA</vt:lpstr>
      <vt:lpstr>ROPE</vt:lpstr>
      <vt:lpstr>theory_128</vt:lpstr>
      <vt:lpstr>theory_576</vt:lpstr>
      <vt:lpstr>576_分步性能</vt:lpstr>
      <vt:lpstr>theory_from_nicol</vt:lpstr>
      <vt:lpstr>prefill</vt:lpstr>
      <vt:lpstr>Sheet1</vt:lpstr>
      <vt:lpstr>Qwen</vt:lpstr>
      <vt:lpstr>softmax BF16 seq=1</vt:lpstr>
      <vt:lpstr>softmax BF16 seq=2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Tu</dc:creator>
  <cp:lastModifiedBy>Zheng Li(李政)</cp:lastModifiedBy>
  <dcterms:created xsi:type="dcterms:W3CDTF">2025-02-13T06:46:51Z</dcterms:created>
  <dcterms:modified xsi:type="dcterms:W3CDTF">2025-04-08T09:20:50Z</dcterms:modified>
</cp:coreProperties>
</file>