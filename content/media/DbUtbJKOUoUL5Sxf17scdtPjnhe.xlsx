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0" yWindow="0" windowWidth="14770" windowHeight="6990"/>
  </bookViews>
  <sheets>
    <sheet name="numa" sheetId="4" r:id="rId1"/>
    <sheet name="uma4" sheetId="2" r:id="rId2"/>
    <sheet name="70b_uma4" sheetId="5" r:id="rId3"/>
    <sheet name="7b_uma4" sheetId="6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65" i="2" l="1"/>
  <c r="H65" i="2"/>
  <c r="F65" i="2"/>
  <c r="J50" i="2"/>
  <c r="H50" i="2"/>
  <c r="F50" i="2"/>
  <c r="J32" i="2"/>
  <c r="H32" i="2"/>
  <c r="F32" i="2"/>
  <c r="J18" i="2"/>
  <c r="H18" i="2"/>
  <c r="F18" i="2"/>
  <c r="F20" i="2"/>
  <c r="H20" i="2"/>
  <c r="J20" i="2"/>
  <c r="F21" i="2"/>
  <c r="H21" i="2"/>
  <c r="J21" i="2"/>
  <c r="F22" i="2"/>
  <c r="H22" i="2"/>
  <c r="J22" i="2"/>
  <c r="F23" i="2"/>
  <c r="H23" i="2"/>
  <c r="J23" i="2"/>
  <c r="F24" i="2"/>
  <c r="H24" i="2"/>
  <c r="J24" i="2"/>
  <c r="F25" i="2"/>
  <c r="H25" i="2"/>
  <c r="J25" i="2"/>
  <c r="F26" i="2"/>
  <c r="H26" i="2"/>
  <c r="J26" i="2"/>
  <c r="F27" i="2"/>
  <c r="H27" i="2"/>
  <c r="J27" i="2"/>
  <c r="F28" i="2"/>
  <c r="H28" i="2"/>
  <c r="J28" i="2"/>
  <c r="F29" i="2"/>
  <c r="H29" i="2"/>
  <c r="J29" i="2"/>
  <c r="F30" i="2"/>
  <c r="H30" i="2"/>
  <c r="J30" i="2"/>
  <c r="F31" i="2"/>
  <c r="H31" i="2"/>
  <c r="J31" i="2"/>
  <c r="F35" i="2"/>
  <c r="H35" i="2"/>
  <c r="J35" i="2"/>
  <c r="F36" i="2"/>
  <c r="H36" i="2"/>
  <c r="J36" i="2"/>
  <c r="F37" i="2"/>
  <c r="H37" i="2"/>
  <c r="J37" i="2"/>
  <c r="F38" i="2"/>
  <c r="H38" i="2"/>
  <c r="J38" i="2"/>
  <c r="F39" i="2"/>
  <c r="H39" i="2"/>
  <c r="J39" i="2"/>
  <c r="F40" i="2"/>
  <c r="H40" i="2"/>
  <c r="J40" i="2"/>
  <c r="F41" i="2"/>
  <c r="H41" i="2"/>
  <c r="J41" i="2"/>
  <c r="F42" i="2"/>
  <c r="H42" i="2"/>
  <c r="J42" i="2"/>
  <c r="F43" i="2"/>
  <c r="H43" i="2"/>
  <c r="J43" i="2"/>
  <c r="F44" i="2"/>
  <c r="H44" i="2"/>
  <c r="J44" i="2"/>
  <c r="F45" i="2"/>
  <c r="H45" i="2"/>
  <c r="J45" i="2"/>
  <c r="H64" i="4"/>
  <c r="F64" i="4"/>
  <c r="H51" i="4"/>
  <c r="F51" i="4"/>
  <c r="H31" i="4"/>
  <c r="F31" i="4"/>
  <c r="H18" i="4"/>
  <c r="F18" i="4"/>
  <c r="J64" i="4"/>
  <c r="D64" i="4"/>
  <c r="J51" i="4"/>
  <c r="D51" i="4"/>
  <c r="J31" i="4"/>
  <c r="D31" i="4"/>
  <c r="J18" i="4"/>
  <c r="D18" i="4"/>
  <c r="D2" i="4" l="1"/>
  <c r="J63" i="4"/>
  <c r="H63" i="4"/>
  <c r="F63" i="4"/>
  <c r="D63" i="4"/>
  <c r="J62" i="4"/>
  <c r="H62" i="4"/>
  <c r="F62" i="4"/>
  <c r="D62" i="4"/>
  <c r="J61" i="4"/>
  <c r="H61" i="4"/>
  <c r="F61" i="4"/>
  <c r="D61" i="4"/>
  <c r="J60" i="4"/>
  <c r="H60" i="4"/>
  <c r="F60" i="4"/>
  <c r="D60" i="4"/>
  <c r="J59" i="4"/>
  <c r="H59" i="4"/>
  <c r="F59" i="4"/>
  <c r="D59" i="4"/>
  <c r="J58" i="4"/>
  <c r="H58" i="4"/>
  <c r="F58" i="4"/>
  <c r="D58" i="4"/>
  <c r="J57" i="4"/>
  <c r="H57" i="4"/>
  <c r="F57" i="4"/>
  <c r="D57" i="4"/>
  <c r="J56" i="4"/>
  <c r="H56" i="4"/>
  <c r="F56" i="4"/>
  <c r="D56" i="4"/>
  <c r="J55" i="4"/>
  <c r="H55" i="4"/>
  <c r="F55" i="4"/>
  <c r="D55" i="4"/>
  <c r="J54" i="4"/>
  <c r="H54" i="4"/>
  <c r="F54" i="4"/>
  <c r="D54" i="4"/>
  <c r="J53" i="4"/>
  <c r="H53" i="4"/>
  <c r="F53" i="4"/>
  <c r="D53" i="4"/>
  <c r="J52" i="4"/>
  <c r="H52" i="4"/>
  <c r="F52" i="4"/>
  <c r="D52" i="4"/>
  <c r="J50" i="4"/>
  <c r="H50" i="4"/>
  <c r="F50" i="4"/>
  <c r="D50" i="4"/>
  <c r="J49" i="4"/>
  <c r="H49" i="4"/>
  <c r="F49" i="4"/>
  <c r="D49" i="4"/>
  <c r="J48" i="4"/>
  <c r="H48" i="4"/>
  <c r="F48" i="4"/>
  <c r="D48" i="4"/>
  <c r="J47" i="4"/>
  <c r="H47" i="4"/>
  <c r="F47" i="4"/>
  <c r="D47" i="4"/>
  <c r="J46" i="4"/>
  <c r="H46" i="4"/>
  <c r="F46" i="4"/>
  <c r="D46" i="4"/>
  <c r="J45" i="4"/>
  <c r="H45" i="4"/>
  <c r="F45" i="4"/>
  <c r="D45" i="4"/>
  <c r="J44" i="4"/>
  <c r="H44" i="4"/>
  <c r="F44" i="4"/>
  <c r="D44" i="4"/>
  <c r="J43" i="4"/>
  <c r="H43" i="4"/>
  <c r="F43" i="4"/>
  <c r="D43" i="4"/>
  <c r="J42" i="4"/>
  <c r="H42" i="4"/>
  <c r="F42" i="4"/>
  <c r="D42" i="4"/>
  <c r="J41" i="4"/>
  <c r="H41" i="4"/>
  <c r="F41" i="4"/>
  <c r="D41" i="4"/>
  <c r="J40" i="4"/>
  <c r="H40" i="4"/>
  <c r="F40" i="4"/>
  <c r="D40" i="4"/>
  <c r="J39" i="4"/>
  <c r="H39" i="4"/>
  <c r="F39" i="4"/>
  <c r="D39" i="4"/>
  <c r="J38" i="4"/>
  <c r="H38" i="4"/>
  <c r="F38" i="4"/>
  <c r="D38" i="4"/>
  <c r="J37" i="4"/>
  <c r="H37" i="4"/>
  <c r="F37" i="4"/>
  <c r="D37" i="4"/>
  <c r="J36" i="4"/>
  <c r="H36" i="4"/>
  <c r="F36" i="4"/>
  <c r="D36" i="4"/>
  <c r="J35" i="4"/>
  <c r="H35" i="4"/>
  <c r="F35" i="4"/>
  <c r="D35" i="4"/>
  <c r="J30" i="4"/>
  <c r="H30" i="4"/>
  <c r="F30" i="4"/>
  <c r="D30" i="4"/>
  <c r="J29" i="4"/>
  <c r="H29" i="4"/>
  <c r="F29" i="4"/>
  <c r="D29" i="4"/>
  <c r="J28" i="4"/>
  <c r="H28" i="4"/>
  <c r="F28" i="4"/>
  <c r="D28" i="4"/>
  <c r="J27" i="4"/>
  <c r="H27" i="4"/>
  <c r="F27" i="4"/>
  <c r="D27" i="4"/>
  <c r="J26" i="4"/>
  <c r="H26" i="4"/>
  <c r="F26" i="4"/>
  <c r="D26" i="4"/>
  <c r="J25" i="4"/>
  <c r="H25" i="4"/>
  <c r="F25" i="4"/>
  <c r="D25" i="4"/>
  <c r="J24" i="4"/>
  <c r="H24" i="4"/>
  <c r="F24" i="4"/>
  <c r="D24" i="4"/>
  <c r="J23" i="4"/>
  <c r="H23" i="4"/>
  <c r="F23" i="4"/>
  <c r="D23" i="4"/>
  <c r="J22" i="4"/>
  <c r="H22" i="4"/>
  <c r="F22" i="4"/>
  <c r="D22" i="4"/>
  <c r="J21" i="4"/>
  <c r="H21" i="4"/>
  <c r="F21" i="4"/>
  <c r="D21" i="4"/>
  <c r="J20" i="4"/>
  <c r="H20" i="4"/>
  <c r="F20" i="4"/>
  <c r="D20" i="4"/>
  <c r="J19" i="4"/>
  <c r="H19" i="4"/>
  <c r="F19" i="4"/>
  <c r="D19" i="4"/>
  <c r="J17" i="4"/>
  <c r="H17" i="4"/>
  <c r="F17" i="4"/>
  <c r="D17" i="4"/>
  <c r="J16" i="4"/>
  <c r="H16" i="4"/>
  <c r="F16" i="4"/>
  <c r="D16" i="4"/>
  <c r="J15" i="4"/>
  <c r="H15" i="4"/>
  <c r="F15" i="4"/>
  <c r="D15" i="4"/>
  <c r="J14" i="4"/>
  <c r="H14" i="4"/>
  <c r="F14" i="4"/>
  <c r="D14" i="4"/>
  <c r="J13" i="4"/>
  <c r="H13" i="4"/>
  <c r="F13" i="4"/>
  <c r="D13" i="4"/>
  <c r="J12" i="4"/>
  <c r="H12" i="4"/>
  <c r="F12" i="4"/>
  <c r="D12" i="4"/>
  <c r="J11" i="4"/>
  <c r="H11" i="4"/>
  <c r="F11" i="4"/>
  <c r="D11" i="4"/>
  <c r="J10" i="4"/>
  <c r="H10" i="4"/>
  <c r="F10" i="4"/>
  <c r="D10" i="4"/>
  <c r="J9" i="4"/>
  <c r="H9" i="4"/>
  <c r="F9" i="4"/>
  <c r="D9" i="4"/>
  <c r="J8" i="4"/>
  <c r="H8" i="4"/>
  <c r="F8" i="4"/>
  <c r="D8" i="4"/>
  <c r="J7" i="4"/>
  <c r="H7" i="4"/>
  <c r="F7" i="4"/>
  <c r="D7" i="4"/>
  <c r="J6" i="4"/>
  <c r="H6" i="4"/>
  <c r="F6" i="4"/>
  <c r="D6" i="4"/>
  <c r="J5" i="4"/>
  <c r="H5" i="4"/>
  <c r="F5" i="4"/>
  <c r="D5" i="4"/>
  <c r="J4" i="4"/>
  <c r="H4" i="4"/>
  <c r="F4" i="4"/>
  <c r="D4" i="4"/>
  <c r="J3" i="4"/>
  <c r="H3" i="4"/>
  <c r="F3" i="4"/>
  <c r="D3" i="4"/>
  <c r="J2" i="4"/>
  <c r="H2" i="4"/>
  <c r="F2" i="4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46" i="2"/>
  <c r="J47" i="2"/>
  <c r="J48" i="2"/>
  <c r="J49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46" i="2"/>
  <c r="H47" i="2"/>
  <c r="H48" i="2"/>
  <c r="H49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46" i="2"/>
  <c r="F47" i="2"/>
  <c r="F48" i="2"/>
  <c r="F49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2" i="2"/>
</calcChain>
</file>

<file path=xl/sharedStrings.xml><?xml version="1.0" encoding="utf-8"?>
<sst xmlns="http://schemas.openxmlformats.org/spreadsheetml/2006/main" count="222" uniqueCount="45">
  <si>
    <t>1x1</t>
  </si>
  <si>
    <t>4096x4096</t>
  </si>
  <si>
    <t>32x1</t>
  </si>
  <si>
    <t>64x1</t>
  </si>
  <si>
    <t>128x1</t>
  </si>
  <si>
    <t>4096x12288</t>
  </si>
  <si>
    <t>4096x22016</t>
  </si>
  <si>
    <t>11008x4096</t>
  </si>
  <si>
    <t>Prefill</t>
  </si>
  <si>
    <t>1x512</t>
  </si>
  <si>
    <t>32x512</t>
  </si>
  <si>
    <t>64x512</t>
  </si>
  <si>
    <t>weight</t>
  </si>
  <si>
    <t>16spc numa</t>
  </si>
  <si>
    <t>14spc numa (0x77ff)</t>
  </si>
  <si>
    <t>12spc numa(0x7777)</t>
  </si>
  <si>
    <t>12spc numa(0xfff)</t>
  </si>
  <si>
    <t>Decoder</t>
  </si>
  <si>
    <t>15spc numa</t>
    <phoneticPr fontId="2" type="noConversion"/>
  </si>
  <si>
    <t>15比例</t>
    <phoneticPr fontId="2" type="noConversion"/>
  </si>
  <si>
    <t>14比例</t>
    <phoneticPr fontId="2" type="noConversion"/>
  </si>
  <si>
    <t>12比例</t>
    <phoneticPr fontId="2" type="noConversion"/>
  </si>
  <si>
    <t>8192x2560</t>
  </si>
  <si>
    <t>2048x8192</t>
  </si>
  <si>
    <t>8192x(7168x2)</t>
  </si>
  <si>
    <t>7168x8192</t>
  </si>
  <si>
    <t>16spc  numa</t>
    <phoneticPr fontId="2" type="noConversion"/>
  </si>
  <si>
    <t>16spc uma4</t>
    <phoneticPr fontId="2" type="noConversion"/>
  </si>
  <si>
    <t>12spc numa</t>
    <phoneticPr fontId="2" type="noConversion"/>
  </si>
  <si>
    <t>12spc uma4</t>
    <phoneticPr fontId="2" type="noConversion"/>
  </si>
  <si>
    <t>下降比例</t>
    <phoneticPr fontId="2" type="noConversion"/>
  </si>
  <si>
    <t>性能比例</t>
    <phoneticPr fontId="2" type="noConversion"/>
  </si>
  <si>
    <t>decoder</t>
    <phoneticPr fontId="2" type="noConversion"/>
  </si>
  <si>
    <t>7b</t>
    <phoneticPr fontId="2" type="noConversion"/>
  </si>
  <si>
    <t>70b</t>
    <phoneticPr fontId="2" type="noConversion"/>
  </si>
  <si>
    <t>prefill</t>
    <phoneticPr fontId="2" type="noConversion"/>
  </si>
  <si>
    <t>16 uma4比例</t>
    <phoneticPr fontId="2" type="noConversion"/>
  </si>
  <si>
    <t>12 numa比例</t>
    <phoneticPr fontId="2" type="noConversion"/>
  </si>
  <si>
    <t>12 uma4比例</t>
    <phoneticPr fontId="2" type="noConversion"/>
  </si>
  <si>
    <t>prefill</t>
    <phoneticPr fontId="2" type="noConversion"/>
  </si>
  <si>
    <t>decoder</t>
    <phoneticPr fontId="2" type="noConversion"/>
  </si>
  <si>
    <t>16spc uma4</t>
  </si>
  <si>
    <t>(L2_SIZE 4MB)</t>
  </si>
  <si>
    <t>(L2_SIZE 2MB)</t>
  </si>
  <si>
    <t>12spc uma4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</si>
</sst>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4">
    <xf numFmtId="0" fontId="0" fillId="0" borderId="0" xfId="0">
      <alignment vertical="center"/>
    </xf>
    <xf numFmtId="9" fontId="0" fillId="0" borderId="0" xfId="1" applyFont="1">
      <alignment vertical="center"/>
    </xf>
    <xf numFmtId="0" fontId="0" fillId="0" borderId="0" xfId="1" applyNumberFormat="1" applyFont="1">
      <alignment vertical="center"/>
    </xf>
    <xf numFmtId="9" fontId="0" fillId="0" borderId="0" xfId="0" applyNumberFormat="1">
      <alignment vertical="center"/>
    </xf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4"/>
  <sheetViews>
    <sheetView tabSelected="1" topLeftCell="B1" zoomScale="115" zoomScaleNormal="115" workbookViewId="0">
      <selection activeCell="L78" sqref="L78"/>
    </sheetView>
  </sheetViews>
  <sheetFormatPr defaultRowHeight="14" x14ac:dyDescent="0.3"/>
  <cols>
    <col min="15" max="15" width="18" customWidth="1"/>
  </cols>
  <sheetData>
    <row r="1" spans="1:16" x14ac:dyDescent="0.3">
      <c r="B1" t="s">
        <v>13</v>
      </c>
      <c r="C1" t="s">
        <v>18</v>
      </c>
      <c r="D1" t="s">
        <v>19</v>
      </c>
      <c r="E1" t="s">
        <v>14</v>
      </c>
      <c r="F1" s="1" t="s">
        <v>20</v>
      </c>
      <c r="G1" t="s">
        <v>15</v>
      </c>
      <c r="H1" t="s">
        <v>21</v>
      </c>
      <c r="I1" t="s">
        <v>16</v>
      </c>
      <c r="J1" t="s">
        <v>21</v>
      </c>
      <c r="M1" t="s">
        <v>19</v>
      </c>
      <c r="N1" s="1" t="s">
        <v>20</v>
      </c>
      <c r="O1" t="s">
        <v>15</v>
      </c>
      <c r="P1" t="s">
        <v>21</v>
      </c>
    </row>
    <row r="2" spans="1:16" x14ac:dyDescent="0.3">
      <c r="A2" t="s">
        <v>17</v>
      </c>
      <c r="B2">
        <v>5.9900000000000002E-2</v>
      </c>
      <c r="C2">
        <v>6.2300000000000001E-2</v>
      </c>
      <c r="D2" s="1">
        <f>1-(C2-B2)/(B2-0.03)</f>
        <v>0.91973244147157196</v>
      </c>
      <c r="E2">
        <v>6.3899999999999998E-2</v>
      </c>
      <c r="F2" s="1">
        <f>1-(E2-B2)/(B2-0.03)</f>
        <v>0.86622073578595327</v>
      </c>
      <c r="G2">
        <v>5.7099999999999998E-2</v>
      </c>
      <c r="H2" s="1">
        <f>1-(G2-B2)/(B2-0.03)</f>
        <v>1.0936454849498329</v>
      </c>
      <c r="I2">
        <v>6.9099999999999995E-2</v>
      </c>
      <c r="J2" s="1">
        <f>1-(I2-B2)/(B2-0.03)</f>
        <v>0.69230769230769251</v>
      </c>
      <c r="K2" s="1" t="s">
        <v>33</v>
      </c>
      <c r="L2" t="s">
        <v>35</v>
      </c>
      <c r="M2" s="3">
        <v>0.95</v>
      </c>
      <c r="N2" s="3">
        <v>0.92</v>
      </c>
      <c r="O2" s="3">
        <v>0.88</v>
      </c>
      <c r="P2" s="3">
        <v>0.76</v>
      </c>
    </row>
    <row r="3" spans="1:16" x14ac:dyDescent="0.3">
      <c r="B3">
        <v>6.1600000000000002E-2</v>
      </c>
      <c r="C3">
        <v>6.4799999999999996E-2</v>
      </c>
      <c r="D3" s="1">
        <f t="shared" ref="D3:D63" si="0">1-(C3-B3)/(B3-0.03)</f>
        <v>0.89873417721519</v>
      </c>
      <c r="E3">
        <v>6.5500000000000003E-2</v>
      </c>
      <c r="F3" s="1">
        <f t="shared" ref="F3:F63" si="1">1-(E3-B3)/(B3-0.03)</f>
        <v>0.87658227848101267</v>
      </c>
      <c r="G3">
        <v>5.9799999999999999E-2</v>
      </c>
      <c r="H3" s="1">
        <f t="shared" ref="H3:H63" si="2">1-(G3-B3)/(B3-0.03)</f>
        <v>1.0569620253164558</v>
      </c>
      <c r="I3">
        <v>6.9800000000000001E-2</v>
      </c>
      <c r="J3" s="1">
        <f t="shared" ref="J3:J63" si="3">1-(I3-B3)/(B3-0.03)</f>
        <v>0.74050632911392411</v>
      </c>
      <c r="K3" s="1"/>
      <c r="L3" t="s">
        <v>32</v>
      </c>
      <c r="M3" s="3">
        <v>0.9</v>
      </c>
      <c r="N3" s="3">
        <v>0.84</v>
      </c>
      <c r="O3" s="3">
        <v>1.03</v>
      </c>
      <c r="P3" s="3">
        <v>0.69</v>
      </c>
    </row>
    <row r="4" spans="1:16" x14ac:dyDescent="0.3">
      <c r="B4">
        <v>6.4399999999999999E-2</v>
      </c>
      <c r="C4">
        <v>6.7400000000000002E-2</v>
      </c>
      <c r="D4" s="1">
        <f t="shared" si="0"/>
        <v>0.91279069767441856</v>
      </c>
      <c r="E4">
        <v>6.8699999999999997E-2</v>
      </c>
      <c r="F4" s="1">
        <f t="shared" si="1"/>
        <v>0.875</v>
      </c>
      <c r="G4">
        <v>6.2700000000000006E-2</v>
      </c>
      <c r="H4" s="1">
        <f t="shared" si="2"/>
        <v>1.0494186046511627</v>
      </c>
      <c r="I4">
        <v>7.3400000000000007E-2</v>
      </c>
      <c r="J4" s="1">
        <f t="shared" si="3"/>
        <v>0.73837209302325557</v>
      </c>
      <c r="K4" s="1" t="s">
        <v>34</v>
      </c>
      <c r="L4" t="s">
        <v>35</v>
      </c>
      <c r="M4" s="3">
        <v>0.91</v>
      </c>
      <c r="N4" s="3">
        <v>0.85</v>
      </c>
      <c r="O4" s="3">
        <v>0.86</v>
      </c>
      <c r="P4" s="3">
        <v>0.79</v>
      </c>
    </row>
    <row r="5" spans="1:16" x14ac:dyDescent="0.3">
      <c r="B5">
        <v>7.5600000000000001E-2</v>
      </c>
      <c r="C5">
        <v>8.3299999999999999E-2</v>
      </c>
      <c r="D5" s="1">
        <f t="shared" si="0"/>
        <v>0.83114035087719307</v>
      </c>
      <c r="E5">
        <v>8.4400000000000003E-2</v>
      </c>
      <c r="F5" s="1">
        <f t="shared" si="1"/>
        <v>0.80701754385964908</v>
      </c>
      <c r="G5">
        <v>7.5600000000000001E-2</v>
      </c>
      <c r="H5" s="1">
        <f t="shared" si="2"/>
        <v>1</v>
      </c>
      <c r="I5">
        <v>8.7499999999999994E-2</v>
      </c>
      <c r="J5" s="1">
        <f t="shared" si="3"/>
        <v>0.73903508771929838</v>
      </c>
      <c r="K5" s="1"/>
      <c r="L5" t="s">
        <v>32</v>
      </c>
      <c r="M5" s="3">
        <v>0.91</v>
      </c>
      <c r="N5" s="3">
        <v>0.88</v>
      </c>
      <c r="O5" s="3">
        <v>1.03</v>
      </c>
      <c r="P5" s="3">
        <v>0.68</v>
      </c>
    </row>
    <row r="6" spans="1:16" x14ac:dyDescent="0.3">
      <c r="B6">
        <v>0.12239999999999999</v>
      </c>
      <c r="C6">
        <v>0.12870000000000001</v>
      </c>
      <c r="D6" s="1">
        <f t="shared" si="0"/>
        <v>0.93181818181818166</v>
      </c>
      <c r="E6">
        <v>0.13639999999999999</v>
      </c>
      <c r="F6" s="1">
        <f t="shared" si="1"/>
        <v>0.84848484848484851</v>
      </c>
      <c r="G6">
        <v>0.1157</v>
      </c>
      <c r="H6" s="1">
        <f t="shared" si="2"/>
        <v>1.0725108225108224</v>
      </c>
      <c r="I6">
        <v>0.15260000000000001</v>
      </c>
      <c r="J6" s="1">
        <f t="shared" si="3"/>
        <v>0.67316017316017296</v>
      </c>
      <c r="K6" s="1"/>
    </row>
    <row r="7" spans="1:16" x14ac:dyDescent="0.3">
      <c r="B7">
        <v>0.12280000000000001</v>
      </c>
      <c r="C7">
        <v>0.13089999999999999</v>
      </c>
      <c r="D7" s="1">
        <f t="shared" si="0"/>
        <v>0.91271551724137945</v>
      </c>
      <c r="E7">
        <v>0.13500000000000001</v>
      </c>
      <c r="F7" s="1">
        <f t="shared" si="1"/>
        <v>0.86853448275862066</v>
      </c>
      <c r="G7">
        <v>0.11749999999999999</v>
      </c>
      <c r="H7" s="1">
        <f t="shared" si="2"/>
        <v>1.0571120689655173</v>
      </c>
      <c r="I7">
        <v>0.15129999999999999</v>
      </c>
      <c r="J7" s="1">
        <f t="shared" si="3"/>
        <v>0.69288793103448298</v>
      </c>
      <c r="K7" s="1"/>
    </row>
    <row r="8" spans="1:16" x14ac:dyDescent="0.3">
      <c r="B8">
        <v>0.12620000000000001</v>
      </c>
      <c r="C8">
        <v>0.1328</v>
      </c>
      <c r="D8" s="1">
        <f t="shared" si="0"/>
        <v>0.93139293139293144</v>
      </c>
      <c r="E8">
        <v>0.13819999999999999</v>
      </c>
      <c r="F8" s="1">
        <f t="shared" si="1"/>
        <v>0.87525987525987547</v>
      </c>
      <c r="G8">
        <v>0.12039999999999999</v>
      </c>
      <c r="H8" s="1">
        <f t="shared" si="2"/>
        <v>1.0602910602910605</v>
      </c>
      <c r="I8">
        <v>0.15490000000000001</v>
      </c>
      <c r="J8" s="1">
        <f t="shared" si="3"/>
        <v>0.70166320166320162</v>
      </c>
      <c r="K8" s="1"/>
    </row>
    <row r="9" spans="1:16" x14ac:dyDescent="0.3">
      <c r="B9">
        <v>0.1492</v>
      </c>
      <c r="C9">
        <v>0.1588</v>
      </c>
      <c r="D9" s="1">
        <f t="shared" si="0"/>
        <v>0.91946308724832215</v>
      </c>
      <c r="E9">
        <v>0.16400000000000001</v>
      </c>
      <c r="F9" s="1">
        <f t="shared" si="1"/>
        <v>0.87583892617449655</v>
      </c>
      <c r="G9">
        <v>0.1512</v>
      </c>
      <c r="H9" s="1">
        <f t="shared" si="2"/>
        <v>0.98322147651006708</v>
      </c>
      <c r="I9">
        <v>0.19159999999999999</v>
      </c>
      <c r="J9" s="1">
        <f t="shared" si="3"/>
        <v>0.64429530201342289</v>
      </c>
      <c r="K9" s="1"/>
    </row>
    <row r="10" spans="1:16" x14ac:dyDescent="0.3">
      <c r="B10">
        <v>0.19869999999999999</v>
      </c>
      <c r="C10">
        <v>0.20880000000000001</v>
      </c>
      <c r="D10" s="1">
        <f t="shared" si="0"/>
        <v>0.94013040901007694</v>
      </c>
      <c r="E10">
        <v>0.22639999999999999</v>
      </c>
      <c r="F10" s="1">
        <f t="shared" si="1"/>
        <v>0.83580320094842908</v>
      </c>
      <c r="G10">
        <v>0.19420000000000001</v>
      </c>
      <c r="H10" s="1">
        <f t="shared" si="2"/>
        <v>1.0266745702430349</v>
      </c>
      <c r="I10">
        <v>0.25950000000000001</v>
      </c>
      <c r="J10" s="1">
        <f t="shared" si="3"/>
        <v>0.6395969176052162</v>
      </c>
      <c r="K10" s="1"/>
    </row>
    <row r="11" spans="1:16" x14ac:dyDescent="0.3">
      <c r="B11">
        <v>0.19620000000000001</v>
      </c>
      <c r="C11">
        <v>0.20860000000000001</v>
      </c>
      <c r="D11" s="1">
        <f t="shared" si="0"/>
        <v>0.92539109506618533</v>
      </c>
      <c r="E11">
        <v>0.2248</v>
      </c>
      <c r="F11" s="1">
        <f t="shared" si="1"/>
        <v>0.82791817087845976</v>
      </c>
      <c r="G11">
        <v>0.19550000000000001</v>
      </c>
      <c r="H11" s="1">
        <f t="shared" si="2"/>
        <v>1.0042117930204573</v>
      </c>
      <c r="I11">
        <v>0.25790000000000002</v>
      </c>
      <c r="J11" s="1">
        <f t="shared" si="3"/>
        <v>0.62876052948255112</v>
      </c>
      <c r="K11" s="1"/>
    </row>
    <row r="12" spans="1:16" x14ac:dyDescent="0.3">
      <c r="B12">
        <v>0.19939999999999999</v>
      </c>
      <c r="C12">
        <v>0.21149999999999999</v>
      </c>
      <c r="D12" s="1">
        <f t="shared" si="0"/>
        <v>0.9285714285714286</v>
      </c>
      <c r="E12">
        <v>0.22750000000000001</v>
      </c>
      <c r="F12" s="1">
        <f t="shared" si="1"/>
        <v>0.83412042502951589</v>
      </c>
      <c r="G12">
        <v>0.19950000000000001</v>
      </c>
      <c r="H12" s="1">
        <f t="shared" si="2"/>
        <v>0.999409681227863</v>
      </c>
      <c r="I12">
        <v>0.26140000000000002</v>
      </c>
      <c r="J12" s="1">
        <f t="shared" si="3"/>
        <v>0.63400236127508836</v>
      </c>
      <c r="K12" s="1"/>
    </row>
    <row r="13" spans="1:16" x14ac:dyDescent="0.3">
      <c r="B13">
        <v>0.33789999999999998</v>
      </c>
      <c r="C13">
        <v>0.36720000000000003</v>
      </c>
      <c r="D13" s="1">
        <f t="shared" si="0"/>
        <v>0.90483923351737561</v>
      </c>
      <c r="E13">
        <v>0.40579999999999999</v>
      </c>
      <c r="F13" s="1">
        <f t="shared" si="1"/>
        <v>0.77947385514777512</v>
      </c>
      <c r="G13">
        <v>0.3518</v>
      </c>
      <c r="H13" s="1">
        <f t="shared" si="2"/>
        <v>0.95485547255602454</v>
      </c>
      <c r="I13">
        <v>0.47399999999999998</v>
      </c>
      <c r="J13" s="1">
        <f t="shared" si="3"/>
        <v>0.55797336797661568</v>
      </c>
      <c r="K13" s="1"/>
    </row>
    <row r="14" spans="1:16" x14ac:dyDescent="0.3">
      <c r="B14">
        <v>0.1114</v>
      </c>
      <c r="C14">
        <v>0.12039999999999999</v>
      </c>
      <c r="D14" s="1">
        <f t="shared" si="0"/>
        <v>0.88943488943488946</v>
      </c>
      <c r="E14">
        <v>0.12559999999999999</v>
      </c>
      <c r="F14" s="1">
        <f t="shared" si="1"/>
        <v>0.82555282555282572</v>
      </c>
      <c r="G14">
        <v>0.10589999999999999</v>
      </c>
      <c r="H14" s="1">
        <f t="shared" si="2"/>
        <v>1.0675675675675675</v>
      </c>
      <c r="I14">
        <v>0.13120000000000001</v>
      </c>
      <c r="J14" s="1">
        <f t="shared" si="3"/>
        <v>0.75675675675675658</v>
      </c>
      <c r="K14" s="1"/>
    </row>
    <row r="15" spans="1:16" x14ac:dyDescent="0.3">
      <c r="B15">
        <v>0.11459999999999999</v>
      </c>
      <c r="C15">
        <v>0.12859999999999999</v>
      </c>
      <c r="D15" s="1">
        <f t="shared" si="0"/>
        <v>0.83451536643026003</v>
      </c>
      <c r="E15">
        <v>0.13059999999999999</v>
      </c>
      <c r="F15" s="1">
        <f t="shared" si="1"/>
        <v>0.81087470449172572</v>
      </c>
      <c r="G15">
        <v>0.1105</v>
      </c>
      <c r="H15" s="1">
        <f t="shared" si="2"/>
        <v>1.0484633569739952</v>
      </c>
      <c r="I15">
        <v>0.13730000000000001</v>
      </c>
      <c r="J15" s="1">
        <f t="shared" si="3"/>
        <v>0.73167848699763582</v>
      </c>
      <c r="K15" s="1"/>
    </row>
    <row r="16" spans="1:16" x14ac:dyDescent="0.3">
      <c r="B16">
        <v>0.1249</v>
      </c>
      <c r="C16">
        <v>0.14000000000000001</v>
      </c>
      <c r="D16" s="1">
        <f t="shared" si="0"/>
        <v>0.8408851422550051</v>
      </c>
      <c r="E16">
        <v>0.14180000000000001</v>
      </c>
      <c r="F16" s="1">
        <f t="shared" si="1"/>
        <v>0.82191780821917793</v>
      </c>
      <c r="G16">
        <v>0.1208</v>
      </c>
      <c r="H16" s="1">
        <f t="shared" si="2"/>
        <v>1.0432033719704952</v>
      </c>
      <c r="I16">
        <v>0.14680000000000001</v>
      </c>
      <c r="J16" s="1">
        <f t="shared" si="3"/>
        <v>0.76923076923076905</v>
      </c>
      <c r="K16" s="1"/>
    </row>
    <row r="17" spans="1:11" x14ac:dyDescent="0.3">
      <c r="B17">
        <v>0.161</v>
      </c>
      <c r="C17">
        <v>0.18740000000000001</v>
      </c>
      <c r="D17" s="1">
        <f t="shared" si="0"/>
        <v>0.79847328244274807</v>
      </c>
      <c r="E17">
        <v>0.1875</v>
      </c>
      <c r="F17" s="1">
        <f t="shared" si="1"/>
        <v>0.79770992366412219</v>
      </c>
      <c r="G17">
        <v>0.16250000000000001</v>
      </c>
      <c r="H17" s="1">
        <f t="shared" si="2"/>
        <v>0.98854961832061072</v>
      </c>
      <c r="I17">
        <v>0.19420000000000001</v>
      </c>
      <c r="J17" s="1">
        <f t="shared" si="3"/>
        <v>0.74656488549618316</v>
      </c>
      <c r="K17" s="1"/>
    </row>
    <row r="18" spans="1:11" x14ac:dyDescent="0.3">
      <c r="D18" s="1">
        <f>AVERAGE(D2:D17)</f>
        <v>0.89500176447919721</v>
      </c>
      <c r="F18" s="1">
        <f>AVERAGE(F2:F17)</f>
        <v>0.83914435029603052</v>
      </c>
      <c r="H18" s="1">
        <f>AVERAGE(H2:H17)</f>
        <v>1.0316310609421855</v>
      </c>
      <c r="J18" s="1">
        <f>AVERAGE(J2:J17)</f>
        <v>0.69292449280351653</v>
      </c>
      <c r="K18" s="1"/>
    </row>
    <row r="19" spans="1:11" x14ac:dyDescent="0.3">
      <c r="A19" t="s">
        <v>8</v>
      </c>
      <c r="B19">
        <v>0.1376</v>
      </c>
      <c r="C19">
        <v>0.1507</v>
      </c>
      <c r="D19" s="1">
        <f t="shared" si="0"/>
        <v>0.87825278810408924</v>
      </c>
      <c r="E19">
        <v>0.15459999999999999</v>
      </c>
      <c r="F19" s="1">
        <f t="shared" si="1"/>
        <v>0.84200743494423802</v>
      </c>
      <c r="G19">
        <v>0.15049999999999999</v>
      </c>
      <c r="H19" s="1">
        <f t="shared" si="2"/>
        <v>0.88011152416356886</v>
      </c>
      <c r="I19">
        <v>0.16259999999999999</v>
      </c>
      <c r="J19" s="1">
        <f t="shared" si="3"/>
        <v>0.76765799256505585</v>
      </c>
      <c r="K19" s="1"/>
    </row>
    <row r="20" spans="1:11" x14ac:dyDescent="0.3">
      <c r="B20">
        <v>2.8954</v>
      </c>
      <c r="C20">
        <v>2.9354</v>
      </c>
      <c r="D20" s="1">
        <f t="shared" si="0"/>
        <v>0.9860403434075522</v>
      </c>
      <c r="E20">
        <v>3.028</v>
      </c>
      <c r="F20" s="1">
        <f t="shared" si="1"/>
        <v>0.95372373839603541</v>
      </c>
      <c r="G20">
        <v>2.9813999999999998</v>
      </c>
      <c r="H20" s="1">
        <f t="shared" si="2"/>
        <v>0.96998673832623727</v>
      </c>
      <c r="I20">
        <v>3.0560999999999998</v>
      </c>
      <c r="J20" s="1">
        <f t="shared" si="3"/>
        <v>0.94391707963984095</v>
      </c>
      <c r="K20" s="1"/>
    </row>
    <row r="21" spans="1:11" x14ac:dyDescent="0.3">
      <c r="B21">
        <v>5.8507999999999996</v>
      </c>
      <c r="C21">
        <v>6.0172999999999996</v>
      </c>
      <c r="D21" s="1">
        <f t="shared" si="0"/>
        <v>0.97139568444200108</v>
      </c>
      <c r="E21">
        <v>6.2092000000000001</v>
      </c>
      <c r="F21" s="1">
        <f t="shared" si="1"/>
        <v>0.93842770753161064</v>
      </c>
      <c r="G21">
        <v>6.1148999999999996</v>
      </c>
      <c r="H21" s="1">
        <f t="shared" si="2"/>
        <v>0.95462822979659157</v>
      </c>
      <c r="I21">
        <v>6.2758000000000003</v>
      </c>
      <c r="J21" s="1">
        <f t="shared" si="3"/>
        <v>0.92698598130841114</v>
      </c>
      <c r="K21" s="1"/>
    </row>
    <row r="22" spans="1:11" x14ac:dyDescent="0.3">
      <c r="B22">
        <v>0.24740000000000001</v>
      </c>
      <c r="C22">
        <v>0.246</v>
      </c>
      <c r="D22" s="1">
        <f t="shared" si="0"/>
        <v>1.0064397424103035</v>
      </c>
      <c r="E22">
        <v>0.26350000000000001</v>
      </c>
      <c r="F22" s="1">
        <f t="shared" si="1"/>
        <v>0.92594296228150874</v>
      </c>
      <c r="G22">
        <v>0.2863</v>
      </c>
      <c r="H22" s="1">
        <f t="shared" si="2"/>
        <v>0.8210671573137075</v>
      </c>
      <c r="I22">
        <v>0.31169999999999998</v>
      </c>
      <c r="J22" s="1">
        <f t="shared" si="3"/>
        <v>0.70423183072677109</v>
      </c>
      <c r="K22" s="1"/>
    </row>
    <row r="23" spans="1:11" x14ac:dyDescent="0.3">
      <c r="B23">
        <v>7.2291999999999996</v>
      </c>
      <c r="C23">
        <v>7.3346</v>
      </c>
      <c r="D23" s="1">
        <f t="shared" si="0"/>
        <v>0.98535948438715404</v>
      </c>
      <c r="E23">
        <v>7.569</v>
      </c>
      <c r="F23" s="1">
        <f t="shared" si="1"/>
        <v>0.95280031114568275</v>
      </c>
      <c r="G23">
        <v>8.3572000000000006</v>
      </c>
      <c r="H23" s="1">
        <f t="shared" si="2"/>
        <v>0.84331592399155442</v>
      </c>
      <c r="I23">
        <v>8.4625000000000004</v>
      </c>
      <c r="J23" s="1">
        <f t="shared" si="3"/>
        <v>0.82868929881097886</v>
      </c>
      <c r="K23" s="1"/>
    </row>
    <row r="24" spans="1:11" x14ac:dyDescent="0.3">
      <c r="B24">
        <v>14.638500000000001</v>
      </c>
      <c r="C24">
        <v>14.7761</v>
      </c>
      <c r="D24" s="1">
        <f t="shared" si="0"/>
        <v>0.99058082623130372</v>
      </c>
      <c r="E24">
        <v>15.2201</v>
      </c>
      <c r="F24" s="1">
        <f t="shared" si="1"/>
        <v>0.96018756203580113</v>
      </c>
      <c r="G24">
        <v>16.874300000000002</v>
      </c>
      <c r="H24" s="1">
        <f t="shared" si="2"/>
        <v>0.84695211691823247</v>
      </c>
      <c r="I24">
        <v>17.026</v>
      </c>
      <c r="J24" s="1">
        <f t="shared" si="3"/>
        <v>0.83656775165143582</v>
      </c>
      <c r="K24" s="1"/>
    </row>
    <row r="25" spans="1:11" x14ac:dyDescent="0.3">
      <c r="B25">
        <v>0.3407</v>
      </c>
      <c r="C25">
        <v>0.35949999999999999</v>
      </c>
      <c r="D25" s="1">
        <f t="shared" si="0"/>
        <v>0.93949147087222407</v>
      </c>
      <c r="E25">
        <v>0.3785</v>
      </c>
      <c r="F25" s="1">
        <f t="shared" si="1"/>
        <v>0.87833923398776959</v>
      </c>
      <c r="G25">
        <v>0.39529999999999998</v>
      </c>
      <c r="H25" s="1">
        <f t="shared" si="2"/>
        <v>0.82426778242677834</v>
      </c>
      <c r="I25">
        <v>0.43530000000000002</v>
      </c>
      <c r="J25" s="1">
        <f t="shared" si="3"/>
        <v>0.69552623109108458</v>
      </c>
      <c r="K25" s="1"/>
    </row>
    <row r="26" spans="1:11" x14ac:dyDescent="0.3">
      <c r="B26">
        <v>18.285399999999999</v>
      </c>
      <c r="C26">
        <v>18.812899999999999</v>
      </c>
      <c r="D26" s="1">
        <f t="shared" si="0"/>
        <v>0.97110444032998455</v>
      </c>
      <c r="E26">
        <v>19.5809</v>
      </c>
      <c r="F26" s="1">
        <f t="shared" si="1"/>
        <v>0.92903469658292881</v>
      </c>
      <c r="G26">
        <v>21.458400000000001</v>
      </c>
      <c r="H26" s="1">
        <f t="shared" si="2"/>
        <v>0.82618841548254207</v>
      </c>
      <c r="I26">
        <v>28.930199999999999</v>
      </c>
      <c r="J26" s="1">
        <f t="shared" si="3"/>
        <v>0.41689582260591385</v>
      </c>
      <c r="K26" s="1"/>
    </row>
    <row r="27" spans="1:11" x14ac:dyDescent="0.3">
      <c r="B27">
        <v>36.677500000000002</v>
      </c>
      <c r="C27">
        <v>37.726100000000002</v>
      </c>
      <c r="D27" s="1">
        <f t="shared" si="0"/>
        <v>0.97138686131386864</v>
      </c>
      <c r="E27">
        <v>38.848700000000001</v>
      </c>
      <c r="F27" s="1">
        <f t="shared" si="1"/>
        <v>0.94075448529913364</v>
      </c>
      <c r="G27">
        <v>43.328899999999997</v>
      </c>
      <c r="H27" s="1">
        <f t="shared" si="2"/>
        <v>0.81850330854765008</v>
      </c>
      <c r="I27">
        <v>58.539200000000001</v>
      </c>
      <c r="J27" s="1">
        <f t="shared" si="3"/>
        <v>0.40345999044955316</v>
      </c>
      <c r="K27" s="1"/>
    </row>
    <row r="28" spans="1:11" x14ac:dyDescent="0.3">
      <c r="B28">
        <v>0.2888</v>
      </c>
      <c r="C28">
        <v>0.31850000000000001</v>
      </c>
      <c r="D28" s="1">
        <f t="shared" si="0"/>
        <v>0.88523956723338482</v>
      </c>
      <c r="E28">
        <v>0.31030000000000002</v>
      </c>
      <c r="F28" s="1">
        <f t="shared" si="1"/>
        <v>0.91692426584234921</v>
      </c>
      <c r="G28">
        <v>0.29770000000000002</v>
      </c>
      <c r="H28" s="1">
        <f t="shared" si="2"/>
        <v>0.96561051004636778</v>
      </c>
      <c r="I28">
        <v>0.31559999999999999</v>
      </c>
      <c r="J28" s="1">
        <f t="shared" si="3"/>
        <v>0.89644513137557968</v>
      </c>
      <c r="K28" s="1"/>
    </row>
    <row r="29" spans="1:11" x14ac:dyDescent="0.3">
      <c r="B29">
        <v>7.4383999999999997</v>
      </c>
      <c r="C29">
        <v>8.2909000000000006</v>
      </c>
      <c r="D29" s="1">
        <f t="shared" si="0"/>
        <v>0.8849279196587656</v>
      </c>
      <c r="E29">
        <v>8.0861000000000001</v>
      </c>
      <c r="F29" s="1">
        <f t="shared" si="1"/>
        <v>0.91257221532314658</v>
      </c>
      <c r="G29">
        <v>8.2881</v>
      </c>
      <c r="H29" s="1">
        <f t="shared" si="2"/>
        <v>0.88530586901355213</v>
      </c>
      <c r="I29">
        <v>8.5117999999999991</v>
      </c>
      <c r="J29" s="1">
        <f t="shared" si="3"/>
        <v>0.85511041520436271</v>
      </c>
      <c r="K29" s="1"/>
    </row>
    <row r="30" spans="1:11" x14ac:dyDescent="0.3">
      <c r="B30">
        <v>14.8856</v>
      </c>
      <c r="C30">
        <v>16.5564</v>
      </c>
      <c r="D30" s="1">
        <f t="shared" si="0"/>
        <v>0.88753062818061879</v>
      </c>
      <c r="E30">
        <v>16.225899999999999</v>
      </c>
      <c r="F30" s="1">
        <f t="shared" si="1"/>
        <v>0.90977813080589143</v>
      </c>
      <c r="G30">
        <v>16.6371</v>
      </c>
      <c r="H30" s="1">
        <f t="shared" si="2"/>
        <v>0.88209833328845688</v>
      </c>
      <c r="I30">
        <v>17.0854</v>
      </c>
      <c r="J30" s="1">
        <f t="shared" si="3"/>
        <v>0.8519211610436469</v>
      </c>
      <c r="K30" s="1"/>
    </row>
    <row r="31" spans="1:11" x14ac:dyDescent="0.3">
      <c r="D31" s="1">
        <f>AVERAGE(D19:D30)</f>
        <v>0.94647914638093755</v>
      </c>
      <c r="F31" s="1">
        <f>AVERAGE(F19:F30)</f>
        <v>0.92170772868134143</v>
      </c>
      <c r="H31" s="1">
        <f>AVERAGE(H19:H30)</f>
        <v>0.87650299244293661</v>
      </c>
      <c r="J31" s="1">
        <f>AVERAGE(J19:J30)</f>
        <v>0.76061739053938615</v>
      </c>
      <c r="K31" s="1"/>
    </row>
    <row r="32" spans="1:11" x14ac:dyDescent="0.3">
      <c r="D32" s="1"/>
      <c r="F32" s="1"/>
      <c r="H32" s="1"/>
      <c r="J32" s="1"/>
      <c r="K32" s="1"/>
    </row>
    <row r="33" spans="1:11" x14ac:dyDescent="0.3">
      <c r="D33" s="1"/>
      <c r="F33" s="1"/>
      <c r="H33" s="1"/>
      <c r="J33" s="1"/>
      <c r="K33" s="1"/>
    </row>
    <row r="34" spans="1:11" x14ac:dyDescent="0.3">
      <c r="D34" s="1"/>
      <c r="F34" s="1"/>
      <c r="H34" s="1"/>
      <c r="J34" s="1"/>
      <c r="K34" s="1"/>
    </row>
    <row r="35" spans="1:11" x14ac:dyDescent="0.3">
      <c r="A35" t="s">
        <v>17</v>
      </c>
      <c r="B35">
        <v>6.8400000000000002E-2</v>
      </c>
      <c r="C35">
        <v>7.3300000000000004E-2</v>
      </c>
      <c r="D35" s="1">
        <f t="shared" si="0"/>
        <v>0.87239583333333326</v>
      </c>
      <c r="E35">
        <v>7.2099999999999997E-2</v>
      </c>
      <c r="F35" s="1">
        <f t="shared" si="1"/>
        <v>0.90364583333333348</v>
      </c>
      <c r="G35">
        <v>6.3899999999999998E-2</v>
      </c>
      <c r="H35" s="1">
        <f t="shared" si="2"/>
        <v>1.1171875</v>
      </c>
      <c r="I35" s="2">
        <v>7.85E-2</v>
      </c>
      <c r="J35" s="1">
        <f t="shared" si="3"/>
        <v>0.73697916666666674</v>
      </c>
      <c r="K35" s="1"/>
    </row>
    <row r="36" spans="1:11" x14ac:dyDescent="0.3">
      <c r="B36">
        <v>7.5600000000000001E-2</v>
      </c>
      <c r="C36">
        <v>7.6899999999999996E-2</v>
      </c>
      <c r="D36" s="1">
        <f t="shared" si="0"/>
        <v>0.97149122807017552</v>
      </c>
      <c r="E36">
        <v>7.5600000000000001E-2</v>
      </c>
      <c r="F36" s="1">
        <f t="shared" si="1"/>
        <v>1</v>
      </c>
      <c r="G36">
        <v>6.7900000000000002E-2</v>
      </c>
      <c r="H36" s="1">
        <f t="shared" si="2"/>
        <v>1.1688596491228069</v>
      </c>
      <c r="I36" s="2">
        <v>8.0199999999999994E-2</v>
      </c>
      <c r="J36" s="1">
        <f t="shared" si="3"/>
        <v>0.89912280701754399</v>
      </c>
      <c r="K36" s="1"/>
    </row>
    <row r="37" spans="1:11" x14ac:dyDescent="0.3">
      <c r="B37">
        <v>8.3400000000000002E-2</v>
      </c>
      <c r="C37">
        <v>8.4900000000000003E-2</v>
      </c>
      <c r="D37" s="1">
        <f t="shared" si="0"/>
        <v>0.97191011235955049</v>
      </c>
      <c r="E37">
        <v>8.3699999999999997E-2</v>
      </c>
      <c r="F37" s="1">
        <f t="shared" si="1"/>
        <v>0.99438202247191021</v>
      </c>
      <c r="G37">
        <v>7.5499999999999998E-2</v>
      </c>
      <c r="H37" s="1">
        <f t="shared" si="2"/>
        <v>1.1479400749063671</v>
      </c>
      <c r="I37" s="2">
        <v>8.9099999999999999E-2</v>
      </c>
      <c r="J37" s="1">
        <f t="shared" si="3"/>
        <v>0.89325842696629221</v>
      </c>
      <c r="K37" s="1"/>
    </row>
    <row r="38" spans="1:11" x14ac:dyDescent="0.3">
      <c r="B38">
        <v>0.1095</v>
      </c>
      <c r="C38">
        <v>0.10829999999999999</v>
      </c>
      <c r="D38" s="1">
        <f t="shared" si="0"/>
        <v>1.0150943396226415</v>
      </c>
      <c r="E38">
        <v>0.10780000000000001</v>
      </c>
      <c r="F38" s="1">
        <f t="shared" si="1"/>
        <v>1.0213836477987421</v>
      </c>
      <c r="G38">
        <v>9.8799999999999999E-2</v>
      </c>
      <c r="H38" s="1">
        <f t="shared" si="2"/>
        <v>1.1345911949685534</v>
      </c>
      <c r="I38" s="2">
        <v>0.1143</v>
      </c>
      <c r="J38" s="1">
        <f t="shared" si="3"/>
        <v>0.93962264150943398</v>
      </c>
      <c r="K38" s="1"/>
    </row>
    <row r="39" spans="1:11" x14ac:dyDescent="0.3">
      <c r="B39">
        <v>6.3E-2</v>
      </c>
      <c r="C39">
        <v>6.6299999999999998E-2</v>
      </c>
      <c r="D39" s="1">
        <f t="shared" si="0"/>
        <v>0.90000000000000013</v>
      </c>
      <c r="E39">
        <v>6.8099999999999994E-2</v>
      </c>
      <c r="F39" s="1">
        <f t="shared" si="1"/>
        <v>0.84545454545454568</v>
      </c>
      <c r="G39">
        <v>6.0100000000000001E-2</v>
      </c>
      <c r="H39" s="1">
        <f t="shared" si="2"/>
        <v>1.0878787878787879</v>
      </c>
      <c r="I39" s="2">
        <v>7.4200000000000002E-2</v>
      </c>
      <c r="J39" s="1">
        <f t="shared" si="3"/>
        <v>0.66060606060606064</v>
      </c>
      <c r="K39" s="1"/>
    </row>
    <row r="40" spans="1:11" x14ac:dyDescent="0.3">
      <c r="B40">
        <v>6.2E-2</v>
      </c>
      <c r="C40">
        <v>6.5500000000000003E-2</v>
      </c>
      <c r="D40" s="1">
        <f t="shared" si="0"/>
        <v>0.89062499999999989</v>
      </c>
      <c r="E40">
        <v>6.7000000000000004E-2</v>
      </c>
      <c r="F40" s="1">
        <f t="shared" si="1"/>
        <v>0.84374999999999989</v>
      </c>
      <c r="G40">
        <v>6.0199999999999997E-2</v>
      </c>
      <c r="H40" s="1">
        <f t="shared" si="2"/>
        <v>1.0562500000000001</v>
      </c>
      <c r="I40" s="2">
        <v>7.3300000000000004E-2</v>
      </c>
      <c r="J40" s="1">
        <f t="shared" si="3"/>
        <v>0.64687499999999987</v>
      </c>
      <c r="K40" s="1"/>
    </row>
    <row r="41" spans="1:11" x14ac:dyDescent="0.3">
      <c r="B41">
        <v>6.3899999999999998E-2</v>
      </c>
      <c r="C41">
        <v>6.7000000000000004E-2</v>
      </c>
      <c r="D41" s="1">
        <f t="shared" si="0"/>
        <v>0.90855457227138625</v>
      </c>
      <c r="E41">
        <v>6.83E-2</v>
      </c>
      <c r="F41" s="1">
        <f t="shared" si="1"/>
        <v>0.87020648967551617</v>
      </c>
      <c r="G41">
        <v>6.1699999999999998E-2</v>
      </c>
      <c r="H41" s="1">
        <f t="shared" si="2"/>
        <v>1.0648967551622419</v>
      </c>
      <c r="I41" s="2">
        <v>7.3999999999999996E-2</v>
      </c>
      <c r="J41" s="1">
        <f t="shared" si="3"/>
        <v>0.70206489675516237</v>
      </c>
      <c r="K41" s="1"/>
    </row>
    <row r="42" spans="1:11" x14ac:dyDescent="0.3">
      <c r="B42">
        <v>7.0699999999999999E-2</v>
      </c>
      <c r="C42">
        <v>7.6100000000000001E-2</v>
      </c>
      <c r="D42" s="1">
        <f t="shared" si="0"/>
        <v>0.86732186732186722</v>
      </c>
      <c r="E42">
        <v>7.6899999999999996E-2</v>
      </c>
      <c r="F42" s="1">
        <f t="shared" si="1"/>
        <v>0.84766584766584774</v>
      </c>
      <c r="G42">
        <v>7.0900000000000005E-2</v>
      </c>
      <c r="H42" s="1">
        <f t="shared" si="2"/>
        <v>0.99508599508599493</v>
      </c>
      <c r="I42" s="2">
        <v>8.4199999999999997E-2</v>
      </c>
      <c r="J42" s="1">
        <f t="shared" si="3"/>
        <v>0.66830466830466828</v>
      </c>
      <c r="K42" s="1"/>
    </row>
    <row r="43" spans="1:11" x14ac:dyDescent="0.3">
      <c r="B43">
        <v>0.2349</v>
      </c>
      <c r="C43">
        <v>0.24829999999999999</v>
      </c>
      <c r="D43" s="1">
        <f t="shared" si="0"/>
        <v>0.93460224499755984</v>
      </c>
      <c r="E43">
        <v>0.26369999999999999</v>
      </c>
      <c r="F43" s="1">
        <f t="shared" si="1"/>
        <v>0.85944363103953147</v>
      </c>
      <c r="G43">
        <v>0.2288</v>
      </c>
      <c r="H43" s="1">
        <f t="shared" si="2"/>
        <v>1.0297706198145438</v>
      </c>
      <c r="I43" s="2">
        <v>0.30620000000000003</v>
      </c>
      <c r="J43" s="1">
        <f t="shared" si="3"/>
        <v>0.65202537823328433</v>
      </c>
      <c r="K43" s="1"/>
    </row>
    <row r="44" spans="1:11" x14ac:dyDescent="0.3">
      <c r="B44">
        <v>0.2384</v>
      </c>
      <c r="C44">
        <v>0.25169999999999998</v>
      </c>
      <c r="D44" s="1">
        <f t="shared" si="0"/>
        <v>0.9361804222648753</v>
      </c>
      <c r="E44">
        <v>0.2646</v>
      </c>
      <c r="F44" s="1">
        <f t="shared" si="1"/>
        <v>0.87428023032629554</v>
      </c>
      <c r="G44">
        <v>0.2319</v>
      </c>
      <c r="H44" s="1">
        <f t="shared" si="2"/>
        <v>1.0311900191938579</v>
      </c>
      <c r="I44" s="2">
        <v>0.3105</v>
      </c>
      <c r="J44" s="1">
        <f t="shared" si="3"/>
        <v>0.65403071017274472</v>
      </c>
      <c r="K44" s="1"/>
    </row>
    <row r="45" spans="1:11" x14ac:dyDescent="0.3">
      <c r="B45">
        <v>0.24629999999999999</v>
      </c>
      <c r="C45">
        <v>0.25929999999999997</v>
      </c>
      <c r="D45" s="1">
        <f t="shared" si="0"/>
        <v>0.93989828941285258</v>
      </c>
      <c r="E45">
        <v>0.2707</v>
      </c>
      <c r="F45" s="1">
        <f t="shared" si="1"/>
        <v>0.88719371243643086</v>
      </c>
      <c r="G45">
        <v>0.2397</v>
      </c>
      <c r="H45" s="1">
        <f t="shared" si="2"/>
        <v>1.0305131761442441</v>
      </c>
      <c r="I45" s="2">
        <v>0.32029999999999997</v>
      </c>
      <c r="J45" s="1">
        <f t="shared" si="3"/>
        <v>0.65788257050392973</v>
      </c>
      <c r="K45" s="1"/>
    </row>
    <row r="46" spans="1:11" x14ac:dyDescent="0.3">
      <c r="B46">
        <v>0.45129999999999998</v>
      </c>
      <c r="C46">
        <v>0.47760000000000002</v>
      </c>
      <c r="D46" s="1">
        <f t="shared" si="0"/>
        <v>0.9375741751720863</v>
      </c>
      <c r="E46">
        <v>0.49469999999999997</v>
      </c>
      <c r="F46" s="1">
        <f t="shared" si="1"/>
        <v>0.89698552100640871</v>
      </c>
      <c r="G46">
        <v>0.43759999999999999</v>
      </c>
      <c r="H46" s="1">
        <f t="shared" si="2"/>
        <v>1.0325183954426773</v>
      </c>
      <c r="I46" s="2">
        <v>0.59079999999999999</v>
      </c>
      <c r="J46" s="1">
        <f t="shared" si="3"/>
        <v>0.66888203180631378</v>
      </c>
      <c r="K46" s="1"/>
    </row>
    <row r="47" spans="1:11" x14ac:dyDescent="0.3">
      <c r="B47">
        <v>0.129</v>
      </c>
      <c r="C47">
        <v>0.1409</v>
      </c>
      <c r="D47" s="1">
        <f t="shared" si="0"/>
        <v>0.87979797979797991</v>
      </c>
      <c r="E47">
        <v>0.14680000000000001</v>
      </c>
      <c r="F47" s="1">
        <f t="shared" si="1"/>
        <v>0.82020202020202015</v>
      </c>
      <c r="G47">
        <v>0.1303</v>
      </c>
      <c r="H47" s="1">
        <f t="shared" si="2"/>
        <v>0.9868686868686869</v>
      </c>
      <c r="I47" s="2">
        <v>0.16539999999999999</v>
      </c>
      <c r="J47" s="1">
        <f t="shared" si="3"/>
        <v>0.6323232323232324</v>
      </c>
      <c r="K47" s="1"/>
    </row>
    <row r="48" spans="1:11" x14ac:dyDescent="0.3">
      <c r="B48">
        <v>0.13300000000000001</v>
      </c>
      <c r="C48">
        <v>0.1457</v>
      </c>
      <c r="D48" s="1">
        <f t="shared" si="0"/>
        <v>0.87669902912621367</v>
      </c>
      <c r="E48">
        <v>0.1507</v>
      </c>
      <c r="F48" s="1">
        <f t="shared" si="1"/>
        <v>0.82815533980582534</v>
      </c>
      <c r="G48">
        <v>0.1348</v>
      </c>
      <c r="H48" s="1">
        <f t="shared" si="2"/>
        <v>0.98252427184466029</v>
      </c>
      <c r="I48" s="2">
        <v>0.1706</v>
      </c>
      <c r="J48" s="1">
        <f t="shared" si="3"/>
        <v>0.63495145631067973</v>
      </c>
      <c r="K48" s="1"/>
    </row>
    <row r="49" spans="1:11" x14ac:dyDescent="0.3">
      <c r="B49">
        <v>0.14000000000000001</v>
      </c>
      <c r="C49">
        <v>0.1515</v>
      </c>
      <c r="D49" s="1">
        <f t="shared" si="0"/>
        <v>0.89545454545454561</v>
      </c>
      <c r="E49">
        <v>0.15609999999999999</v>
      </c>
      <c r="F49" s="1">
        <f t="shared" si="1"/>
        <v>0.85363636363636386</v>
      </c>
      <c r="G49">
        <v>0.1404</v>
      </c>
      <c r="H49" s="1">
        <f t="shared" si="2"/>
        <v>0.99636363636363656</v>
      </c>
      <c r="I49" s="2">
        <v>0.17699999999999999</v>
      </c>
      <c r="J49" s="1">
        <f t="shared" si="3"/>
        <v>0.66363636363636391</v>
      </c>
      <c r="K49" s="1"/>
    </row>
    <row r="50" spans="1:11" x14ac:dyDescent="0.3">
      <c r="B50">
        <v>0.17069999999999999</v>
      </c>
      <c r="C50">
        <v>0.19450000000000001</v>
      </c>
      <c r="D50" s="1">
        <f t="shared" si="0"/>
        <v>0.83084577114427849</v>
      </c>
      <c r="E50">
        <v>0.20399999999999999</v>
      </c>
      <c r="F50" s="1">
        <f t="shared" si="1"/>
        <v>0.76332622601279321</v>
      </c>
      <c r="G50">
        <v>0.21909999999999999</v>
      </c>
      <c r="H50" s="1">
        <f t="shared" si="2"/>
        <v>0.65600568585643204</v>
      </c>
      <c r="I50" s="2">
        <v>0.2792</v>
      </c>
      <c r="J50" s="1">
        <f t="shared" si="3"/>
        <v>0.22885572139303467</v>
      </c>
      <c r="K50" s="1"/>
    </row>
    <row r="51" spans="1:11" x14ac:dyDescent="0.3">
      <c r="D51" s="1">
        <f>AVERAGE(D35:D50)</f>
        <v>0.91427783814683417</v>
      </c>
      <c r="F51" s="1">
        <f>AVERAGE(F35:F50)</f>
        <v>0.88185696442909778</v>
      </c>
      <c r="H51" s="1">
        <f>AVERAGE(H35:H50)</f>
        <v>1.0324027780408431</v>
      </c>
      <c r="I51" s="2"/>
      <c r="J51" s="1">
        <f>AVERAGE(J35:J50)</f>
        <v>0.68371382076283815</v>
      </c>
      <c r="K51" s="1"/>
    </row>
    <row r="52" spans="1:11" x14ac:dyDescent="0.3">
      <c r="A52" t="s">
        <v>8</v>
      </c>
      <c r="B52">
        <v>0.19489999999999999</v>
      </c>
      <c r="C52">
        <v>0.19900000000000001</v>
      </c>
      <c r="D52" s="1">
        <f t="shared" si="0"/>
        <v>0.97513644633110963</v>
      </c>
      <c r="E52">
        <v>0.1966</v>
      </c>
      <c r="F52" s="1">
        <f t="shared" si="1"/>
        <v>0.98969072164948446</v>
      </c>
      <c r="G52">
        <v>0.19639999999999999</v>
      </c>
      <c r="H52" s="1">
        <f t="shared" si="2"/>
        <v>0.9909035779260158</v>
      </c>
      <c r="I52" s="2">
        <v>0.21179999999999999</v>
      </c>
      <c r="J52" s="1">
        <f t="shared" si="3"/>
        <v>0.89751364463311101</v>
      </c>
      <c r="K52" s="1"/>
    </row>
    <row r="53" spans="1:11" x14ac:dyDescent="0.3">
      <c r="B53">
        <v>4.3788</v>
      </c>
      <c r="C53">
        <v>4.4714</v>
      </c>
      <c r="D53" s="1">
        <f t="shared" si="0"/>
        <v>0.97870676968359083</v>
      </c>
      <c r="E53">
        <v>4.4481000000000002</v>
      </c>
      <c r="F53" s="1">
        <f t="shared" si="1"/>
        <v>0.98406456953642385</v>
      </c>
      <c r="G53">
        <v>4.5416999999999996</v>
      </c>
      <c r="H53" s="1">
        <f t="shared" si="2"/>
        <v>0.96254139072847689</v>
      </c>
      <c r="I53" s="2">
        <v>4.7484000000000002</v>
      </c>
      <c r="J53" s="1">
        <f t="shared" si="3"/>
        <v>0.91501103752759372</v>
      </c>
      <c r="K53" s="1"/>
    </row>
    <row r="54" spans="1:11" x14ac:dyDescent="0.3">
      <c r="B54">
        <v>8.8534000000000006</v>
      </c>
      <c r="C54">
        <v>9.0462000000000007</v>
      </c>
      <c r="D54" s="1">
        <f t="shared" si="0"/>
        <v>0.97814901285218847</v>
      </c>
      <c r="E54">
        <v>9.0107999999999997</v>
      </c>
      <c r="F54" s="1">
        <f t="shared" si="1"/>
        <v>0.98216107169571831</v>
      </c>
      <c r="G54">
        <v>9.1814</v>
      </c>
      <c r="H54" s="1">
        <f t="shared" si="2"/>
        <v>0.9628261214497813</v>
      </c>
      <c r="I54" s="2">
        <v>9.5502000000000002</v>
      </c>
      <c r="J54" s="1">
        <f t="shared" si="3"/>
        <v>0.9210281750799012</v>
      </c>
      <c r="K54" s="1"/>
    </row>
    <row r="55" spans="1:11" x14ac:dyDescent="0.3">
      <c r="B55">
        <v>0.1449</v>
      </c>
      <c r="C55">
        <v>0.1474</v>
      </c>
      <c r="D55" s="1">
        <f t="shared" si="0"/>
        <v>0.97824194952132282</v>
      </c>
      <c r="E55">
        <v>0.15060000000000001</v>
      </c>
      <c r="F55" s="1">
        <f t="shared" si="1"/>
        <v>0.95039164490861605</v>
      </c>
      <c r="G55">
        <v>0.1522</v>
      </c>
      <c r="H55" s="1">
        <f t="shared" si="2"/>
        <v>0.93646649260226278</v>
      </c>
      <c r="I55" s="2">
        <v>0.16719999999999999</v>
      </c>
      <c r="J55" s="1">
        <f t="shared" si="3"/>
        <v>0.80591818973020035</v>
      </c>
      <c r="K55" s="1"/>
    </row>
    <row r="56" spans="1:11" x14ac:dyDescent="0.3">
      <c r="B56">
        <v>3.46</v>
      </c>
      <c r="C56">
        <v>3.6589</v>
      </c>
      <c r="D56" s="1">
        <f t="shared" si="0"/>
        <v>0.94201166180758011</v>
      </c>
      <c r="E56">
        <v>3.6812</v>
      </c>
      <c r="F56" s="1">
        <f t="shared" si="1"/>
        <v>0.93551020408163266</v>
      </c>
      <c r="G56">
        <v>3.8443999999999998</v>
      </c>
      <c r="H56" s="1">
        <f t="shared" si="2"/>
        <v>0.88793002915451902</v>
      </c>
      <c r="I56" s="2">
        <v>3.8974000000000002</v>
      </c>
      <c r="J56" s="1">
        <f t="shared" si="3"/>
        <v>0.87247813411078712</v>
      </c>
      <c r="K56" s="1"/>
    </row>
    <row r="57" spans="1:11" x14ac:dyDescent="0.3">
      <c r="B57">
        <v>6.9943999999999997</v>
      </c>
      <c r="C57">
        <v>7.4272</v>
      </c>
      <c r="D57" s="1">
        <f t="shared" si="0"/>
        <v>0.93785537878352765</v>
      </c>
      <c r="E57">
        <v>7.4637000000000002</v>
      </c>
      <c r="F57" s="1">
        <f t="shared" si="1"/>
        <v>0.93261443914766518</v>
      </c>
      <c r="G57">
        <v>7.8116000000000003</v>
      </c>
      <c r="H57" s="1">
        <f t="shared" si="2"/>
        <v>0.882660387111596</v>
      </c>
      <c r="I57" s="2">
        <v>7.8777999999999997</v>
      </c>
      <c r="J57" s="1">
        <f t="shared" si="3"/>
        <v>0.87315490207340185</v>
      </c>
      <c r="K57" s="1"/>
    </row>
    <row r="58" spans="1:11" x14ac:dyDescent="0.3">
      <c r="B58">
        <v>0.42980000000000002</v>
      </c>
      <c r="C58">
        <v>0.45700000000000002</v>
      </c>
      <c r="D58" s="1">
        <f t="shared" si="0"/>
        <v>0.93196598299149569</v>
      </c>
      <c r="E58">
        <v>0.52690000000000003</v>
      </c>
      <c r="F58" s="1">
        <f t="shared" si="1"/>
        <v>0.75712856428214104</v>
      </c>
      <c r="G58">
        <v>0.47370000000000001</v>
      </c>
      <c r="H58" s="1">
        <f t="shared" si="2"/>
        <v>0.89019509754877446</v>
      </c>
      <c r="I58" s="2">
        <v>0.497</v>
      </c>
      <c r="J58" s="1">
        <f t="shared" si="3"/>
        <v>0.83191595797898954</v>
      </c>
      <c r="K58" s="1"/>
    </row>
    <row r="59" spans="1:11" x14ac:dyDescent="0.3">
      <c r="B59">
        <v>16.013500000000001</v>
      </c>
      <c r="C59">
        <v>17.179099999999998</v>
      </c>
      <c r="D59" s="1">
        <f t="shared" si="0"/>
        <v>0.92707479588325481</v>
      </c>
      <c r="E59">
        <v>20.2605</v>
      </c>
      <c r="F59" s="1">
        <f t="shared" si="1"/>
        <v>0.73428848500015642</v>
      </c>
      <c r="G59">
        <v>16.900700000000001</v>
      </c>
      <c r="H59" s="1">
        <f t="shared" si="2"/>
        <v>0.9444927581568493</v>
      </c>
      <c r="I59" s="2">
        <v>18.475000000000001</v>
      </c>
      <c r="J59" s="1">
        <f t="shared" si="3"/>
        <v>0.84599743485469392</v>
      </c>
      <c r="K59" s="1"/>
    </row>
    <row r="60" spans="1:11" x14ac:dyDescent="0.3">
      <c r="B60">
        <v>31.994399999999999</v>
      </c>
      <c r="C60">
        <v>33.373699999999999</v>
      </c>
      <c r="D60" s="1">
        <f t="shared" si="0"/>
        <v>0.95684886936717095</v>
      </c>
      <c r="E60">
        <v>40.593000000000004</v>
      </c>
      <c r="F60" s="1">
        <f t="shared" si="1"/>
        <v>0.73099448136051337</v>
      </c>
      <c r="G60">
        <v>33.7791</v>
      </c>
      <c r="H60" s="1">
        <f t="shared" si="2"/>
        <v>0.94416600968577535</v>
      </c>
      <c r="I60" s="2">
        <v>36.881</v>
      </c>
      <c r="J60" s="1">
        <f t="shared" si="3"/>
        <v>0.84712367508853592</v>
      </c>
      <c r="K60" s="1"/>
    </row>
    <row r="61" spans="1:11" x14ac:dyDescent="0.3">
      <c r="B61">
        <v>0.28660000000000002</v>
      </c>
      <c r="C61">
        <v>0.28179999999999999</v>
      </c>
      <c r="D61" s="1">
        <f t="shared" si="0"/>
        <v>1.0187061574434919</v>
      </c>
      <c r="E61">
        <v>0.28589999999999999</v>
      </c>
      <c r="F61" s="1">
        <f t="shared" si="1"/>
        <v>1.0027279812938428</v>
      </c>
      <c r="G61">
        <v>0.29859999999999998</v>
      </c>
      <c r="H61" s="1">
        <f t="shared" si="2"/>
        <v>0.95323460639127067</v>
      </c>
      <c r="I61" s="2">
        <v>0.31759999999999999</v>
      </c>
      <c r="J61" s="1">
        <f t="shared" si="3"/>
        <v>0.87918939984411548</v>
      </c>
      <c r="K61" s="1"/>
    </row>
    <row r="62" spans="1:11" x14ac:dyDescent="0.3">
      <c r="B62">
        <v>6.8381999999999996</v>
      </c>
      <c r="C62">
        <v>9.4443000000000001</v>
      </c>
      <c r="D62" s="1">
        <f t="shared" si="0"/>
        <v>0.61721159777914858</v>
      </c>
      <c r="E62">
        <v>9.4736999999999991</v>
      </c>
      <c r="F62" s="1">
        <f t="shared" si="1"/>
        <v>0.6128932757557064</v>
      </c>
      <c r="G62">
        <v>10.472799999999999</v>
      </c>
      <c r="H62" s="1">
        <f t="shared" si="2"/>
        <v>0.46614376780940625</v>
      </c>
      <c r="I62" s="2">
        <v>10.8284</v>
      </c>
      <c r="J62" s="1">
        <f t="shared" si="3"/>
        <v>0.41391263476396101</v>
      </c>
      <c r="K62" s="1"/>
    </row>
    <row r="63" spans="1:11" x14ac:dyDescent="0.3">
      <c r="B63">
        <v>13.735099999999999</v>
      </c>
      <c r="C63">
        <v>18.875800000000002</v>
      </c>
      <c r="D63" s="1">
        <f t="shared" si="0"/>
        <v>0.62490605686934042</v>
      </c>
      <c r="E63">
        <v>18.9617</v>
      </c>
      <c r="F63" s="1">
        <f t="shared" si="1"/>
        <v>0.6186383171228228</v>
      </c>
      <c r="G63">
        <v>21.0456</v>
      </c>
      <c r="H63" s="1">
        <f t="shared" si="2"/>
        <v>0.46658543170060773</v>
      </c>
      <c r="I63" s="2">
        <v>21.643599999999999</v>
      </c>
      <c r="J63" s="1">
        <f t="shared" si="3"/>
        <v>0.42295203975162532</v>
      </c>
      <c r="K63" s="1"/>
    </row>
    <row r="64" spans="1:11" x14ac:dyDescent="0.3">
      <c r="D64" s="3">
        <f>AVERAGE(D52:D63)</f>
        <v>0.90556788994276849</v>
      </c>
      <c r="F64" s="3">
        <f>AVERAGE(F52:F63)</f>
        <v>0.85259197965289368</v>
      </c>
      <c r="H64" s="3">
        <f>AVERAGE(H52:H63)</f>
        <v>0.85734547252211135</v>
      </c>
      <c r="J64" s="3">
        <f>AVERAGE(J52:J63)</f>
        <v>0.79384960211974309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5"/>
  <sheetViews>
    <sheetView workbookViewId="0">
      <selection activeCell="L1" sqref="L1:O6"/>
    </sheetView>
  </sheetViews>
  <sheetFormatPr defaultRowHeight="14" x14ac:dyDescent="0.3"/>
  <cols>
    <col min="1" max="1" width="13" customWidth="1"/>
    <col min="2" max="2" width="13.6640625" customWidth="1"/>
    <col min="3" max="3" width="13.08203125" bestFit="1" customWidth="1"/>
    <col min="4" max="4" width="11.4140625" bestFit="1" customWidth="1"/>
    <col min="5" max="5" width="10.9140625" bestFit="1" customWidth="1"/>
    <col min="6" max="6" width="10.9140625" customWidth="1"/>
    <col min="7" max="7" width="10.9140625" bestFit="1" customWidth="1"/>
    <col min="8" max="8" width="10.9140625" customWidth="1"/>
    <col min="9" max="9" width="10.9140625" bestFit="1" customWidth="1"/>
  </cols>
  <sheetData>
    <row r="1" spans="1:15" x14ac:dyDescent="0.3">
      <c r="D1" t="s">
        <v>26</v>
      </c>
      <c r="E1" t="s">
        <v>27</v>
      </c>
      <c r="F1" t="s">
        <v>31</v>
      </c>
      <c r="G1" t="s">
        <v>28</v>
      </c>
      <c r="H1" t="s">
        <v>30</v>
      </c>
      <c r="I1" t="s">
        <v>29</v>
      </c>
      <c r="J1" t="s">
        <v>30</v>
      </c>
      <c r="M1" t="s">
        <v>36</v>
      </c>
      <c r="N1" t="s">
        <v>37</v>
      </c>
      <c r="O1" t="s">
        <v>38</v>
      </c>
    </row>
    <row r="2" spans="1:15" x14ac:dyDescent="0.3">
      <c r="A2" t="s">
        <v>17</v>
      </c>
      <c r="B2" t="s">
        <v>0</v>
      </c>
      <c r="C2" t="s">
        <v>1</v>
      </c>
      <c r="D2">
        <v>5.9900000000000002E-2</v>
      </c>
      <c r="E2">
        <v>7.0300000000000001E-2</v>
      </c>
      <c r="F2" s="1">
        <f>1-(E2-D2)/(D2-0.03)</f>
        <v>0.65217391304347827</v>
      </c>
      <c r="G2">
        <v>5.7099999999999998E-2</v>
      </c>
      <c r="H2" s="1">
        <f>1-(G2-D2)/(D2-0.03)</f>
        <v>1.0936454849498329</v>
      </c>
      <c r="I2">
        <v>6.7500000000000004E-2</v>
      </c>
      <c r="J2" s="1">
        <f>1-(I2-G2)/(G2-0.03)</f>
        <v>0.61623616236162337</v>
      </c>
      <c r="L2" t="s">
        <v>39</v>
      </c>
      <c r="M2" s="3">
        <v>0.91</v>
      </c>
      <c r="N2" s="3">
        <v>0.88</v>
      </c>
      <c r="O2" s="3">
        <v>0.92</v>
      </c>
    </row>
    <row r="3" spans="1:15" x14ac:dyDescent="0.3">
      <c r="B3" t="s">
        <v>2</v>
      </c>
      <c r="D3">
        <v>6.1600000000000002E-2</v>
      </c>
      <c r="E3">
        <v>7.17E-2</v>
      </c>
      <c r="F3" s="1">
        <f t="shared" ref="F3:F64" si="0">1-(E3-D3)/(D3-0.03)</f>
        <v>0.68037974683544311</v>
      </c>
      <c r="G3">
        <v>5.9799999999999999E-2</v>
      </c>
      <c r="H3" s="1">
        <f t="shared" ref="H3:H64" si="1">1-(G3-D3)/(D3-0.03)</f>
        <v>1.0569620253164558</v>
      </c>
      <c r="I3">
        <v>6.9500000000000006E-2</v>
      </c>
      <c r="J3" s="1">
        <f t="shared" ref="J3:J64" si="2">1-(I3-G3)/(G3-0.03)</f>
        <v>0.67449664429530176</v>
      </c>
      <c r="L3" t="s">
        <v>40</v>
      </c>
      <c r="M3" s="3">
        <v>0.66</v>
      </c>
      <c r="N3" s="3">
        <v>1.03</v>
      </c>
      <c r="O3" s="3">
        <v>0.7</v>
      </c>
    </row>
    <row r="4" spans="1:15" x14ac:dyDescent="0.3">
      <c r="B4" t="s">
        <v>3</v>
      </c>
      <c r="D4">
        <v>6.4399999999999999E-2</v>
      </c>
      <c r="E4">
        <v>7.3800000000000004E-2</v>
      </c>
      <c r="F4" s="1">
        <f t="shared" si="0"/>
        <v>0.72674418604651148</v>
      </c>
      <c r="G4">
        <v>6.2700000000000006E-2</v>
      </c>
      <c r="H4" s="1">
        <f t="shared" si="1"/>
        <v>1.0494186046511627</v>
      </c>
      <c r="I4">
        <v>7.1599999999999997E-2</v>
      </c>
      <c r="J4" s="1">
        <f t="shared" si="2"/>
        <v>0.72782874617737037</v>
      </c>
    </row>
    <row r="5" spans="1:15" x14ac:dyDescent="0.3">
      <c r="B5" t="s">
        <v>4</v>
      </c>
      <c r="D5">
        <v>7.5600000000000001E-2</v>
      </c>
      <c r="E5">
        <v>9.4600000000000004E-2</v>
      </c>
      <c r="F5" s="1">
        <f t="shared" si="0"/>
        <v>0.58333333333333326</v>
      </c>
      <c r="G5">
        <v>7.5600000000000001E-2</v>
      </c>
      <c r="H5" s="1">
        <f t="shared" si="1"/>
        <v>1</v>
      </c>
      <c r="I5">
        <v>9.4200000000000006E-2</v>
      </c>
      <c r="J5" s="1">
        <f t="shared" si="2"/>
        <v>0.59210526315789469</v>
      </c>
      <c r="L5" t="s">
        <v>39</v>
      </c>
      <c r="M5" s="3">
        <v>0.86</v>
      </c>
      <c r="N5" s="3">
        <v>0.84</v>
      </c>
      <c r="O5" s="3">
        <v>0.87</v>
      </c>
    </row>
    <row r="6" spans="1:15" x14ac:dyDescent="0.3">
      <c r="B6" t="s">
        <v>0</v>
      </c>
      <c r="C6" t="s">
        <v>5</v>
      </c>
      <c r="D6">
        <v>0.12239999999999999</v>
      </c>
      <c r="E6">
        <v>0.15140000000000001</v>
      </c>
      <c r="F6" s="1">
        <f t="shared" si="0"/>
        <v>0.68614718614718595</v>
      </c>
      <c r="G6">
        <v>0.1157</v>
      </c>
      <c r="H6" s="1">
        <f t="shared" si="1"/>
        <v>1.0725108225108224</v>
      </c>
      <c r="I6">
        <v>0.1411</v>
      </c>
      <c r="J6" s="1">
        <f t="shared" si="2"/>
        <v>0.7036172695449241</v>
      </c>
      <c r="L6" t="s">
        <v>40</v>
      </c>
      <c r="M6" s="3">
        <v>0.61</v>
      </c>
      <c r="N6" s="3">
        <v>1.06</v>
      </c>
      <c r="O6" s="3">
        <v>0.55000000000000004</v>
      </c>
    </row>
    <row r="7" spans="1:15" x14ac:dyDescent="0.3">
      <c r="B7" t="s">
        <v>2</v>
      </c>
      <c r="D7">
        <v>0.12280000000000001</v>
      </c>
      <c r="E7">
        <v>0.15329999999999999</v>
      </c>
      <c r="F7" s="1">
        <f t="shared" si="0"/>
        <v>0.67133620689655193</v>
      </c>
      <c r="G7">
        <v>0.11749999999999999</v>
      </c>
      <c r="H7" s="1">
        <f t="shared" si="1"/>
        <v>1.0571120689655173</v>
      </c>
      <c r="I7">
        <v>0.1439</v>
      </c>
      <c r="J7" s="1">
        <f t="shared" si="2"/>
        <v>0.69828571428571418</v>
      </c>
    </row>
    <row r="8" spans="1:15" x14ac:dyDescent="0.3">
      <c r="B8" t="s">
        <v>3</v>
      </c>
      <c r="D8">
        <v>0.12620000000000001</v>
      </c>
      <c r="E8">
        <v>0.15620000000000001</v>
      </c>
      <c r="F8" s="1">
        <f t="shared" si="0"/>
        <v>0.68814968814968824</v>
      </c>
      <c r="G8">
        <v>0.12039999999999999</v>
      </c>
      <c r="H8" s="1">
        <f t="shared" si="1"/>
        <v>1.0602910602910605</v>
      </c>
      <c r="I8">
        <v>0.1467</v>
      </c>
      <c r="J8" s="1">
        <f t="shared" si="2"/>
        <v>0.70907079646017701</v>
      </c>
    </row>
    <row r="9" spans="1:15" x14ac:dyDescent="0.3">
      <c r="B9" t="s">
        <v>4</v>
      </c>
      <c r="D9">
        <v>0.1492</v>
      </c>
      <c r="E9">
        <v>0.20300000000000001</v>
      </c>
      <c r="F9" s="1">
        <f t="shared" si="0"/>
        <v>0.54865771812080522</v>
      </c>
      <c r="G9">
        <v>0.1512</v>
      </c>
      <c r="H9" s="1">
        <f t="shared" si="1"/>
        <v>0.98322147651006708</v>
      </c>
      <c r="I9">
        <v>0.19800000000000001</v>
      </c>
      <c r="J9" s="1">
        <f t="shared" si="2"/>
        <v>0.61386138613861374</v>
      </c>
    </row>
    <row r="10" spans="1:15" x14ac:dyDescent="0.3">
      <c r="B10" t="s">
        <v>0</v>
      </c>
      <c r="C10" t="s">
        <v>6</v>
      </c>
      <c r="D10">
        <v>0.19869999999999999</v>
      </c>
      <c r="E10">
        <v>0.25879999999999997</v>
      </c>
      <c r="F10" s="1">
        <f t="shared" si="0"/>
        <v>0.6437462951985774</v>
      </c>
      <c r="G10">
        <v>0.19420000000000001</v>
      </c>
      <c r="H10" s="1">
        <f t="shared" si="1"/>
        <v>1.0266745702430349</v>
      </c>
      <c r="I10">
        <v>0.2442</v>
      </c>
      <c r="J10" s="1">
        <f t="shared" si="2"/>
        <v>0.69549330085261885</v>
      </c>
    </row>
    <row r="11" spans="1:15" x14ac:dyDescent="0.3">
      <c r="B11" t="s">
        <v>2</v>
      </c>
      <c r="D11">
        <v>0.19620000000000001</v>
      </c>
      <c r="E11">
        <v>0.26150000000000001</v>
      </c>
      <c r="F11" s="1">
        <f t="shared" si="0"/>
        <v>0.60709987966305667</v>
      </c>
      <c r="G11">
        <v>0.19550000000000001</v>
      </c>
      <c r="H11" s="1">
        <f t="shared" si="1"/>
        <v>1.0042117930204573</v>
      </c>
      <c r="I11">
        <v>0.24540000000000001</v>
      </c>
      <c r="J11" s="1">
        <f t="shared" si="2"/>
        <v>0.69848942598187314</v>
      </c>
    </row>
    <row r="12" spans="1:15" x14ac:dyDescent="0.3">
      <c r="B12" t="s">
        <v>3</v>
      </c>
      <c r="D12">
        <v>0.19939999999999999</v>
      </c>
      <c r="E12">
        <v>0.26369999999999999</v>
      </c>
      <c r="F12" s="1">
        <f t="shared" si="0"/>
        <v>0.62042502951593859</v>
      </c>
      <c r="G12">
        <v>0.19950000000000001</v>
      </c>
      <c r="H12" s="1">
        <f t="shared" si="1"/>
        <v>0.999409681227863</v>
      </c>
      <c r="I12">
        <v>0.24829999999999999</v>
      </c>
      <c r="J12" s="1">
        <f t="shared" si="2"/>
        <v>0.7120943952802361</v>
      </c>
    </row>
    <row r="13" spans="1:15" x14ac:dyDescent="0.3">
      <c r="B13" t="s">
        <v>4</v>
      </c>
      <c r="D13">
        <v>0.33789999999999998</v>
      </c>
      <c r="E13">
        <v>0.46639999999999998</v>
      </c>
      <c r="F13" s="1">
        <f t="shared" si="0"/>
        <v>0.58265670672296199</v>
      </c>
      <c r="G13">
        <v>0.3518</v>
      </c>
      <c r="H13" s="1">
        <f t="shared" si="1"/>
        <v>0.95485547255602454</v>
      </c>
      <c r="I13">
        <v>0.42470000000000002</v>
      </c>
      <c r="J13" s="1">
        <f t="shared" si="2"/>
        <v>0.77346177750155365</v>
      </c>
    </row>
    <row r="14" spans="1:15" x14ac:dyDescent="0.3">
      <c r="B14" t="s">
        <v>0</v>
      </c>
      <c r="C14" t="s">
        <v>7</v>
      </c>
      <c r="D14">
        <v>0.1114</v>
      </c>
      <c r="E14">
        <v>0.13589999999999999</v>
      </c>
      <c r="F14" s="1">
        <f t="shared" si="0"/>
        <v>0.69901719901719916</v>
      </c>
      <c r="G14">
        <v>0.10589999999999999</v>
      </c>
      <c r="H14" s="1">
        <f t="shared" si="1"/>
        <v>1.0675675675675675</v>
      </c>
      <c r="I14">
        <v>0.12740000000000001</v>
      </c>
      <c r="J14" s="1">
        <f t="shared" si="2"/>
        <v>0.71673254281949905</v>
      </c>
    </row>
    <row r="15" spans="1:15" x14ac:dyDescent="0.3">
      <c r="B15" t="s">
        <v>2</v>
      </c>
      <c r="D15">
        <v>0.11459999999999999</v>
      </c>
      <c r="E15">
        <v>0.14050000000000001</v>
      </c>
      <c r="F15" s="1">
        <f t="shared" si="0"/>
        <v>0.69385342789598081</v>
      </c>
      <c r="G15">
        <v>0.1105</v>
      </c>
      <c r="H15" s="1">
        <f t="shared" si="1"/>
        <v>1.0484633569739952</v>
      </c>
      <c r="I15">
        <v>0.1323</v>
      </c>
      <c r="J15" s="1">
        <f t="shared" si="2"/>
        <v>0.72919254658385091</v>
      </c>
    </row>
    <row r="16" spans="1:15" x14ac:dyDescent="0.3">
      <c r="B16" t="s">
        <v>3</v>
      </c>
      <c r="D16">
        <v>0.1249</v>
      </c>
      <c r="E16">
        <v>0.14899999999999999</v>
      </c>
      <c r="F16" s="1">
        <f t="shared" si="0"/>
        <v>0.74604847207586933</v>
      </c>
      <c r="G16">
        <v>0.1208</v>
      </c>
      <c r="H16" s="1">
        <f t="shared" si="1"/>
        <v>1.0432033719704952</v>
      </c>
      <c r="I16">
        <v>0.14050000000000001</v>
      </c>
      <c r="J16" s="1">
        <f t="shared" si="2"/>
        <v>0.78303964757709243</v>
      </c>
    </row>
    <row r="17" spans="1:10" x14ac:dyDescent="0.3">
      <c r="B17" t="s">
        <v>4</v>
      </c>
      <c r="D17">
        <v>0.161</v>
      </c>
      <c r="E17">
        <v>0.20680000000000001</v>
      </c>
      <c r="F17" s="1">
        <f t="shared" si="0"/>
        <v>0.65038167938931291</v>
      </c>
      <c r="G17">
        <v>0.16250000000000001</v>
      </c>
      <c r="H17" s="1">
        <f t="shared" si="1"/>
        <v>0.98854961832061072</v>
      </c>
      <c r="I17">
        <v>0.2041</v>
      </c>
      <c r="J17" s="1">
        <f t="shared" si="2"/>
        <v>0.68603773584905658</v>
      </c>
    </row>
    <row r="18" spans="1:10" x14ac:dyDescent="0.3">
      <c r="F18" s="1">
        <f>AVERAGE(F2:F17)</f>
        <v>0.65500941675324342</v>
      </c>
      <c r="H18" s="1">
        <f>AVERAGE(H2:H17)</f>
        <v>1.0316310609421855</v>
      </c>
      <c r="J18" s="1">
        <f>AVERAGE(J2:J17)</f>
        <v>0.69562770967921261</v>
      </c>
    </row>
    <row r="19" spans="1:10" x14ac:dyDescent="0.3">
      <c r="F19" s="1"/>
      <c r="H19" s="1"/>
      <c r="J19" s="1"/>
    </row>
    <row r="20" spans="1:10" x14ac:dyDescent="0.3">
      <c r="A20" t="s">
        <v>8</v>
      </c>
      <c r="B20" t="s">
        <v>9</v>
      </c>
      <c r="C20" t="s">
        <v>1</v>
      </c>
      <c r="D20">
        <v>0.1376</v>
      </c>
      <c r="E20">
        <v>0.14349999999999999</v>
      </c>
      <c r="F20" s="1">
        <f t="shared" si="0"/>
        <v>0.94516728624535329</v>
      </c>
      <c r="G20">
        <v>0.15049999999999999</v>
      </c>
      <c r="H20" s="1">
        <f t="shared" si="1"/>
        <v>0.88011152416356886</v>
      </c>
      <c r="I20">
        <v>0.15679999999999999</v>
      </c>
      <c r="J20" s="1">
        <f t="shared" si="2"/>
        <v>0.94771784232365142</v>
      </c>
    </row>
    <row r="21" spans="1:10" x14ac:dyDescent="0.3">
      <c r="B21" t="s">
        <v>10</v>
      </c>
      <c r="D21">
        <v>2.8954</v>
      </c>
      <c r="E21">
        <v>2.9251</v>
      </c>
      <c r="F21" s="1">
        <f t="shared" si="0"/>
        <v>0.98963495498010745</v>
      </c>
      <c r="G21">
        <v>2.9813999999999998</v>
      </c>
      <c r="H21" s="1">
        <f t="shared" si="1"/>
        <v>0.96998673832623727</v>
      </c>
      <c r="I21">
        <v>2.9942000000000002</v>
      </c>
      <c r="J21" s="1">
        <f t="shared" si="2"/>
        <v>0.99566307515077579</v>
      </c>
    </row>
    <row r="22" spans="1:10" x14ac:dyDescent="0.3">
      <c r="B22" t="s">
        <v>11</v>
      </c>
      <c r="D22">
        <v>5.8507999999999996</v>
      </c>
      <c r="E22">
        <v>5.9137000000000004</v>
      </c>
      <c r="F22" s="1">
        <f t="shared" si="0"/>
        <v>0.98919392523364469</v>
      </c>
      <c r="G22">
        <v>6.1148999999999996</v>
      </c>
      <c r="H22" s="1">
        <f t="shared" si="1"/>
        <v>0.95462822979659157</v>
      </c>
      <c r="I22">
        <v>6.1513999999999998</v>
      </c>
      <c r="J22" s="1">
        <f t="shared" si="2"/>
        <v>0.99400154480763858</v>
      </c>
    </row>
    <row r="23" spans="1:10" x14ac:dyDescent="0.3">
      <c r="B23" t="s">
        <v>9</v>
      </c>
      <c r="C23" t="s">
        <v>5</v>
      </c>
      <c r="D23">
        <v>0.24740000000000001</v>
      </c>
      <c r="E23">
        <v>0.2631</v>
      </c>
      <c r="F23" s="1">
        <f t="shared" si="0"/>
        <v>0.92778288868445269</v>
      </c>
      <c r="G23">
        <v>0.2863</v>
      </c>
      <c r="H23" s="1">
        <f t="shared" si="1"/>
        <v>0.8210671573137075</v>
      </c>
      <c r="I23">
        <v>0.3014</v>
      </c>
      <c r="J23" s="1">
        <f t="shared" si="2"/>
        <v>0.94108466640655486</v>
      </c>
    </row>
    <row r="24" spans="1:10" x14ac:dyDescent="0.3">
      <c r="B24" t="s">
        <v>10</v>
      </c>
      <c r="D24">
        <v>7.2291999999999996</v>
      </c>
      <c r="E24">
        <v>7.2919999999999998</v>
      </c>
      <c r="F24" s="1">
        <f t="shared" si="0"/>
        <v>0.99127680853428157</v>
      </c>
      <c r="G24">
        <v>8.3572000000000006</v>
      </c>
      <c r="H24" s="1">
        <f t="shared" si="1"/>
        <v>0.84331592399155442</v>
      </c>
      <c r="I24">
        <v>8.4301999999999992</v>
      </c>
      <c r="J24" s="1">
        <f t="shared" si="2"/>
        <v>0.99123354789124818</v>
      </c>
    </row>
    <row r="25" spans="1:10" x14ac:dyDescent="0.3">
      <c r="B25" t="s">
        <v>11</v>
      </c>
      <c r="D25">
        <v>14.638500000000001</v>
      </c>
      <c r="E25">
        <v>14.7164</v>
      </c>
      <c r="F25" s="1">
        <f t="shared" si="0"/>
        <v>0.99466748810623951</v>
      </c>
      <c r="G25">
        <v>16.874300000000002</v>
      </c>
      <c r="H25" s="1">
        <f t="shared" si="1"/>
        <v>0.84695211691823247</v>
      </c>
      <c r="I25">
        <v>16.966100000000001</v>
      </c>
      <c r="J25" s="1">
        <f t="shared" si="2"/>
        <v>0.99455008519202348</v>
      </c>
    </row>
    <row r="26" spans="1:10" x14ac:dyDescent="0.3">
      <c r="B26" t="s">
        <v>9</v>
      </c>
      <c r="C26" t="s">
        <v>6</v>
      </c>
      <c r="D26">
        <v>0.3407</v>
      </c>
      <c r="E26">
        <v>0.4753</v>
      </c>
      <c r="F26" s="1">
        <f t="shared" si="0"/>
        <v>0.56678467975539104</v>
      </c>
      <c r="G26">
        <v>0.39529999999999998</v>
      </c>
      <c r="H26" s="1">
        <f t="shared" si="1"/>
        <v>0.82426778242677834</v>
      </c>
      <c r="I26">
        <v>0.56120000000000003</v>
      </c>
      <c r="J26" s="1">
        <f t="shared" si="2"/>
        <v>0.54585272378866667</v>
      </c>
    </row>
    <row r="27" spans="1:10" x14ac:dyDescent="0.3">
      <c r="B27" t="s">
        <v>10</v>
      </c>
      <c r="D27">
        <v>18.285399999999999</v>
      </c>
      <c r="E27">
        <v>22.757899999999999</v>
      </c>
      <c r="F27" s="1">
        <f t="shared" si="0"/>
        <v>0.75500399881678848</v>
      </c>
      <c r="G27">
        <v>21.458400000000001</v>
      </c>
      <c r="H27" s="1">
        <f t="shared" si="1"/>
        <v>0.82618841548254207</v>
      </c>
      <c r="I27">
        <v>25.0627</v>
      </c>
      <c r="J27" s="1">
        <f t="shared" si="2"/>
        <v>0.83179798771723512</v>
      </c>
    </row>
    <row r="28" spans="1:10" x14ac:dyDescent="0.3">
      <c r="B28" t="s">
        <v>11</v>
      </c>
      <c r="D28">
        <v>36.677500000000002</v>
      </c>
      <c r="E28">
        <v>45.613399999999999</v>
      </c>
      <c r="F28" s="1">
        <f t="shared" si="0"/>
        <v>0.75616617777474593</v>
      </c>
      <c r="G28">
        <v>43.328899999999997</v>
      </c>
      <c r="H28" s="1">
        <f t="shared" si="1"/>
        <v>0.81850330854765008</v>
      </c>
      <c r="I28">
        <v>50.968899999999998</v>
      </c>
      <c r="J28" s="1">
        <f t="shared" si="2"/>
        <v>0.82355209947596819</v>
      </c>
    </row>
    <row r="29" spans="1:10" x14ac:dyDescent="0.3">
      <c r="B29" t="s">
        <v>9</v>
      </c>
      <c r="C29" t="s">
        <v>7</v>
      </c>
      <c r="D29">
        <v>0.2888</v>
      </c>
      <c r="E29">
        <v>0.3</v>
      </c>
      <c r="F29" s="1">
        <f t="shared" si="0"/>
        <v>0.95672333848531688</v>
      </c>
      <c r="G29">
        <v>0.29770000000000002</v>
      </c>
      <c r="H29" s="1">
        <f t="shared" si="1"/>
        <v>0.96561051004636778</v>
      </c>
      <c r="I29">
        <v>0.31069999999999998</v>
      </c>
      <c r="J29" s="1">
        <f t="shared" si="2"/>
        <v>0.95143817706387768</v>
      </c>
    </row>
    <row r="30" spans="1:10" x14ac:dyDescent="0.3">
      <c r="B30" t="s">
        <v>10</v>
      </c>
      <c r="D30">
        <v>7.4383999999999997</v>
      </c>
      <c r="E30">
        <v>7.4229000000000003</v>
      </c>
      <c r="F30" s="1">
        <f t="shared" si="0"/>
        <v>1.0020922196425679</v>
      </c>
      <c r="G30">
        <v>8.2881</v>
      </c>
      <c r="H30" s="1">
        <f t="shared" si="1"/>
        <v>0.88530586901355213</v>
      </c>
      <c r="I30">
        <v>8.1298999999999992</v>
      </c>
      <c r="J30" s="1">
        <f t="shared" si="2"/>
        <v>1.0191569489349852</v>
      </c>
    </row>
    <row r="31" spans="1:10" x14ac:dyDescent="0.3">
      <c r="B31" t="s">
        <v>11</v>
      </c>
      <c r="D31">
        <v>14.8856</v>
      </c>
      <c r="E31">
        <v>14.8132</v>
      </c>
      <c r="F31" s="1">
        <f t="shared" si="0"/>
        <v>1.0048735830259297</v>
      </c>
      <c r="G31">
        <v>16.6371</v>
      </c>
      <c r="H31" s="1">
        <f t="shared" si="1"/>
        <v>0.88209833328845688</v>
      </c>
      <c r="I31">
        <v>16.241099999999999</v>
      </c>
      <c r="J31" s="1">
        <f t="shared" si="2"/>
        <v>1.0238452228263815</v>
      </c>
    </row>
    <row r="32" spans="1:10" x14ac:dyDescent="0.3">
      <c r="F32" s="1">
        <f>AVERAGE(F20:F31)</f>
        <v>0.906613945773735</v>
      </c>
      <c r="H32" s="1">
        <f>AVERAGE(H20:H31)</f>
        <v>0.87650299244293661</v>
      </c>
      <c r="J32" s="1">
        <f>AVERAGE(J20:J31)</f>
        <v>0.92165782679825048</v>
      </c>
    </row>
    <row r="33" spans="1:10" x14ac:dyDescent="0.3">
      <c r="F33" s="1"/>
      <c r="H33" s="1"/>
      <c r="J33" s="1"/>
    </row>
    <row r="34" spans="1:10" x14ac:dyDescent="0.3">
      <c r="F34" s="1"/>
      <c r="H34" s="1"/>
      <c r="J34" s="1"/>
    </row>
    <row r="35" spans="1:10" x14ac:dyDescent="0.3">
      <c r="A35" t="s">
        <v>17</v>
      </c>
      <c r="B35" t="s">
        <v>0</v>
      </c>
      <c r="C35" t="s">
        <v>22</v>
      </c>
      <c r="D35">
        <v>6.8400000000000002E-2</v>
      </c>
      <c r="E35">
        <v>8.6999999999999994E-2</v>
      </c>
      <c r="F35" s="1">
        <f t="shared" si="0"/>
        <v>0.51562500000000022</v>
      </c>
      <c r="G35">
        <v>6.3899999999999998E-2</v>
      </c>
      <c r="H35" s="1">
        <f t="shared" si="1"/>
        <v>1.1171875</v>
      </c>
      <c r="I35">
        <v>8.72E-2</v>
      </c>
      <c r="J35" s="1">
        <f t="shared" si="2"/>
        <v>0.31268436578171088</v>
      </c>
    </row>
    <row r="36" spans="1:10" x14ac:dyDescent="0.3">
      <c r="B36" t="s">
        <v>2</v>
      </c>
      <c r="D36">
        <v>7.5600000000000001E-2</v>
      </c>
      <c r="E36">
        <v>9.2299999999999993E-2</v>
      </c>
      <c r="F36" s="1">
        <f t="shared" si="0"/>
        <v>0.63377192982456165</v>
      </c>
      <c r="G36">
        <v>6.7900000000000002E-2</v>
      </c>
      <c r="H36" s="1">
        <f t="shared" si="1"/>
        <v>1.1688596491228069</v>
      </c>
      <c r="I36">
        <v>9.3100000000000002E-2</v>
      </c>
      <c r="J36" s="1">
        <f t="shared" si="2"/>
        <v>0.33509234828496048</v>
      </c>
    </row>
    <row r="37" spans="1:10" x14ac:dyDescent="0.3">
      <c r="B37" t="s">
        <v>3</v>
      </c>
      <c r="D37">
        <v>8.3400000000000002E-2</v>
      </c>
      <c r="E37">
        <v>9.8599999999999993E-2</v>
      </c>
      <c r="F37" s="1">
        <f t="shared" si="0"/>
        <v>0.71535580524344589</v>
      </c>
      <c r="G37">
        <v>7.5499999999999998E-2</v>
      </c>
      <c r="H37" s="1">
        <f t="shared" si="1"/>
        <v>1.1479400749063671</v>
      </c>
      <c r="I37">
        <v>9.7299999999999998E-2</v>
      </c>
      <c r="J37" s="1">
        <f t="shared" si="2"/>
        <v>0.5208791208791208</v>
      </c>
    </row>
    <row r="38" spans="1:10" x14ac:dyDescent="0.3">
      <c r="B38" t="s">
        <v>4</v>
      </c>
      <c r="D38">
        <v>0.1095</v>
      </c>
      <c r="E38">
        <v>0.1328</v>
      </c>
      <c r="F38" s="1">
        <f t="shared" si="0"/>
        <v>0.70691823899371076</v>
      </c>
      <c r="G38">
        <v>9.8799999999999999E-2</v>
      </c>
      <c r="H38" s="1">
        <f t="shared" si="1"/>
        <v>1.1345911949685534</v>
      </c>
      <c r="I38">
        <v>0.13200000000000001</v>
      </c>
      <c r="J38" s="1">
        <f t="shared" si="2"/>
        <v>0.5174418604651162</v>
      </c>
    </row>
    <row r="39" spans="1:10" x14ac:dyDescent="0.3">
      <c r="B39" t="s">
        <v>0</v>
      </c>
      <c r="C39" t="s">
        <v>23</v>
      </c>
      <c r="D39">
        <v>6.3E-2</v>
      </c>
      <c r="E39">
        <v>7.2099999999999997E-2</v>
      </c>
      <c r="F39" s="1">
        <f t="shared" si="0"/>
        <v>0.72424242424242435</v>
      </c>
      <c r="G39">
        <v>6.0100000000000001E-2</v>
      </c>
      <c r="H39" s="1">
        <f t="shared" si="1"/>
        <v>1.0878787878787879</v>
      </c>
      <c r="I39">
        <v>7.17E-2</v>
      </c>
      <c r="J39" s="1">
        <f t="shared" si="2"/>
        <v>0.61461794019933558</v>
      </c>
    </row>
    <row r="40" spans="1:10" x14ac:dyDescent="0.3">
      <c r="B40" t="s">
        <v>2</v>
      </c>
      <c r="D40">
        <v>6.2E-2</v>
      </c>
      <c r="E40">
        <v>7.2599999999999998E-2</v>
      </c>
      <c r="F40" s="1">
        <f t="shared" si="0"/>
        <v>0.66875000000000007</v>
      </c>
      <c r="G40">
        <v>6.0199999999999997E-2</v>
      </c>
      <c r="H40" s="1">
        <f t="shared" si="1"/>
        <v>1.0562500000000001</v>
      </c>
      <c r="I40">
        <v>7.2400000000000006E-2</v>
      </c>
      <c r="J40" s="1">
        <f t="shared" si="2"/>
        <v>0.59602649006622488</v>
      </c>
    </row>
    <row r="41" spans="1:10" x14ac:dyDescent="0.3">
      <c r="B41" t="s">
        <v>3</v>
      </c>
      <c r="D41">
        <v>6.3899999999999998E-2</v>
      </c>
      <c r="E41">
        <v>7.3700000000000002E-2</v>
      </c>
      <c r="F41" s="1">
        <f t="shared" si="0"/>
        <v>0.71091445427728606</v>
      </c>
      <c r="G41">
        <v>6.1699999999999998E-2</v>
      </c>
      <c r="H41" s="1">
        <f t="shared" si="1"/>
        <v>1.0648967551622419</v>
      </c>
      <c r="I41">
        <v>7.3099999999999998E-2</v>
      </c>
      <c r="J41" s="1">
        <f t="shared" si="2"/>
        <v>0.64037854889589907</v>
      </c>
    </row>
    <row r="42" spans="1:10" x14ac:dyDescent="0.3">
      <c r="B42" t="s">
        <v>4</v>
      </c>
      <c r="D42">
        <v>7.0699999999999999E-2</v>
      </c>
      <c r="E42">
        <v>9.1300000000000006E-2</v>
      </c>
      <c r="F42" s="1">
        <f t="shared" si="0"/>
        <v>0.49385749385749367</v>
      </c>
      <c r="G42">
        <v>7.0900000000000005E-2</v>
      </c>
      <c r="H42" s="1">
        <f t="shared" si="1"/>
        <v>0.99508599508599493</v>
      </c>
      <c r="I42">
        <v>9.0999999999999998E-2</v>
      </c>
      <c r="J42" s="1">
        <f t="shared" si="2"/>
        <v>0.50855745721271417</v>
      </c>
    </row>
    <row r="43" spans="1:10" x14ac:dyDescent="0.3">
      <c r="B43" t="s">
        <v>0</v>
      </c>
      <c r="C43" t="s">
        <v>24</v>
      </c>
      <c r="D43">
        <v>0.2349</v>
      </c>
      <c r="E43">
        <v>0.32950000000000002</v>
      </c>
      <c r="F43" s="1">
        <f t="shared" si="0"/>
        <v>0.53831137140068319</v>
      </c>
      <c r="G43">
        <v>0.2288</v>
      </c>
      <c r="H43" s="1">
        <f t="shared" si="1"/>
        <v>1.0297706198145438</v>
      </c>
      <c r="I43">
        <v>0.32369999999999999</v>
      </c>
      <c r="J43" s="1">
        <f t="shared" si="2"/>
        <v>0.52263581488933608</v>
      </c>
    </row>
    <row r="44" spans="1:10" x14ac:dyDescent="0.3">
      <c r="B44" t="s">
        <v>2</v>
      </c>
      <c r="D44">
        <v>0.2384</v>
      </c>
      <c r="E44">
        <v>0.33479999999999999</v>
      </c>
      <c r="F44" s="1">
        <f t="shared" si="0"/>
        <v>0.5374280230326296</v>
      </c>
      <c r="G44">
        <v>0.2319</v>
      </c>
      <c r="H44" s="1">
        <f t="shared" si="1"/>
        <v>1.0311900191938579</v>
      </c>
      <c r="I44">
        <v>0.33289999999999997</v>
      </c>
      <c r="J44" s="1">
        <f t="shared" si="2"/>
        <v>0.49975235264982676</v>
      </c>
    </row>
    <row r="45" spans="1:10" x14ac:dyDescent="0.3">
      <c r="B45" t="s">
        <v>3</v>
      </c>
      <c r="D45">
        <v>0.24629999999999999</v>
      </c>
      <c r="E45">
        <v>0.34160000000000001</v>
      </c>
      <c r="F45" s="1">
        <f t="shared" si="0"/>
        <v>0.55940822931114176</v>
      </c>
      <c r="G45">
        <v>0.2397</v>
      </c>
      <c r="H45" s="1">
        <f t="shared" si="1"/>
        <v>1.0305131761442441</v>
      </c>
      <c r="I45">
        <v>0.34050000000000002</v>
      </c>
      <c r="J45" s="1">
        <f t="shared" si="2"/>
        <v>0.51931330472102988</v>
      </c>
    </row>
    <row r="46" spans="1:10" x14ac:dyDescent="0.3">
      <c r="B46" t="s">
        <v>4</v>
      </c>
      <c r="D46">
        <v>0.45129999999999998</v>
      </c>
      <c r="E46">
        <v>0.63780000000000003</v>
      </c>
      <c r="F46" s="1">
        <f t="shared" si="0"/>
        <v>0.55732257298836929</v>
      </c>
      <c r="G46">
        <v>0.43759999999999999</v>
      </c>
      <c r="H46" s="1">
        <f t="shared" si="1"/>
        <v>1.0325183954426773</v>
      </c>
      <c r="I46">
        <v>0.62329999999999997</v>
      </c>
      <c r="J46" s="1">
        <f t="shared" si="2"/>
        <v>0.54440628066732089</v>
      </c>
    </row>
    <row r="47" spans="1:10" x14ac:dyDescent="0.3">
      <c r="B47" t="s">
        <v>0</v>
      </c>
      <c r="C47" t="s">
        <v>25</v>
      </c>
      <c r="D47">
        <v>0.129</v>
      </c>
      <c r="E47">
        <v>0.16930000000000001</v>
      </c>
      <c r="F47" s="1">
        <f t="shared" si="0"/>
        <v>0.59292929292929286</v>
      </c>
      <c r="G47">
        <v>0.1303</v>
      </c>
      <c r="H47" s="1">
        <f t="shared" si="1"/>
        <v>0.9868686868686869</v>
      </c>
      <c r="I47">
        <v>0.1608</v>
      </c>
      <c r="J47" s="1">
        <f t="shared" si="2"/>
        <v>0.69591226321036892</v>
      </c>
    </row>
    <row r="48" spans="1:10" x14ac:dyDescent="0.3">
      <c r="B48" t="s">
        <v>2</v>
      </c>
      <c r="D48">
        <v>0.13300000000000001</v>
      </c>
      <c r="E48">
        <v>0.1731</v>
      </c>
      <c r="F48" s="1">
        <f t="shared" si="0"/>
        <v>0.61067961165048557</v>
      </c>
      <c r="G48">
        <v>0.1348</v>
      </c>
      <c r="H48" s="1">
        <f t="shared" si="1"/>
        <v>0.98252427184466029</v>
      </c>
      <c r="I48">
        <v>0.1661</v>
      </c>
      <c r="J48" s="1">
        <f t="shared" si="2"/>
        <v>0.70133587786259555</v>
      </c>
    </row>
    <row r="49" spans="1:10" x14ac:dyDescent="0.3">
      <c r="B49" t="s">
        <v>3</v>
      </c>
      <c r="D49">
        <v>0.14000000000000001</v>
      </c>
      <c r="E49">
        <v>0.1779</v>
      </c>
      <c r="F49" s="1">
        <f t="shared" si="0"/>
        <v>0.65545454545454562</v>
      </c>
      <c r="G49">
        <v>0.1404</v>
      </c>
      <c r="H49" s="1">
        <f t="shared" si="1"/>
        <v>0.99636363636363656</v>
      </c>
      <c r="I49">
        <v>0.1706</v>
      </c>
      <c r="J49" s="1">
        <f t="shared" si="2"/>
        <v>0.72644927536231885</v>
      </c>
    </row>
    <row r="50" spans="1:10" x14ac:dyDescent="0.3">
      <c r="F50" s="1">
        <f>AVERAGE(F35:F49)</f>
        <v>0.61473126621373808</v>
      </c>
      <c r="H50" s="1">
        <f>AVERAGE(H35:H49)</f>
        <v>1.057495917519804</v>
      </c>
      <c r="J50" s="1">
        <f>AVERAGE(J35:J49)</f>
        <v>0.55036555340985849</v>
      </c>
    </row>
    <row r="51" spans="1:10" x14ac:dyDescent="0.3">
      <c r="F51" s="1"/>
      <c r="H51" s="1"/>
      <c r="J51" s="1"/>
    </row>
    <row r="52" spans="1:10" x14ac:dyDescent="0.3">
      <c r="B52" t="s">
        <v>4</v>
      </c>
      <c r="D52">
        <v>0.17069999999999999</v>
      </c>
      <c r="E52">
        <v>0.246</v>
      </c>
      <c r="F52" s="1">
        <f t="shared" si="0"/>
        <v>0.46481876332622596</v>
      </c>
      <c r="G52">
        <v>0.21909999999999999</v>
      </c>
      <c r="H52" s="1">
        <f t="shared" si="1"/>
        <v>0.65600568585643204</v>
      </c>
      <c r="I52">
        <v>0.24740000000000001</v>
      </c>
      <c r="J52" s="1">
        <f t="shared" si="2"/>
        <v>0.8503437334743521</v>
      </c>
    </row>
    <row r="53" spans="1:10" x14ac:dyDescent="0.3">
      <c r="A53" t="s">
        <v>8</v>
      </c>
      <c r="B53" t="s">
        <v>9</v>
      </c>
      <c r="C53" t="s">
        <v>22</v>
      </c>
      <c r="D53">
        <v>0.19489999999999999</v>
      </c>
      <c r="E53">
        <v>0.20760000000000001</v>
      </c>
      <c r="F53" s="1">
        <f t="shared" si="0"/>
        <v>0.92298362644026677</v>
      </c>
      <c r="G53">
        <v>0.19639999999999999</v>
      </c>
      <c r="H53" s="1">
        <f t="shared" si="1"/>
        <v>0.9909035779260158</v>
      </c>
      <c r="I53">
        <v>0.20810000000000001</v>
      </c>
      <c r="J53" s="1">
        <f t="shared" si="2"/>
        <v>0.92968749999999989</v>
      </c>
    </row>
    <row r="54" spans="1:10" x14ac:dyDescent="0.3">
      <c r="B54" t="s">
        <v>10</v>
      </c>
      <c r="D54">
        <v>4.3788</v>
      </c>
      <c r="E54">
        <v>4.4364999999999997</v>
      </c>
      <c r="F54" s="1">
        <f t="shared" si="0"/>
        <v>0.98673197203826346</v>
      </c>
      <c r="G54">
        <v>4.5416999999999996</v>
      </c>
      <c r="H54" s="1">
        <f t="shared" si="1"/>
        <v>0.96254139072847689</v>
      </c>
      <c r="I54">
        <v>4.5963000000000003</v>
      </c>
      <c r="J54" s="1">
        <f t="shared" si="2"/>
        <v>0.98789813152470229</v>
      </c>
    </row>
    <row r="55" spans="1:10" x14ac:dyDescent="0.3">
      <c r="B55" t="s">
        <v>11</v>
      </c>
      <c r="D55">
        <v>8.8534000000000006</v>
      </c>
      <c r="E55">
        <v>9.0174000000000003</v>
      </c>
      <c r="F55" s="1">
        <f t="shared" si="0"/>
        <v>0.98141306072489065</v>
      </c>
      <c r="G55">
        <v>9.1814</v>
      </c>
      <c r="H55" s="1">
        <f t="shared" si="1"/>
        <v>0.9628261214497813</v>
      </c>
      <c r="I55">
        <v>9.3415999999999997</v>
      </c>
      <c r="J55" s="1">
        <f t="shared" si="2"/>
        <v>0.98249448171864417</v>
      </c>
    </row>
    <row r="56" spans="1:10" x14ac:dyDescent="0.3">
      <c r="B56" t="s">
        <v>9</v>
      </c>
      <c r="D56">
        <v>0.1449</v>
      </c>
      <c r="E56">
        <v>0.15379999999999999</v>
      </c>
      <c r="F56" s="1">
        <f t="shared" si="0"/>
        <v>0.92254134029590951</v>
      </c>
      <c r="G56">
        <v>0.1522</v>
      </c>
      <c r="H56" s="1">
        <f t="shared" si="1"/>
        <v>0.93646649260226278</v>
      </c>
      <c r="I56">
        <v>0.1603</v>
      </c>
      <c r="J56" s="1">
        <f t="shared" si="2"/>
        <v>0.93371522094926351</v>
      </c>
    </row>
    <row r="57" spans="1:10" x14ac:dyDescent="0.3">
      <c r="B57" t="s">
        <v>10</v>
      </c>
      <c r="C57" t="s">
        <v>23</v>
      </c>
      <c r="D57">
        <v>3.46</v>
      </c>
      <c r="E57">
        <v>3.4859</v>
      </c>
      <c r="F57" s="1">
        <f t="shared" si="0"/>
        <v>0.99244897959183676</v>
      </c>
      <c r="G57">
        <v>3.8443999999999998</v>
      </c>
      <c r="H57" s="1">
        <f t="shared" si="1"/>
        <v>0.88793002915451902</v>
      </c>
      <c r="I57">
        <v>3.8569</v>
      </c>
      <c r="J57" s="1">
        <f t="shared" si="2"/>
        <v>0.99672294463087241</v>
      </c>
    </row>
    <row r="58" spans="1:10" x14ac:dyDescent="0.3">
      <c r="B58" t="s">
        <v>11</v>
      </c>
      <c r="D58">
        <v>6.9943999999999997</v>
      </c>
      <c r="E58">
        <v>6.9991000000000003</v>
      </c>
      <c r="F58" s="1">
        <f t="shared" si="0"/>
        <v>0.99932513927976563</v>
      </c>
      <c r="G58">
        <v>7.8116000000000003</v>
      </c>
      <c r="H58" s="1">
        <f t="shared" si="1"/>
        <v>0.882660387111596</v>
      </c>
      <c r="I58">
        <v>7.8311000000000002</v>
      </c>
      <c r="J58" s="1">
        <f t="shared" si="2"/>
        <v>0.99749408861930711</v>
      </c>
    </row>
    <row r="59" spans="1:10" x14ac:dyDescent="0.3">
      <c r="B59" t="s">
        <v>9</v>
      </c>
      <c r="C59" t="s">
        <v>24</v>
      </c>
      <c r="D59">
        <v>0.42980000000000002</v>
      </c>
      <c r="E59">
        <v>0.56599999999999995</v>
      </c>
      <c r="F59" s="1">
        <f t="shared" si="0"/>
        <v>0.6593296648324164</v>
      </c>
      <c r="G59">
        <v>0.47370000000000001</v>
      </c>
      <c r="H59" s="1">
        <f t="shared" si="1"/>
        <v>0.89019509754877446</v>
      </c>
      <c r="I59">
        <v>0.65180000000000005</v>
      </c>
      <c r="J59" s="1">
        <f t="shared" si="2"/>
        <v>0.59860265945458635</v>
      </c>
    </row>
    <row r="60" spans="1:10" x14ac:dyDescent="0.3">
      <c r="B60" t="s">
        <v>10</v>
      </c>
      <c r="D60">
        <v>16.013500000000001</v>
      </c>
      <c r="E60">
        <v>21.726400000000002</v>
      </c>
      <c r="F60" s="1">
        <f t="shared" si="0"/>
        <v>0.64257515562924261</v>
      </c>
      <c r="G60">
        <v>16.900700000000001</v>
      </c>
      <c r="H60" s="1">
        <f t="shared" si="1"/>
        <v>0.9444927581568493</v>
      </c>
      <c r="I60">
        <v>24.217700000000001</v>
      </c>
      <c r="J60" s="1">
        <f t="shared" si="2"/>
        <v>0.56628948413521663</v>
      </c>
    </row>
    <row r="61" spans="1:10" x14ac:dyDescent="0.3">
      <c r="B61" t="s">
        <v>11</v>
      </c>
      <c r="D61">
        <v>31.994399999999999</v>
      </c>
      <c r="E61">
        <v>43.428400000000003</v>
      </c>
      <c r="F61" s="1">
        <f t="shared" si="0"/>
        <v>0.64228954712117214</v>
      </c>
      <c r="G61">
        <v>33.7791</v>
      </c>
      <c r="H61" s="1">
        <f t="shared" si="1"/>
        <v>0.94416600968577535</v>
      </c>
      <c r="I61">
        <v>47.832099999999997</v>
      </c>
      <c r="J61" s="1">
        <f t="shared" si="2"/>
        <v>0.58360371091377261</v>
      </c>
    </row>
    <row r="62" spans="1:10" x14ac:dyDescent="0.3">
      <c r="B62" t="s">
        <v>9</v>
      </c>
      <c r="C62" t="s">
        <v>25</v>
      </c>
      <c r="D62">
        <v>0.28660000000000002</v>
      </c>
      <c r="E62">
        <v>0.30559999999999998</v>
      </c>
      <c r="F62" s="1">
        <f t="shared" si="0"/>
        <v>0.92595479345284504</v>
      </c>
      <c r="G62">
        <v>0.29859999999999998</v>
      </c>
      <c r="H62" s="1">
        <f t="shared" si="1"/>
        <v>0.95323460639127067</v>
      </c>
      <c r="I62">
        <v>0.3135</v>
      </c>
      <c r="J62" s="1">
        <f t="shared" si="2"/>
        <v>0.94452717795979146</v>
      </c>
    </row>
    <row r="63" spans="1:10" x14ac:dyDescent="0.3">
      <c r="B63" t="s">
        <v>10</v>
      </c>
      <c r="D63">
        <v>6.8381999999999996</v>
      </c>
      <c r="E63">
        <v>6.8216000000000001</v>
      </c>
      <c r="F63" s="1">
        <f t="shared" si="0"/>
        <v>1.0024382362445285</v>
      </c>
      <c r="G63">
        <v>10.472799999999999</v>
      </c>
      <c r="H63" s="1">
        <f t="shared" si="1"/>
        <v>0.46614376780940625</v>
      </c>
      <c r="I63">
        <v>10.591900000000001</v>
      </c>
      <c r="J63" s="1">
        <f t="shared" si="2"/>
        <v>0.9885950128318074</v>
      </c>
    </row>
    <row r="64" spans="1:10" x14ac:dyDescent="0.3">
      <c r="B64" t="s">
        <v>11</v>
      </c>
      <c r="D64">
        <v>13.735099999999999</v>
      </c>
      <c r="E64">
        <v>13.6607</v>
      </c>
      <c r="F64" s="1">
        <f t="shared" si="0"/>
        <v>1.0054286360551909</v>
      </c>
      <c r="G64">
        <v>21.0456</v>
      </c>
      <c r="H64" s="1">
        <f t="shared" si="1"/>
        <v>0.46658543170060773</v>
      </c>
      <c r="I64">
        <v>21.173300000000001</v>
      </c>
      <c r="J64" s="1">
        <f t="shared" si="2"/>
        <v>0.99392356154475714</v>
      </c>
    </row>
    <row r="65" spans="6:10" x14ac:dyDescent="0.3">
      <c r="F65" s="3">
        <f>AVERAGE(F52:F64)</f>
        <v>0.85755991654096575</v>
      </c>
      <c r="H65" s="3">
        <f>AVERAGE(H52:H64)</f>
        <v>0.84185779662475113</v>
      </c>
      <c r="J65" s="3">
        <f>AVERAGE(J52:J64)</f>
        <v>0.87337674675054422</v>
      </c>
    </row>
  </sheetData>
  <phoneticPr fontId="2" type="noConversion"/>
  <pageMargins left="0.7" right="0.7" top="0.75" bottom="0.75" header="0.3" footer="0.3"/>
  <pageSetup paperSize="9" orientation="portrait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Views>
    <sheetView workbookViewId="0">
      <selection activeCell="F112" sqref="F112"/>
    </sheetView>
  </sheetViews>
  <sheetFormatPr defaultRowHeight="14" x14ac:dyDescent="0.3"/>
  <sheetData>
    <row r="1" spans="1:9" x14ac:dyDescent="0.3">
      <c r="B1" t="s">
        <v>12</v>
      </c>
      <c r="C1" t="s">
        <v>13</v>
      </c>
      <c r="D1" t="s">
        <v>41</v>
      </c>
      <c r="E1" t="s">
        <v>41</v>
      </c>
      <c r="F1" t="s">
        <v>15</v>
      </c>
      <c r="G1" t="s">
        <v>44</v>
      </c>
      <c r="H1" t="s">
        <v>44</v>
      </c>
    </row>
    <row r="2" spans="1:9" x14ac:dyDescent="0.3">
      <c r="D2" t="s">
        <v>42</v>
      </c>
      <c r="E2" t="s">
        <v>43</v>
      </c>
      <c r="G2" t="s">
        <v>42</v>
      </c>
      <c r="H2" t="s">
        <v>43</v>
      </c>
    </row>
    <row r="3" spans="1:9" x14ac:dyDescent="0.3">
      <c r="C3" t="s">
        <v>12</v>
      </c>
      <c r="D3" t="s">
        <v>13</v>
      </c>
      <c r="E3" t="s">
        <v>41</v>
      </c>
      <c r="F3" t="s">
        <v>41</v>
      </c>
      <c r="G3" t="s">
        <v>15</v>
      </c>
      <c r="H3" t="s">
        <v>44</v>
      </c>
      <c r="I3" t="s">
        <v>44</v>
      </c>
    </row>
    <row r="4" spans="1:9" x14ac:dyDescent="0.3">
      <c r="E4" t="s">
        <v>42</v>
      </c>
      <c r="F4" t="s">
        <v>43</v>
      </c>
      <c r="H4" t="s">
        <v>42</v>
      </c>
      <c r="I4" t="s">
        <v>43</v>
      </c>
    </row>
    <row r="5" spans="1:9" x14ac:dyDescent="0.3">
      <c r="A5" t="s">
        <v>17</v>
      </c>
      <c r="B5" t="s">
        <v>0</v>
      </c>
      <c r="C5" t="s">
        <v>22</v>
      </c>
      <c r="D5">
        <v>6.8400000000000002E-2</v>
      </c>
      <c r="E5">
        <v>8.6099999999999996E-2</v>
      </c>
      <c r="F5">
        <v>8.6999999999999994E-2</v>
      </c>
      <c r="G5">
        <v>6.3899999999999998E-2</v>
      </c>
      <c r="H5">
        <v>8.72E-2</v>
      </c>
      <c r="I5">
        <v>8.72E-2</v>
      </c>
    </row>
    <row r="6" spans="1:9" x14ac:dyDescent="0.3">
      <c r="B6" t="s">
        <v>2</v>
      </c>
      <c r="D6">
        <v>7.5600000000000001E-2</v>
      </c>
      <c r="E6">
        <v>9.2600000000000002E-2</v>
      </c>
      <c r="F6">
        <v>9.2299999999999993E-2</v>
      </c>
      <c r="G6">
        <v>6.7900000000000002E-2</v>
      </c>
      <c r="H6">
        <v>9.2899999999999996E-2</v>
      </c>
      <c r="I6">
        <v>9.3100000000000002E-2</v>
      </c>
    </row>
    <row r="7" spans="1:9" x14ac:dyDescent="0.3">
      <c r="B7" t="s">
        <v>3</v>
      </c>
      <c r="D7">
        <v>8.3400000000000002E-2</v>
      </c>
      <c r="E7">
        <v>9.7600000000000006E-2</v>
      </c>
      <c r="F7">
        <v>9.8599999999999993E-2</v>
      </c>
      <c r="G7">
        <v>7.5499999999999998E-2</v>
      </c>
      <c r="H7">
        <v>9.7199999999999995E-2</v>
      </c>
      <c r="I7">
        <v>9.7299999999999998E-2</v>
      </c>
    </row>
    <row r="8" spans="1:9" x14ac:dyDescent="0.3">
      <c r="B8" t="s">
        <v>4</v>
      </c>
      <c r="D8">
        <v>0.1095</v>
      </c>
      <c r="E8">
        <v>0.13400000000000001</v>
      </c>
      <c r="F8">
        <v>0.1328</v>
      </c>
      <c r="G8">
        <v>9.8799999999999999E-2</v>
      </c>
      <c r="H8">
        <v>0.13159999999999999</v>
      </c>
      <c r="I8">
        <v>0.13200000000000001</v>
      </c>
    </row>
    <row r="9" spans="1:9" x14ac:dyDescent="0.3">
      <c r="B9" t="s">
        <v>0</v>
      </c>
      <c r="C9" t="s">
        <v>23</v>
      </c>
      <c r="D9">
        <v>6.3E-2</v>
      </c>
      <c r="E9">
        <v>7.17E-2</v>
      </c>
      <c r="F9">
        <v>7.2099999999999997E-2</v>
      </c>
      <c r="G9">
        <v>6.0100000000000001E-2</v>
      </c>
      <c r="H9">
        <v>7.1300000000000002E-2</v>
      </c>
      <c r="I9">
        <v>7.17E-2</v>
      </c>
    </row>
    <row r="10" spans="1:9" x14ac:dyDescent="0.3">
      <c r="B10" t="s">
        <v>2</v>
      </c>
      <c r="D10">
        <v>6.2E-2</v>
      </c>
      <c r="E10">
        <v>7.2300000000000003E-2</v>
      </c>
      <c r="F10">
        <v>7.2599999999999998E-2</v>
      </c>
      <c r="G10">
        <v>6.0199999999999997E-2</v>
      </c>
      <c r="H10">
        <v>7.1900000000000006E-2</v>
      </c>
      <c r="I10">
        <v>7.2400000000000006E-2</v>
      </c>
    </row>
    <row r="11" spans="1:9" x14ac:dyDescent="0.3">
      <c r="B11" t="s">
        <v>3</v>
      </c>
      <c r="D11">
        <v>6.3899999999999998E-2</v>
      </c>
      <c r="E11">
        <v>7.3700000000000002E-2</v>
      </c>
      <c r="F11">
        <v>7.3700000000000002E-2</v>
      </c>
      <c r="G11">
        <v>6.1699999999999998E-2</v>
      </c>
      <c r="H11">
        <v>7.2599999999999998E-2</v>
      </c>
      <c r="I11">
        <v>7.3099999999999998E-2</v>
      </c>
    </row>
    <row r="12" spans="1:9" x14ac:dyDescent="0.3">
      <c r="B12" t="s">
        <v>4</v>
      </c>
      <c r="D12">
        <v>7.0699999999999999E-2</v>
      </c>
      <c r="E12">
        <v>9.1700000000000004E-2</v>
      </c>
      <c r="F12">
        <v>9.1300000000000006E-2</v>
      </c>
      <c r="G12">
        <v>7.0900000000000005E-2</v>
      </c>
      <c r="H12">
        <v>9.0800000000000006E-2</v>
      </c>
      <c r="I12">
        <v>9.0999999999999998E-2</v>
      </c>
    </row>
    <row r="13" spans="1:9" x14ac:dyDescent="0.3">
      <c r="B13" t="s">
        <v>0</v>
      </c>
      <c r="C13" t="s">
        <v>24</v>
      </c>
      <c r="D13">
        <v>0.2349</v>
      </c>
      <c r="E13">
        <v>0.33300000000000002</v>
      </c>
      <c r="F13">
        <v>0.32950000000000002</v>
      </c>
      <c r="G13">
        <v>0.2288</v>
      </c>
      <c r="H13">
        <v>0.3261</v>
      </c>
      <c r="I13">
        <v>0.32369999999999999</v>
      </c>
    </row>
    <row r="14" spans="1:9" x14ac:dyDescent="0.3">
      <c r="B14" t="s">
        <v>2</v>
      </c>
      <c r="D14">
        <v>0.2384</v>
      </c>
      <c r="E14">
        <v>0.33860000000000001</v>
      </c>
      <c r="F14">
        <v>0.33479999999999999</v>
      </c>
      <c r="G14">
        <v>0.2319</v>
      </c>
      <c r="H14">
        <v>0.33310000000000001</v>
      </c>
      <c r="I14">
        <v>0.33289999999999997</v>
      </c>
    </row>
    <row r="15" spans="1:9" x14ac:dyDescent="0.3">
      <c r="B15" t="s">
        <v>3</v>
      </c>
      <c r="D15">
        <v>0.24629999999999999</v>
      </c>
      <c r="E15">
        <v>0.34539999999999998</v>
      </c>
      <c r="F15">
        <v>0.34160000000000001</v>
      </c>
      <c r="G15">
        <v>0.2397</v>
      </c>
      <c r="H15">
        <v>0.3412</v>
      </c>
      <c r="I15">
        <v>0.34050000000000002</v>
      </c>
    </row>
    <row r="16" spans="1:9" x14ac:dyDescent="0.3">
      <c r="B16" t="s">
        <v>4</v>
      </c>
      <c r="D16">
        <v>0.45129999999999998</v>
      </c>
      <c r="E16">
        <v>0.64500000000000002</v>
      </c>
      <c r="F16">
        <v>0.63780000000000003</v>
      </c>
      <c r="G16">
        <v>0.43759999999999999</v>
      </c>
      <c r="H16">
        <v>0.63160000000000005</v>
      </c>
      <c r="I16">
        <v>0.62329999999999997</v>
      </c>
    </row>
    <row r="17" spans="1:9" x14ac:dyDescent="0.3">
      <c r="B17" t="s">
        <v>0</v>
      </c>
      <c r="C17" t="s">
        <v>25</v>
      </c>
      <c r="D17">
        <v>0.129</v>
      </c>
      <c r="E17">
        <v>0.16930000000000001</v>
      </c>
      <c r="F17">
        <v>0.16930000000000001</v>
      </c>
      <c r="G17">
        <v>0.1303</v>
      </c>
      <c r="H17">
        <v>0.1605</v>
      </c>
      <c r="I17">
        <v>0.1608</v>
      </c>
    </row>
    <row r="18" spans="1:9" x14ac:dyDescent="0.3">
      <c r="B18" t="s">
        <v>2</v>
      </c>
      <c r="D18">
        <v>0.13300000000000001</v>
      </c>
      <c r="E18">
        <v>0.1734</v>
      </c>
      <c r="F18">
        <v>0.1731</v>
      </c>
      <c r="G18">
        <v>0.1348</v>
      </c>
      <c r="H18">
        <v>0.1656</v>
      </c>
      <c r="I18">
        <v>0.1661</v>
      </c>
    </row>
    <row r="19" spans="1:9" x14ac:dyDescent="0.3">
      <c r="B19" t="s">
        <v>3</v>
      </c>
      <c r="D19">
        <v>0.14000000000000001</v>
      </c>
      <c r="E19">
        <v>0.17780000000000001</v>
      </c>
      <c r="F19">
        <v>0.1779</v>
      </c>
      <c r="G19">
        <v>0.1404</v>
      </c>
      <c r="H19">
        <v>0.16980000000000001</v>
      </c>
      <c r="I19">
        <v>0.1706</v>
      </c>
    </row>
    <row r="20" spans="1:9" x14ac:dyDescent="0.3">
      <c r="B20" t="s">
        <v>4</v>
      </c>
      <c r="D20">
        <v>0.17069999999999999</v>
      </c>
      <c r="E20">
        <v>0.24399999999999999</v>
      </c>
      <c r="F20">
        <v>0.246</v>
      </c>
      <c r="G20">
        <v>0.21909999999999999</v>
      </c>
      <c r="H20">
        <v>0.24740000000000001</v>
      </c>
      <c r="I20">
        <v>0.24740000000000001</v>
      </c>
    </row>
    <row r="21" spans="1:9" x14ac:dyDescent="0.3">
      <c r="A21" t="s">
        <v>8</v>
      </c>
      <c r="B21" t="s">
        <v>9</v>
      </c>
      <c r="C21" t="s">
        <v>22</v>
      </c>
      <c r="D21">
        <v>0.19489999999999999</v>
      </c>
      <c r="E21">
        <v>0.20660000000000001</v>
      </c>
      <c r="F21">
        <v>0.20760000000000001</v>
      </c>
      <c r="G21">
        <v>0.19639999999999999</v>
      </c>
      <c r="H21">
        <v>0.2084</v>
      </c>
      <c r="I21">
        <v>0.20810000000000001</v>
      </c>
    </row>
    <row r="22" spans="1:9" x14ac:dyDescent="0.3">
      <c r="B22" t="s">
        <v>10</v>
      </c>
      <c r="D22">
        <v>4.3788</v>
      </c>
      <c r="E22">
        <v>4.4292999999999996</v>
      </c>
      <c r="F22">
        <v>4.4364999999999997</v>
      </c>
      <c r="G22">
        <v>4.5416999999999996</v>
      </c>
      <c r="H22">
        <v>4.5964999999999998</v>
      </c>
      <c r="I22">
        <v>4.5963000000000003</v>
      </c>
    </row>
    <row r="23" spans="1:9" x14ac:dyDescent="0.3">
      <c r="B23" t="s">
        <v>11</v>
      </c>
      <c r="D23">
        <v>8.8534000000000006</v>
      </c>
      <c r="E23">
        <v>8.9978999999999996</v>
      </c>
      <c r="F23">
        <v>9.0174000000000003</v>
      </c>
      <c r="G23">
        <v>9.1814</v>
      </c>
      <c r="H23">
        <v>9.3354999999999997</v>
      </c>
      <c r="I23">
        <v>9.3415999999999997</v>
      </c>
    </row>
    <row r="24" spans="1:9" x14ac:dyDescent="0.3">
      <c r="B24" t="s">
        <v>9</v>
      </c>
      <c r="D24">
        <v>0.1449</v>
      </c>
      <c r="E24">
        <v>0.15240000000000001</v>
      </c>
      <c r="F24">
        <v>0.15379999999999999</v>
      </c>
      <c r="G24">
        <v>0.1522</v>
      </c>
      <c r="H24">
        <v>0.1593</v>
      </c>
      <c r="I24">
        <v>0.1603</v>
      </c>
    </row>
    <row r="25" spans="1:9" x14ac:dyDescent="0.3">
      <c r="B25" t="s">
        <v>10</v>
      </c>
      <c r="C25" t="s">
        <v>23</v>
      </c>
      <c r="D25">
        <v>3.46</v>
      </c>
      <c r="E25">
        <v>3.4681999999999999</v>
      </c>
      <c r="F25">
        <v>3.4859</v>
      </c>
      <c r="G25">
        <v>3.8443999999999998</v>
      </c>
      <c r="H25">
        <v>3.8574000000000002</v>
      </c>
      <c r="I25">
        <v>3.8569</v>
      </c>
    </row>
    <row r="26" spans="1:9" x14ac:dyDescent="0.3">
      <c r="B26" t="s">
        <v>11</v>
      </c>
      <c r="D26">
        <v>6.9943999999999997</v>
      </c>
      <c r="E26">
        <v>7.0351999999999997</v>
      </c>
      <c r="F26">
        <v>6.9991000000000003</v>
      </c>
      <c r="G26">
        <v>7.8116000000000003</v>
      </c>
      <c r="H26">
        <v>7.7899000000000003</v>
      </c>
      <c r="I26">
        <v>7.8311000000000002</v>
      </c>
    </row>
    <row r="27" spans="1:9" x14ac:dyDescent="0.3">
      <c r="B27" t="s">
        <v>9</v>
      </c>
      <c r="C27" t="s">
        <v>24</v>
      </c>
      <c r="D27">
        <v>0.42980000000000002</v>
      </c>
      <c r="E27">
        <v>0.56430000000000002</v>
      </c>
      <c r="F27">
        <v>0.56599999999999995</v>
      </c>
      <c r="G27">
        <v>0.47370000000000001</v>
      </c>
      <c r="H27">
        <v>0.6452</v>
      </c>
      <c r="I27">
        <v>0.65180000000000005</v>
      </c>
    </row>
    <row r="28" spans="1:9" x14ac:dyDescent="0.3">
      <c r="B28" t="s">
        <v>10</v>
      </c>
      <c r="D28">
        <v>16.013500000000001</v>
      </c>
      <c r="E28">
        <v>21.701499999999999</v>
      </c>
      <c r="F28">
        <v>21.726400000000002</v>
      </c>
      <c r="G28">
        <v>16.900700000000001</v>
      </c>
      <c r="H28">
        <v>23.879000000000001</v>
      </c>
      <c r="I28">
        <v>24.217700000000001</v>
      </c>
    </row>
    <row r="29" spans="1:9" x14ac:dyDescent="0.3">
      <c r="B29" t="s">
        <v>11</v>
      </c>
      <c r="D29">
        <v>31.994399999999999</v>
      </c>
      <c r="E29">
        <v>43.401299999999999</v>
      </c>
      <c r="F29">
        <v>43.428400000000003</v>
      </c>
      <c r="G29">
        <v>33.7791</v>
      </c>
      <c r="H29">
        <v>48.040100000000002</v>
      </c>
      <c r="I29">
        <v>47.832099999999997</v>
      </c>
    </row>
    <row r="30" spans="1:9" x14ac:dyDescent="0.3">
      <c r="B30" t="s">
        <v>9</v>
      </c>
      <c r="C30" t="s">
        <v>25</v>
      </c>
      <c r="D30">
        <v>0.28660000000000002</v>
      </c>
      <c r="E30">
        <v>0.30680000000000002</v>
      </c>
      <c r="F30">
        <v>0.30559999999999998</v>
      </c>
      <c r="G30">
        <v>0.29859999999999998</v>
      </c>
      <c r="H30">
        <v>0.31840000000000002</v>
      </c>
      <c r="I30">
        <v>0.3135</v>
      </c>
    </row>
    <row r="31" spans="1:9" x14ac:dyDescent="0.3">
      <c r="B31" t="s">
        <v>10</v>
      </c>
      <c r="D31">
        <v>6.8381999999999996</v>
      </c>
      <c r="E31">
        <v>6.8213999999999997</v>
      </c>
      <c r="F31">
        <v>6.8216000000000001</v>
      </c>
      <c r="G31">
        <v>10.472799999999999</v>
      </c>
      <c r="H31">
        <v>10.580399999999999</v>
      </c>
      <c r="I31">
        <v>10.591900000000001</v>
      </c>
    </row>
    <row r="32" spans="1:9" x14ac:dyDescent="0.3">
      <c r="B32" t="s">
        <v>11</v>
      </c>
      <c r="D32">
        <v>13.735099999999999</v>
      </c>
      <c r="E32">
        <v>13.642899999999999</v>
      </c>
      <c r="F32">
        <v>13.6607</v>
      </c>
      <c r="G32">
        <v>21.0456</v>
      </c>
      <c r="H32">
        <v>21.206199999999999</v>
      </c>
      <c r="I32">
        <v>21.173300000000001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Views>
    <sheetView workbookViewId="0">
      <selection activeCell="I3" sqref="I3:I30"/>
    </sheetView>
  </sheetViews>
  <sheetFormatPr defaultRowHeight="14" x14ac:dyDescent="0.3"/>
  <sheetData>
    <row r="1" spans="1:9" x14ac:dyDescent="0.3">
      <c r="B1" t="s">
        <v>12</v>
      </c>
      <c r="C1" t="s">
        <v>13</v>
      </c>
      <c r="D1" t="s">
        <v>41</v>
      </c>
      <c r="E1" t="s">
        <v>41</v>
      </c>
      <c r="F1" t="s">
        <v>15</v>
      </c>
      <c r="G1" t="s">
        <v>44</v>
      </c>
      <c r="H1" t="s">
        <v>44</v>
      </c>
    </row>
    <row r="2" spans="1:9" x14ac:dyDescent="0.3">
      <c r="D2" t="s">
        <v>42</v>
      </c>
      <c r="E2" t="s">
        <v>43</v>
      </c>
      <c r="G2" t="s">
        <v>42</v>
      </c>
      <c r="H2" t="s">
        <v>43</v>
      </c>
    </row>
    <row r="3" spans="1:9" x14ac:dyDescent="0.3">
      <c r="A3" t="s">
        <v>17</v>
      </c>
      <c r="B3" t="s">
        <v>0</v>
      </c>
      <c r="C3" t="s">
        <v>1</v>
      </c>
      <c r="D3">
        <v>5.9900000000000002E-2</v>
      </c>
      <c r="E3">
        <v>7.0300000000000001E-2</v>
      </c>
      <c r="F3">
        <v>7.0300000000000001E-2</v>
      </c>
      <c r="G3">
        <v>5.7099999999999998E-2</v>
      </c>
      <c r="H3">
        <v>6.7599999999999993E-2</v>
      </c>
      <c r="I3">
        <v>6.7500000000000004E-2</v>
      </c>
    </row>
    <row r="4" spans="1:9" x14ac:dyDescent="0.3">
      <c r="B4" t="s">
        <v>2</v>
      </c>
      <c r="D4">
        <v>6.1600000000000002E-2</v>
      </c>
      <c r="E4">
        <v>7.1999999999999995E-2</v>
      </c>
      <c r="F4">
        <v>7.17E-2</v>
      </c>
      <c r="G4">
        <v>5.9799999999999999E-2</v>
      </c>
      <c r="H4">
        <v>6.9500000000000006E-2</v>
      </c>
      <c r="I4">
        <v>6.9500000000000006E-2</v>
      </c>
    </row>
    <row r="5" spans="1:9" x14ac:dyDescent="0.3">
      <c r="B5" t="s">
        <v>3</v>
      </c>
      <c r="D5">
        <v>6.4399999999999999E-2</v>
      </c>
      <c r="E5">
        <v>7.3899999999999993E-2</v>
      </c>
      <c r="F5">
        <v>7.3800000000000004E-2</v>
      </c>
      <c r="G5">
        <v>6.2700000000000006E-2</v>
      </c>
      <c r="H5">
        <v>7.2300000000000003E-2</v>
      </c>
      <c r="I5">
        <v>7.1599999999999997E-2</v>
      </c>
    </row>
    <row r="6" spans="1:9" x14ac:dyDescent="0.3">
      <c r="B6" t="s">
        <v>4</v>
      </c>
      <c r="D6">
        <v>7.5600000000000001E-2</v>
      </c>
      <c r="E6">
        <v>9.5500000000000002E-2</v>
      </c>
      <c r="F6">
        <v>9.4600000000000004E-2</v>
      </c>
      <c r="G6">
        <v>7.5600000000000001E-2</v>
      </c>
      <c r="H6">
        <v>9.4899999999999998E-2</v>
      </c>
      <c r="I6">
        <v>9.4200000000000006E-2</v>
      </c>
    </row>
    <row r="7" spans="1:9" x14ac:dyDescent="0.3">
      <c r="B7" t="s">
        <v>0</v>
      </c>
      <c r="C7" t="s">
        <v>5</v>
      </c>
      <c r="D7">
        <v>0.12239999999999999</v>
      </c>
      <c r="E7">
        <v>0.15260000000000001</v>
      </c>
      <c r="F7">
        <v>0.15140000000000001</v>
      </c>
      <c r="G7">
        <v>0.1157</v>
      </c>
      <c r="H7">
        <v>0.1426</v>
      </c>
      <c r="I7">
        <v>0.1411</v>
      </c>
    </row>
    <row r="8" spans="1:9" x14ac:dyDescent="0.3">
      <c r="B8" t="s">
        <v>2</v>
      </c>
      <c r="D8">
        <v>0.12280000000000001</v>
      </c>
      <c r="E8">
        <v>0.15479999999999999</v>
      </c>
      <c r="F8">
        <v>0.15329999999999999</v>
      </c>
      <c r="G8">
        <v>0.11749999999999999</v>
      </c>
      <c r="H8">
        <v>0.14480000000000001</v>
      </c>
      <c r="I8">
        <v>0.1439</v>
      </c>
    </row>
    <row r="9" spans="1:9" x14ac:dyDescent="0.3">
      <c r="B9" t="s">
        <v>3</v>
      </c>
      <c r="D9">
        <v>0.12620000000000001</v>
      </c>
      <c r="E9">
        <v>0.15690000000000001</v>
      </c>
      <c r="F9">
        <v>0.15620000000000001</v>
      </c>
      <c r="G9">
        <v>0.12039999999999999</v>
      </c>
      <c r="H9">
        <v>0.14660000000000001</v>
      </c>
      <c r="I9">
        <v>0.1467</v>
      </c>
    </row>
    <row r="10" spans="1:9" x14ac:dyDescent="0.3">
      <c r="B10" t="s">
        <v>4</v>
      </c>
      <c r="D10">
        <v>0.1492</v>
      </c>
      <c r="E10">
        <v>0.2084</v>
      </c>
      <c r="F10">
        <v>0.20300000000000001</v>
      </c>
      <c r="G10">
        <v>0.1512</v>
      </c>
      <c r="H10">
        <v>0.20080000000000001</v>
      </c>
      <c r="I10">
        <v>0.19800000000000001</v>
      </c>
    </row>
    <row r="11" spans="1:9" x14ac:dyDescent="0.3">
      <c r="B11" t="s">
        <v>0</v>
      </c>
      <c r="C11" t="s">
        <v>6</v>
      </c>
      <c r="D11">
        <v>0.19869999999999999</v>
      </c>
      <c r="E11">
        <v>0.26</v>
      </c>
      <c r="F11">
        <v>0.25879999999999997</v>
      </c>
      <c r="G11">
        <v>0.19420000000000001</v>
      </c>
      <c r="H11">
        <v>0.24540000000000001</v>
      </c>
      <c r="I11">
        <v>0.2442</v>
      </c>
    </row>
    <row r="12" spans="1:9" x14ac:dyDescent="0.3">
      <c r="B12" t="s">
        <v>2</v>
      </c>
      <c r="D12">
        <v>0.19620000000000001</v>
      </c>
      <c r="E12">
        <v>0.26329999999999998</v>
      </c>
      <c r="F12">
        <v>0.26150000000000001</v>
      </c>
      <c r="G12">
        <v>0.19550000000000001</v>
      </c>
      <c r="H12">
        <v>0.24729999999999999</v>
      </c>
      <c r="I12">
        <v>0.24540000000000001</v>
      </c>
    </row>
    <row r="13" spans="1:9" x14ac:dyDescent="0.3">
      <c r="B13" t="s">
        <v>3</v>
      </c>
      <c r="D13">
        <v>0.19939999999999999</v>
      </c>
      <c r="E13">
        <v>0.26500000000000001</v>
      </c>
      <c r="F13">
        <v>0.26369999999999999</v>
      </c>
      <c r="G13">
        <v>0.19950000000000001</v>
      </c>
      <c r="H13">
        <v>0.251</v>
      </c>
      <c r="I13">
        <v>0.24829999999999999</v>
      </c>
    </row>
    <row r="14" spans="1:9" x14ac:dyDescent="0.3">
      <c r="B14" t="s">
        <v>4</v>
      </c>
      <c r="D14">
        <v>0.33789999999999998</v>
      </c>
      <c r="E14">
        <v>0.45910000000000001</v>
      </c>
      <c r="F14">
        <v>0.46639999999999998</v>
      </c>
      <c r="G14">
        <v>0.3518</v>
      </c>
      <c r="H14">
        <v>0.41670000000000001</v>
      </c>
      <c r="I14">
        <v>0.42470000000000002</v>
      </c>
    </row>
    <row r="15" spans="1:9" x14ac:dyDescent="0.3">
      <c r="B15" t="s">
        <v>0</v>
      </c>
      <c r="C15" t="s">
        <v>7</v>
      </c>
      <c r="D15">
        <v>0.1114</v>
      </c>
      <c r="E15">
        <v>0.1363</v>
      </c>
      <c r="F15">
        <v>0.13589999999999999</v>
      </c>
      <c r="G15">
        <v>0.10589999999999999</v>
      </c>
      <c r="H15">
        <v>0.12770000000000001</v>
      </c>
      <c r="I15">
        <v>0.12740000000000001</v>
      </c>
    </row>
    <row r="16" spans="1:9" x14ac:dyDescent="0.3">
      <c r="B16" t="s">
        <v>2</v>
      </c>
      <c r="D16">
        <v>0.11459999999999999</v>
      </c>
      <c r="E16">
        <v>0.14000000000000001</v>
      </c>
      <c r="F16">
        <v>0.14050000000000001</v>
      </c>
      <c r="G16">
        <v>0.1105</v>
      </c>
      <c r="H16">
        <v>0.1321</v>
      </c>
      <c r="I16">
        <v>0.1323</v>
      </c>
    </row>
    <row r="17" spans="1:9" x14ac:dyDescent="0.3">
      <c r="B17" t="s">
        <v>3</v>
      </c>
      <c r="D17">
        <v>0.1249</v>
      </c>
      <c r="E17">
        <v>0.14849999999999999</v>
      </c>
      <c r="F17">
        <v>0.14899999999999999</v>
      </c>
      <c r="G17">
        <v>0.1208</v>
      </c>
      <c r="H17">
        <v>0.1409</v>
      </c>
      <c r="I17">
        <v>0.14050000000000001</v>
      </c>
    </row>
    <row r="18" spans="1:9" x14ac:dyDescent="0.3">
      <c r="B18" t="s">
        <v>4</v>
      </c>
      <c r="D18">
        <v>0.161</v>
      </c>
      <c r="E18">
        <v>0.20710000000000001</v>
      </c>
      <c r="F18">
        <v>0.20680000000000001</v>
      </c>
      <c r="G18">
        <v>0.16250000000000001</v>
      </c>
      <c r="H18">
        <v>0.20399999999999999</v>
      </c>
      <c r="I18">
        <v>0.2041</v>
      </c>
    </row>
    <row r="19" spans="1:9" x14ac:dyDescent="0.3">
      <c r="A19" t="s">
        <v>8</v>
      </c>
      <c r="B19" t="s">
        <v>9</v>
      </c>
      <c r="C19" t="s">
        <v>1</v>
      </c>
      <c r="D19">
        <v>0.1376</v>
      </c>
      <c r="E19">
        <v>0.14399999999999999</v>
      </c>
      <c r="F19">
        <v>0.14349999999999999</v>
      </c>
      <c r="G19">
        <v>0.15049999999999999</v>
      </c>
      <c r="H19">
        <v>0.1573</v>
      </c>
      <c r="I19">
        <v>0.15679999999999999</v>
      </c>
    </row>
    <row r="20" spans="1:9" x14ac:dyDescent="0.3">
      <c r="B20" t="s">
        <v>10</v>
      </c>
      <c r="D20">
        <v>2.8954</v>
      </c>
      <c r="E20">
        <v>2.9171</v>
      </c>
      <c r="F20">
        <v>2.9251</v>
      </c>
      <c r="G20">
        <v>2.9813999999999998</v>
      </c>
      <c r="H20">
        <v>2.9986999999999999</v>
      </c>
      <c r="I20">
        <v>2.9942000000000002</v>
      </c>
    </row>
    <row r="21" spans="1:9" x14ac:dyDescent="0.3">
      <c r="B21" t="s">
        <v>11</v>
      </c>
      <c r="D21">
        <v>5.8507999999999996</v>
      </c>
      <c r="E21">
        <v>5.8894000000000002</v>
      </c>
      <c r="F21">
        <v>5.9137000000000004</v>
      </c>
      <c r="G21">
        <v>6.1148999999999996</v>
      </c>
      <c r="H21">
        <v>6.1505000000000001</v>
      </c>
      <c r="I21">
        <v>6.1513999999999998</v>
      </c>
    </row>
    <row r="22" spans="1:9" x14ac:dyDescent="0.3">
      <c r="B22" t="s">
        <v>9</v>
      </c>
      <c r="C22" t="s">
        <v>5</v>
      </c>
      <c r="D22">
        <v>0.24740000000000001</v>
      </c>
      <c r="E22">
        <v>0.26390000000000002</v>
      </c>
      <c r="F22">
        <v>0.2631</v>
      </c>
      <c r="G22">
        <v>0.2863</v>
      </c>
      <c r="H22">
        <v>0.30149999999999999</v>
      </c>
      <c r="I22">
        <v>0.3014</v>
      </c>
    </row>
    <row r="23" spans="1:9" x14ac:dyDescent="0.3">
      <c r="B23" t="s">
        <v>10</v>
      </c>
      <c r="D23">
        <v>7.2291999999999996</v>
      </c>
      <c r="E23">
        <v>7.2930999999999999</v>
      </c>
      <c r="F23">
        <v>7.2919999999999998</v>
      </c>
      <c r="G23">
        <v>8.3572000000000006</v>
      </c>
      <c r="H23">
        <v>8.4126999999999992</v>
      </c>
      <c r="I23">
        <v>8.4301999999999992</v>
      </c>
    </row>
    <row r="24" spans="1:9" x14ac:dyDescent="0.3">
      <c r="B24" t="s">
        <v>11</v>
      </c>
      <c r="D24">
        <v>14.638500000000001</v>
      </c>
      <c r="E24">
        <v>14.697100000000001</v>
      </c>
      <c r="F24">
        <v>14.7164</v>
      </c>
      <c r="G24">
        <v>16.874300000000002</v>
      </c>
      <c r="H24">
        <v>16.954599999999999</v>
      </c>
      <c r="I24">
        <v>16.966100000000001</v>
      </c>
    </row>
    <row r="25" spans="1:9" x14ac:dyDescent="0.3">
      <c r="B25" t="s">
        <v>9</v>
      </c>
      <c r="C25" t="s">
        <v>6</v>
      </c>
      <c r="D25">
        <v>0.3407</v>
      </c>
      <c r="E25">
        <v>0.4768</v>
      </c>
      <c r="F25">
        <v>0.4753</v>
      </c>
      <c r="G25">
        <v>0.39529999999999998</v>
      </c>
      <c r="H25">
        <v>0.57220000000000004</v>
      </c>
      <c r="I25">
        <v>0.56120000000000003</v>
      </c>
    </row>
    <row r="26" spans="1:9" x14ac:dyDescent="0.3">
      <c r="B26" t="s">
        <v>10</v>
      </c>
      <c r="D26">
        <v>18.285399999999999</v>
      </c>
      <c r="E26">
        <v>22.5199</v>
      </c>
      <c r="F26">
        <v>22.757899999999999</v>
      </c>
      <c r="G26">
        <v>21.458400000000001</v>
      </c>
      <c r="H26">
        <v>25.496300000000002</v>
      </c>
      <c r="I26">
        <v>25.0627</v>
      </c>
    </row>
    <row r="27" spans="1:9" x14ac:dyDescent="0.3">
      <c r="B27" t="s">
        <v>11</v>
      </c>
      <c r="D27">
        <v>36.677500000000002</v>
      </c>
      <c r="E27">
        <v>44.658299999999997</v>
      </c>
      <c r="F27">
        <v>45.613399999999999</v>
      </c>
      <c r="G27">
        <v>43.328899999999997</v>
      </c>
      <c r="H27">
        <v>51.201000000000001</v>
      </c>
      <c r="I27">
        <v>50.968899999999998</v>
      </c>
    </row>
    <row r="28" spans="1:9" x14ac:dyDescent="0.3">
      <c r="B28" t="s">
        <v>9</v>
      </c>
      <c r="C28" t="s">
        <v>7</v>
      </c>
      <c r="D28">
        <v>0.2888</v>
      </c>
      <c r="E28">
        <v>0.30049999999999999</v>
      </c>
      <c r="F28">
        <v>0.3</v>
      </c>
      <c r="G28">
        <v>0.29770000000000002</v>
      </c>
      <c r="H28">
        <v>0.311</v>
      </c>
      <c r="I28">
        <v>0.31069999999999998</v>
      </c>
    </row>
    <row r="29" spans="1:9" x14ac:dyDescent="0.3">
      <c r="B29" t="s">
        <v>10</v>
      </c>
      <c r="D29">
        <v>7.4383999999999997</v>
      </c>
      <c r="E29">
        <v>7.4192999999999998</v>
      </c>
      <c r="F29">
        <v>7.4229000000000003</v>
      </c>
      <c r="G29">
        <v>8.2881</v>
      </c>
      <c r="H29">
        <v>8.1283999999999992</v>
      </c>
      <c r="I29">
        <v>8.1298999999999992</v>
      </c>
    </row>
    <row r="30" spans="1:9" x14ac:dyDescent="0.3">
      <c r="B30" t="s">
        <v>11</v>
      </c>
      <c r="D30">
        <v>14.8856</v>
      </c>
      <c r="E30">
        <v>14.804</v>
      </c>
      <c r="F30">
        <v>14.8132</v>
      </c>
      <c r="G30">
        <v>16.6371</v>
      </c>
      <c r="H30">
        <v>16.261600000000001</v>
      </c>
      <c r="I30">
        <v>16.241099999999999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numa</vt:lpstr>
      <vt:lpstr>uma4</vt:lpstr>
      <vt:lpstr>70b_uma4</vt:lpstr>
      <vt:lpstr>7b_uma4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Qiao Tu</dc:creator>
  <cp:lastModifiedBy>Tingning Yuan(袁庭宁)</cp:lastModifiedBy>
  <dcterms:created xsi:type="dcterms:W3CDTF">2024-07-31T07:57:15Z</dcterms:created>
  <dcterms:modified xsi:type="dcterms:W3CDTF">2024-07-31T11:36:43Z</dcterms:modified>
</cp:coreProperties>
</file>