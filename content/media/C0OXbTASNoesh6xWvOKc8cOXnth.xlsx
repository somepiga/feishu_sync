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大模型\"/>
    </mc:Choice>
  </mc:AlternateContent>
  <bookViews>
    <workbookView xWindow="0" yWindow="0" windowWidth="19200" windowHeight="7008"/>
  </bookViews>
  <sheets>
    <sheet name="GQA" sheetId="6" r:id="rId1"/>
    <sheet name="ROPE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5" l="1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34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7" i="5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9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D170" i="6"/>
  <c r="D169" i="6"/>
  <c r="D168" i="6"/>
  <c r="D167" i="6"/>
  <c r="D166" i="6"/>
  <c r="D161" i="6"/>
  <c r="D160" i="6"/>
  <c r="D159" i="6"/>
  <c r="D158" i="6"/>
  <c r="D157" i="6"/>
  <c r="D152" i="6"/>
  <c r="D151" i="6"/>
  <c r="D150" i="6"/>
  <c r="D149" i="6"/>
  <c r="D148" i="6"/>
  <c r="D143" i="6"/>
  <c r="D142" i="6"/>
  <c r="D141" i="6"/>
  <c r="D140" i="6"/>
  <c r="D139" i="6"/>
  <c r="D134" i="6"/>
  <c r="D133" i="6"/>
  <c r="D132" i="6"/>
  <c r="D131" i="6"/>
  <c r="D130" i="6"/>
  <c r="D125" i="6"/>
  <c r="D124" i="6"/>
  <c r="D123" i="6"/>
  <c r="D122" i="6"/>
  <c r="D121" i="6"/>
  <c r="D116" i="6"/>
  <c r="D115" i="6"/>
  <c r="D114" i="6"/>
  <c r="D113" i="6"/>
  <c r="D112" i="6"/>
  <c r="D107" i="6"/>
  <c r="D106" i="6"/>
  <c r="D105" i="6"/>
  <c r="D104" i="6"/>
  <c r="D103" i="6"/>
  <c r="D98" i="6"/>
  <c r="D97" i="6"/>
  <c r="D96" i="6"/>
  <c r="D95" i="6"/>
  <c r="D94" i="6"/>
  <c r="D89" i="6"/>
  <c r="D88" i="6"/>
  <c r="D87" i="6"/>
  <c r="D86" i="6"/>
  <c r="D85" i="6"/>
  <c r="D80" i="6"/>
  <c r="D79" i="6"/>
  <c r="D78" i="6"/>
  <c r="D77" i="6"/>
  <c r="D76" i="6"/>
  <c r="D71" i="6"/>
  <c r="D70" i="6"/>
  <c r="D69" i="6"/>
  <c r="D68" i="6"/>
  <c r="D67" i="6"/>
  <c r="D62" i="6"/>
  <c r="D61" i="6"/>
  <c r="D60" i="6"/>
  <c r="D59" i="6"/>
  <c r="D58" i="6"/>
  <c r="D53" i="6"/>
  <c r="D52" i="6"/>
  <c r="D51" i="6"/>
  <c r="D50" i="6"/>
  <c r="D49" i="6"/>
  <c r="D44" i="6"/>
  <c r="D43" i="6"/>
  <c r="D42" i="6"/>
  <c r="D41" i="6"/>
  <c r="D40" i="6"/>
  <c r="D35" i="6"/>
  <c r="D34" i="6"/>
  <c r="D33" i="6"/>
  <c r="D32" i="6"/>
  <c r="D31" i="6"/>
  <c r="D26" i="6"/>
  <c r="D25" i="6"/>
  <c r="D24" i="6"/>
  <c r="D23" i="6"/>
  <c r="D22" i="6"/>
  <c r="D17" i="6"/>
  <c r="D16" i="6"/>
  <c r="D15" i="6"/>
  <c r="D14" i="6"/>
  <c r="D13" i="6"/>
</calcChain>
</file>

<file path=xl/sharedStrings.xml><?xml version="1.0" encoding="utf-8"?>
<sst xmlns="http://schemas.openxmlformats.org/spreadsheetml/2006/main" count="34" uniqueCount="29">
  <si>
    <t>batch_size</t>
  </si>
  <si>
    <t>head_dim</t>
  </si>
  <si>
    <t>q_heads</t>
  </si>
  <si>
    <t>kv_heads</t>
  </si>
  <si>
    <t>seq</t>
    <phoneticPr fontId="1" type="noConversion"/>
  </si>
  <si>
    <t>opt</t>
    <phoneticPr fontId="1" type="noConversion"/>
  </si>
  <si>
    <t>chunk</t>
    <phoneticPr fontId="1" type="noConversion"/>
  </si>
  <si>
    <t>chunk/opt</t>
    <phoneticPr fontId="1" type="noConversion"/>
  </si>
  <si>
    <t>pre</t>
    <phoneticPr fontId="1" type="noConversion"/>
  </si>
  <si>
    <t>opt/pre</t>
    <phoneticPr fontId="1" type="noConversion"/>
  </si>
  <si>
    <t>q_heads</t>
    <phoneticPr fontId="1" type="noConversion"/>
  </si>
  <si>
    <t>kv_head</t>
    <phoneticPr fontId="1" type="noConversion"/>
  </si>
  <si>
    <t>batch</t>
    <phoneticPr fontId="1" type="noConversion"/>
  </si>
  <si>
    <t>pre(ms)</t>
    <phoneticPr fontId="1" type="noConversion"/>
  </si>
  <si>
    <t>new(ms)</t>
    <phoneticPr fontId="1" type="noConversion"/>
  </si>
  <si>
    <t>new/pre</t>
    <phoneticPr fontId="1" type="noConversion"/>
  </si>
  <si>
    <t>KV_decode</t>
    <phoneticPr fontId="1" type="noConversion"/>
  </si>
  <si>
    <t>Q decode</t>
    <phoneticPr fontId="1" type="noConversion"/>
  </si>
  <si>
    <t>pre:</t>
    <phoneticPr fontId="1" type="noConversion"/>
  </si>
  <si>
    <t>GQA之前实现，不同spc处理不同的q_head, 会load同一份kvcache</t>
    <phoneticPr fontId="1" type="noConversion"/>
  </si>
  <si>
    <t>opt：</t>
    <phoneticPr fontId="1" type="noConversion"/>
  </si>
  <si>
    <t>将q_head折到H维度， 同一组q_head只需load一次kvcache</t>
    <phoneticPr fontId="1" type="noConversion"/>
  </si>
  <si>
    <t>chunk：</t>
    <phoneticPr fontId="1" type="noConversion"/>
  </si>
  <si>
    <t>参考prefill, 采用chunk的方式实现</t>
    <phoneticPr fontId="1" type="noConversion"/>
  </si>
  <si>
    <t>对于KV, 每个batch只有一个head, 每个warp处理一个head, 因此batch=16*16才能利用满硬件资源</t>
    <phoneticPr fontId="1" type="noConversion"/>
  </si>
  <si>
    <t>两种方法</t>
    <phoneticPr fontId="1" type="noConversion"/>
  </si>
  <si>
    <t>每个warp处理一个batch， 同kv一样， 只有batch足够大时才能打满硬件资源， 并且batch较小时， 每个warp处理的batch有 q-head行，耗时增加</t>
    <phoneticPr fontId="1" type="noConversion"/>
  </si>
  <si>
    <t>每个warp处理2行， batch较小时， 可利用更多的硬件资源，batch较大时， 因为q_head&lt;32, 同样存在资源浪费</t>
    <phoneticPr fontId="1" type="noConversion"/>
  </si>
  <si>
    <t>new(ms)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</si>
</sst>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6" fontId="0" fillId="0" borderId="0" xfId="0" applyNumberFormat="1">
      <alignment vertical="center"/>
    </xf>
    <xf numFmtId="0" fontId="0" fillId="0" borderId="0" xfId="0" applyFill="1">
      <alignment vertical="center"/>
    </xf>
    <xf numFmtId="20" fontId="0" fillId="0" borderId="0" xfId="0" applyNumberForma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ill="1">
      <alignment vertical="center"/>
    </xf>
    <xf numFmtId="20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4"/>
  <sheetViews>
    <sheetView tabSelected="1" workbookViewId="0">
      <selection activeCell="L10" sqref="L10"/>
    </sheetView>
  </sheetViews>
  <sheetFormatPr defaultRowHeight="13.8" x14ac:dyDescent="0.25"/>
  <cols>
    <col min="3" max="3" width="12.5546875" customWidth="1"/>
    <col min="6" max="6" width="9.109375" bestFit="1" customWidth="1"/>
    <col min="7" max="7" width="13.44140625" customWidth="1"/>
    <col min="8" max="8" width="12.88671875" customWidth="1"/>
    <col min="9" max="9" width="13.44140625" customWidth="1"/>
    <col min="10" max="10" width="12.77734375" bestFit="1" customWidth="1"/>
    <col min="13" max="13" width="10.21875" bestFit="1" customWidth="1"/>
  </cols>
  <sheetData>
    <row r="2" spans="2:12" x14ac:dyDescent="0.25">
      <c r="B2" t="s">
        <v>18</v>
      </c>
      <c r="C2" t="s">
        <v>19</v>
      </c>
    </row>
    <row r="3" spans="2:12" x14ac:dyDescent="0.25">
      <c r="B3" t="s">
        <v>20</v>
      </c>
      <c r="C3" t="s">
        <v>21</v>
      </c>
    </row>
    <row r="4" spans="2:12" x14ac:dyDescent="0.25">
      <c r="B4" t="s">
        <v>22</v>
      </c>
      <c r="C4" t="s">
        <v>23</v>
      </c>
    </row>
    <row r="7" spans="2:12" x14ac:dyDescent="0.25">
      <c r="J7" s="4">
        <v>1</v>
      </c>
    </row>
    <row r="8" spans="2:12" x14ac:dyDescent="0.25">
      <c r="B8" t="s">
        <v>0</v>
      </c>
      <c r="C8" t="s">
        <v>1</v>
      </c>
      <c r="D8" t="s">
        <v>4</v>
      </c>
      <c r="E8" t="s">
        <v>2</v>
      </c>
      <c r="F8" t="s">
        <v>3</v>
      </c>
      <c r="G8" t="s">
        <v>8</v>
      </c>
      <c r="H8" t="s">
        <v>5</v>
      </c>
      <c r="I8" t="s">
        <v>6</v>
      </c>
      <c r="J8" t="s">
        <v>7</v>
      </c>
      <c r="L8" t="s">
        <v>9</v>
      </c>
    </row>
    <row r="9" spans="2:12" x14ac:dyDescent="0.25">
      <c r="B9">
        <v>1</v>
      </c>
      <c r="C9">
        <v>576</v>
      </c>
      <c r="D9">
        <v>64</v>
      </c>
      <c r="E9">
        <v>8</v>
      </c>
      <c r="F9">
        <v>1</v>
      </c>
      <c r="G9">
        <v>7.0086999999999997E-2</v>
      </c>
      <c r="H9">
        <v>6.8089999999999998E-2</v>
      </c>
      <c r="I9">
        <v>7.3311000000000001E-2</v>
      </c>
      <c r="J9" s="4">
        <f>I9/H9</f>
        <v>1.0766779262740491</v>
      </c>
      <c r="L9" s="5">
        <f>H9/G9</f>
        <v>0.97150684149699662</v>
      </c>
    </row>
    <row r="10" spans="2:12" x14ac:dyDescent="0.25">
      <c r="B10">
        <v>1</v>
      </c>
      <c r="C10">
        <v>576</v>
      </c>
      <c r="D10">
        <v>128</v>
      </c>
      <c r="E10">
        <v>8</v>
      </c>
      <c r="F10">
        <v>1</v>
      </c>
      <c r="G10">
        <v>7.3205999999999993E-2</v>
      </c>
      <c r="H10">
        <v>6.9771E-2</v>
      </c>
      <c r="I10">
        <v>7.3402999999999996E-2</v>
      </c>
      <c r="J10" s="4">
        <f t="shared" ref="J10:J35" si="0">I10/H10</f>
        <v>1.0520560118100644</v>
      </c>
      <c r="L10" s="5">
        <f t="shared" ref="L10:L35" si="1">H10/G10</f>
        <v>0.9530776165888043</v>
      </c>
    </row>
    <row r="11" spans="2:12" x14ac:dyDescent="0.25">
      <c r="B11">
        <v>1</v>
      </c>
      <c r="C11">
        <v>576</v>
      </c>
      <c r="D11">
        <v>256</v>
      </c>
      <c r="E11">
        <v>8</v>
      </c>
      <c r="F11">
        <v>1</v>
      </c>
      <c r="G11">
        <v>8.1254999999999994E-2</v>
      </c>
      <c r="H11">
        <v>7.5991000000000003E-2</v>
      </c>
      <c r="I11">
        <v>7.7824000000000004E-2</v>
      </c>
      <c r="J11" s="4">
        <f t="shared" si="0"/>
        <v>1.0241212775197064</v>
      </c>
      <c r="L11" s="5">
        <f t="shared" si="1"/>
        <v>0.93521629438188425</v>
      </c>
    </row>
    <row r="12" spans="2:12" x14ac:dyDescent="0.25">
      <c r="B12">
        <v>1</v>
      </c>
      <c r="C12">
        <v>576</v>
      </c>
      <c r="D12">
        <v>512</v>
      </c>
      <c r="E12">
        <v>8</v>
      </c>
      <c r="F12">
        <v>1</v>
      </c>
      <c r="G12">
        <v>0.100799</v>
      </c>
      <c r="H12">
        <v>8.9363999999999999E-2</v>
      </c>
      <c r="I12">
        <v>8.6169999999999997E-2</v>
      </c>
      <c r="J12" s="4">
        <f t="shared" si="0"/>
        <v>0.96425853811378182</v>
      </c>
      <c r="L12" s="5">
        <f t="shared" si="1"/>
        <v>0.88655641425014131</v>
      </c>
    </row>
    <row r="13" spans="2:12" x14ac:dyDescent="0.25">
      <c r="B13">
        <v>1</v>
      </c>
      <c r="C13">
        <v>576</v>
      </c>
      <c r="D13">
        <f>1024</f>
        <v>1024</v>
      </c>
      <c r="E13">
        <v>8</v>
      </c>
      <c r="F13">
        <v>1</v>
      </c>
      <c r="G13">
        <v>0.143207</v>
      </c>
      <c r="H13">
        <v>0.11762599999999999</v>
      </c>
      <c r="I13">
        <v>0.105588</v>
      </c>
      <c r="J13" s="4">
        <f t="shared" si="0"/>
        <v>0.8976586809038819</v>
      </c>
      <c r="L13" s="5">
        <f t="shared" si="1"/>
        <v>0.82137046373431466</v>
      </c>
    </row>
    <row r="14" spans="2:12" x14ac:dyDescent="0.25">
      <c r="B14">
        <v>1</v>
      </c>
      <c r="C14">
        <v>576</v>
      </c>
      <c r="D14">
        <f>2048</f>
        <v>2048</v>
      </c>
      <c r="E14">
        <v>8</v>
      </c>
      <c r="F14">
        <v>1</v>
      </c>
      <c r="G14">
        <v>0.22698499999999999</v>
      </c>
      <c r="H14">
        <v>0.17181199999999999</v>
      </c>
      <c r="I14">
        <v>0.14455299999999999</v>
      </c>
      <c r="J14" s="4">
        <f t="shared" si="0"/>
        <v>0.84134402719251267</v>
      </c>
      <c r="L14" s="5">
        <f t="shared" si="1"/>
        <v>0.7569310747406216</v>
      </c>
    </row>
    <row r="15" spans="2:12" x14ac:dyDescent="0.25">
      <c r="B15">
        <v>1</v>
      </c>
      <c r="C15">
        <v>576</v>
      </c>
      <c r="D15">
        <f>4096</f>
        <v>4096</v>
      </c>
      <c r="E15">
        <v>8</v>
      </c>
      <c r="F15">
        <v>1</v>
      </c>
      <c r="G15">
        <v>0.39460400000000001</v>
      </c>
      <c r="H15">
        <v>0.27633799999999997</v>
      </c>
      <c r="I15">
        <v>0.21926399999999999</v>
      </c>
      <c r="J15" s="4">
        <f t="shared" si="0"/>
        <v>0.79346307782498249</v>
      </c>
      <c r="L15" s="5">
        <f t="shared" si="1"/>
        <v>0.70029193824695124</v>
      </c>
    </row>
    <row r="16" spans="2:12" x14ac:dyDescent="0.25">
      <c r="B16">
        <v>1</v>
      </c>
      <c r="C16">
        <v>576</v>
      </c>
      <c r="D16">
        <f>8192</f>
        <v>8192</v>
      </c>
      <c r="E16">
        <v>8</v>
      </c>
      <c r="F16">
        <v>1</v>
      </c>
      <c r="G16">
        <v>0.73324199999999995</v>
      </c>
      <c r="H16">
        <v>0.49072199999999999</v>
      </c>
      <c r="I16">
        <v>0.372836</v>
      </c>
      <c r="J16" s="4">
        <f t="shared" si="0"/>
        <v>0.7597702976430647</v>
      </c>
      <c r="L16" s="5">
        <f t="shared" si="1"/>
        <v>0.66924971564640323</v>
      </c>
    </row>
    <row r="17" spans="2:12" x14ac:dyDescent="0.25">
      <c r="B17">
        <v>1</v>
      </c>
      <c r="C17">
        <v>576</v>
      </c>
      <c r="D17">
        <f>16384</f>
        <v>16384</v>
      </c>
      <c r="E17">
        <v>8</v>
      </c>
      <c r="F17">
        <v>1</v>
      </c>
      <c r="G17">
        <v>1.4035930000000001</v>
      </c>
      <c r="H17">
        <v>0.92006699999999997</v>
      </c>
      <c r="I17">
        <v>0.68081899999999995</v>
      </c>
      <c r="J17" s="4">
        <f t="shared" si="0"/>
        <v>0.73996676329006472</v>
      </c>
      <c r="L17" s="5">
        <f t="shared" si="1"/>
        <v>0.65550839880221679</v>
      </c>
    </row>
    <row r="18" spans="2:12" x14ac:dyDescent="0.25">
      <c r="B18">
        <v>2</v>
      </c>
      <c r="C18">
        <v>576</v>
      </c>
      <c r="D18">
        <v>64</v>
      </c>
      <c r="E18">
        <v>8</v>
      </c>
      <c r="F18">
        <v>1</v>
      </c>
      <c r="G18">
        <v>7.6850000000000002E-2</v>
      </c>
      <c r="H18">
        <v>6.9195000000000007E-2</v>
      </c>
      <c r="I18">
        <v>7.4230000000000004E-2</v>
      </c>
      <c r="J18" s="4">
        <f t="shared" si="0"/>
        <v>1.0727653732206084</v>
      </c>
      <c r="L18" s="5">
        <f t="shared" si="1"/>
        <v>0.90039037085230977</v>
      </c>
    </row>
    <row r="19" spans="2:12" x14ac:dyDescent="0.25">
      <c r="B19">
        <v>2</v>
      </c>
      <c r="C19">
        <v>576</v>
      </c>
      <c r="D19">
        <v>128</v>
      </c>
      <c r="E19">
        <v>8</v>
      </c>
      <c r="F19">
        <v>1</v>
      </c>
      <c r="G19">
        <v>7.6076000000000005E-2</v>
      </c>
      <c r="H19">
        <v>7.2541999999999995E-2</v>
      </c>
      <c r="I19">
        <v>7.5996999999999995E-2</v>
      </c>
      <c r="J19" s="4">
        <f t="shared" si="0"/>
        <v>1.0476275812632683</v>
      </c>
      <c r="L19" s="5">
        <f t="shared" si="1"/>
        <v>0.9535464535464534</v>
      </c>
    </row>
    <row r="20" spans="2:12" x14ac:dyDescent="0.25">
      <c r="B20">
        <v>2</v>
      </c>
      <c r="C20">
        <v>576</v>
      </c>
      <c r="D20">
        <v>256</v>
      </c>
      <c r="E20">
        <v>8</v>
      </c>
      <c r="F20">
        <v>1</v>
      </c>
      <c r="G20">
        <v>8.7212999999999999E-2</v>
      </c>
      <c r="H20">
        <v>8.0837999999999993E-2</v>
      </c>
      <c r="I20">
        <v>8.2200999999999996E-2</v>
      </c>
      <c r="J20" s="4">
        <f t="shared" si="0"/>
        <v>1.0168608822583438</v>
      </c>
      <c r="L20" s="5">
        <f t="shared" si="1"/>
        <v>0.92690309930858927</v>
      </c>
    </row>
    <row r="21" spans="2:12" x14ac:dyDescent="0.25">
      <c r="B21">
        <v>2</v>
      </c>
      <c r="C21">
        <v>576</v>
      </c>
      <c r="D21">
        <v>512</v>
      </c>
      <c r="E21">
        <v>8</v>
      </c>
      <c r="F21">
        <v>1</v>
      </c>
      <c r="G21">
        <v>0.105113</v>
      </c>
      <c r="H21">
        <v>9.8456000000000002E-2</v>
      </c>
      <c r="I21">
        <v>9.6301999999999999E-2</v>
      </c>
      <c r="J21" s="4">
        <f t="shared" si="0"/>
        <v>0.97812220687413665</v>
      </c>
      <c r="L21" s="5">
        <f t="shared" si="1"/>
        <v>0.93666815712614049</v>
      </c>
    </row>
    <row r="22" spans="2:12" x14ac:dyDescent="0.25">
      <c r="B22">
        <v>2</v>
      </c>
      <c r="C22">
        <v>576</v>
      </c>
      <c r="D22">
        <f>1024</f>
        <v>1024</v>
      </c>
      <c r="E22">
        <v>8</v>
      </c>
      <c r="F22">
        <v>1</v>
      </c>
      <c r="G22">
        <v>0.14538100000000001</v>
      </c>
      <c r="H22">
        <v>0.13503499999999999</v>
      </c>
      <c r="I22">
        <v>0.12493</v>
      </c>
      <c r="J22" s="4">
        <f t="shared" si="0"/>
        <v>0.92516754915392319</v>
      </c>
      <c r="L22" s="5">
        <f t="shared" si="1"/>
        <v>0.92883526733204458</v>
      </c>
    </row>
    <row r="23" spans="2:12" x14ac:dyDescent="0.25">
      <c r="B23">
        <v>2</v>
      </c>
      <c r="C23">
        <v>576</v>
      </c>
      <c r="D23">
        <f>2048</f>
        <v>2048</v>
      </c>
      <c r="E23">
        <v>8</v>
      </c>
      <c r="F23">
        <v>1</v>
      </c>
      <c r="G23">
        <v>0.22805500000000001</v>
      </c>
      <c r="H23">
        <v>0.20926700000000001</v>
      </c>
      <c r="I23">
        <v>0.18265000000000001</v>
      </c>
      <c r="J23" s="4">
        <f t="shared" si="0"/>
        <v>0.87280842177696438</v>
      </c>
      <c r="L23" s="5">
        <f t="shared" si="1"/>
        <v>0.91761636447348227</v>
      </c>
    </row>
    <row r="24" spans="2:12" x14ac:dyDescent="0.25">
      <c r="B24">
        <v>2</v>
      </c>
      <c r="C24">
        <v>576</v>
      </c>
      <c r="D24">
        <f>4096</f>
        <v>4096</v>
      </c>
      <c r="E24">
        <v>8</v>
      </c>
      <c r="F24">
        <v>1</v>
      </c>
      <c r="G24">
        <v>0.39103700000000002</v>
      </c>
      <c r="H24">
        <v>0.35556900000000002</v>
      </c>
      <c r="I24">
        <v>0.29714200000000002</v>
      </c>
      <c r="J24" s="4">
        <f t="shared" si="0"/>
        <v>0.83568027583956983</v>
      </c>
      <c r="L24" s="5">
        <f t="shared" si="1"/>
        <v>0.9092975856504627</v>
      </c>
    </row>
    <row r="25" spans="2:12" x14ac:dyDescent="0.25">
      <c r="B25">
        <v>2</v>
      </c>
      <c r="C25">
        <v>576</v>
      </c>
      <c r="D25">
        <f>8192</f>
        <v>8192</v>
      </c>
      <c r="E25">
        <v>8</v>
      </c>
      <c r="F25">
        <v>1</v>
      </c>
      <c r="G25">
        <v>0.71946500000000002</v>
      </c>
      <c r="H25">
        <v>0.64556500000000006</v>
      </c>
      <c r="I25">
        <v>0.52337999999999996</v>
      </c>
      <c r="J25" s="4">
        <f t="shared" si="0"/>
        <v>0.81073168464833112</v>
      </c>
      <c r="L25" s="5">
        <f t="shared" si="1"/>
        <v>0.89728478800219613</v>
      </c>
    </row>
    <row r="26" spans="2:12" x14ac:dyDescent="0.25">
      <c r="B26">
        <v>2</v>
      </c>
      <c r="C26">
        <v>576</v>
      </c>
      <c r="D26">
        <f>16384</f>
        <v>16384</v>
      </c>
      <c r="E26">
        <v>8</v>
      </c>
      <c r="F26">
        <v>1</v>
      </c>
      <c r="G26">
        <v>1.3782239999999999</v>
      </c>
      <c r="H26">
        <v>1.229714</v>
      </c>
      <c r="I26">
        <v>0.97659799999999997</v>
      </c>
      <c r="J26" s="4">
        <f t="shared" si="0"/>
        <v>0.79416677373763334</v>
      </c>
      <c r="L26" s="5">
        <f t="shared" si="1"/>
        <v>0.89224538246322804</v>
      </c>
    </row>
    <row r="27" spans="2:12" x14ac:dyDescent="0.25">
      <c r="B27">
        <v>4</v>
      </c>
      <c r="C27">
        <v>576</v>
      </c>
      <c r="D27">
        <v>64</v>
      </c>
      <c r="E27">
        <v>8</v>
      </c>
      <c r="F27">
        <v>1</v>
      </c>
      <c r="G27">
        <v>8.4272E-2</v>
      </c>
      <c r="H27">
        <v>6.9289000000000003E-2</v>
      </c>
      <c r="I27">
        <v>7.4416999999999997E-2</v>
      </c>
      <c r="J27" s="4">
        <f t="shared" si="0"/>
        <v>1.0740088614354371</v>
      </c>
      <c r="L27" s="5">
        <f t="shared" si="1"/>
        <v>0.8222066641351814</v>
      </c>
    </row>
    <row r="28" spans="2:12" x14ac:dyDescent="0.25">
      <c r="B28">
        <v>4</v>
      </c>
      <c r="C28">
        <v>576</v>
      </c>
      <c r="D28">
        <v>128</v>
      </c>
      <c r="E28">
        <v>8</v>
      </c>
      <c r="F28">
        <v>1</v>
      </c>
      <c r="G28">
        <v>8.9448E-2</v>
      </c>
      <c r="H28">
        <v>7.2065000000000004E-2</v>
      </c>
      <c r="I28">
        <v>7.5858999999999996E-2</v>
      </c>
      <c r="J28" s="4">
        <f t="shared" si="0"/>
        <v>1.0526469159786302</v>
      </c>
      <c r="L28" s="5">
        <f t="shared" si="1"/>
        <v>0.80566362579375728</v>
      </c>
    </row>
    <row r="29" spans="2:12" x14ac:dyDescent="0.25">
      <c r="B29">
        <v>4</v>
      </c>
      <c r="C29">
        <v>576</v>
      </c>
      <c r="D29">
        <v>256</v>
      </c>
      <c r="E29">
        <v>8</v>
      </c>
      <c r="F29">
        <v>1</v>
      </c>
      <c r="G29">
        <v>0.106501</v>
      </c>
      <c r="H29">
        <v>8.0992999999999996E-2</v>
      </c>
      <c r="I29">
        <v>8.2927000000000001E-2</v>
      </c>
      <c r="J29" s="4">
        <f t="shared" si="0"/>
        <v>1.0238786067931798</v>
      </c>
      <c r="L29" s="5">
        <f t="shared" si="1"/>
        <v>0.76049051182617999</v>
      </c>
    </row>
    <row r="30" spans="2:12" x14ac:dyDescent="0.25">
      <c r="B30">
        <v>4</v>
      </c>
      <c r="C30">
        <v>576</v>
      </c>
      <c r="D30">
        <v>512</v>
      </c>
      <c r="E30">
        <v>8</v>
      </c>
      <c r="F30">
        <v>1</v>
      </c>
      <c r="G30">
        <v>0.14982300000000001</v>
      </c>
      <c r="H30">
        <v>9.9567000000000003E-2</v>
      </c>
      <c r="I30">
        <v>9.7832000000000002E-2</v>
      </c>
      <c r="J30" s="4">
        <f t="shared" si="0"/>
        <v>0.98257454779193909</v>
      </c>
      <c r="L30" s="5">
        <f t="shared" si="1"/>
        <v>0.6645641857391722</v>
      </c>
    </row>
    <row r="31" spans="2:12" x14ac:dyDescent="0.25">
      <c r="B31">
        <v>4</v>
      </c>
      <c r="C31">
        <v>576</v>
      </c>
      <c r="D31">
        <f>1024</f>
        <v>1024</v>
      </c>
      <c r="E31">
        <v>8</v>
      </c>
      <c r="F31">
        <v>1</v>
      </c>
      <c r="G31">
        <v>0.22856699999999999</v>
      </c>
      <c r="H31">
        <v>0.13954900000000001</v>
      </c>
      <c r="I31">
        <v>0.129275</v>
      </c>
      <c r="J31" s="4">
        <f t="shared" si="0"/>
        <v>0.92637711484854779</v>
      </c>
      <c r="L31" s="5">
        <f t="shared" si="1"/>
        <v>0.61053870418739364</v>
      </c>
    </row>
    <row r="32" spans="2:12" x14ac:dyDescent="0.25">
      <c r="B32">
        <v>4</v>
      </c>
      <c r="C32">
        <v>576</v>
      </c>
      <c r="D32">
        <f>2048</f>
        <v>2048</v>
      </c>
      <c r="E32">
        <v>8</v>
      </c>
      <c r="F32">
        <v>1</v>
      </c>
      <c r="G32">
        <v>0.39781</v>
      </c>
      <c r="H32">
        <v>0.21851300000000001</v>
      </c>
      <c r="I32">
        <v>0.19178000000000001</v>
      </c>
      <c r="J32" s="4">
        <f t="shared" si="0"/>
        <v>0.87765945275567125</v>
      </c>
      <c r="L32" s="5">
        <f t="shared" si="1"/>
        <v>0.54928986199441954</v>
      </c>
    </row>
    <row r="33" spans="2:12" x14ac:dyDescent="0.25">
      <c r="B33">
        <v>4</v>
      </c>
      <c r="C33">
        <v>576</v>
      </c>
      <c r="D33">
        <f>4096</f>
        <v>4096</v>
      </c>
      <c r="E33">
        <v>8</v>
      </c>
      <c r="F33">
        <v>1</v>
      </c>
      <c r="G33">
        <v>0.72094199999999997</v>
      </c>
      <c r="H33">
        <v>0.37722699999999998</v>
      </c>
      <c r="I33">
        <v>0.31837700000000002</v>
      </c>
      <c r="J33" s="4">
        <f t="shared" si="0"/>
        <v>0.84399313940942733</v>
      </c>
      <c r="L33" s="5">
        <f t="shared" si="1"/>
        <v>0.52324181418200078</v>
      </c>
    </row>
    <row r="34" spans="2:12" x14ac:dyDescent="0.25">
      <c r="B34">
        <v>4</v>
      </c>
      <c r="C34">
        <v>576</v>
      </c>
      <c r="D34">
        <f>8192</f>
        <v>8192</v>
      </c>
      <c r="E34">
        <v>8</v>
      </c>
      <c r="F34">
        <v>1</v>
      </c>
      <c r="G34">
        <v>1.37747</v>
      </c>
      <c r="H34">
        <v>0.69520000000000004</v>
      </c>
      <c r="I34">
        <v>0.567797</v>
      </c>
      <c r="J34" s="4">
        <f t="shared" si="0"/>
        <v>0.81673906789413109</v>
      </c>
      <c r="L34" s="5">
        <f t="shared" si="1"/>
        <v>0.50469338715180734</v>
      </c>
    </row>
    <row r="35" spans="2:12" x14ac:dyDescent="0.25">
      <c r="B35">
        <v>4</v>
      </c>
      <c r="C35">
        <v>576</v>
      </c>
      <c r="D35">
        <f>16384</f>
        <v>16384</v>
      </c>
      <c r="E35">
        <v>8</v>
      </c>
      <c r="F35">
        <v>1</v>
      </c>
      <c r="G35">
        <v>2.670607</v>
      </c>
      <c r="H35">
        <v>1.3304279999999999</v>
      </c>
      <c r="I35">
        <v>1.059134</v>
      </c>
      <c r="J35" s="4">
        <f t="shared" si="0"/>
        <v>0.79608516958452469</v>
      </c>
      <c r="L35" s="5">
        <f t="shared" si="1"/>
        <v>0.49817438507425466</v>
      </c>
    </row>
    <row r="36" spans="2:12" x14ac:dyDescent="0.25">
      <c r="B36">
        <v>8</v>
      </c>
      <c r="C36">
        <v>576</v>
      </c>
      <c r="D36">
        <v>64</v>
      </c>
      <c r="E36">
        <v>8</v>
      </c>
      <c r="F36">
        <v>1</v>
      </c>
      <c r="G36">
        <v>0.108012</v>
      </c>
      <c r="H36">
        <v>7.4324000000000001E-2</v>
      </c>
      <c r="I36">
        <v>7.7661999999999995E-2</v>
      </c>
      <c r="J36" s="4">
        <f t="shared" ref="J10:J73" si="2">I36/H36</f>
        <v>1.0449114687045906</v>
      </c>
      <c r="L36" s="4">
        <f t="shared" ref="L10:L73" si="3">H36/G36</f>
        <v>0.68810872865977857</v>
      </c>
    </row>
    <row r="37" spans="2:12" x14ac:dyDescent="0.25">
      <c r="B37">
        <v>8</v>
      </c>
      <c r="C37">
        <v>576</v>
      </c>
      <c r="D37">
        <v>128</v>
      </c>
      <c r="E37">
        <v>8</v>
      </c>
      <c r="F37">
        <v>1</v>
      </c>
      <c r="G37">
        <v>0.12615599999999999</v>
      </c>
      <c r="H37">
        <v>8.8627999999999998E-2</v>
      </c>
      <c r="I37">
        <v>8.0308000000000004E-2</v>
      </c>
      <c r="J37" s="4">
        <f t="shared" si="2"/>
        <v>0.90612447533510865</v>
      </c>
      <c r="L37" s="4">
        <f t="shared" si="3"/>
        <v>0.70252703002631667</v>
      </c>
    </row>
    <row r="38" spans="2:12" x14ac:dyDescent="0.25">
      <c r="B38">
        <v>8</v>
      </c>
      <c r="C38">
        <v>576</v>
      </c>
      <c r="D38">
        <v>256</v>
      </c>
      <c r="E38">
        <v>8</v>
      </c>
      <c r="F38">
        <v>1</v>
      </c>
      <c r="G38">
        <v>0.16566600000000001</v>
      </c>
      <c r="H38">
        <v>9.6435000000000007E-2</v>
      </c>
      <c r="I38">
        <v>9.0158000000000002E-2</v>
      </c>
      <c r="J38" s="4">
        <f t="shared" si="2"/>
        <v>0.93490952455021514</v>
      </c>
      <c r="L38" s="4">
        <f t="shared" si="3"/>
        <v>0.58210495816884578</v>
      </c>
    </row>
    <row r="39" spans="2:12" x14ac:dyDescent="0.25">
      <c r="B39">
        <v>8</v>
      </c>
      <c r="C39">
        <v>576</v>
      </c>
      <c r="D39">
        <v>512</v>
      </c>
      <c r="E39">
        <v>8</v>
      </c>
      <c r="F39">
        <v>1</v>
      </c>
      <c r="G39">
        <v>0.23983199999999999</v>
      </c>
      <c r="H39">
        <v>0.116442</v>
      </c>
      <c r="I39">
        <v>0.111735</v>
      </c>
      <c r="J39" s="4">
        <f t="shared" si="2"/>
        <v>0.95957644149018395</v>
      </c>
      <c r="L39" s="4">
        <f t="shared" si="3"/>
        <v>0.48551486040228164</v>
      </c>
    </row>
    <row r="40" spans="2:12" x14ac:dyDescent="0.25">
      <c r="B40">
        <v>8</v>
      </c>
      <c r="C40">
        <v>576</v>
      </c>
      <c r="D40">
        <f>1024</f>
        <v>1024</v>
      </c>
      <c r="E40">
        <v>8</v>
      </c>
      <c r="F40">
        <v>1</v>
      </c>
      <c r="G40">
        <v>0.40549099999999999</v>
      </c>
      <c r="H40">
        <v>0.171149</v>
      </c>
      <c r="I40">
        <v>0.156751</v>
      </c>
      <c r="J40" s="4">
        <f t="shared" si="2"/>
        <v>0.91587447195134064</v>
      </c>
      <c r="L40" s="4">
        <f t="shared" si="3"/>
        <v>0.4220784185099053</v>
      </c>
    </row>
    <row r="41" spans="2:12" x14ac:dyDescent="0.25">
      <c r="B41">
        <v>8</v>
      </c>
      <c r="C41">
        <v>576</v>
      </c>
      <c r="D41">
        <f>2048</f>
        <v>2048</v>
      </c>
      <c r="E41">
        <v>8</v>
      </c>
      <c r="F41">
        <v>1</v>
      </c>
      <c r="G41">
        <v>0.74311099999999997</v>
      </c>
      <c r="H41">
        <v>0.28153</v>
      </c>
      <c r="I41">
        <v>0.24749199999999999</v>
      </c>
      <c r="J41" s="4">
        <f t="shared" si="2"/>
        <v>0.87909636628423249</v>
      </c>
      <c r="L41" s="4">
        <f t="shared" si="3"/>
        <v>0.37885322650317382</v>
      </c>
    </row>
    <row r="42" spans="2:12" x14ac:dyDescent="0.25">
      <c r="B42">
        <v>8</v>
      </c>
      <c r="C42">
        <v>576</v>
      </c>
      <c r="D42">
        <f>4096</f>
        <v>4096</v>
      </c>
      <c r="E42">
        <v>8</v>
      </c>
      <c r="F42">
        <v>1</v>
      </c>
      <c r="G42">
        <v>1.3903479999999999</v>
      </c>
      <c r="H42">
        <v>0.499224</v>
      </c>
      <c r="I42">
        <v>0.42501499999999998</v>
      </c>
      <c r="J42" s="4">
        <f t="shared" si="2"/>
        <v>0.85135129721327496</v>
      </c>
      <c r="L42" s="4">
        <f t="shared" si="3"/>
        <v>0.35906406165938315</v>
      </c>
    </row>
    <row r="43" spans="2:12" x14ac:dyDescent="0.25">
      <c r="B43">
        <v>8</v>
      </c>
      <c r="C43">
        <v>576</v>
      </c>
      <c r="D43">
        <f>8192</f>
        <v>8192</v>
      </c>
      <c r="E43">
        <v>8</v>
      </c>
      <c r="F43">
        <v>1</v>
      </c>
      <c r="G43">
        <v>2.680275</v>
      </c>
      <c r="H43">
        <v>0.93396299999999999</v>
      </c>
      <c r="I43">
        <v>0.78710199999999997</v>
      </c>
      <c r="J43" s="4">
        <f t="shared" si="2"/>
        <v>0.84275501277887876</v>
      </c>
      <c r="L43" s="4">
        <f t="shared" si="3"/>
        <v>0.34845790077510702</v>
      </c>
    </row>
    <row r="44" spans="2:12" x14ac:dyDescent="0.25">
      <c r="B44">
        <v>8</v>
      </c>
      <c r="C44">
        <v>576</v>
      </c>
      <c r="D44">
        <f>16384</f>
        <v>16384</v>
      </c>
      <c r="E44">
        <v>8</v>
      </c>
      <c r="F44">
        <v>1</v>
      </c>
      <c r="G44">
        <v>5.2509360000000003</v>
      </c>
      <c r="H44">
        <v>1.7808580000000001</v>
      </c>
      <c r="I44">
        <v>1.48451</v>
      </c>
      <c r="J44" s="4">
        <f t="shared" si="2"/>
        <v>0.83359257167050937</v>
      </c>
      <c r="L44" s="4">
        <f t="shared" si="3"/>
        <v>0.33915058191530045</v>
      </c>
    </row>
    <row r="45" spans="2:12" x14ac:dyDescent="0.25">
      <c r="B45">
        <v>16</v>
      </c>
      <c r="C45">
        <v>576</v>
      </c>
      <c r="D45">
        <v>64</v>
      </c>
      <c r="E45">
        <v>8</v>
      </c>
      <c r="F45">
        <v>1</v>
      </c>
      <c r="G45">
        <v>0.16931099999999999</v>
      </c>
      <c r="H45">
        <v>7.8689999999999996E-2</v>
      </c>
      <c r="I45">
        <v>8.1490999999999994E-2</v>
      </c>
      <c r="J45" s="4">
        <f t="shared" si="2"/>
        <v>1.0355953742533994</v>
      </c>
      <c r="L45" s="4">
        <f t="shared" si="3"/>
        <v>0.46476602229034147</v>
      </c>
    </row>
    <row r="46" spans="2:12" x14ac:dyDescent="0.25">
      <c r="B46">
        <v>16</v>
      </c>
      <c r="C46">
        <v>576</v>
      </c>
      <c r="D46">
        <v>128</v>
      </c>
      <c r="E46">
        <v>8</v>
      </c>
      <c r="F46">
        <v>1</v>
      </c>
      <c r="G46">
        <v>0.179978</v>
      </c>
      <c r="H46">
        <v>8.4869E-2</v>
      </c>
      <c r="I46">
        <v>8.2678000000000001E-2</v>
      </c>
      <c r="J46" s="4">
        <f t="shared" si="2"/>
        <v>0.97418374200238012</v>
      </c>
      <c r="L46" s="4">
        <f t="shared" si="3"/>
        <v>0.47155207858738291</v>
      </c>
    </row>
    <row r="47" spans="2:12" x14ac:dyDescent="0.25">
      <c r="B47">
        <v>16</v>
      </c>
      <c r="C47">
        <v>576</v>
      </c>
      <c r="D47">
        <v>256</v>
      </c>
      <c r="E47">
        <v>8</v>
      </c>
      <c r="F47">
        <v>1</v>
      </c>
      <c r="G47">
        <v>0.254133</v>
      </c>
      <c r="H47">
        <v>9.6886E-2</v>
      </c>
      <c r="I47">
        <v>9.5102000000000006E-2</v>
      </c>
      <c r="J47" s="4">
        <f t="shared" si="2"/>
        <v>0.98158660694011524</v>
      </c>
      <c r="L47" s="4">
        <f t="shared" si="3"/>
        <v>0.38124131852219112</v>
      </c>
    </row>
    <row r="48" spans="2:12" x14ac:dyDescent="0.25">
      <c r="B48">
        <v>16</v>
      </c>
      <c r="C48">
        <v>576</v>
      </c>
      <c r="D48">
        <v>512</v>
      </c>
      <c r="E48">
        <v>8</v>
      </c>
      <c r="F48">
        <v>1</v>
      </c>
      <c r="G48">
        <v>0.42191800000000002</v>
      </c>
      <c r="H48">
        <v>0.12875600000000001</v>
      </c>
      <c r="I48">
        <v>0.120768</v>
      </c>
      <c r="J48" s="4">
        <f t="shared" si="2"/>
        <v>0.93796017272981447</v>
      </c>
      <c r="L48" s="4">
        <f t="shared" si="3"/>
        <v>0.30516830284557667</v>
      </c>
    </row>
    <row r="49" spans="2:12" x14ac:dyDescent="0.25">
      <c r="B49">
        <v>16</v>
      </c>
      <c r="C49">
        <v>576</v>
      </c>
      <c r="D49">
        <f>1024</f>
        <v>1024</v>
      </c>
      <c r="E49">
        <v>8</v>
      </c>
      <c r="F49">
        <v>1</v>
      </c>
      <c r="G49">
        <v>0.74856</v>
      </c>
      <c r="H49">
        <v>0.18748500000000001</v>
      </c>
      <c r="I49">
        <v>0.17713400000000001</v>
      </c>
      <c r="J49" s="4">
        <f t="shared" si="2"/>
        <v>0.94479024988665761</v>
      </c>
      <c r="L49" s="4">
        <f t="shared" si="3"/>
        <v>0.25046088489900609</v>
      </c>
    </row>
    <row r="50" spans="2:12" x14ac:dyDescent="0.25">
      <c r="B50">
        <v>16</v>
      </c>
      <c r="C50">
        <v>576</v>
      </c>
      <c r="D50">
        <f>2048</f>
        <v>2048</v>
      </c>
      <c r="E50">
        <v>8</v>
      </c>
      <c r="F50">
        <v>1</v>
      </c>
      <c r="G50">
        <v>1.4152849999999999</v>
      </c>
      <c r="H50">
        <v>0.326602</v>
      </c>
      <c r="I50">
        <v>0.28688900000000001</v>
      </c>
      <c r="J50" s="4">
        <f t="shared" si="2"/>
        <v>0.87840552109295111</v>
      </c>
      <c r="L50" s="4">
        <f t="shared" si="3"/>
        <v>0.23076765457134077</v>
      </c>
    </row>
    <row r="51" spans="2:12" x14ac:dyDescent="0.25">
      <c r="B51">
        <v>16</v>
      </c>
      <c r="C51">
        <v>576</v>
      </c>
      <c r="D51">
        <f>4096</f>
        <v>4096</v>
      </c>
      <c r="E51">
        <v>8</v>
      </c>
      <c r="F51">
        <v>1</v>
      </c>
      <c r="G51">
        <v>2.7113909999999999</v>
      </c>
      <c r="H51">
        <v>0.570797</v>
      </c>
      <c r="I51">
        <v>0.50204000000000004</v>
      </c>
      <c r="J51" s="4">
        <f t="shared" si="2"/>
        <v>0.87954211392141168</v>
      </c>
      <c r="L51" s="4">
        <f t="shared" si="3"/>
        <v>0.21051814363918742</v>
      </c>
    </row>
    <row r="52" spans="2:12" x14ac:dyDescent="0.25">
      <c r="B52">
        <v>16</v>
      </c>
      <c r="C52">
        <v>576</v>
      </c>
      <c r="D52">
        <f>8192</f>
        <v>8192</v>
      </c>
      <c r="E52">
        <v>8</v>
      </c>
      <c r="F52">
        <v>1</v>
      </c>
      <c r="G52">
        <v>5.3073499999999996</v>
      </c>
      <c r="H52">
        <v>1.168831</v>
      </c>
      <c r="I52">
        <v>0.968167</v>
      </c>
      <c r="J52" s="4">
        <f t="shared" si="2"/>
        <v>0.82832077520188974</v>
      </c>
      <c r="L52" s="4">
        <f t="shared" si="3"/>
        <v>0.22022873938971427</v>
      </c>
    </row>
    <row r="53" spans="2:12" x14ac:dyDescent="0.25">
      <c r="B53">
        <v>16</v>
      </c>
      <c r="C53">
        <v>576</v>
      </c>
      <c r="D53">
        <f>16384</f>
        <v>16384</v>
      </c>
      <c r="E53">
        <v>8</v>
      </c>
      <c r="F53">
        <v>1</v>
      </c>
      <c r="G53">
        <v>10.434558000000001</v>
      </c>
      <c r="H53">
        <v>2.239414</v>
      </c>
      <c r="I53">
        <v>1.736758</v>
      </c>
      <c r="J53" s="4">
        <f t="shared" si="2"/>
        <v>0.77554127999557032</v>
      </c>
      <c r="L53" s="4">
        <f t="shared" si="3"/>
        <v>0.21461512792396187</v>
      </c>
    </row>
    <row r="54" spans="2:12" x14ac:dyDescent="0.25">
      <c r="B54">
        <v>32</v>
      </c>
      <c r="C54">
        <v>576</v>
      </c>
      <c r="D54">
        <v>64</v>
      </c>
      <c r="E54">
        <v>8</v>
      </c>
      <c r="F54">
        <v>1</v>
      </c>
      <c r="G54">
        <v>0.270818</v>
      </c>
      <c r="H54">
        <v>9.4692999999999999E-2</v>
      </c>
      <c r="I54">
        <v>0.104642</v>
      </c>
      <c r="J54" s="4">
        <f t="shared" si="2"/>
        <v>1.1050658443601955</v>
      </c>
      <c r="L54" s="4">
        <f t="shared" si="3"/>
        <v>0.34965548818763892</v>
      </c>
    </row>
    <row r="55" spans="2:12" x14ac:dyDescent="0.25">
      <c r="B55">
        <v>32</v>
      </c>
      <c r="C55">
        <v>576</v>
      </c>
      <c r="D55">
        <v>128</v>
      </c>
      <c r="E55">
        <v>8</v>
      </c>
      <c r="F55">
        <v>1</v>
      </c>
      <c r="G55">
        <v>0.32668000000000003</v>
      </c>
      <c r="H55">
        <v>9.4491000000000006E-2</v>
      </c>
      <c r="I55">
        <v>0.108249</v>
      </c>
      <c r="J55" s="4">
        <f t="shared" si="2"/>
        <v>1.145601168365241</v>
      </c>
      <c r="L55" s="4">
        <f t="shared" si="3"/>
        <v>0.28924635729153914</v>
      </c>
    </row>
    <row r="56" spans="2:12" x14ac:dyDescent="0.25">
      <c r="B56">
        <v>32</v>
      </c>
      <c r="C56">
        <v>576</v>
      </c>
      <c r="D56">
        <v>256</v>
      </c>
      <c r="E56">
        <v>8</v>
      </c>
      <c r="F56">
        <v>1</v>
      </c>
      <c r="G56">
        <v>0.47364000000000001</v>
      </c>
      <c r="H56">
        <v>0.113714</v>
      </c>
      <c r="I56">
        <v>0.128195</v>
      </c>
      <c r="J56" s="4">
        <f t="shared" si="2"/>
        <v>1.1273457973512497</v>
      </c>
      <c r="L56" s="4">
        <f t="shared" si="3"/>
        <v>0.24008529684992821</v>
      </c>
    </row>
    <row r="57" spans="2:12" x14ac:dyDescent="0.25">
      <c r="B57">
        <v>32</v>
      </c>
      <c r="C57">
        <v>576</v>
      </c>
      <c r="D57">
        <v>512</v>
      </c>
      <c r="E57">
        <v>8</v>
      </c>
      <c r="F57">
        <v>1</v>
      </c>
      <c r="G57">
        <v>0.770984</v>
      </c>
      <c r="H57">
        <v>0.16633200000000001</v>
      </c>
      <c r="I57">
        <v>0.17643</v>
      </c>
      <c r="J57" s="4">
        <f t="shared" si="2"/>
        <v>1.0607099054902243</v>
      </c>
      <c r="L57" s="4">
        <f t="shared" si="3"/>
        <v>0.21573988565262056</v>
      </c>
    </row>
    <row r="58" spans="2:12" x14ac:dyDescent="0.25">
      <c r="B58">
        <v>32</v>
      </c>
      <c r="C58">
        <v>576</v>
      </c>
      <c r="D58">
        <f>1024</f>
        <v>1024</v>
      </c>
      <c r="E58">
        <v>8</v>
      </c>
      <c r="F58">
        <v>1</v>
      </c>
      <c r="G58">
        <v>1.440847</v>
      </c>
      <c r="H58">
        <v>0.27129500000000001</v>
      </c>
      <c r="I58">
        <v>0.28145300000000001</v>
      </c>
      <c r="J58" s="4">
        <f t="shared" si="2"/>
        <v>1.0374426362446783</v>
      </c>
      <c r="L58" s="4">
        <f t="shared" si="3"/>
        <v>0.18828855527339128</v>
      </c>
    </row>
    <row r="59" spans="2:12" x14ac:dyDescent="0.25">
      <c r="B59">
        <v>32</v>
      </c>
      <c r="C59">
        <v>576</v>
      </c>
      <c r="D59">
        <f>2048</f>
        <v>2048</v>
      </c>
      <c r="E59">
        <v>8</v>
      </c>
      <c r="F59">
        <v>1</v>
      </c>
      <c r="G59">
        <v>2.7340749999999998</v>
      </c>
      <c r="H59">
        <v>0.48501899999999998</v>
      </c>
      <c r="I59">
        <v>0.49330299999999999</v>
      </c>
      <c r="J59" s="4">
        <f t="shared" si="2"/>
        <v>1.0170797432677896</v>
      </c>
      <c r="L59" s="4">
        <f t="shared" si="3"/>
        <v>0.17739784022018415</v>
      </c>
    </row>
    <row r="60" spans="2:12" x14ac:dyDescent="0.25">
      <c r="B60">
        <v>32</v>
      </c>
      <c r="C60">
        <v>576</v>
      </c>
      <c r="D60">
        <f>4096</f>
        <v>4096</v>
      </c>
      <c r="E60">
        <v>8</v>
      </c>
      <c r="F60">
        <v>1</v>
      </c>
      <c r="G60">
        <v>5.3134040000000002</v>
      </c>
      <c r="H60">
        <v>1.008289</v>
      </c>
      <c r="I60">
        <v>0.90034199999999998</v>
      </c>
      <c r="J60" s="4">
        <f t="shared" si="2"/>
        <v>0.89294041688444481</v>
      </c>
      <c r="L60" s="4">
        <f t="shared" si="3"/>
        <v>0.18976328545693119</v>
      </c>
    </row>
    <row r="61" spans="2:12" x14ac:dyDescent="0.25">
      <c r="B61">
        <v>32</v>
      </c>
      <c r="C61">
        <v>576</v>
      </c>
      <c r="D61">
        <f>8192</f>
        <v>8192</v>
      </c>
      <c r="E61">
        <v>8</v>
      </c>
      <c r="F61">
        <v>1</v>
      </c>
      <c r="G61">
        <v>10.454022</v>
      </c>
      <c r="H61">
        <v>1.991166</v>
      </c>
      <c r="I61">
        <v>1.7548820000000001</v>
      </c>
      <c r="J61" s="4">
        <f t="shared" si="2"/>
        <v>0.88133385162261713</v>
      </c>
      <c r="L61" s="4">
        <f t="shared" si="3"/>
        <v>0.19046889321640992</v>
      </c>
    </row>
    <row r="62" spans="2:12" x14ac:dyDescent="0.25">
      <c r="B62">
        <v>32</v>
      </c>
      <c r="C62">
        <v>576</v>
      </c>
      <c r="D62">
        <f>16384</f>
        <v>16384</v>
      </c>
      <c r="E62">
        <v>8</v>
      </c>
      <c r="F62">
        <v>1</v>
      </c>
      <c r="G62">
        <v>20.783829000000001</v>
      </c>
      <c r="H62">
        <v>3.9407890000000001</v>
      </c>
      <c r="I62">
        <v>3.2680829999999998</v>
      </c>
      <c r="J62" s="4">
        <f t="shared" si="2"/>
        <v>0.8292966205498441</v>
      </c>
      <c r="L62" s="4">
        <f t="shared" si="3"/>
        <v>0.18960842104695916</v>
      </c>
    </row>
    <row r="63" spans="2:12" x14ac:dyDescent="0.25">
      <c r="B63">
        <v>64</v>
      </c>
      <c r="C63">
        <v>576</v>
      </c>
      <c r="D63">
        <v>64</v>
      </c>
      <c r="E63">
        <v>8</v>
      </c>
      <c r="F63">
        <v>1</v>
      </c>
      <c r="G63">
        <v>0.47735</v>
      </c>
      <c r="H63">
        <v>0.13569700000000001</v>
      </c>
      <c r="I63">
        <v>0.15209</v>
      </c>
      <c r="J63" s="4">
        <f t="shared" si="2"/>
        <v>1.1208059131742043</v>
      </c>
      <c r="L63" s="4">
        <f t="shared" si="3"/>
        <v>0.28427149890017811</v>
      </c>
    </row>
    <row r="64" spans="2:12" x14ac:dyDescent="0.25">
      <c r="B64">
        <v>64</v>
      </c>
      <c r="C64">
        <v>576</v>
      </c>
      <c r="D64">
        <v>128</v>
      </c>
      <c r="E64">
        <v>8</v>
      </c>
      <c r="F64">
        <v>1</v>
      </c>
      <c r="G64">
        <v>0.55127300000000001</v>
      </c>
      <c r="H64">
        <v>0.135902</v>
      </c>
      <c r="I64">
        <v>0.15674399999999999</v>
      </c>
      <c r="J64" s="4">
        <f t="shared" si="2"/>
        <v>1.1533605097791055</v>
      </c>
      <c r="L64" s="4">
        <f t="shared" si="3"/>
        <v>0.24652395455609108</v>
      </c>
    </row>
    <row r="65" spans="2:12" x14ac:dyDescent="0.25">
      <c r="B65">
        <v>64</v>
      </c>
      <c r="C65">
        <v>576</v>
      </c>
      <c r="D65">
        <v>256</v>
      </c>
      <c r="E65">
        <v>8</v>
      </c>
      <c r="F65">
        <v>1</v>
      </c>
      <c r="G65">
        <v>0.92425599999999997</v>
      </c>
      <c r="H65">
        <v>0.170852</v>
      </c>
      <c r="I65">
        <v>0.19198499999999999</v>
      </c>
      <c r="J65" s="4">
        <f t="shared" si="2"/>
        <v>1.1236918502563622</v>
      </c>
      <c r="L65" s="4">
        <f t="shared" si="3"/>
        <v>0.18485354706921028</v>
      </c>
    </row>
    <row r="66" spans="2:12" x14ac:dyDescent="0.25">
      <c r="B66">
        <v>64</v>
      </c>
      <c r="C66">
        <v>576</v>
      </c>
      <c r="D66">
        <v>512</v>
      </c>
      <c r="E66">
        <v>8</v>
      </c>
      <c r="F66">
        <v>1</v>
      </c>
      <c r="G66">
        <v>1.4782770000000001</v>
      </c>
      <c r="H66">
        <v>0.28254299999999999</v>
      </c>
      <c r="I66">
        <v>0.27999200000000002</v>
      </c>
      <c r="J66" s="4">
        <f t="shared" si="2"/>
        <v>0.99097128578658833</v>
      </c>
      <c r="L66" s="4">
        <f t="shared" si="3"/>
        <v>0.19112994384678919</v>
      </c>
    </row>
    <row r="67" spans="2:12" x14ac:dyDescent="0.25">
      <c r="B67">
        <v>64</v>
      </c>
      <c r="C67">
        <v>576</v>
      </c>
      <c r="D67">
        <f>1024</f>
        <v>1024</v>
      </c>
      <c r="E67">
        <v>8</v>
      </c>
      <c r="F67">
        <v>1</v>
      </c>
      <c r="G67">
        <v>2.7965589999999998</v>
      </c>
      <c r="H67">
        <v>0.48886400000000002</v>
      </c>
      <c r="I67">
        <v>0.47570499999999999</v>
      </c>
      <c r="J67" s="4">
        <f t="shared" si="2"/>
        <v>0.97308249329056751</v>
      </c>
      <c r="L67" s="4">
        <f t="shared" si="3"/>
        <v>0.17480911362856999</v>
      </c>
    </row>
    <row r="68" spans="2:12" x14ac:dyDescent="0.25">
      <c r="B68">
        <v>64</v>
      </c>
      <c r="C68">
        <v>576</v>
      </c>
      <c r="D68">
        <f>2048</f>
        <v>2048</v>
      </c>
      <c r="E68">
        <v>8</v>
      </c>
      <c r="F68">
        <v>1</v>
      </c>
      <c r="G68">
        <v>5.3839680000000003</v>
      </c>
      <c r="H68">
        <v>0.93675600000000003</v>
      </c>
      <c r="I68">
        <v>0.88992800000000005</v>
      </c>
      <c r="J68" s="4">
        <f t="shared" si="2"/>
        <v>0.95001046163568748</v>
      </c>
      <c r="L68" s="4">
        <f t="shared" si="3"/>
        <v>0.17398988998448728</v>
      </c>
    </row>
    <row r="69" spans="2:12" x14ac:dyDescent="0.25">
      <c r="B69">
        <v>64</v>
      </c>
      <c r="C69">
        <v>576</v>
      </c>
      <c r="D69">
        <f>4096</f>
        <v>4096</v>
      </c>
      <c r="E69">
        <v>8</v>
      </c>
      <c r="F69">
        <v>1</v>
      </c>
      <c r="G69">
        <v>10.537006</v>
      </c>
      <c r="H69">
        <v>1.935684</v>
      </c>
      <c r="I69">
        <v>1.6500509999999999</v>
      </c>
      <c r="J69" s="4">
        <f t="shared" si="2"/>
        <v>0.85243820788930424</v>
      </c>
      <c r="L69" s="4">
        <f t="shared" si="3"/>
        <v>0.18370341632148637</v>
      </c>
    </row>
    <row r="70" spans="2:12" x14ac:dyDescent="0.25">
      <c r="B70">
        <v>64</v>
      </c>
      <c r="C70">
        <v>576</v>
      </c>
      <c r="D70">
        <f>8192</f>
        <v>8192</v>
      </c>
      <c r="E70">
        <v>8</v>
      </c>
      <c r="F70">
        <v>1</v>
      </c>
      <c r="G70">
        <v>20.864822</v>
      </c>
      <c r="H70">
        <v>3.9277169999999999</v>
      </c>
      <c r="I70">
        <v>3.2611889999999999</v>
      </c>
      <c r="J70" s="4">
        <f t="shared" si="2"/>
        <v>0.83030141937415547</v>
      </c>
      <c r="L70" s="4">
        <f t="shared" si="3"/>
        <v>0.18824589061914834</v>
      </c>
    </row>
    <row r="71" spans="2:12" x14ac:dyDescent="0.25">
      <c r="B71">
        <v>64</v>
      </c>
      <c r="C71">
        <v>576</v>
      </c>
      <c r="D71">
        <f>16384</f>
        <v>16384</v>
      </c>
      <c r="E71">
        <v>8</v>
      </c>
      <c r="F71">
        <v>1</v>
      </c>
      <c r="G71">
        <v>41.503039999999999</v>
      </c>
      <c r="H71">
        <v>7.7169629999999998</v>
      </c>
      <c r="I71">
        <v>6.2656299999999998</v>
      </c>
      <c r="J71" s="4">
        <f t="shared" si="2"/>
        <v>0.8119295116485592</v>
      </c>
      <c r="L71" s="4">
        <f t="shared" si="3"/>
        <v>0.18593729519572541</v>
      </c>
    </row>
    <row r="72" spans="2:12" x14ac:dyDescent="0.25">
      <c r="B72">
        <v>128</v>
      </c>
      <c r="C72">
        <v>576</v>
      </c>
      <c r="D72">
        <v>64</v>
      </c>
      <c r="E72">
        <v>8</v>
      </c>
      <c r="F72">
        <v>1</v>
      </c>
      <c r="G72">
        <v>0.90238600000000002</v>
      </c>
      <c r="H72">
        <v>0.21604499999999999</v>
      </c>
      <c r="I72">
        <v>0.237764</v>
      </c>
      <c r="J72" s="4">
        <f t="shared" si="2"/>
        <v>1.1005299821796386</v>
      </c>
      <c r="L72" s="4">
        <f t="shared" si="3"/>
        <v>0.23941528348179159</v>
      </c>
    </row>
    <row r="73" spans="2:12" x14ac:dyDescent="0.25">
      <c r="B73">
        <v>128</v>
      </c>
      <c r="C73">
        <v>576</v>
      </c>
      <c r="D73">
        <v>128</v>
      </c>
      <c r="E73">
        <v>8</v>
      </c>
      <c r="F73">
        <v>1</v>
      </c>
      <c r="G73">
        <v>1.071428</v>
      </c>
      <c r="H73">
        <v>0.22373299999999999</v>
      </c>
      <c r="I73">
        <v>0.24691099999999999</v>
      </c>
      <c r="J73" s="4">
        <f t="shared" si="2"/>
        <v>1.103596697849669</v>
      </c>
      <c r="L73" s="4">
        <f t="shared" si="3"/>
        <v>0.20881757803604159</v>
      </c>
    </row>
    <row r="74" spans="2:12" x14ac:dyDescent="0.25">
      <c r="B74">
        <v>128</v>
      </c>
      <c r="C74">
        <v>576</v>
      </c>
      <c r="D74">
        <v>256</v>
      </c>
      <c r="E74">
        <v>8</v>
      </c>
      <c r="F74">
        <v>1</v>
      </c>
      <c r="G74">
        <v>1.7806280000000001</v>
      </c>
      <c r="H74">
        <v>0.305446</v>
      </c>
      <c r="I74">
        <v>0.31936999999999999</v>
      </c>
      <c r="J74" s="4">
        <f t="shared" ref="J74:J137" si="4">I74/H74</f>
        <v>1.0455857991265232</v>
      </c>
      <c r="L74" s="4">
        <f t="shared" ref="L74:L137" si="5">H74/G74</f>
        <v>0.1715383561305337</v>
      </c>
    </row>
    <row r="75" spans="2:12" x14ac:dyDescent="0.25">
      <c r="B75">
        <v>128</v>
      </c>
      <c r="C75">
        <v>576</v>
      </c>
      <c r="D75">
        <v>512</v>
      </c>
      <c r="E75">
        <v>8</v>
      </c>
      <c r="F75">
        <v>1</v>
      </c>
      <c r="G75">
        <v>2.8951009999999999</v>
      </c>
      <c r="H75">
        <v>0.495089</v>
      </c>
      <c r="I75">
        <v>0.48531999999999997</v>
      </c>
      <c r="J75" s="4">
        <f t="shared" si="4"/>
        <v>0.98026819420346634</v>
      </c>
      <c r="L75" s="4">
        <f t="shared" si="5"/>
        <v>0.17100923249309782</v>
      </c>
    </row>
    <row r="76" spans="2:12" x14ac:dyDescent="0.25">
      <c r="B76">
        <v>128</v>
      </c>
      <c r="C76">
        <v>576</v>
      </c>
      <c r="D76">
        <f>1024</f>
        <v>1024</v>
      </c>
      <c r="E76">
        <v>8</v>
      </c>
      <c r="F76">
        <v>1</v>
      </c>
      <c r="G76">
        <v>5.4246800000000004</v>
      </c>
      <c r="H76">
        <v>0.89039299999999999</v>
      </c>
      <c r="I76">
        <v>0.859205</v>
      </c>
      <c r="J76" s="4">
        <f t="shared" si="4"/>
        <v>0.96497277045080099</v>
      </c>
      <c r="L76" s="4">
        <f t="shared" si="5"/>
        <v>0.16413742377430557</v>
      </c>
    </row>
    <row r="77" spans="2:12" x14ac:dyDescent="0.25">
      <c r="B77">
        <v>128</v>
      </c>
      <c r="C77">
        <v>576</v>
      </c>
      <c r="D77">
        <f>2048</f>
        <v>2048</v>
      </c>
      <c r="E77">
        <v>8</v>
      </c>
      <c r="F77">
        <v>1</v>
      </c>
      <c r="G77">
        <v>10.693434</v>
      </c>
      <c r="H77">
        <v>1.880846</v>
      </c>
      <c r="I77">
        <v>1.6480109999999999</v>
      </c>
      <c r="J77" s="4">
        <f t="shared" si="4"/>
        <v>0.87620730245857448</v>
      </c>
      <c r="L77" s="4">
        <f t="shared" si="5"/>
        <v>0.17588793272582035</v>
      </c>
    </row>
    <row r="78" spans="2:12" x14ac:dyDescent="0.25">
      <c r="B78">
        <v>128</v>
      </c>
      <c r="C78">
        <v>576</v>
      </c>
      <c r="D78">
        <f>4096</f>
        <v>4096</v>
      </c>
      <c r="E78">
        <v>8</v>
      </c>
      <c r="F78">
        <v>1</v>
      </c>
      <c r="G78">
        <v>21.037534999999998</v>
      </c>
      <c r="H78">
        <v>3.7985660000000001</v>
      </c>
      <c r="I78">
        <v>3.1393740000000001</v>
      </c>
      <c r="J78" s="4">
        <f t="shared" si="4"/>
        <v>0.82646293364390666</v>
      </c>
      <c r="L78" s="4">
        <f t="shared" si="5"/>
        <v>0.18056136329660297</v>
      </c>
    </row>
    <row r="79" spans="2:12" x14ac:dyDescent="0.25">
      <c r="B79">
        <v>128</v>
      </c>
      <c r="C79">
        <v>576</v>
      </c>
      <c r="D79">
        <f>8192</f>
        <v>8192</v>
      </c>
      <c r="E79">
        <v>8</v>
      </c>
      <c r="F79">
        <v>1</v>
      </c>
      <c r="G79">
        <v>41.633338999999999</v>
      </c>
      <c r="H79">
        <v>7.6909679999999998</v>
      </c>
      <c r="I79">
        <v>6.299779</v>
      </c>
      <c r="J79" s="4">
        <f t="shared" si="4"/>
        <v>0.81911392688150575</v>
      </c>
      <c r="L79" s="4">
        <f t="shared" si="5"/>
        <v>0.18473099166992107</v>
      </c>
    </row>
    <row r="80" spans="2:12" x14ac:dyDescent="0.25">
      <c r="B80">
        <v>128</v>
      </c>
      <c r="C80">
        <v>576</v>
      </c>
      <c r="D80">
        <f>16384</f>
        <v>16384</v>
      </c>
      <c r="E80">
        <v>8</v>
      </c>
      <c r="F80">
        <v>1</v>
      </c>
      <c r="G80">
        <v>82.841247999999993</v>
      </c>
      <c r="H80">
        <v>15.285242999999999</v>
      </c>
      <c r="I80">
        <v>12.28631</v>
      </c>
      <c r="J80" s="4">
        <f t="shared" si="4"/>
        <v>0.80380207236482937</v>
      </c>
      <c r="L80" s="4">
        <f t="shared" si="5"/>
        <v>0.18451246654323702</v>
      </c>
    </row>
    <row r="81" spans="2:12" x14ac:dyDescent="0.25">
      <c r="B81">
        <v>256</v>
      </c>
      <c r="C81">
        <v>576</v>
      </c>
      <c r="D81">
        <v>64</v>
      </c>
      <c r="E81">
        <v>8</v>
      </c>
      <c r="F81">
        <v>1</v>
      </c>
      <c r="G81">
        <v>1.7592099999999999</v>
      </c>
      <c r="H81">
        <v>0.37051499999999998</v>
      </c>
      <c r="I81">
        <v>0.42196</v>
      </c>
      <c r="J81" s="4">
        <f t="shared" si="4"/>
        <v>1.1388472801371066</v>
      </c>
      <c r="L81" s="4">
        <f t="shared" si="5"/>
        <v>0.21061442351964801</v>
      </c>
    </row>
    <row r="82" spans="2:12" x14ac:dyDescent="0.25">
      <c r="B82">
        <v>256</v>
      </c>
      <c r="C82">
        <v>576</v>
      </c>
      <c r="D82">
        <v>128</v>
      </c>
      <c r="E82">
        <v>8</v>
      </c>
      <c r="F82">
        <v>1</v>
      </c>
      <c r="H82">
        <v>0.367952</v>
      </c>
      <c r="I82">
        <v>0.43131900000000001</v>
      </c>
      <c r="J82" s="4">
        <f t="shared" si="4"/>
        <v>1.1722153976605645</v>
      </c>
      <c r="L82" s="4"/>
    </row>
    <row r="83" spans="2:12" x14ac:dyDescent="0.25">
      <c r="B83">
        <v>256</v>
      </c>
      <c r="C83">
        <v>576</v>
      </c>
      <c r="D83">
        <v>256</v>
      </c>
      <c r="E83">
        <v>8</v>
      </c>
      <c r="F83">
        <v>1</v>
      </c>
      <c r="H83">
        <v>0.54700599999999999</v>
      </c>
      <c r="I83">
        <v>0.58311100000000005</v>
      </c>
      <c r="J83" s="4">
        <f t="shared" si="4"/>
        <v>1.0660047604596661</v>
      </c>
      <c r="L83" s="4"/>
    </row>
    <row r="84" spans="2:12" x14ac:dyDescent="0.25">
      <c r="B84">
        <v>256</v>
      </c>
      <c r="C84">
        <v>576</v>
      </c>
      <c r="D84">
        <v>512</v>
      </c>
      <c r="E84">
        <v>8</v>
      </c>
      <c r="F84">
        <v>1</v>
      </c>
      <c r="H84">
        <v>0.931782</v>
      </c>
      <c r="I84">
        <v>0.89736800000000005</v>
      </c>
      <c r="J84" s="4">
        <f t="shared" si="4"/>
        <v>0.96306646833701448</v>
      </c>
      <c r="L84" s="4"/>
    </row>
    <row r="85" spans="2:12" x14ac:dyDescent="0.25">
      <c r="B85">
        <v>256</v>
      </c>
      <c r="C85">
        <v>576</v>
      </c>
      <c r="D85">
        <f>1024</f>
        <v>1024</v>
      </c>
      <c r="E85">
        <v>8</v>
      </c>
      <c r="F85">
        <v>1</v>
      </c>
      <c r="H85">
        <v>1.8301510000000001</v>
      </c>
      <c r="I85">
        <v>1.62679</v>
      </c>
      <c r="J85" s="4">
        <f t="shared" si="4"/>
        <v>0.88888293916731453</v>
      </c>
      <c r="L85" s="4"/>
    </row>
    <row r="86" spans="2:12" x14ac:dyDescent="0.25">
      <c r="B86">
        <v>256</v>
      </c>
      <c r="C86">
        <v>576</v>
      </c>
      <c r="D86">
        <f>2048</f>
        <v>2048</v>
      </c>
      <c r="E86">
        <v>8</v>
      </c>
      <c r="F86">
        <v>1</v>
      </c>
      <c r="H86">
        <v>3.7426330000000001</v>
      </c>
      <c r="I86">
        <v>3.1718060000000001</v>
      </c>
      <c r="J86" s="4">
        <f t="shared" si="4"/>
        <v>0.84747983571993302</v>
      </c>
      <c r="L86" s="4"/>
    </row>
    <row r="87" spans="2:12" x14ac:dyDescent="0.25">
      <c r="B87">
        <v>256</v>
      </c>
      <c r="C87">
        <v>576</v>
      </c>
      <c r="D87">
        <f>4096</f>
        <v>4096</v>
      </c>
      <c r="E87">
        <v>8</v>
      </c>
      <c r="F87">
        <v>1</v>
      </c>
      <c r="H87">
        <v>7.5164</v>
      </c>
      <c r="I87">
        <v>6.1229079999999998</v>
      </c>
      <c r="J87" s="4">
        <f t="shared" si="4"/>
        <v>0.81460646053962005</v>
      </c>
      <c r="L87" s="4"/>
    </row>
    <row r="88" spans="2:12" x14ac:dyDescent="0.25">
      <c r="B88">
        <v>256</v>
      </c>
      <c r="C88">
        <v>576</v>
      </c>
      <c r="D88">
        <f>8192</f>
        <v>8192</v>
      </c>
      <c r="E88">
        <v>8</v>
      </c>
      <c r="F88">
        <v>1</v>
      </c>
      <c r="H88">
        <v>15.09667</v>
      </c>
      <c r="I88">
        <v>12.346636</v>
      </c>
      <c r="J88" s="4">
        <f t="shared" si="4"/>
        <v>0.81783837097850054</v>
      </c>
      <c r="L88" s="4"/>
    </row>
    <row r="89" spans="2:12" x14ac:dyDescent="0.25">
      <c r="B89">
        <v>256</v>
      </c>
      <c r="C89">
        <v>576</v>
      </c>
      <c r="D89">
        <f>16384</f>
        <v>16384</v>
      </c>
      <c r="E89">
        <v>8</v>
      </c>
      <c r="F89">
        <v>1</v>
      </c>
      <c r="H89">
        <v>30.220231999999999</v>
      </c>
      <c r="I89">
        <v>24.200205</v>
      </c>
      <c r="J89" s="4">
        <f t="shared" si="4"/>
        <v>0.80079481189952484</v>
      </c>
      <c r="L89" s="4"/>
    </row>
    <row r="90" spans="2:12" x14ac:dyDescent="0.25">
      <c r="B90">
        <v>512</v>
      </c>
      <c r="C90">
        <v>576</v>
      </c>
      <c r="D90">
        <v>64</v>
      </c>
      <c r="E90">
        <v>8</v>
      </c>
      <c r="F90">
        <v>1</v>
      </c>
      <c r="H90">
        <v>0.71745700000000001</v>
      </c>
      <c r="I90">
        <v>0.81693300000000002</v>
      </c>
      <c r="J90" s="4">
        <f t="shared" si="4"/>
        <v>1.1386508180978094</v>
      </c>
      <c r="L90" s="4"/>
    </row>
    <row r="91" spans="2:12" x14ac:dyDescent="0.25">
      <c r="B91">
        <v>512</v>
      </c>
      <c r="C91">
        <v>576</v>
      </c>
      <c r="D91">
        <v>128</v>
      </c>
      <c r="E91">
        <v>8</v>
      </c>
      <c r="F91">
        <v>1</v>
      </c>
      <c r="H91">
        <v>0.724495</v>
      </c>
      <c r="I91">
        <v>0.84118300000000001</v>
      </c>
      <c r="J91" s="4">
        <f t="shared" si="4"/>
        <v>1.1610611529410142</v>
      </c>
      <c r="L91" s="4"/>
    </row>
    <row r="92" spans="2:12" x14ac:dyDescent="0.25">
      <c r="B92">
        <v>512</v>
      </c>
      <c r="C92">
        <v>576</v>
      </c>
      <c r="D92">
        <v>256</v>
      </c>
      <c r="E92">
        <v>8</v>
      </c>
      <c r="F92">
        <v>1</v>
      </c>
      <c r="H92">
        <v>1.034267</v>
      </c>
      <c r="I92">
        <v>1.098873</v>
      </c>
      <c r="J92" s="4">
        <f t="shared" si="4"/>
        <v>1.0624654948867167</v>
      </c>
      <c r="L92" s="4"/>
    </row>
    <row r="93" spans="2:12" x14ac:dyDescent="0.25">
      <c r="B93">
        <v>512</v>
      </c>
      <c r="C93">
        <v>576</v>
      </c>
      <c r="D93">
        <v>512</v>
      </c>
      <c r="E93">
        <v>8</v>
      </c>
      <c r="F93">
        <v>1</v>
      </c>
      <c r="H93">
        <v>1.6985110000000001</v>
      </c>
      <c r="I93">
        <v>1.7157089999999999</v>
      </c>
      <c r="J93" s="4">
        <f t="shared" si="4"/>
        <v>1.0101253391941529</v>
      </c>
      <c r="L93" s="4"/>
    </row>
    <row r="94" spans="2:12" x14ac:dyDescent="0.25">
      <c r="B94">
        <v>512</v>
      </c>
      <c r="C94">
        <v>576</v>
      </c>
      <c r="D94">
        <f>1024</f>
        <v>1024</v>
      </c>
      <c r="E94">
        <v>8</v>
      </c>
      <c r="F94">
        <v>1</v>
      </c>
      <c r="H94">
        <v>3.2129560000000001</v>
      </c>
      <c r="I94">
        <v>3.154757</v>
      </c>
      <c r="J94" s="4">
        <f t="shared" si="4"/>
        <v>0.9818861509463559</v>
      </c>
      <c r="L94" s="4"/>
    </row>
    <row r="95" spans="2:12" x14ac:dyDescent="0.25">
      <c r="B95" s="2">
        <v>512</v>
      </c>
      <c r="C95" s="2">
        <v>576</v>
      </c>
      <c r="D95" s="2">
        <f>2048</f>
        <v>2048</v>
      </c>
      <c r="E95">
        <v>8</v>
      </c>
      <c r="F95">
        <v>1</v>
      </c>
      <c r="H95">
        <v>7.3138040000000002</v>
      </c>
      <c r="I95">
        <v>6.2132180000000004</v>
      </c>
      <c r="J95" s="4">
        <f t="shared" si="4"/>
        <v>0.84951934725076039</v>
      </c>
      <c r="L95" s="4"/>
    </row>
    <row r="96" spans="2:12" x14ac:dyDescent="0.25">
      <c r="B96">
        <v>512</v>
      </c>
      <c r="C96">
        <v>576</v>
      </c>
      <c r="D96">
        <f>4096</f>
        <v>4096</v>
      </c>
      <c r="E96">
        <v>8</v>
      </c>
      <c r="F96">
        <v>1</v>
      </c>
      <c r="H96">
        <v>14.780764</v>
      </c>
      <c r="I96">
        <v>12.069243</v>
      </c>
      <c r="J96" s="4">
        <f t="shared" si="4"/>
        <v>0.81655068709574152</v>
      </c>
      <c r="L96" s="4"/>
    </row>
    <row r="97" spans="2:12" x14ac:dyDescent="0.25">
      <c r="B97">
        <v>512</v>
      </c>
      <c r="C97">
        <v>576</v>
      </c>
      <c r="D97">
        <f>8192</f>
        <v>8192</v>
      </c>
      <c r="E97">
        <v>8</v>
      </c>
      <c r="F97">
        <v>1</v>
      </c>
      <c r="H97">
        <v>29.806902000000001</v>
      </c>
      <c r="I97">
        <v>24.346785000000001</v>
      </c>
      <c r="J97" s="4">
        <f t="shared" si="4"/>
        <v>0.81681702445963689</v>
      </c>
      <c r="L97" s="4"/>
    </row>
    <row r="98" spans="2:12" x14ac:dyDescent="0.25">
      <c r="B98">
        <v>512</v>
      </c>
      <c r="C98">
        <v>576</v>
      </c>
      <c r="D98">
        <f>16384</f>
        <v>16384</v>
      </c>
      <c r="E98">
        <v>8</v>
      </c>
      <c r="F98">
        <v>1</v>
      </c>
      <c r="H98">
        <v>60.151072999999997</v>
      </c>
      <c r="I98">
        <v>47.846657</v>
      </c>
      <c r="J98" s="4">
        <f t="shared" si="4"/>
        <v>0.79544145455227377</v>
      </c>
      <c r="L98" s="4"/>
    </row>
    <row r="99" spans="2:12" x14ac:dyDescent="0.25">
      <c r="B99">
        <v>1</v>
      </c>
      <c r="C99">
        <v>576</v>
      </c>
      <c r="D99">
        <v>64</v>
      </c>
      <c r="E99">
        <v>16</v>
      </c>
      <c r="F99">
        <v>1</v>
      </c>
      <c r="H99">
        <v>7.2753999999999999E-2</v>
      </c>
      <c r="I99">
        <v>7.7520000000000006E-2</v>
      </c>
      <c r="J99" s="4">
        <f t="shared" si="4"/>
        <v>1.0655084256535725</v>
      </c>
      <c r="L99" s="4"/>
    </row>
    <row r="100" spans="2:12" x14ac:dyDescent="0.25">
      <c r="B100">
        <v>1</v>
      </c>
      <c r="C100">
        <v>576</v>
      </c>
      <c r="D100">
        <v>128</v>
      </c>
      <c r="E100">
        <v>16</v>
      </c>
      <c r="F100">
        <v>1</v>
      </c>
      <c r="H100">
        <v>7.4509000000000006E-2</v>
      </c>
      <c r="I100">
        <v>7.7755000000000005E-2</v>
      </c>
      <c r="J100" s="4">
        <f t="shared" si="4"/>
        <v>1.0435652068877586</v>
      </c>
      <c r="L100" s="4"/>
    </row>
    <row r="101" spans="2:12" x14ac:dyDescent="0.25">
      <c r="B101">
        <v>1</v>
      </c>
      <c r="C101">
        <v>576</v>
      </c>
      <c r="D101">
        <v>256</v>
      </c>
      <c r="E101">
        <v>16</v>
      </c>
      <c r="F101">
        <v>1</v>
      </c>
      <c r="H101">
        <v>8.072E-2</v>
      </c>
      <c r="I101">
        <v>8.2068000000000002E-2</v>
      </c>
      <c r="J101" s="4">
        <f t="shared" si="4"/>
        <v>1.0166997026759168</v>
      </c>
      <c r="L101" s="4"/>
    </row>
    <row r="102" spans="2:12" x14ac:dyDescent="0.25">
      <c r="B102">
        <v>1</v>
      </c>
      <c r="C102">
        <v>576</v>
      </c>
      <c r="D102">
        <v>512</v>
      </c>
      <c r="E102">
        <v>16</v>
      </c>
      <c r="F102">
        <v>1</v>
      </c>
      <c r="H102">
        <v>9.4114000000000003E-2</v>
      </c>
      <c r="I102">
        <v>9.0589000000000003E-2</v>
      </c>
      <c r="J102" s="4">
        <f t="shared" si="4"/>
        <v>0.96254542363516582</v>
      </c>
      <c r="L102" s="4"/>
    </row>
    <row r="103" spans="2:12" x14ac:dyDescent="0.25">
      <c r="B103">
        <v>1</v>
      </c>
      <c r="C103">
        <v>576</v>
      </c>
      <c r="D103">
        <f>1024</f>
        <v>1024</v>
      </c>
      <c r="E103">
        <v>16</v>
      </c>
      <c r="F103">
        <v>1</v>
      </c>
      <c r="H103">
        <v>0.122332</v>
      </c>
      <c r="I103">
        <v>0.109968</v>
      </c>
      <c r="J103" s="4">
        <f t="shared" si="4"/>
        <v>0.8989307785370958</v>
      </c>
      <c r="L103" s="4"/>
    </row>
    <row r="104" spans="2:12" x14ac:dyDescent="0.25">
      <c r="B104">
        <v>1</v>
      </c>
      <c r="C104">
        <v>576</v>
      </c>
      <c r="D104">
        <f>2048</f>
        <v>2048</v>
      </c>
      <c r="E104">
        <v>16</v>
      </c>
      <c r="F104">
        <v>1</v>
      </c>
      <c r="H104">
        <v>0.17643300000000001</v>
      </c>
      <c r="I104">
        <v>0.14887900000000001</v>
      </c>
      <c r="J104" s="4">
        <f t="shared" si="4"/>
        <v>0.8438274019032721</v>
      </c>
      <c r="L104" s="4"/>
    </row>
    <row r="105" spans="2:12" x14ac:dyDescent="0.25">
      <c r="B105">
        <v>1</v>
      </c>
      <c r="C105">
        <v>576</v>
      </c>
      <c r="D105">
        <f>4096</f>
        <v>4096</v>
      </c>
      <c r="E105">
        <v>16</v>
      </c>
      <c r="F105">
        <v>1</v>
      </c>
      <c r="H105">
        <v>0.28094000000000002</v>
      </c>
      <c r="I105">
        <v>0.223659</v>
      </c>
      <c r="J105" s="4">
        <f t="shared" si="4"/>
        <v>0.7961094895707268</v>
      </c>
      <c r="L105" s="4"/>
    </row>
    <row r="106" spans="2:12" x14ac:dyDescent="0.25">
      <c r="B106">
        <v>1</v>
      </c>
      <c r="C106">
        <v>576</v>
      </c>
      <c r="D106">
        <f>8192</f>
        <v>8192</v>
      </c>
      <c r="E106">
        <v>16</v>
      </c>
      <c r="F106">
        <v>1</v>
      </c>
      <c r="H106">
        <v>0.49532300000000001</v>
      </c>
      <c r="I106">
        <v>0.37744899999999998</v>
      </c>
      <c r="J106" s="4">
        <f t="shared" si="4"/>
        <v>0.76202599112094527</v>
      </c>
      <c r="L106" s="4"/>
    </row>
    <row r="107" spans="2:12" x14ac:dyDescent="0.25">
      <c r="B107">
        <v>1</v>
      </c>
      <c r="C107">
        <v>576</v>
      </c>
      <c r="D107">
        <f>16384</f>
        <v>16384</v>
      </c>
      <c r="E107">
        <v>16</v>
      </c>
      <c r="F107">
        <v>1</v>
      </c>
      <c r="H107">
        <v>0.92466199999999998</v>
      </c>
      <c r="I107">
        <v>0.68550199999999994</v>
      </c>
      <c r="J107" s="4">
        <f t="shared" si="4"/>
        <v>0.7413541380526073</v>
      </c>
      <c r="L107" s="4"/>
    </row>
    <row r="108" spans="2:12" x14ac:dyDescent="0.25">
      <c r="B108">
        <v>2</v>
      </c>
      <c r="C108">
        <v>576</v>
      </c>
      <c r="D108">
        <v>64</v>
      </c>
      <c r="E108">
        <v>16</v>
      </c>
      <c r="F108">
        <v>1</v>
      </c>
      <c r="H108">
        <v>7.3897000000000004E-2</v>
      </c>
      <c r="I108">
        <v>7.8577999999999995E-2</v>
      </c>
      <c r="J108" s="4">
        <f t="shared" si="4"/>
        <v>1.0633449260457122</v>
      </c>
      <c r="L108" s="4"/>
    </row>
    <row r="109" spans="2:12" x14ac:dyDescent="0.25">
      <c r="B109">
        <v>2</v>
      </c>
      <c r="C109">
        <v>576</v>
      </c>
      <c r="D109">
        <v>128</v>
      </c>
      <c r="E109">
        <v>16</v>
      </c>
      <c r="F109">
        <v>1</v>
      </c>
      <c r="H109">
        <v>7.7285000000000006E-2</v>
      </c>
      <c r="I109">
        <v>8.0327999999999997E-2</v>
      </c>
      <c r="J109" s="4">
        <f t="shared" si="4"/>
        <v>1.0393737465226109</v>
      </c>
      <c r="L109" s="4"/>
    </row>
    <row r="110" spans="2:12" x14ac:dyDescent="0.25">
      <c r="B110">
        <v>2</v>
      </c>
      <c r="C110">
        <v>576</v>
      </c>
      <c r="D110">
        <v>256</v>
      </c>
      <c r="E110">
        <v>16</v>
      </c>
      <c r="F110">
        <v>1</v>
      </c>
      <c r="H110">
        <v>8.5682999999999995E-2</v>
      </c>
      <c r="I110">
        <v>8.6623000000000006E-2</v>
      </c>
      <c r="J110" s="4">
        <f t="shared" si="4"/>
        <v>1.0109706709615678</v>
      </c>
      <c r="L110" s="4"/>
    </row>
    <row r="111" spans="2:12" x14ac:dyDescent="0.25">
      <c r="B111">
        <v>2</v>
      </c>
      <c r="C111">
        <v>576</v>
      </c>
      <c r="D111">
        <v>512</v>
      </c>
      <c r="E111">
        <v>16</v>
      </c>
      <c r="F111">
        <v>1</v>
      </c>
      <c r="H111">
        <v>0.10315199999999999</v>
      </c>
      <c r="I111">
        <v>0.10075000000000001</v>
      </c>
      <c r="J111" s="4">
        <f t="shared" si="4"/>
        <v>0.97671397549247729</v>
      </c>
      <c r="L111" s="4"/>
    </row>
    <row r="112" spans="2:12" x14ac:dyDescent="0.25">
      <c r="B112">
        <v>2</v>
      </c>
      <c r="C112">
        <v>576</v>
      </c>
      <c r="D112">
        <f>1024</f>
        <v>1024</v>
      </c>
      <c r="E112">
        <v>16</v>
      </c>
      <c r="F112">
        <v>1</v>
      </c>
      <c r="H112">
        <v>0.13978199999999999</v>
      </c>
      <c r="I112">
        <v>0.12948200000000001</v>
      </c>
      <c r="J112" s="4">
        <f t="shared" si="4"/>
        <v>0.92631383153768032</v>
      </c>
      <c r="L112" s="4"/>
    </row>
    <row r="113" spans="2:12" x14ac:dyDescent="0.25">
      <c r="B113">
        <v>2</v>
      </c>
      <c r="C113">
        <v>576</v>
      </c>
      <c r="D113">
        <f>2048</f>
        <v>2048</v>
      </c>
      <c r="E113">
        <v>16</v>
      </c>
      <c r="F113">
        <v>1</v>
      </c>
      <c r="H113">
        <v>0.21392800000000001</v>
      </c>
      <c r="I113">
        <v>0.187197</v>
      </c>
      <c r="J113" s="4">
        <f t="shared" si="4"/>
        <v>0.87504674469915111</v>
      </c>
      <c r="L113" s="4"/>
    </row>
    <row r="114" spans="2:12" x14ac:dyDescent="0.25">
      <c r="B114">
        <v>2</v>
      </c>
      <c r="C114">
        <v>576</v>
      </c>
      <c r="D114">
        <f>4096</f>
        <v>4096</v>
      </c>
      <c r="E114">
        <v>16</v>
      </c>
      <c r="F114">
        <v>1</v>
      </c>
      <c r="H114">
        <v>0.36027300000000001</v>
      </c>
      <c r="I114">
        <v>0.30172199999999999</v>
      </c>
      <c r="J114" s="4">
        <f t="shared" si="4"/>
        <v>0.83748157647117594</v>
      </c>
      <c r="L114" s="4"/>
    </row>
    <row r="115" spans="2:12" x14ac:dyDescent="0.25">
      <c r="B115">
        <v>2</v>
      </c>
      <c r="C115">
        <v>576</v>
      </c>
      <c r="D115">
        <f>8192</f>
        <v>8192</v>
      </c>
      <c r="E115">
        <v>16</v>
      </c>
      <c r="F115">
        <v>1</v>
      </c>
      <c r="H115">
        <v>0.64993699999999999</v>
      </c>
      <c r="I115">
        <v>0.52775000000000005</v>
      </c>
      <c r="J115" s="4">
        <f t="shared" si="4"/>
        <v>0.81200177863392919</v>
      </c>
      <c r="L115" s="4"/>
    </row>
    <row r="116" spans="2:12" x14ac:dyDescent="0.25">
      <c r="B116">
        <v>2</v>
      </c>
      <c r="C116">
        <v>576</v>
      </c>
      <c r="D116">
        <f>16384</f>
        <v>16384</v>
      </c>
      <c r="E116">
        <v>16</v>
      </c>
      <c r="F116">
        <v>1</v>
      </c>
      <c r="H116">
        <v>1.234086</v>
      </c>
      <c r="I116">
        <v>0.98137600000000003</v>
      </c>
      <c r="J116" s="4">
        <f t="shared" si="4"/>
        <v>0.79522496811405363</v>
      </c>
      <c r="L116" s="4"/>
    </row>
    <row r="117" spans="2:12" x14ac:dyDescent="0.25">
      <c r="B117">
        <v>4</v>
      </c>
      <c r="C117">
        <v>576</v>
      </c>
      <c r="D117">
        <v>64</v>
      </c>
      <c r="E117">
        <v>16</v>
      </c>
      <c r="F117">
        <v>1</v>
      </c>
      <c r="H117">
        <v>7.2769E-2</v>
      </c>
      <c r="I117">
        <v>7.7554999999999999E-2</v>
      </c>
      <c r="J117" s="4">
        <f t="shared" si="4"/>
        <v>1.0657697645975621</v>
      </c>
      <c r="L117" s="4"/>
    </row>
    <row r="118" spans="2:12" x14ac:dyDescent="0.25">
      <c r="B118">
        <v>4</v>
      </c>
      <c r="C118">
        <v>576</v>
      </c>
      <c r="D118">
        <v>128</v>
      </c>
      <c r="E118">
        <v>16</v>
      </c>
      <c r="F118">
        <v>1</v>
      </c>
      <c r="H118">
        <v>7.5547000000000003E-2</v>
      </c>
      <c r="I118">
        <v>7.8955999999999998E-2</v>
      </c>
      <c r="J118" s="4">
        <f t="shared" si="4"/>
        <v>1.0451242273022092</v>
      </c>
      <c r="L118" s="4"/>
    </row>
    <row r="119" spans="2:12" x14ac:dyDescent="0.25">
      <c r="B119">
        <v>4</v>
      </c>
      <c r="C119">
        <v>576</v>
      </c>
      <c r="D119">
        <v>256</v>
      </c>
      <c r="E119">
        <v>16</v>
      </c>
      <c r="F119">
        <v>1</v>
      </c>
      <c r="H119">
        <v>8.4295999999999996E-2</v>
      </c>
      <c r="I119">
        <v>8.5947999999999997E-2</v>
      </c>
      <c r="J119" s="4">
        <f t="shared" si="4"/>
        <v>1.0195976084274461</v>
      </c>
      <c r="L119" s="4"/>
    </row>
    <row r="120" spans="2:12" x14ac:dyDescent="0.25">
      <c r="B120">
        <v>4</v>
      </c>
      <c r="C120">
        <v>576</v>
      </c>
      <c r="D120">
        <v>512</v>
      </c>
      <c r="E120">
        <v>16</v>
      </c>
      <c r="F120">
        <v>1</v>
      </c>
      <c r="H120">
        <v>0.102926</v>
      </c>
      <c r="I120">
        <v>0.100879</v>
      </c>
      <c r="J120" s="4">
        <f t="shared" si="4"/>
        <v>0.98011192507238198</v>
      </c>
      <c r="L120" s="4"/>
    </row>
    <row r="121" spans="2:12" x14ac:dyDescent="0.25">
      <c r="B121">
        <v>4</v>
      </c>
      <c r="C121">
        <v>576</v>
      </c>
      <c r="D121">
        <f>1024</f>
        <v>1024</v>
      </c>
      <c r="E121">
        <v>16</v>
      </c>
      <c r="F121">
        <v>1</v>
      </c>
      <c r="H121">
        <v>0.14271300000000001</v>
      </c>
      <c r="I121">
        <v>0.132406</v>
      </c>
      <c r="J121" s="4">
        <f t="shared" si="4"/>
        <v>0.92777812813128435</v>
      </c>
      <c r="L121" s="4"/>
    </row>
    <row r="122" spans="2:12" x14ac:dyDescent="0.25">
      <c r="B122">
        <v>4</v>
      </c>
      <c r="C122">
        <v>576</v>
      </c>
      <c r="D122">
        <f>2048</f>
        <v>2048</v>
      </c>
      <c r="E122">
        <v>16</v>
      </c>
      <c r="F122">
        <v>1</v>
      </c>
      <c r="H122">
        <v>0.22162899999999999</v>
      </c>
      <c r="I122">
        <v>0.19485</v>
      </c>
      <c r="J122" s="4">
        <f t="shared" si="4"/>
        <v>0.8791719495192416</v>
      </c>
      <c r="L122" s="4"/>
    </row>
    <row r="123" spans="2:12" x14ac:dyDescent="0.25">
      <c r="B123">
        <v>4</v>
      </c>
      <c r="C123">
        <v>576</v>
      </c>
      <c r="D123">
        <f>4096</f>
        <v>4096</v>
      </c>
      <c r="E123">
        <v>16</v>
      </c>
      <c r="F123">
        <v>1</v>
      </c>
      <c r="H123">
        <v>0.38025599999999998</v>
      </c>
      <c r="I123">
        <v>0.32137900000000003</v>
      </c>
      <c r="J123" s="4">
        <f t="shared" si="4"/>
        <v>0.84516483632079453</v>
      </c>
      <c r="L123" s="4"/>
    </row>
    <row r="124" spans="2:12" x14ac:dyDescent="0.25">
      <c r="B124">
        <v>4</v>
      </c>
      <c r="C124">
        <v>576</v>
      </c>
      <c r="D124">
        <f>8192</f>
        <v>8192</v>
      </c>
      <c r="E124">
        <v>16</v>
      </c>
      <c r="F124">
        <v>1</v>
      </c>
      <c r="H124">
        <v>0.69800099999999998</v>
      </c>
      <c r="I124">
        <v>0.57136600000000004</v>
      </c>
      <c r="J124" s="4">
        <f t="shared" si="4"/>
        <v>0.81857475848888472</v>
      </c>
      <c r="L124" s="4"/>
    </row>
    <row r="125" spans="2:12" x14ac:dyDescent="0.25">
      <c r="B125">
        <v>4</v>
      </c>
      <c r="C125">
        <v>576</v>
      </c>
      <c r="D125">
        <f>16384</f>
        <v>16384</v>
      </c>
      <c r="E125">
        <v>16</v>
      </c>
      <c r="F125">
        <v>1</v>
      </c>
      <c r="H125">
        <v>1.3332250000000001</v>
      </c>
      <c r="I125">
        <v>1.0629789999999999</v>
      </c>
      <c r="J125" s="4">
        <f t="shared" si="4"/>
        <v>0.79729903054623175</v>
      </c>
      <c r="L125" s="4"/>
    </row>
    <row r="126" spans="2:12" x14ac:dyDescent="0.25">
      <c r="B126">
        <v>8</v>
      </c>
      <c r="C126">
        <v>576</v>
      </c>
      <c r="D126">
        <v>64</v>
      </c>
      <c r="E126">
        <v>16</v>
      </c>
      <c r="F126">
        <v>1</v>
      </c>
      <c r="H126">
        <v>7.7754000000000004E-2</v>
      </c>
      <c r="I126">
        <v>8.0707000000000001E-2</v>
      </c>
      <c r="J126" s="4">
        <f t="shared" si="4"/>
        <v>1.0379787535046427</v>
      </c>
      <c r="L126" s="4"/>
    </row>
    <row r="127" spans="2:12" x14ac:dyDescent="0.25">
      <c r="B127">
        <v>8</v>
      </c>
      <c r="C127">
        <v>576</v>
      </c>
      <c r="D127">
        <v>128</v>
      </c>
      <c r="E127">
        <v>16</v>
      </c>
      <c r="F127">
        <v>1</v>
      </c>
      <c r="H127">
        <v>8.1749000000000002E-2</v>
      </c>
      <c r="I127">
        <v>8.3450999999999997E-2</v>
      </c>
      <c r="J127" s="4">
        <f t="shared" si="4"/>
        <v>1.0208198265422206</v>
      </c>
      <c r="L127" s="4"/>
    </row>
    <row r="128" spans="2:12" x14ac:dyDescent="0.25">
      <c r="B128">
        <v>8</v>
      </c>
      <c r="C128">
        <v>576</v>
      </c>
      <c r="D128">
        <v>256</v>
      </c>
      <c r="E128">
        <v>16</v>
      </c>
      <c r="F128">
        <v>1</v>
      </c>
      <c r="H128">
        <v>9.3534000000000006E-2</v>
      </c>
      <c r="I128">
        <v>9.3260999999999997E-2</v>
      </c>
      <c r="J128" s="4">
        <f t="shared" si="4"/>
        <v>0.99708127525819479</v>
      </c>
      <c r="L128" s="4"/>
    </row>
    <row r="129" spans="2:12" x14ac:dyDescent="0.25">
      <c r="B129">
        <v>8</v>
      </c>
      <c r="C129">
        <v>576</v>
      </c>
      <c r="D129">
        <v>512</v>
      </c>
      <c r="E129">
        <v>16</v>
      </c>
      <c r="F129">
        <v>1</v>
      </c>
      <c r="H129">
        <v>0.119685</v>
      </c>
      <c r="I129">
        <v>0.114564</v>
      </c>
      <c r="J129" s="4">
        <f t="shared" si="4"/>
        <v>0.95721268329364584</v>
      </c>
      <c r="L129" s="4"/>
    </row>
    <row r="130" spans="2:12" x14ac:dyDescent="0.25">
      <c r="B130">
        <v>8</v>
      </c>
      <c r="C130">
        <v>576</v>
      </c>
      <c r="D130">
        <f>1024</f>
        <v>1024</v>
      </c>
      <c r="E130">
        <v>16</v>
      </c>
      <c r="F130">
        <v>1</v>
      </c>
      <c r="H130">
        <v>0.17378199999999999</v>
      </c>
      <c r="I130">
        <v>0.159609</v>
      </c>
      <c r="J130" s="4">
        <f t="shared" si="4"/>
        <v>0.91844379740134197</v>
      </c>
      <c r="L130" s="4"/>
    </row>
    <row r="131" spans="2:12" x14ac:dyDescent="0.25">
      <c r="B131">
        <v>8</v>
      </c>
      <c r="C131">
        <v>576</v>
      </c>
      <c r="D131">
        <f>2048</f>
        <v>2048</v>
      </c>
      <c r="E131">
        <v>16</v>
      </c>
      <c r="F131">
        <v>1</v>
      </c>
      <c r="H131">
        <v>0.28069899999999998</v>
      </c>
      <c r="I131">
        <v>0.25074600000000002</v>
      </c>
      <c r="J131" s="4">
        <f t="shared" si="4"/>
        <v>0.89329139042176864</v>
      </c>
      <c r="L131" s="4"/>
    </row>
    <row r="132" spans="2:12" x14ac:dyDescent="0.25">
      <c r="B132">
        <v>8</v>
      </c>
      <c r="C132">
        <v>576</v>
      </c>
      <c r="D132">
        <f>4096</f>
        <v>4096</v>
      </c>
      <c r="E132">
        <v>16</v>
      </c>
      <c r="F132">
        <v>1</v>
      </c>
      <c r="H132">
        <v>0.49656</v>
      </c>
      <c r="I132">
        <v>0.42884299999999997</v>
      </c>
      <c r="J132" s="4">
        <f t="shared" si="4"/>
        <v>0.86362775898179467</v>
      </c>
      <c r="L132" s="4"/>
    </row>
    <row r="133" spans="2:12" x14ac:dyDescent="0.25">
      <c r="B133">
        <v>8</v>
      </c>
      <c r="C133">
        <v>576</v>
      </c>
      <c r="D133">
        <f>8192</f>
        <v>8192</v>
      </c>
      <c r="E133">
        <v>16</v>
      </c>
      <c r="F133">
        <v>1</v>
      </c>
      <c r="H133">
        <v>0.92297899999999999</v>
      </c>
      <c r="I133">
        <v>0.79000199999999998</v>
      </c>
      <c r="J133" s="4">
        <f t="shared" si="4"/>
        <v>0.85592629951494015</v>
      </c>
      <c r="L133" s="4"/>
    </row>
    <row r="134" spans="2:12" x14ac:dyDescent="0.25">
      <c r="B134">
        <v>8</v>
      </c>
      <c r="C134">
        <v>576</v>
      </c>
      <c r="D134">
        <f>16384</f>
        <v>16384</v>
      </c>
      <c r="E134">
        <v>16</v>
      </c>
      <c r="F134">
        <v>1</v>
      </c>
      <c r="H134">
        <v>1.756454</v>
      </c>
      <c r="I134">
        <v>1.488286</v>
      </c>
      <c r="J134" s="4">
        <f t="shared" si="4"/>
        <v>0.84732421116636136</v>
      </c>
      <c r="L134" s="4"/>
    </row>
    <row r="135" spans="2:12" x14ac:dyDescent="0.25">
      <c r="B135">
        <v>16</v>
      </c>
      <c r="C135">
        <v>576</v>
      </c>
      <c r="D135">
        <v>64</v>
      </c>
      <c r="E135">
        <v>16</v>
      </c>
      <c r="F135">
        <v>1</v>
      </c>
      <c r="H135">
        <v>8.0988000000000004E-2</v>
      </c>
      <c r="I135">
        <v>8.4745000000000001E-2</v>
      </c>
      <c r="J135" s="4">
        <f t="shared" si="4"/>
        <v>1.0463895885810244</v>
      </c>
      <c r="L135" s="4"/>
    </row>
    <row r="136" spans="2:12" x14ac:dyDescent="0.25">
      <c r="B136">
        <v>16</v>
      </c>
      <c r="C136">
        <v>576</v>
      </c>
      <c r="D136">
        <v>128</v>
      </c>
      <c r="E136">
        <v>16</v>
      </c>
      <c r="F136">
        <v>1</v>
      </c>
      <c r="H136">
        <v>8.4237000000000006E-2</v>
      </c>
      <c r="I136">
        <v>8.6846000000000007E-2</v>
      </c>
      <c r="J136" s="4">
        <f t="shared" si="4"/>
        <v>1.0309721381340742</v>
      </c>
      <c r="L136" s="4"/>
    </row>
    <row r="137" spans="2:12" x14ac:dyDescent="0.25">
      <c r="B137">
        <v>16</v>
      </c>
      <c r="C137">
        <v>576</v>
      </c>
      <c r="D137">
        <v>256</v>
      </c>
      <c r="E137">
        <v>16</v>
      </c>
      <c r="F137">
        <v>1</v>
      </c>
      <c r="H137">
        <v>9.8198999999999995E-2</v>
      </c>
      <c r="I137">
        <v>9.783E-2</v>
      </c>
      <c r="J137" s="4">
        <f t="shared" si="4"/>
        <v>0.99624232425992121</v>
      </c>
      <c r="L137" s="4"/>
    </row>
    <row r="138" spans="2:12" x14ac:dyDescent="0.25">
      <c r="B138">
        <v>16</v>
      </c>
      <c r="C138">
        <v>576</v>
      </c>
      <c r="D138">
        <v>512</v>
      </c>
      <c r="E138">
        <v>16</v>
      </c>
      <c r="F138">
        <v>1</v>
      </c>
      <c r="H138">
        <v>0.12917300000000001</v>
      </c>
      <c r="I138">
        <v>0.124801</v>
      </c>
      <c r="J138" s="4">
        <f t="shared" ref="J138:J174" si="6">I138/H138</f>
        <v>0.96615391761436198</v>
      </c>
      <c r="L138" s="4"/>
    </row>
    <row r="139" spans="2:12" x14ac:dyDescent="0.25">
      <c r="B139">
        <v>16</v>
      </c>
      <c r="C139">
        <v>576</v>
      </c>
      <c r="D139">
        <f>1024</f>
        <v>1024</v>
      </c>
      <c r="E139">
        <v>16</v>
      </c>
      <c r="F139">
        <v>1</v>
      </c>
      <c r="H139">
        <v>0.189495</v>
      </c>
      <c r="I139">
        <v>0.17788999999999999</v>
      </c>
      <c r="J139" s="4">
        <f t="shared" si="6"/>
        <v>0.93875827858254834</v>
      </c>
      <c r="L139" s="4"/>
    </row>
    <row r="140" spans="2:12" x14ac:dyDescent="0.25">
      <c r="B140">
        <v>16</v>
      </c>
      <c r="C140">
        <v>576</v>
      </c>
      <c r="D140">
        <f>2048</f>
        <v>2048</v>
      </c>
      <c r="E140">
        <v>16</v>
      </c>
      <c r="F140">
        <v>1</v>
      </c>
      <c r="H140">
        <v>0.31584299999999998</v>
      </c>
      <c r="I140">
        <v>0.28759899999999999</v>
      </c>
      <c r="J140" s="4">
        <f t="shared" si="6"/>
        <v>0.91057582406448778</v>
      </c>
      <c r="L140" s="4"/>
    </row>
    <row r="141" spans="2:12" x14ac:dyDescent="0.25">
      <c r="B141">
        <v>16</v>
      </c>
      <c r="C141">
        <v>576</v>
      </c>
      <c r="D141">
        <f>4096</f>
        <v>4096</v>
      </c>
      <c r="E141">
        <v>16</v>
      </c>
      <c r="F141">
        <v>1</v>
      </c>
      <c r="H141">
        <v>0.56605799999999995</v>
      </c>
      <c r="I141">
        <v>0.50370899999999996</v>
      </c>
      <c r="J141" s="4">
        <f t="shared" si="6"/>
        <v>0.88985404322525252</v>
      </c>
      <c r="L141" s="4"/>
    </row>
    <row r="142" spans="2:12" x14ac:dyDescent="0.25">
      <c r="B142">
        <v>16</v>
      </c>
      <c r="C142">
        <v>576</v>
      </c>
      <c r="D142">
        <f>8192</f>
        <v>8192</v>
      </c>
      <c r="E142">
        <v>16</v>
      </c>
      <c r="F142">
        <v>1</v>
      </c>
      <c r="H142">
        <v>1.154099</v>
      </c>
      <c r="I142">
        <v>0.97289499999999995</v>
      </c>
      <c r="J142" s="4">
        <f t="shared" si="6"/>
        <v>0.84299093925217849</v>
      </c>
      <c r="L142" s="4"/>
    </row>
    <row r="143" spans="2:12" x14ac:dyDescent="0.25">
      <c r="B143">
        <v>16</v>
      </c>
      <c r="C143">
        <v>576</v>
      </c>
      <c r="D143">
        <f>16384</f>
        <v>16384</v>
      </c>
      <c r="E143">
        <v>16</v>
      </c>
      <c r="F143">
        <v>1</v>
      </c>
      <c r="H143">
        <v>2.2240510000000002</v>
      </c>
      <c r="I143">
        <v>1.7389589999999999</v>
      </c>
      <c r="J143" s="4">
        <f t="shared" si="6"/>
        <v>0.78188809519206159</v>
      </c>
      <c r="L143" s="4"/>
    </row>
    <row r="144" spans="2:12" x14ac:dyDescent="0.25">
      <c r="B144">
        <v>32</v>
      </c>
      <c r="C144">
        <v>576</v>
      </c>
      <c r="D144">
        <v>64</v>
      </c>
      <c r="E144">
        <v>16</v>
      </c>
      <c r="F144">
        <v>1</v>
      </c>
      <c r="H144">
        <v>9.7004999999999994E-2</v>
      </c>
      <c r="I144">
        <v>0.10843</v>
      </c>
      <c r="J144" s="4">
        <f t="shared" si="6"/>
        <v>1.1177774341528788</v>
      </c>
      <c r="L144" s="4"/>
    </row>
    <row r="145" spans="2:12" x14ac:dyDescent="0.25">
      <c r="B145">
        <v>32</v>
      </c>
      <c r="C145">
        <v>576</v>
      </c>
      <c r="D145">
        <v>128</v>
      </c>
      <c r="E145">
        <v>16</v>
      </c>
      <c r="F145">
        <v>1</v>
      </c>
      <c r="H145">
        <v>9.6642000000000006E-2</v>
      </c>
      <c r="I145">
        <v>0.111974</v>
      </c>
      <c r="J145" s="4">
        <f t="shared" si="6"/>
        <v>1.1586473789863621</v>
      </c>
      <c r="L145" s="4"/>
    </row>
    <row r="146" spans="2:12" x14ac:dyDescent="0.25">
      <c r="B146">
        <v>32</v>
      </c>
      <c r="C146">
        <v>576</v>
      </c>
      <c r="D146">
        <v>256</v>
      </c>
      <c r="E146">
        <v>16</v>
      </c>
      <c r="F146">
        <v>1</v>
      </c>
      <c r="H146">
        <v>0.117051</v>
      </c>
      <c r="I146">
        <v>0.13239400000000001</v>
      </c>
      <c r="J146" s="4">
        <f t="shared" si="6"/>
        <v>1.1310796148687325</v>
      </c>
      <c r="L146" s="4"/>
    </row>
    <row r="147" spans="2:12" x14ac:dyDescent="0.25">
      <c r="B147">
        <v>32</v>
      </c>
      <c r="C147">
        <v>576</v>
      </c>
      <c r="D147">
        <v>512</v>
      </c>
      <c r="E147">
        <v>16</v>
      </c>
      <c r="F147">
        <v>1</v>
      </c>
      <c r="H147">
        <v>0.16500799999999999</v>
      </c>
      <c r="I147">
        <v>0.180814</v>
      </c>
      <c r="J147" s="4">
        <f t="shared" si="6"/>
        <v>1.0957892950644819</v>
      </c>
      <c r="L147" s="4"/>
    </row>
    <row r="148" spans="2:12" x14ac:dyDescent="0.25">
      <c r="B148">
        <v>32</v>
      </c>
      <c r="C148">
        <v>576</v>
      </c>
      <c r="D148">
        <f>1024</f>
        <v>1024</v>
      </c>
      <c r="E148">
        <v>16</v>
      </c>
      <c r="F148">
        <v>1</v>
      </c>
      <c r="H148">
        <v>0.26561600000000002</v>
      </c>
      <c r="I148">
        <v>0.28873399999999999</v>
      </c>
      <c r="J148" s="4">
        <f t="shared" si="6"/>
        <v>1.087035419553039</v>
      </c>
      <c r="L148" s="4"/>
    </row>
    <row r="149" spans="2:12" x14ac:dyDescent="0.25">
      <c r="B149">
        <v>32</v>
      </c>
      <c r="C149">
        <v>576</v>
      </c>
      <c r="D149">
        <f>2048</f>
        <v>2048</v>
      </c>
      <c r="E149">
        <v>16</v>
      </c>
      <c r="F149">
        <v>1</v>
      </c>
      <c r="H149">
        <v>0.47250900000000001</v>
      </c>
      <c r="I149">
        <v>0.50066999999999995</v>
      </c>
      <c r="J149" s="4">
        <f t="shared" si="6"/>
        <v>1.0595988647835277</v>
      </c>
      <c r="L149" s="4"/>
    </row>
    <row r="150" spans="2:12" x14ac:dyDescent="0.25">
      <c r="B150">
        <v>32</v>
      </c>
      <c r="C150">
        <v>576</v>
      </c>
      <c r="D150">
        <f>4096</f>
        <v>4096</v>
      </c>
      <c r="E150">
        <v>16</v>
      </c>
      <c r="F150">
        <v>1</v>
      </c>
      <c r="H150">
        <v>1.002766</v>
      </c>
      <c r="I150">
        <v>0.909439</v>
      </c>
      <c r="J150" s="4">
        <f t="shared" si="6"/>
        <v>0.90693043042943211</v>
      </c>
      <c r="L150" s="4"/>
    </row>
    <row r="151" spans="2:12" x14ac:dyDescent="0.25">
      <c r="B151">
        <v>32</v>
      </c>
      <c r="C151">
        <v>576</v>
      </c>
      <c r="D151">
        <f>8192</f>
        <v>8192</v>
      </c>
      <c r="E151">
        <v>16</v>
      </c>
      <c r="F151">
        <v>1</v>
      </c>
      <c r="H151">
        <v>1.9764539999999999</v>
      </c>
      <c r="I151">
        <v>1.7604630000000001</v>
      </c>
      <c r="J151" s="4">
        <f t="shared" si="6"/>
        <v>0.8907179220968463</v>
      </c>
      <c r="L151" s="4"/>
    </row>
    <row r="152" spans="2:12" x14ac:dyDescent="0.25">
      <c r="B152">
        <v>32</v>
      </c>
      <c r="C152">
        <v>576</v>
      </c>
      <c r="D152">
        <f>16384</f>
        <v>16384</v>
      </c>
      <c r="E152">
        <v>16</v>
      </c>
      <c r="F152">
        <v>1</v>
      </c>
      <c r="H152">
        <v>3.8610799999999998</v>
      </c>
      <c r="I152">
        <v>3.2630469999999998</v>
      </c>
      <c r="J152" s="4">
        <f t="shared" si="6"/>
        <v>0.84511250738135446</v>
      </c>
      <c r="L152" s="4"/>
    </row>
    <row r="153" spans="2:12" x14ac:dyDescent="0.25">
      <c r="B153">
        <v>64</v>
      </c>
      <c r="C153">
        <v>576</v>
      </c>
      <c r="D153">
        <v>64</v>
      </c>
      <c r="E153">
        <v>16</v>
      </c>
      <c r="F153">
        <v>1</v>
      </c>
      <c r="H153">
        <v>0.138762</v>
      </c>
      <c r="I153">
        <v>0.161079</v>
      </c>
      <c r="J153" s="4">
        <f t="shared" si="6"/>
        <v>1.1608293336792495</v>
      </c>
      <c r="L153" s="4"/>
    </row>
    <row r="154" spans="2:12" x14ac:dyDescent="0.25">
      <c r="B154">
        <v>64</v>
      </c>
      <c r="C154">
        <v>576</v>
      </c>
      <c r="D154">
        <v>128</v>
      </c>
      <c r="E154">
        <v>16</v>
      </c>
      <c r="F154">
        <v>1</v>
      </c>
      <c r="H154">
        <v>0.141177</v>
      </c>
      <c r="I154">
        <v>0.16429299999999999</v>
      </c>
      <c r="J154" s="4">
        <f t="shared" si="6"/>
        <v>1.1637377193168859</v>
      </c>
      <c r="L154" s="4"/>
    </row>
    <row r="155" spans="2:12" x14ac:dyDescent="0.25">
      <c r="B155">
        <v>64</v>
      </c>
      <c r="C155">
        <v>576</v>
      </c>
      <c r="D155">
        <v>256</v>
      </c>
      <c r="E155">
        <v>16</v>
      </c>
      <c r="F155">
        <v>1</v>
      </c>
      <c r="H155">
        <v>0.17801</v>
      </c>
      <c r="I155">
        <v>0.19919999999999999</v>
      </c>
      <c r="J155" s="4">
        <f t="shared" si="6"/>
        <v>1.1190382562777372</v>
      </c>
      <c r="L155" s="4"/>
    </row>
    <row r="156" spans="2:12" x14ac:dyDescent="0.25">
      <c r="B156">
        <v>64</v>
      </c>
      <c r="C156">
        <v>576</v>
      </c>
      <c r="D156">
        <v>512</v>
      </c>
      <c r="E156">
        <v>16</v>
      </c>
      <c r="F156">
        <v>1</v>
      </c>
      <c r="H156">
        <v>0.26887899999999998</v>
      </c>
      <c r="I156">
        <v>0.29148000000000002</v>
      </c>
      <c r="J156" s="4">
        <f t="shared" si="6"/>
        <v>1.0840563971154313</v>
      </c>
      <c r="L156" s="4"/>
    </row>
    <row r="157" spans="2:12" x14ac:dyDescent="0.25">
      <c r="B157">
        <v>64</v>
      </c>
      <c r="C157">
        <v>576</v>
      </c>
      <c r="D157">
        <f>1024</f>
        <v>1024</v>
      </c>
      <c r="E157">
        <v>16</v>
      </c>
      <c r="F157">
        <v>1</v>
      </c>
      <c r="H157">
        <v>0.46647499999999997</v>
      </c>
      <c r="I157">
        <v>0.48673100000000002</v>
      </c>
      <c r="J157" s="4">
        <f t="shared" si="6"/>
        <v>1.0434235489576078</v>
      </c>
      <c r="L157" s="4"/>
    </row>
    <row r="158" spans="2:12" x14ac:dyDescent="0.25">
      <c r="B158">
        <v>64</v>
      </c>
      <c r="C158">
        <v>576</v>
      </c>
      <c r="D158">
        <f>2048</f>
        <v>2048</v>
      </c>
      <c r="E158">
        <v>16</v>
      </c>
      <c r="F158">
        <v>1</v>
      </c>
      <c r="H158">
        <v>0.93099799999999999</v>
      </c>
      <c r="I158">
        <v>0.90085000000000004</v>
      </c>
      <c r="J158" s="4">
        <f t="shared" si="6"/>
        <v>0.96761754590235427</v>
      </c>
      <c r="L158" s="4"/>
    </row>
    <row r="159" spans="2:12" x14ac:dyDescent="0.25">
      <c r="B159">
        <v>64</v>
      </c>
      <c r="C159">
        <v>576</v>
      </c>
      <c r="D159">
        <f>4096</f>
        <v>4096</v>
      </c>
      <c r="E159">
        <v>16</v>
      </c>
      <c r="F159">
        <v>1</v>
      </c>
      <c r="H159">
        <v>1.89788</v>
      </c>
      <c r="I159">
        <v>1.6467689999999999</v>
      </c>
      <c r="J159" s="4">
        <f t="shared" si="6"/>
        <v>0.86768868421607259</v>
      </c>
      <c r="L159" s="4"/>
    </row>
    <row r="160" spans="2:12" x14ac:dyDescent="0.25">
      <c r="B160">
        <v>64</v>
      </c>
      <c r="C160">
        <v>576</v>
      </c>
      <c r="D160">
        <f>8192</f>
        <v>8192</v>
      </c>
      <c r="E160">
        <v>16</v>
      </c>
      <c r="F160">
        <v>1</v>
      </c>
      <c r="H160">
        <v>3.8119749999999999</v>
      </c>
      <c r="I160">
        <v>3.2789609999999998</v>
      </c>
      <c r="J160" s="4">
        <f t="shared" si="6"/>
        <v>0.86017379442415021</v>
      </c>
      <c r="L160" s="4"/>
    </row>
    <row r="161" spans="2:12" x14ac:dyDescent="0.25">
      <c r="B161">
        <v>64</v>
      </c>
      <c r="C161">
        <v>576</v>
      </c>
      <c r="D161">
        <f>16384</f>
        <v>16384</v>
      </c>
      <c r="E161">
        <v>16</v>
      </c>
      <c r="F161">
        <v>1</v>
      </c>
      <c r="H161">
        <v>7.6175810000000004</v>
      </c>
      <c r="I161">
        <v>6.2861549999999999</v>
      </c>
      <c r="J161" s="4">
        <f t="shared" si="6"/>
        <v>0.82521669280576071</v>
      </c>
      <c r="L161" s="4"/>
    </row>
    <row r="162" spans="2:12" x14ac:dyDescent="0.25">
      <c r="B162">
        <v>128</v>
      </c>
      <c r="C162">
        <v>576</v>
      </c>
      <c r="D162">
        <v>64</v>
      </c>
      <c r="E162">
        <v>16</v>
      </c>
      <c r="F162">
        <v>1</v>
      </c>
      <c r="H162">
        <v>0.21490799999999999</v>
      </c>
      <c r="I162">
        <v>0.25464799999999999</v>
      </c>
      <c r="J162" s="4">
        <f t="shared" si="6"/>
        <v>1.1849163362927393</v>
      </c>
      <c r="L162" s="4"/>
    </row>
    <row r="163" spans="2:12" x14ac:dyDescent="0.25">
      <c r="B163">
        <v>128</v>
      </c>
      <c r="C163">
        <v>576</v>
      </c>
      <c r="D163">
        <v>128</v>
      </c>
      <c r="E163">
        <v>16</v>
      </c>
      <c r="F163">
        <v>1</v>
      </c>
      <c r="H163">
        <v>0.22161900000000001</v>
      </c>
      <c r="I163">
        <v>0.26158500000000001</v>
      </c>
      <c r="J163" s="4">
        <f t="shared" si="6"/>
        <v>1.1803365234930219</v>
      </c>
      <c r="L163" s="4"/>
    </row>
    <row r="164" spans="2:12" x14ac:dyDescent="0.25">
      <c r="B164">
        <v>128</v>
      </c>
      <c r="C164">
        <v>576</v>
      </c>
      <c r="D164">
        <v>256</v>
      </c>
      <c r="E164">
        <v>16</v>
      </c>
      <c r="F164">
        <v>1</v>
      </c>
      <c r="H164">
        <v>0.300645</v>
      </c>
      <c r="I164">
        <v>0.33429500000000001</v>
      </c>
      <c r="J164" s="4">
        <f t="shared" si="6"/>
        <v>1.1119260257113872</v>
      </c>
      <c r="L164" s="4"/>
    </row>
    <row r="165" spans="2:12" x14ac:dyDescent="0.25">
      <c r="B165">
        <v>128</v>
      </c>
      <c r="C165">
        <v>576</v>
      </c>
      <c r="D165">
        <v>512</v>
      </c>
      <c r="E165">
        <v>16</v>
      </c>
      <c r="F165">
        <v>1</v>
      </c>
      <c r="H165">
        <v>0.48405300000000001</v>
      </c>
      <c r="I165">
        <v>0.50884499999999999</v>
      </c>
      <c r="J165" s="4">
        <f t="shared" si="6"/>
        <v>1.051217531964475</v>
      </c>
      <c r="L165" s="4"/>
    </row>
    <row r="166" spans="2:12" x14ac:dyDescent="0.25">
      <c r="B166">
        <v>128</v>
      </c>
      <c r="C166">
        <v>576</v>
      </c>
      <c r="D166">
        <f>1024</f>
        <v>1024</v>
      </c>
      <c r="E166">
        <v>16</v>
      </c>
      <c r="F166">
        <v>1</v>
      </c>
      <c r="H166">
        <v>0.86820200000000003</v>
      </c>
      <c r="I166">
        <v>0.89003500000000002</v>
      </c>
      <c r="J166" s="4">
        <f t="shared" si="6"/>
        <v>1.0251473735374947</v>
      </c>
      <c r="L166" s="4"/>
    </row>
    <row r="167" spans="2:12" x14ac:dyDescent="0.25">
      <c r="B167">
        <v>128</v>
      </c>
      <c r="C167">
        <v>576</v>
      </c>
      <c r="D167">
        <f>2048</f>
        <v>2048</v>
      </c>
      <c r="E167">
        <v>16</v>
      </c>
      <c r="F167">
        <v>1</v>
      </c>
      <c r="H167">
        <v>1.851629</v>
      </c>
      <c r="I167">
        <v>1.6706259999999999</v>
      </c>
      <c r="J167" s="4">
        <f t="shared" si="6"/>
        <v>0.90224661635781245</v>
      </c>
      <c r="L167" s="4"/>
    </row>
    <row r="168" spans="2:12" x14ac:dyDescent="0.25">
      <c r="B168">
        <v>128</v>
      </c>
      <c r="C168">
        <v>576</v>
      </c>
      <c r="D168">
        <f>4096</f>
        <v>4096</v>
      </c>
      <c r="E168">
        <v>16</v>
      </c>
      <c r="F168">
        <v>1</v>
      </c>
      <c r="H168">
        <v>3.7321689999999998</v>
      </c>
      <c r="I168">
        <v>3.1626919999999998</v>
      </c>
      <c r="J168" s="4">
        <f t="shared" si="6"/>
        <v>0.8474139300765855</v>
      </c>
      <c r="L168" s="4"/>
    </row>
    <row r="169" spans="2:12" x14ac:dyDescent="0.25">
      <c r="B169">
        <v>128</v>
      </c>
      <c r="C169">
        <v>576</v>
      </c>
      <c r="D169">
        <f>8192</f>
        <v>8192</v>
      </c>
      <c r="E169">
        <v>16</v>
      </c>
      <c r="F169">
        <v>1</v>
      </c>
      <c r="H169">
        <v>7.5464359999999999</v>
      </c>
      <c r="I169">
        <v>6.337739</v>
      </c>
      <c r="J169" s="4">
        <f t="shared" si="6"/>
        <v>0.83983207437259122</v>
      </c>
      <c r="L169" s="4"/>
    </row>
    <row r="170" spans="2:12" x14ac:dyDescent="0.25">
      <c r="B170">
        <v>128</v>
      </c>
      <c r="C170">
        <v>576</v>
      </c>
      <c r="D170">
        <f>16384</f>
        <v>16384</v>
      </c>
      <c r="E170">
        <v>16</v>
      </c>
      <c r="F170">
        <v>1</v>
      </c>
      <c r="H170">
        <v>15.114751999999999</v>
      </c>
      <c r="I170">
        <v>12.305443</v>
      </c>
      <c r="J170" s="4">
        <f t="shared" si="6"/>
        <v>0.81413462820957971</v>
      </c>
      <c r="L170" s="4"/>
    </row>
    <row r="171" spans="2:12" x14ac:dyDescent="0.25">
      <c r="B171">
        <v>256</v>
      </c>
      <c r="C171">
        <v>576</v>
      </c>
      <c r="D171">
        <v>64</v>
      </c>
      <c r="E171">
        <v>16</v>
      </c>
      <c r="F171">
        <v>1</v>
      </c>
      <c r="H171">
        <v>0.47187800000000002</v>
      </c>
      <c r="I171">
        <v>0.548373</v>
      </c>
      <c r="J171" s="4">
        <f t="shared" si="6"/>
        <v>1.1621075786538044</v>
      </c>
      <c r="L171" s="4"/>
    </row>
    <row r="172" spans="2:12" x14ac:dyDescent="0.25">
      <c r="B172">
        <v>256</v>
      </c>
      <c r="C172">
        <v>576</v>
      </c>
      <c r="D172">
        <v>128</v>
      </c>
      <c r="E172">
        <v>16</v>
      </c>
      <c r="F172">
        <v>1</v>
      </c>
      <c r="H172">
        <v>0.46613599999999999</v>
      </c>
      <c r="I172">
        <v>0.53002099999999996</v>
      </c>
      <c r="J172" s="4">
        <f t="shared" si="6"/>
        <v>1.1370522765888067</v>
      </c>
      <c r="L172" s="4"/>
    </row>
    <row r="173" spans="2:12" x14ac:dyDescent="0.25">
      <c r="B173">
        <v>256</v>
      </c>
      <c r="C173">
        <v>576</v>
      </c>
      <c r="D173">
        <v>256</v>
      </c>
      <c r="E173">
        <v>16</v>
      </c>
      <c r="F173">
        <v>1</v>
      </c>
      <c r="H173">
        <v>0.61144399999999999</v>
      </c>
      <c r="I173">
        <v>0.65133700000000005</v>
      </c>
      <c r="J173" s="4">
        <f t="shared" si="6"/>
        <v>1.0652439144058983</v>
      </c>
      <c r="L173" s="4"/>
    </row>
    <row r="174" spans="2:12" x14ac:dyDescent="0.25">
      <c r="B174">
        <v>256</v>
      </c>
      <c r="C174">
        <v>576</v>
      </c>
      <c r="D174">
        <v>512</v>
      </c>
      <c r="E174">
        <v>16</v>
      </c>
      <c r="F174">
        <v>1</v>
      </c>
      <c r="H174">
        <v>0.723217</v>
      </c>
      <c r="I174">
        <v>0.97827299999999995</v>
      </c>
      <c r="J174" s="4">
        <f t="shared" si="6"/>
        <v>1.3526687010952452</v>
      </c>
      <c r="L174" s="4"/>
    </row>
  </sheetData>
  <phoneticPr fontId="1" type="noConversion"/>
  <conditionalFormatting sqref="J9:J174">
    <cfRule type="expression" dxfId="3" priority="4">
      <formula>$J$9&lt;1</formula>
    </cfRule>
  </conditionalFormatting>
  <conditionalFormatting sqref="J10">
    <cfRule type="cellIs" dxfId="2" priority="3" operator="lessThan">
      <formula>1</formula>
    </cfRule>
  </conditionalFormatting>
  <conditionalFormatting sqref="J9:J174">
    <cfRule type="cellIs" dxfId="1" priority="2" operator="lessThan">
      <formula>$J$7</formula>
    </cfRule>
  </conditionalFormatting>
  <conditionalFormatting sqref="J9:J174">
    <cfRule type="cellIs" dxfId="0" priority="1" operator="lessThan">
      <formula>$J$7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X176"/>
  <sheetViews>
    <sheetView workbookViewId="0">
      <selection activeCell="H101" sqref="H101"/>
    </sheetView>
  </sheetViews>
  <sheetFormatPr defaultRowHeight="13.8" x14ac:dyDescent="0.25"/>
  <cols>
    <col min="2" max="2" width="4.33203125" customWidth="1"/>
    <col min="4" max="7" width="13.5546875" customWidth="1"/>
    <col min="8" max="8" width="32.21875" bestFit="1" customWidth="1"/>
    <col min="9" max="9" width="20.44140625" customWidth="1"/>
    <col min="10" max="10" width="10.21875" bestFit="1" customWidth="1"/>
    <col min="11" max="11" width="25.88671875" bestFit="1" customWidth="1"/>
    <col min="19" max="20" width="10.21875" bestFit="1" customWidth="1"/>
  </cols>
  <sheetData>
    <row r="3" spans="3:22" x14ac:dyDescent="0.25">
      <c r="C3" t="s">
        <v>24</v>
      </c>
      <c r="E3" s="3"/>
    </row>
    <row r="5" spans="3:22" x14ac:dyDescent="0.25">
      <c r="C5" s="6" t="s">
        <v>16</v>
      </c>
      <c r="D5" s="1"/>
      <c r="E5" s="3"/>
      <c r="U5">
        <v>7.0548E-2</v>
      </c>
      <c r="V5">
        <v>7.0548E-2</v>
      </c>
    </row>
    <row r="6" spans="3:22" x14ac:dyDescent="0.25">
      <c r="D6" t="s">
        <v>12</v>
      </c>
      <c r="E6" t="s">
        <v>10</v>
      </c>
      <c r="F6" t="s">
        <v>11</v>
      </c>
      <c r="G6" t="s">
        <v>13</v>
      </c>
      <c r="H6" t="s">
        <v>14</v>
      </c>
      <c r="I6" t="s">
        <v>15</v>
      </c>
      <c r="R6" s="3"/>
      <c r="U6">
        <v>7.4644000000000002E-2</v>
      </c>
      <c r="V6">
        <v>7.4644000000000002E-2</v>
      </c>
    </row>
    <row r="7" spans="3:22" x14ac:dyDescent="0.25">
      <c r="D7">
        <v>1</v>
      </c>
      <c r="E7">
        <v>8</v>
      </c>
      <c r="F7">
        <v>1</v>
      </c>
      <c r="G7">
        <v>5.2999999999999999E-2</v>
      </c>
      <c r="H7">
        <v>6.0434000000000002E-2</v>
      </c>
      <c r="I7" s="4">
        <f>H7/G7</f>
        <v>1.1402641509433964</v>
      </c>
      <c r="R7" s="1"/>
      <c r="U7">
        <v>6.8915000000000004E-2</v>
      </c>
      <c r="V7">
        <v>6.8915000000000004E-2</v>
      </c>
    </row>
    <row r="8" spans="3:22" x14ac:dyDescent="0.25">
      <c r="D8">
        <v>1</v>
      </c>
      <c r="E8">
        <v>16</v>
      </c>
      <c r="F8">
        <v>1</v>
      </c>
      <c r="G8">
        <v>7.1999999999999995E-2</v>
      </c>
      <c r="H8">
        <v>6.0533999999999998E-2</v>
      </c>
      <c r="I8" s="4">
        <f t="shared" ref="I8:I26" si="0">H8/G8</f>
        <v>0.84075</v>
      </c>
      <c r="R8" s="1"/>
      <c r="U8">
        <v>7.6747999999999997E-2</v>
      </c>
      <c r="V8">
        <v>7.6747999999999997E-2</v>
      </c>
    </row>
    <row r="9" spans="3:22" x14ac:dyDescent="0.25">
      <c r="D9">
        <v>2</v>
      </c>
      <c r="E9">
        <v>8</v>
      </c>
      <c r="F9">
        <v>1</v>
      </c>
      <c r="G9">
        <v>5.6000000000000001E-2</v>
      </c>
      <c r="H9">
        <v>6.5077999999999997E-2</v>
      </c>
      <c r="I9" s="4">
        <f t="shared" si="0"/>
        <v>1.1621071428571428</v>
      </c>
      <c r="R9" s="1"/>
      <c r="U9">
        <v>6.8151000000000003E-2</v>
      </c>
      <c r="V9">
        <v>6.8151000000000003E-2</v>
      </c>
    </row>
    <row r="10" spans="3:22" x14ac:dyDescent="0.25">
      <c r="D10">
        <v>2</v>
      </c>
      <c r="E10">
        <v>16</v>
      </c>
      <c r="F10">
        <v>1</v>
      </c>
      <c r="G10">
        <v>5.6000000000000001E-2</v>
      </c>
      <c r="H10">
        <v>5.9159000000000003E-2</v>
      </c>
      <c r="I10" s="4">
        <f t="shared" si="0"/>
        <v>1.0564107142857144</v>
      </c>
      <c r="R10" s="1"/>
      <c r="U10">
        <v>7.5291999999999998E-2</v>
      </c>
      <c r="V10">
        <v>7.5291999999999998E-2</v>
      </c>
    </row>
    <row r="11" spans="3:22" x14ac:dyDescent="0.25">
      <c r="D11">
        <v>4</v>
      </c>
      <c r="E11">
        <v>8</v>
      </c>
      <c r="F11">
        <v>1</v>
      </c>
      <c r="G11">
        <v>5.6000000000000001E-2</v>
      </c>
      <c r="H11">
        <v>5.9808E-2</v>
      </c>
      <c r="I11" s="4">
        <f t="shared" si="0"/>
        <v>1.0680000000000001</v>
      </c>
      <c r="R11" s="1"/>
      <c r="U11">
        <v>7.3956999999999995E-2</v>
      </c>
      <c r="V11">
        <v>7.3956999999999995E-2</v>
      </c>
    </row>
    <row r="12" spans="3:22" x14ac:dyDescent="0.25">
      <c r="D12">
        <v>4</v>
      </c>
      <c r="E12">
        <v>16</v>
      </c>
      <c r="F12">
        <v>1</v>
      </c>
      <c r="G12">
        <v>5.5E-2</v>
      </c>
      <c r="H12">
        <v>5.9330000000000001E-2</v>
      </c>
      <c r="I12" s="4">
        <f t="shared" si="0"/>
        <v>1.0787272727272728</v>
      </c>
      <c r="R12" s="1"/>
      <c r="U12">
        <v>7.4459999999999998E-2</v>
      </c>
      <c r="V12">
        <v>7.4459999999999998E-2</v>
      </c>
    </row>
    <row r="13" spans="3:22" x14ac:dyDescent="0.25">
      <c r="D13">
        <v>8</v>
      </c>
      <c r="E13">
        <v>8</v>
      </c>
      <c r="F13">
        <v>1</v>
      </c>
      <c r="G13">
        <v>5.7000000000000002E-2</v>
      </c>
      <c r="H13">
        <v>8.2059000000000007E-2</v>
      </c>
      <c r="I13" s="4">
        <f t="shared" si="0"/>
        <v>1.4396315789473686</v>
      </c>
      <c r="R13" s="1"/>
      <c r="U13">
        <v>7.1791999999999995E-2</v>
      </c>
      <c r="V13">
        <v>7.1791999999999995E-2</v>
      </c>
    </row>
    <row r="14" spans="3:22" x14ac:dyDescent="0.25">
      <c r="D14">
        <v>8</v>
      </c>
      <c r="E14">
        <v>16</v>
      </c>
      <c r="F14">
        <v>1</v>
      </c>
      <c r="G14">
        <v>5.7000000000000002E-2</v>
      </c>
      <c r="H14">
        <v>0.128111</v>
      </c>
      <c r="I14" s="4">
        <f t="shared" si="0"/>
        <v>2.2475614035087719</v>
      </c>
      <c r="R14" s="1"/>
      <c r="U14">
        <v>7.8088000000000005E-2</v>
      </c>
      <c r="V14">
        <v>7.8088000000000005E-2</v>
      </c>
    </row>
    <row r="15" spans="3:22" x14ac:dyDescent="0.25">
      <c r="D15">
        <v>16</v>
      </c>
      <c r="E15">
        <v>8</v>
      </c>
      <c r="F15">
        <v>1</v>
      </c>
      <c r="G15">
        <v>6.4000000000000001E-2</v>
      </c>
      <c r="H15">
        <v>8.9982000000000006E-2</v>
      </c>
      <c r="I15" s="4">
        <f t="shared" si="0"/>
        <v>1.40596875</v>
      </c>
      <c r="R15" s="1"/>
      <c r="U15">
        <v>9.2662999999999995E-2</v>
      </c>
      <c r="V15">
        <v>9.2662999999999995E-2</v>
      </c>
    </row>
    <row r="16" spans="3:22" x14ac:dyDescent="0.25">
      <c r="D16">
        <v>16</v>
      </c>
      <c r="E16">
        <v>16</v>
      </c>
      <c r="F16">
        <v>1</v>
      </c>
      <c r="G16">
        <v>6.2E-2</v>
      </c>
      <c r="H16">
        <v>6.3282000000000005E-2</v>
      </c>
      <c r="I16" s="4">
        <f t="shared" si="0"/>
        <v>1.0206774193548387</v>
      </c>
      <c r="R16" s="1"/>
      <c r="U16">
        <v>0.10231899999999999</v>
      </c>
      <c r="V16">
        <v>0.10231899999999999</v>
      </c>
    </row>
    <row r="17" spans="3:22" x14ac:dyDescent="0.25">
      <c r="D17">
        <v>32</v>
      </c>
      <c r="E17">
        <v>8</v>
      </c>
      <c r="F17">
        <v>1</v>
      </c>
      <c r="G17">
        <v>0.06</v>
      </c>
      <c r="H17">
        <v>7.2786000000000003E-2</v>
      </c>
      <c r="I17" s="4">
        <f t="shared" si="0"/>
        <v>1.2131000000000001</v>
      </c>
      <c r="R17" s="1"/>
      <c r="U17">
        <v>0.134489</v>
      </c>
      <c r="V17">
        <v>0.134489</v>
      </c>
    </row>
    <row r="18" spans="3:22" x14ac:dyDescent="0.25">
      <c r="D18">
        <v>32</v>
      </c>
      <c r="E18">
        <v>16</v>
      </c>
      <c r="F18">
        <v>1</v>
      </c>
      <c r="G18">
        <v>6.0999999999999999E-2</v>
      </c>
      <c r="H18">
        <v>6.1845999999999998E-2</v>
      </c>
      <c r="I18" s="4">
        <f t="shared" si="0"/>
        <v>1.0138688524590165</v>
      </c>
      <c r="R18" s="1"/>
      <c r="U18">
        <v>0.15645100000000001</v>
      </c>
      <c r="V18">
        <v>0.15645100000000001</v>
      </c>
    </row>
    <row r="19" spans="3:22" x14ac:dyDescent="0.25">
      <c r="D19">
        <v>64</v>
      </c>
      <c r="E19">
        <v>8</v>
      </c>
      <c r="F19">
        <v>1</v>
      </c>
      <c r="G19">
        <v>6.5000000000000002E-2</v>
      </c>
      <c r="H19">
        <v>9.7002000000000005E-2</v>
      </c>
      <c r="I19" s="4">
        <f t="shared" si="0"/>
        <v>1.4923384615384616</v>
      </c>
      <c r="R19" s="1"/>
      <c r="U19">
        <v>0.22971900000000001</v>
      </c>
      <c r="V19">
        <v>0.22971900000000001</v>
      </c>
    </row>
    <row r="20" spans="3:22" x14ac:dyDescent="0.25">
      <c r="D20">
        <v>64</v>
      </c>
      <c r="E20">
        <v>16</v>
      </c>
      <c r="F20">
        <v>1</v>
      </c>
      <c r="G20">
        <v>6.5000000000000002E-2</v>
      </c>
      <c r="H20">
        <v>8.6098999999999995E-2</v>
      </c>
      <c r="I20" s="4">
        <f t="shared" si="0"/>
        <v>1.3245999999999998</v>
      </c>
      <c r="R20" s="1"/>
      <c r="U20">
        <v>0.27191599999999999</v>
      </c>
      <c r="V20">
        <v>0.27191599999999999</v>
      </c>
    </row>
    <row r="21" spans="3:22" x14ac:dyDescent="0.25">
      <c r="D21">
        <v>128</v>
      </c>
      <c r="E21">
        <v>8</v>
      </c>
      <c r="F21">
        <v>1</v>
      </c>
      <c r="G21">
        <v>7.4999999999999997E-2</v>
      </c>
      <c r="H21">
        <v>8.5969000000000004E-2</v>
      </c>
      <c r="I21" s="4">
        <f t="shared" si="0"/>
        <v>1.1462533333333333</v>
      </c>
      <c r="R21" s="1"/>
      <c r="U21">
        <v>0.40230500000000002</v>
      </c>
      <c r="V21">
        <v>0.40230500000000002</v>
      </c>
    </row>
    <row r="22" spans="3:22" x14ac:dyDescent="0.25">
      <c r="D22">
        <v>128</v>
      </c>
      <c r="E22">
        <v>16</v>
      </c>
      <c r="F22">
        <v>1</v>
      </c>
      <c r="G22">
        <v>8.3000000000000004E-2</v>
      </c>
      <c r="H22">
        <v>6.9716E-2</v>
      </c>
      <c r="I22" s="4">
        <f t="shared" si="0"/>
        <v>0.8399518072289156</v>
      </c>
      <c r="R22" s="1"/>
      <c r="U22">
        <v>0.48702499999999999</v>
      </c>
      <c r="V22">
        <v>0.48702499999999999</v>
      </c>
    </row>
    <row r="23" spans="3:22" x14ac:dyDescent="0.25">
      <c r="D23">
        <v>256</v>
      </c>
      <c r="E23">
        <v>8</v>
      </c>
      <c r="F23">
        <v>1</v>
      </c>
      <c r="G23">
        <v>0.107</v>
      </c>
      <c r="H23">
        <v>6.4827999999999997E-2</v>
      </c>
      <c r="I23" s="4">
        <f t="shared" si="0"/>
        <v>0.60586915887850468</v>
      </c>
      <c r="R23" s="1"/>
      <c r="U23">
        <v>1.650935</v>
      </c>
      <c r="V23">
        <v>1.650935</v>
      </c>
    </row>
    <row r="24" spans="3:22" x14ac:dyDescent="0.25">
      <c r="D24">
        <v>256</v>
      </c>
      <c r="E24">
        <v>16</v>
      </c>
      <c r="F24">
        <v>1</v>
      </c>
      <c r="G24">
        <v>0.125</v>
      </c>
      <c r="H24">
        <v>6.4890000000000003E-2</v>
      </c>
      <c r="I24" s="4">
        <f t="shared" si="0"/>
        <v>0.51912000000000003</v>
      </c>
      <c r="R24" s="1"/>
      <c r="U24">
        <v>1.1686540000000001</v>
      </c>
      <c r="V24">
        <v>1.1686540000000001</v>
      </c>
    </row>
    <row r="25" spans="3:22" x14ac:dyDescent="0.25">
      <c r="D25">
        <v>512</v>
      </c>
      <c r="E25">
        <v>8</v>
      </c>
      <c r="F25">
        <v>1</v>
      </c>
      <c r="G25">
        <v>0.17799999999999999</v>
      </c>
      <c r="H25">
        <v>9.5454999999999998E-2</v>
      </c>
      <c r="I25" s="4">
        <f t="shared" si="0"/>
        <v>0.53626404494382029</v>
      </c>
      <c r="R25" s="1"/>
    </row>
    <row r="26" spans="3:22" x14ac:dyDescent="0.25">
      <c r="D26">
        <v>512</v>
      </c>
      <c r="E26">
        <v>16</v>
      </c>
      <c r="F26">
        <v>1</v>
      </c>
      <c r="G26">
        <v>0.16400000000000001</v>
      </c>
      <c r="H26">
        <v>8.4869E-2</v>
      </c>
      <c r="I26" s="4">
        <f t="shared" si="0"/>
        <v>0.51749390243902438</v>
      </c>
    </row>
    <row r="27" spans="3:22" x14ac:dyDescent="0.25">
      <c r="D27" s="1"/>
      <c r="E27" s="1"/>
    </row>
    <row r="28" spans="3:22" x14ac:dyDescent="0.25">
      <c r="C28" t="s">
        <v>25</v>
      </c>
      <c r="D28" s="1"/>
      <c r="E28" s="1"/>
    </row>
    <row r="29" spans="3:22" x14ac:dyDescent="0.25">
      <c r="C29" t="s">
        <v>26</v>
      </c>
      <c r="D29" s="1"/>
      <c r="E29" s="1"/>
    </row>
    <row r="30" spans="3:22" x14ac:dyDescent="0.25">
      <c r="C30" t="s">
        <v>27</v>
      </c>
      <c r="D30" s="1"/>
      <c r="E30" s="1"/>
    </row>
    <row r="31" spans="3:22" x14ac:dyDescent="0.25">
      <c r="D31" s="1"/>
      <c r="E31" s="1"/>
    </row>
    <row r="32" spans="3:22" x14ac:dyDescent="0.25">
      <c r="C32" s="7" t="s">
        <v>17</v>
      </c>
      <c r="D32" s="1"/>
      <c r="E32" s="1"/>
    </row>
    <row r="33" spans="4:12" x14ac:dyDescent="0.25">
      <c r="D33" t="s">
        <v>12</v>
      </c>
      <c r="E33" t="s">
        <v>10</v>
      </c>
      <c r="F33" t="s">
        <v>11</v>
      </c>
      <c r="G33" t="s">
        <v>13</v>
      </c>
      <c r="H33" t="s">
        <v>28</v>
      </c>
      <c r="I33" t="s">
        <v>15</v>
      </c>
    </row>
    <row r="34" spans="4:12" x14ac:dyDescent="0.25">
      <c r="D34">
        <v>1</v>
      </c>
      <c r="E34">
        <v>8</v>
      </c>
      <c r="F34">
        <v>1</v>
      </c>
      <c r="G34">
        <v>5.2999999999999999E-2</v>
      </c>
      <c r="H34">
        <v>6.1920999999999997E-2</v>
      </c>
      <c r="I34" s="4">
        <f>H34/G34</f>
        <v>1.1683207547169812</v>
      </c>
      <c r="L34" s="4"/>
    </row>
    <row r="35" spans="4:12" x14ac:dyDescent="0.25">
      <c r="D35">
        <v>1</v>
      </c>
      <c r="E35">
        <v>16</v>
      </c>
      <c r="F35">
        <v>1</v>
      </c>
      <c r="G35">
        <v>5.6000000000000001E-2</v>
      </c>
      <c r="H35">
        <v>6.2198000000000003E-2</v>
      </c>
      <c r="I35" s="4">
        <f t="shared" ref="I35:I80" si="1">H35/G35</f>
        <v>1.1106785714285714</v>
      </c>
      <c r="L35" s="4"/>
    </row>
    <row r="36" spans="4:12" x14ac:dyDescent="0.25">
      <c r="D36">
        <v>2</v>
      </c>
      <c r="E36">
        <v>8</v>
      </c>
      <c r="F36">
        <v>1</v>
      </c>
      <c r="G36">
        <v>5.2999999999999999E-2</v>
      </c>
      <c r="H36">
        <v>6.1718000000000002E-2</v>
      </c>
      <c r="I36" s="4">
        <f t="shared" si="1"/>
        <v>1.1644905660377358</v>
      </c>
      <c r="L36" s="4"/>
    </row>
    <row r="37" spans="4:12" x14ac:dyDescent="0.25">
      <c r="D37">
        <v>2</v>
      </c>
      <c r="E37">
        <v>16</v>
      </c>
      <c r="F37">
        <v>1</v>
      </c>
      <c r="G37">
        <v>5.6000000000000001E-2</v>
      </c>
      <c r="H37">
        <v>6.1726000000000003E-2</v>
      </c>
      <c r="I37" s="4">
        <f t="shared" si="1"/>
        <v>1.10225</v>
      </c>
      <c r="L37" s="4"/>
    </row>
    <row r="38" spans="4:12" x14ac:dyDescent="0.25">
      <c r="D38">
        <v>4</v>
      </c>
      <c r="E38">
        <v>8</v>
      </c>
      <c r="F38">
        <v>1</v>
      </c>
      <c r="G38">
        <v>5.6000000000000001E-2</v>
      </c>
      <c r="H38">
        <v>6.2037000000000002E-2</v>
      </c>
      <c r="I38" s="4">
        <f t="shared" si="1"/>
        <v>1.1078035714285714</v>
      </c>
      <c r="L38" s="4"/>
    </row>
    <row r="39" spans="4:12" x14ac:dyDescent="0.25">
      <c r="D39">
        <v>4</v>
      </c>
      <c r="E39">
        <v>16</v>
      </c>
      <c r="F39">
        <v>1</v>
      </c>
      <c r="G39">
        <v>5.1999999999999998E-2</v>
      </c>
      <c r="H39">
        <v>6.2226999999999998E-2</v>
      </c>
      <c r="I39" s="4">
        <f t="shared" si="1"/>
        <v>1.1966730769230769</v>
      </c>
      <c r="L39" s="4"/>
    </row>
    <row r="40" spans="4:12" x14ac:dyDescent="0.25">
      <c r="D40">
        <v>8</v>
      </c>
      <c r="E40">
        <v>8</v>
      </c>
      <c r="F40">
        <v>1</v>
      </c>
      <c r="G40">
        <v>5.3999999999999999E-2</v>
      </c>
      <c r="H40">
        <v>6.2497999999999998E-2</v>
      </c>
      <c r="I40" s="4">
        <f t="shared" si="1"/>
        <v>1.1573703703703704</v>
      </c>
      <c r="L40" s="4"/>
    </row>
    <row r="41" spans="4:12" x14ac:dyDescent="0.25">
      <c r="D41">
        <v>8</v>
      </c>
      <c r="E41">
        <v>16</v>
      </c>
      <c r="F41">
        <v>1</v>
      </c>
      <c r="G41">
        <v>5.5E-2</v>
      </c>
      <c r="H41">
        <v>6.2614000000000003E-2</v>
      </c>
      <c r="I41" s="4">
        <f t="shared" si="1"/>
        <v>1.1384363636363637</v>
      </c>
      <c r="L41" s="4"/>
    </row>
    <row r="42" spans="4:12" x14ac:dyDescent="0.25">
      <c r="D42">
        <v>16</v>
      </c>
      <c r="E42">
        <v>8</v>
      </c>
      <c r="F42">
        <v>1</v>
      </c>
      <c r="G42">
        <v>5.8000000000000003E-2</v>
      </c>
      <c r="H42">
        <v>6.4667000000000002E-2</v>
      </c>
      <c r="I42" s="4">
        <f t="shared" si="1"/>
        <v>1.114948275862069</v>
      </c>
      <c r="L42" s="4"/>
    </row>
    <row r="43" spans="4:12" x14ac:dyDescent="0.25">
      <c r="D43">
        <v>16</v>
      </c>
      <c r="E43">
        <v>16</v>
      </c>
      <c r="F43">
        <v>1</v>
      </c>
      <c r="G43">
        <v>7.0000000000000007E-2</v>
      </c>
      <c r="H43">
        <v>6.5044000000000005E-2</v>
      </c>
      <c r="I43" s="4">
        <f t="shared" si="1"/>
        <v>0.92920000000000003</v>
      </c>
      <c r="L43" s="4"/>
    </row>
    <row r="44" spans="4:12" x14ac:dyDescent="0.25">
      <c r="D44">
        <v>32</v>
      </c>
      <c r="E44">
        <v>8</v>
      </c>
      <c r="F44">
        <v>1</v>
      </c>
      <c r="G44">
        <v>7.9000000000000001E-2</v>
      </c>
      <c r="H44">
        <v>8.2454E-2</v>
      </c>
      <c r="I44" s="4">
        <f t="shared" si="1"/>
        <v>1.0437215189873417</v>
      </c>
      <c r="L44" s="4"/>
    </row>
    <row r="45" spans="4:12" x14ac:dyDescent="0.25">
      <c r="D45">
        <v>32</v>
      </c>
      <c r="E45">
        <v>16</v>
      </c>
      <c r="F45">
        <v>1</v>
      </c>
      <c r="G45">
        <v>0.111</v>
      </c>
      <c r="H45">
        <v>8.3215999999999998E-2</v>
      </c>
      <c r="I45" s="4">
        <f t="shared" si="1"/>
        <v>0.74969369369369365</v>
      </c>
      <c r="L45" s="4"/>
    </row>
    <row r="46" spans="4:12" x14ac:dyDescent="0.25">
      <c r="D46">
        <v>64</v>
      </c>
      <c r="E46">
        <v>8</v>
      </c>
      <c r="F46">
        <v>1</v>
      </c>
      <c r="G46">
        <v>0.11</v>
      </c>
      <c r="H46">
        <v>0.10487299999999999</v>
      </c>
      <c r="I46" s="4">
        <f t="shared" si="1"/>
        <v>0.95339090909090907</v>
      </c>
      <c r="L46" s="4"/>
    </row>
    <row r="47" spans="4:12" x14ac:dyDescent="0.25">
      <c r="D47">
        <v>64</v>
      </c>
      <c r="E47">
        <v>16</v>
      </c>
      <c r="F47">
        <v>1</v>
      </c>
      <c r="G47">
        <v>0.184</v>
      </c>
      <c r="H47">
        <v>0.16100700000000001</v>
      </c>
      <c r="I47" s="4">
        <f t="shared" si="1"/>
        <v>0.87503804347826097</v>
      </c>
      <c r="L47" s="4"/>
    </row>
    <row r="48" spans="4:12" x14ac:dyDescent="0.25">
      <c r="D48">
        <v>128</v>
      </c>
      <c r="E48">
        <v>8</v>
      </c>
      <c r="F48">
        <v>1</v>
      </c>
      <c r="G48">
        <v>0.186</v>
      </c>
      <c r="H48">
        <v>0.107044</v>
      </c>
      <c r="I48" s="4">
        <f t="shared" si="1"/>
        <v>0.57550537634408605</v>
      </c>
      <c r="L48" s="4"/>
    </row>
    <row r="49" spans="4:12" x14ac:dyDescent="0.25">
      <c r="D49">
        <v>128</v>
      </c>
      <c r="E49">
        <v>16</v>
      </c>
      <c r="F49">
        <v>1</v>
      </c>
      <c r="G49">
        <v>0.187</v>
      </c>
      <c r="H49">
        <v>0.16312699999999999</v>
      </c>
      <c r="I49" s="4">
        <f t="shared" si="1"/>
        <v>0.87233689839572193</v>
      </c>
      <c r="L49" s="4"/>
    </row>
    <row r="50" spans="4:12" x14ac:dyDescent="0.25">
      <c r="D50">
        <v>256</v>
      </c>
      <c r="E50">
        <v>8</v>
      </c>
      <c r="F50">
        <v>1</v>
      </c>
      <c r="G50">
        <v>0.19500000000000001</v>
      </c>
      <c r="H50">
        <v>0.10950799999999999</v>
      </c>
      <c r="I50" s="4">
        <f t="shared" si="1"/>
        <v>0.56157948717948714</v>
      </c>
      <c r="L50" s="4"/>
    </row>
    <row r="51" spans="4:12" x14ac:dyDescent="0.25">
      <c r="D51">
        <v>256</v>
      </c>
      <c r="E51">
        <v>16</v>
      </c>
      <c r="F51">
        <v>1</v>
      </c>
      <c r="G51">
        <v>0.27700000000000002</v>
      </c>
      <c r="H51">
        <v>0.16714999999999999</v>
      </c>
      <c r="I51" s="4">
        <f t="shared" si="1"/>
        <v>0.60342960288808656</v>
      </c>
      <c r="L51" s="4"/>
    </row>
    <row r="52" spans="4:12" x14ac:dyDescent="0.25">
      <c r="D52">
        <v>512</v>
      </c>
      <c r="E52">
        <v>8</v>
      </c>
      <c r="F52">
        <v>1</v>
      </c>
      <c r="G52">
        <v>0.27800000000000002</v>
      </c>
      <c r="H52">
        <v>0.173767</v>
      </c>
      <c r="I52" s="4">
        <f t="shared" si="1"/>
        <v>0.62506115107913662</v>
      </c>
      <c r="L52" s="4"/>
    </row>
    <row r="53" spans="4:12" x14ac:dyDescent="0.25">
      <c r="D53">
        <v>512</v>
      </c>
      <c r="E53">
        <v>16</v>
      </c>
      <c r="F53">
        <v>1</v>
      </c>
      <c r="G53">
        <v>0.45800000000000002</v>
      </c>
      <c r="H53">
        <v>0.29346899999999998</v>
      </c>
      <c r="I53" s="4">
        <f t="shared" si="1"/>
        <v>0.64076200873362443</v>
      </c>
      <c r="L53" s="4"/>
    </row>
    <row r="54" spans="4:12" x14ac:dyDescent="0.25">
      <c r="D54" s="1"/>
      <c r="E54" s="1"/>
      <c r="I54" s="4"/>
    </row>
    <row r="55" spans="4:12" x14ac:dyDescent="0.25">
      <c r="D55" s="1"/>
      <c r="E55" s="1"/>
      <c r="I55" s="4"/>
    </row>
    <row r="56" spans="4:12" x14ac:dyDescent="0.25">
      <c r="D56" s="1"/>
      <c r="E56" s="1"/>
      <c r="I56" s="4"/>
    </row>
    <row r="57" spans="4:12" x14ac:dyDescent="0.25">
      <c r="D57" s="1"/>
      <c r="E57" s="1"/>
      <c r="I57" s="4"/>
    </row>
    <row r="58" spans="4:12" x14ac:dyDescent="0.25">
      <c r="D58" s="1"/>
      <c r="E58" s="1"/>
      <c r="I58" s="4"/>
    </row>
    <row r="59" spans="4:12" x14ac:dyDescent="0.25">
      <c r="D59" s="1"/>
      <c r="E59" s="1"/>
      <c r="I59" s="4"/>
    </row>
    <row r="60" spans="4:12" x14ac:dyDescent="0.25">
      <c r="D60" s="1"/>
      <c r="E60" s="1"/>
      <c r="I60" s="4"/>
    </row>
    <row r="61" spans="4:12" x14ac:dyDescent="0.25">
      <c r="D61" s="1"/>
      <c r="E61" s="1"/>
      <c r="I61" s="4"/>
    </row>
    <row r="62" spans="4:12" x14ac:dyDescent="0.25">
      <c r="D62" s="1"/>
      <c r="E62" s="1"/>
      <c r="I62" s="4"/>
    </row>
    <row r="63" spans="4:12" x14ac:dyDescent="0.25">
      <c r="D63" s="1"/>
      <c r="E63" s="1"/>
      <c r="I63" s="4"/>
    </row>
    <row r="64" spans="4:12" x14ac:dyDescent="0.25">
      <c r="D64" s="1"/>
      <c r="E64" s="1"/>
      <c r="I64" s="4"/>
    </row>
    <row r="65" spans="4:24" x14ac:dyDescent="0.25">
      <c r="D65" s="1"/>
      <c r="E65" s="1"/>
      <c r="I65" s="4"/>
    </row>
    <row r="66" spans="4:24" x14ac:dyDescent="0.25">
      <c r="D66" s="1"/>
      <c r="E66" s="1"/>
      <c r="I66" s="4"/>
    </row>
    <row r="67" spans="4:24" x14ac:dyDescent="0.25">
      <c r="D67" s="1"/>
      <c r="E67" s="1"/>
      <c r="I67" s="4"/>
    </row>
    <row r="68" spans="4:24" x14ac:dyDescent="0.25">
      <c r="D68" s="1"/>
      <c r="E68" s="1"/>
      <c r="I68" s="4"/>
      <c r="X68">
        <v>5.4592000000000002E-2</v>
      </c>
    </row>
    <row r="69" spans="4:24" x14ac:dyDescent="0.25">
      <c r="D69" s="1"/>
      <c r="E69" s="1"/>
      <c r="I69" s="4"/>
      <c r="X69">
        <v>5.4783999999999999E-2</v>
      </c>
    </row>
    <row r="70" spans="4:24" x14ac:dyDescent="0.25">
      <c r="D70" s="1"/>
      <c r="E70" s="1"/>
      <c r="I70" s="4"/>
      <c r="X70">
        <v>5.6703999999999997E-2</v>
      </c>
    </row>
    <row r="71" spans="4:24" x14ac:dyDescent="0.25">
      <c r="D71" s="1"/>
      <c r="E71" s="1"/>
      <c r="I71" s="4"/>
      <c r="X71">
        <v>5.6703999999999997E-2</v>
      </c>
    </row>
    <row r="72" spans="4:24" x14ac:dyDescent="0.25">
      <c r="D72" s="1"/>
      <c r="E72" s="1"/>
      <c r="I72" s="4"/>
      <c r="X72">
        <v>5.6447999999999998E-2</v>
      </c>
    </row>
    <row r="73" spans="4:24" x14ac:dyDescent="0.25">
      <c r="D73" s="1"/>
      <c r="E73" s="1"/>
      <c r="I73" s="4"/>
      <c r="X73">
        <v>5.6703999999999997E-2</v>
      </c>
    </row>
    <row r="74" spans="4:24" x14ac:dyDescent="0.25">
      <c r="D74" s="1"/>
      <c r="E74" s="1"/>
      <c r="I74" s="4"/>
      <c r="X74">
        <v>5.5936E-2</v>
      </c>
    </row>
    <row r="75" spans="4:24" x14ac:dyDescent="0.25">
      <c r="D75" s="1"/>
      <c r="E75" s="1"/>
      <c r="I75" s="4"/>
      <c r="X75">
        <v>5.5488000000000003E-2</v>
      </c>
    </row>
    <row r="76" spans="4:24" x14ac:dyDescent="0.25">
      <c r="D76" s="1"/>
      <c r="E76" s="1"/>
      <c r="I76" s="4"/>
      <c r="X76">
        <v>5.6832000000000001E-2</v>
      </c>
    </row>
    <row r="77" spans="4:24" x14ac:dyDescent="0.25">
      <c r="D77" s="1"/>
      <c r="E77" s="1"/>
      <c r="I77" s="4"/>
      <c r="X77">
        <v>5.7088E-2</v>
      </c>
    </row>
    <row r="78" spans="4:24" x14ac:dyDescent="0.25">
      <c r="D78" s="1"/>
      <c r="E78" s="1"/>
      <c r="I78" s="4"/>
      <c r="X78">
        <v>5.6640000000000003E-2</v>
      </c>
    </row>
    <row r="79" spans="4:24" x14ac:dyDescent="0.25">
      <c r="D79" s="1"/>
      <c r="E79" s="1"/>
      <c r="I79" s="4"/>
      <c r="X79">
        <v>5.6576000000000001E-2</v>
      </c>
    </row>
    <row r="80" spans="4:24" x14ac:dyDescent="0.25">
      <c r="D80" s="1"/>
      <c r="E80" s="1"/>
      <c r="I80" s="4"/>
      <c r="X80">
        <v>5.8048000000000002E-2</v>
      </c>
    </row>
    <row r="81" spans="4:24" x14ac:dyDescent="0.25">
      <c r="D81" s="1"/>
      <c r="E81" s="1"/>
      <c r="X81">
        <v>5.7855999999999998E-2</v>
      </c>
    </row>
    <row r="82" spans="4:24" x14ac:dyDescent="0.25">
      <c r="D82" s="1"/>
      <c r="E82" s="1"/>
      <c r="X82">
        <v>5.8944000000000003E-2</v>
      </c>
    </row>
    <row r="83" spans="4:24" x14ac:dyDescent="0.25">
      <c r="D83" s="1"/>
      <c r="E83" s="1"/>
      <c r="X83">
        <v>5.8624000000000002E-2</v>
      </c>
    </row>
    <row r="84" spans="4:24" x14ac:dyDescent="0.25">
      <c r="D84" s="1"/>
      <c r="E84" s="1"/>
      <c r="X84">
        <v>6.2272000000000001E-2</v>
      </c>
    </row>
    <row r="85" spans="4:24" x14ac:dyDescent="0.25">
      <c r="D85" s="1"/>
      <c r="E85" s="1"/>
      <c r="X85">
        <v>6.2143999999999998E-2</v>
      </c>
    </row>
    <row r="86" spans="4:24" x14ac:dyDescent="0.25">
      <c r="D86" s="1"/>
      <c r="E86" s="1"/>
      <c r="X86">
        <v>7.8144000000000005E-2</v>
      </c>
    </row>
    <row r="87" spans="4:24" x14ac:dyDescent="0.25">
      <c r="D87" s="1"/>
      <c r="E87" s="1"/>
      <c r="X87">
        <v>7.7632000000000007E-2</v>
      </c>
    </row>
    <row r="88" spans="4:24" x14ac:dyDescent="0.25">
      <c r="D88" s="1"/>
      <c r="E88" s="1"/>
    </row>
    <row r="89" spans="4:24" x14ac:dyDescent="0.25">
      <c r="D89" s="1"/>
      <c r="E89" s="1"/>
    </row>
    <row r="90" spans="4:24" x14ac:dyDescent="0.25">
      <c r="D90" s="1"/>
      <c r="E90" s="1"/>
    </row>
    <row r="91" spans="4:24" x14ac:dyDescent="0.25">
      <c r="D91" s="1"/>
      <c r="E91" s="1"/>
    </row>
    <row r="92" spans="4:24" x14ac:dyDescent="0.25">
      <c r="D92" s="1"/>
      <c r="E92" s="1"/>
    </row>
    <row r="93" spans="4:24" x14ac:dyDescent="0.25">
      <c r="D93" s="1"/>
      <c r="E93" s="1"/>
    </row>
    <row r="94" spans="4:24" x14ac:dyDescent="0.25">
      <c r="D94" s="1"/>
      <c r="E94" s="1"/>
    </row>
    <row r="95" spans="4:24" x14ac:dyDescent="0.25">
      <c r="D95" s="1"/>
      <c r="E95" s="1"/>
    </row>
    <row r="96" spans="4:24" x14ac:dyDescent="0.25">
      <c r="D96" s="1"/>
      <c r="E96" s="1"/>
    </row>
    <row r="97" spans="4:5" x14ac:dyDescent="0.25">
      <c r="D97" s="1"/>
      <c r="E97" s="1"/>
    </row>
    <row r="98" spans="4:5" x14ac:dyDescent="0.25">
      <c r="D98" s="1"/>
      <c r="E98" s="1"/>
    </row>
    <row r="99" spans="4:5" x14ac:dyDescent="0.25">
      <c r="D99" s="1"/>
      <c r="E99" s="1"/>
    </row>
    <row r="100" spans="4:5" x14ac:dyDescent="0.25">
      <c r="D100" s="1"/>
      <c r="E100" s="1"/>
    </row>
    <row r="101" spans="4:5" x14ac:dyDescent="0.25">
      <c r="D101" s="1"/>
      <c r="E101" s="1"/>
    </row>
    <row r="102" spans="4:5" x14ac:dyDescent="0.25">
      <c r="D102" s="1"/>
      <c r="E102" s="1"/>
    </row>
    <row r="103" spans="4:5" x14ac:dyDescent="0.25">
      <c r="D103" s="1"/>
      <c r="E103" s="1"/>
    </row>
    <row r="104" spans="4:5" x14ac:dyDescent="0.25">
      <c r="D104" s="1"/>
      <c r="E104" s="1"/>
    </row>
    <row r="105" spans="4:5" x14ac:dyDescent="0.25">
      <c r="D105" s="1"/>
      <c r="E105" s="1"/>
    </row>
    <row r="106" spans="4:5" x14ac:dyDescent="0.25">
      <c r="D106" s="1"/>
      <c r="E106" s="1"/>
    </row>
    <row r="107" spans="4:5" x14ac:dyDescent="0.25">
      <c r="D107" s="1"/>
      <c r="E107" s="1"/>
    </row>
    <row r="108" spans="4:5" x14ac:dyDescent="0.25">
      <c r="D108" s="1"/>
      <c r="E108" s="1"/>
    </row>
    <row r="109" spans="4:5" x14ac:dyDescent="0.25">
      <c r="D109" s="1"/>
      <c r="E109" s="1"/>
    </row>
    <row r="110" spans="4:5" x14ac:dyDescent="0.25">
      <c r="D110" s="1"/>
      <c r="E110" s="1"/>
    </row>
    <row r="111" spans="4:5" x14ac:dyDescent="0.25">
      <c r="D111" s="1"/>
      <c r="E111" s="1"/>
    </row>
    <row r="112" spans="4:5" x14ac:dyDescent="0.25">
      <c r="D112" s="1"/>
      <c r="E112" s="1"/>
    </row>
    <row r="113" spans="4:5" x14ac:dyDescent="0.25">
      <c r="D113" s="1"/>
      <c r="E113" s="1"/>
    </row>
    <row r="114" spans="4:5" x14ac:dyDescent="0.25">
      <c r="D114" s="1"/>
      <c r="E114" s="1"/>
    </row>
    <row r="115" spans="4:5" x14ac:dyDescent="0.25">
      <c r="D115" s="1"/>
      <c r="E115" s="1"/>
    </row>
    <row r="116" spans="4:5" x14ac:dyDescent="0.25">
      <c r="D116" s="1"/>
      <c r="E116" s="1"/>
    </row>
    <row r="117" spans="4:5" x14ac:dyDescent="0.25">
      <c r="D117" s="1"/>
      <c r="E117" s="1"/>
    </row>
    <row r="118" spans="4:5" x14ac:dyDescent="0.25">
      <c r="D118" s="1"/>
      <c r="E118" s="1"/>
    </row>
    <row r="119" spans="4:5" x14ac:dyDescent="0.25">
      <c r="D119" s="1"/>
      <c r="E119" s="1"/>
    </row>
    <row r="120" spans="4:5" x14ac:dyDescent="0.25">
      <c r="D120" s="1"/>
      <c r="E120" s="1"/>
    </row>
    <row r="121" spans="4:5" x14ac:dyDescent="0.25">
      <c r="D121" s="1"/>
      <c r="E121" s="1"/>
    </row>
    <row r="122" spans="4:5" x14ac:dyDescent="0.25">
      <c r="D122" s="1"/>
      <c r="E122" s="1"/>
    </row>
    <row r="123" spans="4:5" x14ac:dyDescent="0.25">
      <c r="D123" s="1"/>
      <c r="E123" s="1"/>
    </row>
    <row r="124" spans="4:5" x14ac:dyDescent="0.25">
      <c r="D124" s="1"/>
      <c r="E124" s="1"/>
    </row>
    <row r="125" spans="4:5" x14ac:dyDescent="0.25">
      <c r="D125" s="1"/>
      <c r="E125" s="1"/>
    </row>
    <row r="126" spans="4:5" x14ac:dyDescent="0.25">
      <c r="D126" s="1"/>
      <c r="E126" s="1"/>
    </row>
    <row r="127" spans="4:5" x14ac:dyDescent="0.25">
      <c r="D127" s="1"/>
      <c r="E127" s="1"/>
    </row>
    <row r="128" spans="4:5" x14ac:dyDescent="0.25">
      <c r="D128" s="1"/>
      <c r="E128" s="1"/>
    </row>
    <row r="129" spans="4:5" x14ac:dyDescent="0.25">
      <c r="D129" s="1"/>
      <c r="E129" s="1"/>
    </row>
    <row r="130" spans="4:5" x14ac:dyDescent="0.25">
      <c r="D130" s="1"/>
      <c r="E130" s="1"/>
    </row>
    <row r="131" spans="4:5" x14ac:dyDescent="0.25">
      <c r="D131" s="1"/>
      <c r="E131" s="1"/>
    </row>
    <row r="132" spans="4:5" x14ac:dyDescent="0.25">
      <c r="D132" s="1"/>
      <c r="E132" s="1"/>
    </row>
    <row r="133" spans="4:5" x14ac:dyDescent="0.25">
      <c r="D133" s="1"/>
      <c r="E133" s="1"/>
    </row>
    <row r="134" spans="4:5" x14ac:dyDescent="0.25">
      <c r="D134" s="1"/>
      <c r="E134" s="1"/>
    </row>
    <row r="135" spans="4:5" x14ac:dyDescent="0.25">
      <c r="D135" s="1"/>
      <c r="E135" s="1"/>
    </row>
    <row r="136" spans="4:5" x14ac:dyDescent="0.25">
      <c r="D136" s="1"/>
      <c r="E136" s="1"/>
    </row>
    <row r="137" spans="4:5" x14ac:dyDescent="0.25">
      <c r="D137" s="1"/>
      <c r="E137" s="1"/>
    </row>
    <row r="138" spans="4:5" x14ac:dyDescent="0.25">
      <c r="D138" s="1"/>
      <c r="E138" s="1"/>
    </row>
    <row r="139" spans="4:5" x14ac:dyDescent="0.25">
      <c r="D139" s="1"/>
      <c r="E139" s="1"/>
    </row>
    <row r="140" spans="4:5" x14ac:dyDescent="0.25">
      <c r="D140" s="1"/>
      <c r="E140" s="1"/>
    </row>
    <row r="141" spans="4:5" x14ac:dyDescent="0.25">
      <c r="D141" s="1"/>
      <c r="E141" s="1"/>
    </row>
    <row r="142" spans="4:5" x14ac:dyDescent="0.25">
      <c r="D142" s="1"/>
      <c r="E142" s="1"/>
    </row>
    <row r="143" spans="4:5" x14ac:dyDescent="0.25">
      <c r="D143" s="1"/>
      <c r="E143" s="1"/>
    </row>
    <row r="144" spans="4:5" x14ac:dyDescent="0.25">
      <c r="D144" s="1"/>
      <c r="E144" s="1"/>
    </row>
    <row r="145" spans="4:5" x14ac:dyDescent="0.25">
      <c r="D145" s="1"/>
      <c r="E145" s="1"/>
    </row>
    <row r="146" spans="4:5" x14ac:dyDescent="0.25">
      <c r="D146" s="1"/>
      <c r="E146" s="1"/>
    </row>
    <row r="147" spans="4:5" x14ac:dyDescent="0.25">
      <c r="D147" s="1"/>
      <c r="E147" s="1"/>
    </row>
    <row r="148" spans="4:5" x14ac:dyDescent="0.25">
      <c r="D148" s="1"/>
      <c r="E148" s="1"/>
    </row>
    <row r="149" spans="4:5" x14ac:dyDescent="0.25">
      <c r="D149" s="1"/>
      <c r="E149" s="1"/>
    </row>
    <row r="150" spans="4:5" x14ac:dyDescent="0.25">
      <c r="D150" s="1"/>
      <c r="E150" s="1"/>
    </row>
    <row r="151" spans="4:5" x14ac:dyDescent="0.25">
      <c r="D151" s="1"/>
      <c r="E151" s="1"/>
    </row>
    <row r="152" spans="4:5" x14ac:dyDescent="0.25">
      <c r="D152" s="1"/>
      <c r="E152" s="1"/>
    </row>
    <row r="153" spans="4:5" x14ac:dyDescent="0.25">
      <c r="D153" s="1"/>
      <c r="E153" s="1"/>
    </row>
    <row r="154" spans="4:5" x14ac:dyDescent="0.25">
      <c r="D154" s="1"/>
      <c r="E154" s="1"/>
    </row>
    <row r="155" spans="4:5" x14ac:dyDescent="0.25">
      <c r="D155" s="1"/>
      <c r="E155" s="1"/>
    </row>
    <row r="156" spans="4:5" x14ac:dyDescent="0.25">
      <c r="D156" s="1"/>
      <c r="E156" s="1"/>
    </row>
    <row r="157" spans="4:5" x14ac:dyDescent="0.25">
      <c r="D157" s="1"/>
      <c r="E157" s="1"/>
    </row>
    <row r="158" spans="4:5" x14ac:dyDescent="0.25">
      <c r="D158" s="1"/>
      <c r="E158" s="1"/>
    </row>
    <row r="159" spans="4:5" x14ac:dyDescent="0.25">
      <c r="D159" s="1"/>
      <c r="E159" s="1"/>
    </row>
    <row r="160" spans="4:5" x14ac:dyDescent="0.25">
      <c r="D160" s="1"/>
      <c r="E160" s="1"/>
    </row>
    <row r="161" spans="4:5" x14ac:dyDescent="0.25">
      <c r="D161" s="1"/>
      <c r="E161" s="1"/>
    </row>
    <row r="162" spans="4:5" x14ac:dyDescent="0.25">
      <c r="D162" s="1"/>
      <c r="E162" s="1"/>
    </row>
    <row r="163" spans="4:5" x14ac:dyDescent="0.25">
      <c r="D163" s="1"/>
      <c r="E163" s="1"/>
    </row>
    <row r="164" spans="4:5" x14ac:dyDescent="0.25">
      <c r="D164" s="1"/>
      <c r="E164" s="1"/>
    </row>
    <row r="165" spans="4:5" x14ac:dyDescent="0.25">
      <c r="D165" s="1"/>
      <c r="E165" s="1"/>
    </row>
    <row r="166" spans="4:5" x14ac:dyDescent="0.25">
      <c r="D166" s="1"/>
      <c r="E166" s="1"/>
    </row>
    <row r="167" spans="4:5" x14ac:dyDescent="0.25">
      <c r="D167" s="1"/>
      <c r="E167" s="1"/>
    </row>
    <row r="168" spans="4:5" x14ac:dyDescent="0.25">
      <c r="D168" s="1"/>
      <c r="E168" s="1"/>
    </row>
    <row r="169" spans="4:5" x14ac:dyDescent="0.25">
      <c r="D169" s="1"/>
      <c r="E169" s="1"/>
    </row>
    <row r="170" spans="4:5" x14ac:dyDescent="0.25">
      <c r="D170" s="1"/>
      <c r="E170" s="1"/>
    </row>
    <row r="171" spans="4:5" x14ac:dyDescent="0.25">
      <c r="D171" s="1"/>
      <c r="E171" s="1"/>
    </row>
    <row r="172" spans="4:5" x14ac:dyDescent="0.25">
      <c r="D172" s="1"/>
      <c r="E172" s="1"/>
    </row>
    <row r="173" spans="4:5" x14ac:dyDescent="0.25">
      <c r="E173" s="1"/>
    </row>
    <row r="174" spans="4:5" x14ac:dyDescent="0.25">
      <c r="E174" s="1"/>
    </row>
    <row r="175" spans="4:5" x14ac:dyDescent="0.25">
      <c r="E175" s="1"/>
    </row>
    <row r="176" spans="4:5" x14ac:dyDescent="0.25">
      <c r="E17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GQA</vt:lpstr>
      <vt:lpstr>ROPE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Tu</dc:creator>
  <cp:lastModifiedBy>Zheng Li(李政)</cp:lastModifiedBy>
  <dcterms:created xsi:type="dcterms:W3CDTF">2025-02-13T06:46:51Z</dcterms:created>
  <dcterms:modified xsi:type="dcterms:W3CDTF">2025-02-28T05:31:36Z</dcterms:modified>
</cp:coreProperties>
</file>